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tables/table2.xml" ContentType="application/vnd.openxmlformats-officedocument.spreadsheetml.table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omments/comment1.xml" ContentType="application/vnd.openxmlformats-officedocument.spreadsheetml.comment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comments/comment2.xml" ContentType="application/vnd.openxmlformats-officedocument.spreadsheetml.comments+xml"/>
  <Override PartName="/xl/worksheets/sheet27.xml" ContentType="application/vnd.openxmlformats-officedocument.spreadsheetml.worksheet+xml"/>
  <Override PartName="/xl/comments/comment3.xml" ContentType="application/vnd.openxmlformats-officedocument.spreadsheetml.comments+xml"/>
  <Override PartName="/xl/worksheets/sheet28.xml" ContentType="application/vnd.openxmlformats-officedocument.spreadsheetml.worksheet+xml"/>
  <Override PartName="/xl/comments/comment4.xml" ContentType="application/vnd.openxmlformats-officedocument.spreadsheetml.comments+xml"/>
  <Override PartName="/xl/worksheets/sheet29.xml" ContentType="application/vnd.openxmlformats-officedocument.spreadsheetml.worksheet+xml"/>
  <Override PartName="/xl/comments/comment5.xml" ContentType="application/vnd.openxmlformats-officedocument.spreadsheetml.comments+xml"/>
  <Override PartName="/xl/worksheets/sheet30.xml" ContentType="application/vnd.openxmlformats-officedocument.spreadsheetml.worksheet+xml"/>
  <Override PartName="/xl/comments/comment6.xml" ContentType="application/vnd.openxmlformats-officedocument.spreadsheetml.comments+xml"/>
  <Override PartName="/xl/worksheets/sheet31.xml" ContentType="application/vnd.openxmlformats-officedocument.spreadsheetml.worksheet+xml"/>
  <Override PartName="/xl/comments/comment7.xml" ContentType="application/vnd.openxmlformats-officedocument.spreadsheetml.comments+xml"/>
  <Override PartName="/xl/worksheets/sheet32.xml" ContentType="application/vnd.openxmlformats-officedocument.spreadsheetml.worksheet+xml"/>
  <Override PartName="/xl/comments/comment8.xml" ContentType="application/vnd.openxmlformats-officedocument.spreadsheetml.comments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externalLinks/externalLink1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EstaPastaDeTrabalho"/>
  <bookViews>
    <workbookView visibility="visible" minimized="0" showHorizontalScroll="1" showVerticalScroll="1" showSheetTabs="1" xWindow="-120" yWindow="-120" windowWidth="24240" windowHeight="13140" tabRatio="955" firstSheet="0" activeTab="2" autoFilterDateGrouping="1"/>
  </bookViews>
  <sheets>
    <sheet name="AUXILIAR" sheetId="1" state="visible" r:id="rId1"/>
    <sheet name="__BKP__AUXILIAR" sheetId="2" state="veryHidden" r:id="rId2"/>
    <sheet name="AUXILIAR VD'S" sheetId="3" state="visible" r:id="rId3"/>
    <sheet name="__BKP__AUXILIAR VD'S" sheetId="4" state="veryHidden" r:id="rId4"/>
    <sheet name="JC 3822" sheetId="5" state="visible" r:id="rId5"/>
    <sheet name="__BKP__JC 3822" sheetId="6" state="veryHidden" r:id="rId6"/>
    <sheet name="JD 14446" sheetId="7" state="visible" r:id="rId7"/>
    <sheet name="__BKP__JD 14446" sheetId="8" state="veryHidden" r:id="rId8"/>
    <sheet name="BB 12066" sheetId="9" state="visible" r:id="rId9"/>
    <sheet name="__BKP__BB 12066" sheetId="10" state="veryHidden" r:id="rId10"/>
    <sheet name="SM 23048" sheetId="11" state="visible" r:id="rId11"/>
    <sheet name="Planilha1" sheetId="12" state="hidden" r:id="rId12"/>
    <sheet name="__BKP__SM 23048" sheetId="13" state="veryHidden" r:id="rId13"/>
    <sheet name="JSH 11722" sheetId="14" state="visible" r:id="rId14"/>
    <sheet name="__BKP__JSH 11722" sheetId="15" state="veryHidden" r:id="rId15"/>
    <sheet name="CONF 14553" sheetId="16" state="visible" r:id="rId16"/>
    <sheet name="__BKP__CONF 14553" sheetId="17" state="veryHidden" r:id="rId17"/>
    <sheet name="DC 7529" sheetId="18" state="visible" r:id="rId18"/>
    <sheet name="__BKP__DC 7529" sheetId="19" state="veryHidden" r:id="rId19"/>
    <sheet name="IT 6942" sheetId="20" state="visible" r:id="rId20"/>
    <sheet name="__BKP__IT 6942" sheetId="21" state="veryHidden" r:id="rId21"/>
    <sheet name="BR 6954" sheetId="22" state="visible" r:id="rId22"/>
    <sheet name="TOTAL ITENS DOADOS NATAL.22" sheetId="23" state="hidden" r:id="rId23"/>
    <sheet name="TOTAL ITENS DOADOS MÃES" sheetId="24" state="hidden" r:id="rId24"/>
    <sheet name="__BKP__BR 6954" sheetId="25" state="veryHidden" r:id="rId25"/>
    <sheet name="CDJ 23091" sheetId="26" state="visible" r:id="rId26"/>
    <sheet name="__BACKUP_ANTES_DA_MACRO__" sheetId="27" state="veryHidden" r:id="rId27"/>
    <sheet name="__BKP__CDJ 23091" sheetId="28" state="veryHidden" r:id="rId28"/>
    <sheet name="ERJ 22838" sheetId="29" state="visible" r:id="rId29"/>
    <sheet name="__BKP__ERJ 22838" sheetId="30" state="veryHidden" r:id="rId30"/>
    <sheet name="ER SM 24137" sheetId="31" state="visible" r:id="rId31"/>
    <sheet name="__BKP__ER SM 24137" sheetId="32" state="veryHidden" r:id="rId32"/>
    <sheet name="TOTAL ITENS DOADOS 2026" sheetId="33" state="visible" r:id="rId33"/>
    <sheet name="TOTAL ITENS DOADOS NAMORADOS" sheetId="34" state="hidden" r:id="rId34"/>
    <sheet name="TOTAL ITENS DOADOS PAIS" sheetId="35" state="hidden" r:id="rId35"/>
    <sheet name="TOTAL ITENS DOADOS DISNEY" sheetId="36" state="hidden" r:id="rId36"/>
    <sheet name="LOJAS JAÚ" sheetId="37" state="visible" r:id="rId37"/>
    <sheet name="TOTAL ITENS DOADOS NATAL" sheetId="38" state="hidden" r:id="rId38"/>
  </sheets>
  <externalReferences>
    <externalReference r:id="rId39"/>
  </externalReferences>
  <definedNames>
    <definedName name="__ABAS_PROCESSADAS__">"AUXILIAR|AUXILIAR VD'S|JC 3822|JD 14446|BB 12066|SM 23048|JSH 11722|CONF 14553|DC 7529|IT 6942|BR 6954|CDJ 23091|ERJ 22838|ER SM 24137"</definedName>
    <definedName name="__NOME_ABA_ORIGINAL__">"ER SM 24137"</definedName>
    <definedName name="DadosExternos_1" localSheetId="0" hidden="1">AUXILIAR!#REF!</definedName>
    <definedName name="DadosExternos_1" localSheetId="1" hidden="1">__BKP__AUXILIAR!#REF!</definedName>
    <definedName name="_xlnm.Print_Area" localSheetId="4">'JC 3822'!$A$1:$AW$22</definedName>
    <definedName name="_xlnm.Print_Area" localSheetId="5">'__BKP__JC 3822'!$A$1:$AV$22</definedName>
    <definedName name="_xlnm.Print_Area" localSheetId="6">'JD 14446'!$A$1:$AZ$22</definedName>
    <definedName name="_xlnm.Print_Area" localSheetId="7">'__BKP__JD 14446'!$A$1:$AY$22</definedName>
    <definedName name="_xlnm.Print_Area" localSheetId="8">'BB 12066'!$A$1:$AZ$22</definedName>
    <definedName name="_xlnm.Print_Area" localSheetId="9">'__BKP__BB 12066'!$A$1:$AY$22</definedName>
    <definedName name="_xlnm.Print_Area" localSheetId="10">'SM 23048'!$A$1:$AV$22</definedName>
    <definedName name="_xlnm.Print_Area" localSheetId="12">'__BKP__SM 23048'!$A$1:$AT$22</definedName>
    <definedName name="_xlnm.Print_Area" localSheetId="13">'JSH 11722'!$A$1:$BC$22</definedName>
    <definedName name="_xlnm.Print_Area" localSheetId="14">'__BKP__JSH 11722'!$A$1:$BB$22</definedName>
    <definedName name="_xlnm.Print_Area" localSheetId="15">'CONF 14553'!$A$1:$AV$22</definedName>
    <definedName name="_xlnm.Print_Area" localSheetId="16">'__BKP__CONF 14553'!$A$1:$AU$22</definedName>
    <definedName name="_xlnm.Print_Area" localSheetId="17">'DC 7529'!$A$1:$AX$24</definedName>
    <definedName name="_xlnm.Print_Area" localSheetId="18">'__BKP__DC 7529'!$A$1:$AW$24</definedName>
    <definedName name="_xlnm.Print_Area" localSheetId="19">'IT 6942'!$A$1:$AT$22</definedName>
    <definedName name="_xlnm.Print_Area" localSheetId="20">'__BKP__IT 6942'!$A$1:$AR$22</definedName>
    <definedName name="_xlnm.Print_Area" localSheetId="21">'BR 6954'!$A$1:$AU$22</definedName>
    <definedName name="_xlnm.Print_Area" localSheetId="24">'__BKP__BR 6954'!$A$1:$AT$22</definedName>
    <definedName name="_xlnm.Print_Area" localSheetId="25">'CDJ 23091'!$A$1:$AG$41</definedName>
    <definedName name="_xlnm.Print_Area" localSheetId="26">'__BACKUP_ANTES_DA_MACRO__'!$A$1:$AF$52</definedName>
    <definedName name="_xlnm.Print_Area" localSheetId="27">'__BKP__CDJ 23091'!$A$1:$AF$41</definedName>
    <definedName name="_xlnm.Print_Area" localSheetId="28">'ERJ 22838'!$A$1:$AH$57</definedName>
    <definedName name="_xlnm.Print_Area" localSheetId="29">'__BKP__ERJ 22838'!$A$1:$AG$57</definedName>
    <definedName name="_xlnm.Print_Area" localSheetId="30">'ER SM 24137'!$A$1:$AH$52</definedName>
    <definedName name="_xlnm.Print_Area" localSheetId="31">'__BKP__ER SM 24137'!$A$1:$AG$52</definedName>
    <definedName name="_xlnm.Print_Area" localSheetId="36">'LOJAS JAÚ'!$A$1:$M$42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_-&quot;R$&quot;\ * #,##0.00_-;\-&quot;R$&quot;\ * #,##0.00_-;_-&quot;R$&quot;\ * &quot;-&quot;??_-;_-@_-"/>
    <numFmt numFmtId="165" formatCode="dd/mm"/>
    <numFmt numFmtId="166" formatCode="_-* #,##0.00_-;\-* #,##0.00_-;_-* &quot;-&quot;??_-;_-@_-"/>
    <numFmt numFmtId="167" formatCode="0;\-0;0"/>
    <numFmt numFmtId="168" formatCode="DD/MM"/>
  </numFmts>
  <fonts count="69">
    <font>
      <name val="Calibri"/>
      <family val="2"/>
      <color theme="1"/>
      <sz val="11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0"/>
      <sz val="14"/>
      <scheme val="minor"/>
    </font>
    <font>
      <name val="Calibri"/>
      <family val="2"/>
      <color theme="1"/>
      <sz val="14"/>
      <scheme val="minor"/>
    </font>
    <font>
      <name val="Calibri"/>
      <family val="2"/>
      <b val="1"/>
      <sz val="14"/>
      <scheme val="minor"/>
    </font>
    <font>
      <name val="Calibri"/>
      <family val="2"/>
      <sz val="14"/>
      <scheme val="minor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Calibri"/>
      <family val="2"/>
      <color rgb="FFFF0000"/>
      <sz val="14"/>
      <scheme val="minor"/>
    </font>
    <font>
      <name val="Calibri"/>
      <family val="2"/>
      <i val="1"/>
      <sz val="14"/>
      <scheme val="minor"/>
    </font>
    <font>
      <name val="Calibri"/>
      <family val="2"/>
      <b val="1"/>
      <sz val="16"/>
      <scheme val="minor"/>
    </font>
    <font>
      <name val="Calibri"/>
      <family val="2"/>
      <b val="1"/>
      <i val="1"/>
      <sz val="14"/>
      <scheme val="minor"/>
    </font>
    <font>
      <name val="Calibri"/>
      <family val="2"/>
      <b val="1"/>
      <color rgb="FFC00000"/>
      <sz val="14"/>
      <scheme val="minor"/>
    </font>
    <font>
      <name val="Calibri"/>
      <family val="2"/>
      <b val="1"/>
      <color rgb="FFFF0000"/>
      <sz val="14"/>
      <scheme val="minor"/>
    </font>
    <font>
      <name val="Calibri"/>
      <family val="2"/>
      <color rgb="FFC00000"/>
      <sz val="14"/>
      <scheme val="minor"/>
    </font>
    <font>
      <name val="Calibri"/>
      <family val="2"/>
      <b val="1"/>
      <color rgb="FF7030A0"/>
      <sz val="14"/>
      <scheme val="minor"/>
    </font>
    <font>
      <name val="Calibri"/>
      <family val="2"/>
      <color rgb="FF0070C0"/>
      <sz val="14"/>
      <scheme val="minor"/>
    </font>
    <font>
      <name val="Calibri"/>
      <family val="2"/>
      <b val="1"/>
      <color rgb="FF0070C0"/>
      <sz val="14"/>
      <scheme val="minor"/>
    </font>
    <font>
      <name val="Calibri"/>
      <family val="2"/>
      <b val="1"/>
      <color rgb="FF00B050"/>
      <sz val="14"/>
      <scheme val="minor"/>
    </font>
    <font>
      <name val="Calibri"/>
      <family val="2"/>
      <color rgb="FF00B050"/>
      <sz val="14"/>
      <scheme val="minor"/>
    </font>
    <font>
      <name val="Calibri"/>
      <family val="2"/>
      <b val="1"/>
      <color rgb="FF00B0F0"/>
      <sz val="14"/>
      <scheme val="minor"/>
    </font>
    <font>
      <name val="Calibri"/>
      <family val="2"/>
      <color rgb="FF000000"/>
      <sz val="11"/>
    </font>
    <font>
      <name val="Calibri"/>
      <family val="2"/>
      <b val="1"/>
      <color theme="1" tint="0.0499893185216834"/>
      <sz val="14"/>
      <scheme val="minor"/>
    </font>
    <font>
      <name val="Calibri"/>
      <family val="2"/>
      <color rgb="FF00B0F0"/>
      <sz val="14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b val="1"/>
      <color indexed="8"/>
      <sz val="11"/>
    </font>
    <font>
      <name val="Arial"/>
      <family val="2"/>
      <sz val="10"/>
    </font>
    <font>
      <name val="Calibri"/>
      <family val="2"/>
      <b val="1"/>
      <color theme="0"/>
      <sz val="12"/>
      <scheme val="minor"/>
    </font>
    <font>
      <name val="Calibri"/>
      <family val="2"/>
      <sz val="12"/>
      <scheme val="minor"/>
    </font>
    <font>
      <name val="Calibri"/>
      <family val="2"/>
      <color theme="1"/>
      <sz val="12"/>
      <scheme val="minor"/>
    </font>
    <font>
      <name val="Calibri"/>
      <family val="2"/>
      <b val="1"/>
      <sz val="12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b val="1"/>
      <color rgb="FF1A967E"/>
      <sz val="14"/>
      <scheme val="minor"/>
    </font>
    <font>
      <name val="Calibri"/>
      <family val="2"/>
      <b val="1"/>
      <color theme="5"/>
      <sz val="14"/>
      <scheme val="minor"/>
    </font>
    <font>
      <name val="Calibri"/>
      <family val="2"/>
      <b val="1"/>
      <i val="1"/>
      <color theme="5"/>
      <sz val="14"/>
      <scheme val="minor"/>
    </font>
    <font>
      <name val="Calibri"/>
      <family val="2"/>
      <color rgb="FF1A967E"/>
      <sz val="14"/>
      <scheme val="minor"/>
    </font>
    <font>
      <name val="Calibri"/>
      <family val="2"/>
      <color rgb="FF000000"/>
      <sz val="14"/>
    </font>
    <font>
      <name val="Calibri"/>
      <family val="2"/>
      <b val="1"/>
      <color rgb="FF000000"/>
      <sz val="14"/>
    </font>
    <font>
      <name val="Calibri"/>
      <family val="2"/>
      <color rgb="FFFF0000"/>
      <sz val="12"/>
      <scheme val="minor"/>
    </font>
    <font>
      <name val="Calibri"/>
      <family val="2"/>
      <color rgb="FF990099"/>
      <sz val="14"/>
      <scheme val="minor"/>
    </font>
    <font>
      <name val="Calibri"/>
      <family val="2"/>
      <color theme="4" tint="-0.249977111117893"/>
      <sz val="14"/>
      <scheme val="minor"/>
    </font>
    <font>
      <name val="Calibri"/>
      <family val="2"/>
      <sz val="11"/>
      <scheme val="minor"/>
    </font>
    <font>
      <name val="Calibri"/>
      <family val="2"/>
      <b val="1"/>
      <color theme="0"/>
      <sz val="16"/>
      <scheme val="minor"/>
    </font>
    <font>
      <name val="Calibri"/>
      <family val="2"/>
      <color theme="0"/>
      <sz val="14"/>
      <scheme val="minor"/>
    </font>
    <font>
      <name val="Arial"/>
      <family val="2"/>
      <color rgb="FF000000"/>
      <sz val="10"/>
    </font>
    <font>
      <name val="Calibri"/>
      <family val="2"/>
      <b val="1"/>
      <color rgb="FFCC0099"/>
      <sz val="14"/>
      <scheme val="minor"/>
    </font>
    <font>
      <name val="Calibri"/>
      <family val="2"/>
      <b val="1"/>
      <color rgb="FFFFC000"/>
      <sz val="12"/>
      <scheme val="minor"/>
    </font>
    <font>
      <name val="Calibri"/>
      <family val="2"/>
      <b val="1"/>
      <color theme="9" tint="-0.499984740745262"/>
      <sz val="14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sz val="11"/>
      <scheme val="minor"/>
    </font>
    <font>
      <name val="Segoe UI"/>
      <family val="2"/>
      <color indexed="81"/>
      <sz val="9"/>
    </font>
    <font>
      <name val="Segoe UI"/>
      <family val="2"/>
      <b val="1"/>
      <color indexed="81"/>
      <sz val="9"/>
    </font>
    <font>
      <name val="Calibri"/>
      <family val="2"/>
      <b val="1"/>
      <color theme="9" tint="-0.249977111117893"/>
      <sz val="14"/>
      <scheme val="minor"/>
    </font>
    <font>
      <name val="Calibri"/>
      <family val="2"/>
      <b val="1"/>
      <color theme="9"/>
      <sz val="14"/>
      <scheme val="minor"/>
    </font>
    <font>
      <name val="Segoe UI"/>
      <family val="2"/>
      <b val="1"/>
      <color indexed="81"/>
      <sz val="16"/>
    </font>
    <font>
      <name val="Segoe UI"/>
      <family val="2"/>
      <color indexed="81"/>
      <sz val="16"/>
    </font>
    <font>
      <name val="Calibri"/>
      <family val="2"/>
      <color theme="4"/>
      <sz val="14"/>
      <scheme val="minor"/>
    </font>
    <font>
      <name val="Calibri"/>
      <family val="2"/>
      <color theme="4"/>
      <sz val="14"/>
    </font>
    <font>
      <name val="Calibri"/>
      <family val="2"/>
      <b val="1"/>
      <color rgb="FF960096"/>
      <sz val="14"/>
      <scheme val="minor"/>
    </font>
    <font>
      <name val="Calibri"/>
      <family val="2"/>
      <b val="1"/>
      <color theme="4" tint="-0.499984740745262"/>
      <sz val="14"/>
      <scheme val="minor"/>
    </font>
    <font>
      <name val="Calibri"/>
      <family val="2"/>
      <b val="1"/>
      <color theme="1"/>
      <sz val="18"/>
      <scheme val="minor"/>
    </font>
    <font>
      <name val="Segoe UI"/>
      <family val="2"/>
      <b val="1"/>
      <color indexed="81"/>
      <sz val="11"/>
    </font>
    <font>
      <name val="Calibri"/>
      <family val="2"/>
      <b val="1"/>
      <color theme="0" tint="-0.0499893185216834"/>
      <sz val="14"/>
      <scheme val="minor"/>
    </font>
    <font>
      <name val="Calibri"/>
      <family val="2"/>
      <color theme="9"/>
      <sz val="14"/>
      <scheme val="minor"/>
    </font>
    <font>
      <name val="Aptos Narrow"/>
      <family val="2"/>
      <b val="1"/>
      <color rgb="FFFFFFFF"/>
      <sz val="11"/>
    </font>
    <font>
      <name val="Aptos Narrow"/>
      <family val="2"/>
      <color theme="1"/>
      <sz val="11"/>
    </font>
    <font>
      <name val="Aptos Narrow"/>
      <family val="2"/>
      <b val="1"/>
      <color theme="1"/>
      <sz val="11"/>
    </font>
    <font>
      <name val="Calibri"/>
      <family val="2"/>
      <b val="1"/>
      <color rgb="FFFFFFFF"/>
      <sz val="11"/>
      <scheme val="minor"/>
    </font>
    <font>
      <name val="Calibri"/>
      <family val="2"/>
      <sz val="14"/>
      <u val="single"/>
      <scheme val="minor"/>
    </font>
  </fonts>
  <fills count="45">
    <fill>
      <patternFill/>
    </fill>
    <fill>
      <patternFill patternType="gray125"/>
    </fill>
    <fill>
      <patternFill patternType="solid">
        <fgColor theme="8" tint="0.399975585192419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theme="3" tint="0.5999938962981048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4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990099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DDEBF7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rgb="FFAE0A2D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960096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C0099"/>
        <bgColor indexed="64"/>
      </patternFill>
    </fill>
    <fill>
      <patternFill patternType="solid">
        <fgColor rgb="FFFFD9FF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FF"/>
        <bgColor indexed="64"/>
      </patternFill>
    </fill>
  </fills>
  <borders count="9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indexed="64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theme="0"/>
      </left>
      <right style="thin">
        <color theme="0"/>
      </right>
      <top/>
      <bottom style="thin">
        <color theme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990099"/>
      </left>
      <right style="thin">
        <color rgb="FF990099"/>
      </right>
      <top style="thin">
        <color rgb="FF990099"/>
      </top>
      <bottom style="thin">
        <color rgb="FF990099"/>
      </bottom>
      <diagonal/>
    </border>
    <border>
      <left style="thin">
        <color rgb="FF990099"/>
      </left>
      <right/>
      <top style="thin">
        <color rgb="FF990099"/>
      </top>
      <bottom style="thin">
        <color rgb="FF990099"/>
      </bottom>
      <diagonal/>
    </border>
    <border>
      <left/>
      <right/>
      <top style="thin">
        <color rgb="FF990099"/>
      </top>
      <bottom style="thin">
        <color rgb="FF990099"/>
      </bottom>
      <diagonal/>
    </border>
    <border>
      <left style="thin">
        <color indexed="64"/>
      </left>
      <right/>
      <top style="thin">
        <color rgb="FF990099"/>
      </top>
      <bottom style="thin">
        <color indexed="64"/>
      </bottom>
      <diagonal/>
    </border>
    <border>
      <left/>
      <right/>
      <top style="thin">
        <color rgb="FF990099"/>
      </top>
      <bottom style="thin">
        <color indexed="64"/>
      </bottom>
      <diagonal/>
    </border>
    <border>
      <left/>
      <right style="thin">
        <color rgb="FF990099"/>
      </right>
      <top style="thin">
        <color rgb="FF990099"/>
      </top>
      <bottom style="thin">
        <color indexed="64"/>
      </bottom>
      <diagonal/>
    </border>
    <border>
      <left style="thin">
        <color rgb="FF990099"/>
      </left>
      <right style="thin">
        <color indexed="64"/>
      </right>
      <top style="thin">
        <color indexed="64"/>
      </top>
      <bottom style="thin">
        <color rgb="FF99009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990099"/>
      </bottom>
      <diagonal/>
    </border>
    <border>
      <left style="thin">
        <color indexed="64"/>
      </left>
      <right style="thin">
        <color rgb="FF990099"/>
      </right>
      <top style="thin">
        <color indexed="64"/>
      </top>
      <bottom style="thin">
        <color rgb="FF990099"/>
      </bottom>
      <diagonal/>
    </border>
    <border>
      <left style="thin">
        <color rgb="FF990099"/>
      </left>
      <right style="thin">
        <color indexed="64"/>
      </right>
      <top style="thin">
        <color rgb="FF990099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990099"/>
      </top>
      <bottom style="thin">
        <color indexed="64"/>
      </bottom>
      <diagonal/>
    </border>
    <border>
      <left style="thin">
        <color indexed="64"/>
      </left>
      <right style="thin">
        <color rgb="FF990099"/>
      </right>
      <top style="thin">
        <color rgb="FF990099"/>
      </top>
      <bottom/>
      <diagonal/>
    </border>
    <border>
      <left/>
      <right style="thin">
        <color rgb="FF990099"/>
      </right>
      <top style="thin">
        <color rgb="FF990099"/>
      </top>
      <bottom style="thin">
        <color rgb="FF990099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medium">
        <color rgb="FF000000"/>
      </left>
      <right style="thin">
        <color rgb="FFC8C8C8"/>
      </right>
      <top style="medium">
        <color rgb="FF000000"/>
      </top>
      <bottom style="thin">
        <color rgb="FFC8C8C8"/>
      </bottom>
      <diagonal/>
    </border>
    <border>
      <left style="thin">
        <color rgb="FFC8C8C8"/>
      </left>
      <right style="thin">
        <color rgb="FFC8C8C8"/>
      </right>
      <top style="medium">
        <color rgb="FF000000"/>
      </top>
      <bottom style="thin">
        <color rgb="FFC8C8C8"/>
      </bottom>
      <diagonal/>
    </border>
    <border>
      <left style="thin">
        <color rgb="FFC8C8C8"/>
      </left>
      <right style="medium">
        <color rgb="FF000000"/>
      </right>
      <top style="medium">
        <color rgb="FF000000"/>
      </top>
      <bottom style="thin">
        <color rgb="FFC8C8C8"/>
      </bottom>
      <diagonal/>
    </border>
    <border>
      <left style="medium">
        <color rgb="FF000000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C8C8C8"/>
      </left>
      <right style="medium">
        <color rgb="FF000000"/>
      </right>
      <top style="thin">
        <color rgb="FFC8C8C8"/>
      </top>
      <bottom style="thin">
        <color rgb="FFC8C8C8"/>
      </bottom>
      <diagonal/>
    </border>
    <border>
      <left style="medium">
        <color rgb="FF000000"/>
      </left>
      <right style="thin">
        <color rgb="FFC8C8C8"/>
      </right>
      <top style="thin">
        <color rgb="FFC8C8C8"/>
      </top>
      <bottom style="medium">
        <color rgb="FF000000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medium">
        <color rgb="FF000000"/>
      </bottom>
      <diagonal/>
    </border>
    <border>
      <left style="thin">
        <color rgb="FFC8C8C8"/>
      </left>
      <right style="medium">
        <color rgb="FF000000"/>
      </right>
      <top style="thin">
        <color rgb="FFC8C8C8"/>
      </top>
      <bottom style="medium">
        <color rgb="FF000000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/>
      <diagonal/>
    </border>
    <border>
      <left style="medium">
        <color rgb="FF000000"/>
      </left>
      <right style="thin">
        <color rgb="FFC8C8C8"/>
      </right>
      <top style="thin">
        <color rgb="FFC8C8C8"/>
      </top>
      <bottom/>
      <diagonal/>
    </border>
    <border>
      <left style="thin">
        <color rgb="FFC8C8C8"/>
      </left>
      <right style="medium">
        <color rgb="FF000000"/>
      </right>
      <top style="thin">
        <color rgb="FFC8C8C8"/>
      </top>
      <bottom/>
      <diagonal/>
    </border>
    <border>
      <left style="thin">
        <color rgb="FFC8C8C8"/>
      </left>
      <right style="thin">
        <color rgb="FFC8C8C8"/>
      </right>
      <top/>
      <bottom style="thin">
        <color rgb="FFC8C8C8"/>
      </bottom>
      <diagonal/>
    </border>
    <border>
      <left style="medium">
        <color indexed="64"/>
      </left>
      <right style="thin">
        <color rgb="FFC8C8C8"/>
      </right>
      <top style="medium">
        <color indexed="64"/>
      </top>
      <bottom style="thin">
        <color rgb="FFC8C8C8"/>
      </bottom>
      <diagonal/>
    </border>
    <border>
      <left style="thin">
        <color rgb="FFC8C8C8"/>
      </left>
      <right style="thin">
        <color rgb="FFC8C8C8"/>
      </right>
      <top style="medium">
        <color indexed="64"/>
      </top>
      <bottom style="thin">
        <color rgb="FFC8C8C8"/>
      </bottom>
      <diagonal/>
    </border>
    <border>
      <left style="thin">
        <color rgb="FFC8C8C8"/>
      </left>
      <right style="medium">
        <color indexed="64"/>
      </right>
      <top style="medium">
        <color indexed="64"/>
      </top>
      <bottom style="thin">
        <color rgb="FFC8C8C8"/>
      </bottom>
      <diagonal/>
    </border>
    <border>
      <left style="medium">
        <color indexed="64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C8C8C8"/>
      </left>
      <right style="medium">
        <color indexed="64"/>
      </right>
      <top style="thin">
        <color rgb="FFC8C8C8"/>
      </top>
      <bottom style="thin">
        <color rgb="FFC8C8C8"/>
      </bottom>
      <diagonal/>
    </border>
    <border>
      <left style="medium">
        <color indexed="64"/>
      </left>
      <right style="thin">
        <color rgb="FFC8C8C8"/>
      </right>
      <top style="thin">
        <color rgb="FFC8C8C8"/>
      </top>
      <bottom style="medium">
        <color indexed="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medium">
        <color indexed="64"/>
      </bottom>
      <diagonal/>
    </border>
    <border>
      <left style="thin">
        <color rgb="FFC8C8C8"/>
      </left>
      <right style="medium">
        <color indexed="64"/>
      </right>
      <top style="thin">
        <color rgb="FFC8C8C8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 style="thin">
        <color rgb="FF990099"/>
      </top>
      <bottom/>
      <diagonal/>
    </border>
    <border>
      <left/>
      <right style="thin">
        <color rgb="FF990099"/>
      </right>
      <top style="thin">
        <color rgb="FF990099"/>
      </top>
      <bottom/>
      <diagonal/>
    </border>
    <border>
      <left style="thin">
        <color rgb="FF990099"/>
      </left>
      <right/>
      <top/>
      <bottom/>
      <diagonal/>
    </border>
    <border>
      <left style="thin">
        <color rgb="FF990099"/>
      </left>
      <right style="thin">
        <color rgb="FF990099"/>
      </right>
      <top/>
      <bottom/>
      <diagonal/>
    </border>
    <border>
      <left style="thin">
        <color rgb="FF990099"/>
      </left>
      <right style="thin">
        <color rgb="FF990099"/>
      </right>
      <top/>
      <bottom style="thin">
        <color rgb="FF99009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1"/>
      </bottom>
      <diagonal/>
    </border>
    <border>
      <left/>
      <right style="thin">
        <color indexed="64"/>
      </right>
      <top/>
      <bottom/>
      <diagonal/>
    </border>
    <border>
      <left style="thin">
        <color rgb="FF990099"/>
      </left>
      <right style="thin">
        <color indexed="64"/>
      </right>
      <top/>
      <bottom/>
      <diagonal/>
    </border>
    <border>
      <left style="thin">
        <color rgb="FF990099"/>
      </left>
      <right style="thin">
        <color indexed="64"/>
      </right>
      <top/>
      <bottom style="thin">
        <color rgb="FF990099"/>
      </bottom>
      <diagonal/>
    </border>
    <border>
      <left style="thin">
        <color indexed="64"/>
      </left>
      <right style="thin">
        <color rgb="FF990099"/>
      </right>
      <top style="thin">
        <color rgb="FF990099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rgb="FF990099"/>
      </bottom>
      <diagonal/>
    </border>
    <border>
      <left style="thin">
        <color indexed="64"/>
      </left>
      <right style="thin">
        <color rgb="FF990099"/>
      </right>
      <top/>
      <bottom/>
      <diagonal/>
    </border>
    <border>
      <left style="thin">
        <color indexed="64"/>
      </left>
      <right style="thin">
        <color rgb="FF990099"/>
      </right>
      <top/>
      <bottom style="thin">
        <color rgb="FF990099"/>
      </bottom>
      <diagonal/>
    </border>
  </borders>
  <cellStyleXfs count="38">
    <xf numFmtId="0" fontId="7" fillId="0" borderId="0"/>
    <xf numFmtId="0" fontId="26" fillId="0" borderId="0"/>
    <xf numFmtId="44" fontId="7" fillId="0" borderId="0"/>
    <xf numFmtId="44" fontId="7" fillId="0" borderId="0"/>
    <xf numFmtId="0" fontId="21" fillId="0" borderId="0"/>
    <xf numFmtId="0" fontId="26" fillId="0" borderId="0"/>
    <xf numFmtId="43" fontId="7" fillId="0" borderId="0"/>
    <xf numFmtId="44" fontId="7" fillId="0" borderId="0"/>
    <xf numFmtId="0" fontId="26" fillId="0" borderId="0"/>
    <xf numFmtId="0" fontId="44" fillId="0" borderId="0"/>
    <xf numFmtId="44" fontId="21" fillId="0" borderId="0"/>
    <xf numFmtId="0" fontId="44" fillId="0" borderId="0"/>
    <xf numFmtId="44" fontId="21" fillId="0" borderId="0"/>
    <xf numFmtId="44" fontId="21" fillId="0" borderId="0"/>
    <xf numFmtId="44" fontId="21" fillId="0" borderId="0"/>
    <xf numFmtId="44" fontId="21" fillId="0" borderId="0"/>
    <xf numFmtId="44" fontId="21" fillId="0" borderId="0"/>
    <xf numFmtId="44" fontId="21" fillId="0" borderId="0"/>
    <xf numFmtId="44" fontId="21" fillId="0" borderId="0"/>
    <xf numFmtId="44" fontId="21" fillId="0" borderId="0"/>
    <xf numFmtId="44" fontId="21" fillId="0" borderId="0"/>
    <xf numFmtId="44" fontId="21" fillId="0" borderId="0"/>
    <xf numFmtId="44" fontId="21" fillId="0" borderId="0"/>
    <xf numFmtId="44" fontId="21" fillId="0" borderId="0"/>
    <xf numFmtId="44" fontId="21" fillId="0" borderId="0"/>
    <xf numFmtId="44" fontId="21" fillId="0" borderId="0"/>
    <xf numFmtId="44" fontId="21" fillId="0" borderId="0"/>
    <xf numFmtId="44" fontId="7" fillId="0" borderId="0"/>
    <xf numFmtId="44" fontId="21" fillId="0" borderId="0"/>
    <xf numFmtId="0" fontId="44" fillId="0" borderId="0"/>
    <xf numFmtId="44" fontId="21" fillId="0" borderId="0"/>
    <xf numFmtId="44" fontId="21" fillId="0" borderId="0"/>
    <xf numFmtId="44" fontId="21" fillId="0" borderId="0"/>
    <xf numFmtId="44" fontId="21" fillId="0" borderId="0"/>
    <xf numFmtId="44" fontId="7" fillId="0" borderId="0"/>
    <xf numFmtId="0" fontId="26" fillId="0" borderId="0"/>
    <xf numFmtId="44" fontId="21" fillId="0" borderId="0"/>
    <xf numFmtId="44" fontId="21" fillId="0" borderId="0"/>
  </cellStyleXfs>
  <cellXfs count="732">
    <xf numFmtId="0" fontId="0" fillId="0" borderId="0" pivotButton="0" quotePrefix="0" xfId="0"/>
    <xf numFmtId="0" fontId="5" fillId="0" borderId="0" applyAlignment="1" pivotButton="0" quotePrefix="0" xfId="0">
      <alignment horizontal="center" vertical="center"/>
    </xf>
    <xf numFmtId="0" fontId="5" fillId="0" borderId="0" applyAlignment="1" applyProtection="1" pivotButton="0" quotePrefix="0" xfId="0">
      <alignment horizontal="center" vertical="center"/>
      <protection locked="0" hidden="0"/>
    </xf>
    <xf numFmtId="0" fontId="5" fillId="0" borderId="0" applyAlignment="1" pivotButton="0" quotePrefix="0" xfId="0">
      <alignment vertical="center"/>
    </xf>
    <xf numFmtId="0" fontId="4" fillId="3" borderId="7" applyAlignment="1" pivotButton="0" quotePrefix="0" xfId="0">
      <alignment horizontal="center" vertical="center"/>
    </xf>
    <xf numFmtId="0" fontId="4" fillId="3" borderId="8" applyAlignment="1" pivotButton="0" quotePrefix="0" xfId="0">
      <alignment horizontal="center" vertical="center"/>
    </xf>
    <xf numFmtId="0" fontId="5" fillId="0" borderId="1" applyAlignment="1" pivotButton="0" quotePrefix="0" xfId="0">
      <alignment horizontal="center" vertical="center"/>
    </xf>
    <xf numFmtId="164" fontId="3" fillId="0" borderId="0" pivotButton="0" quotePrefix="0" xfId="2"/>
    <xf numFmtId="0" fontId="11" fillId="3" borderId="1" applyAlignment="1" pivotButton="0" quotePrefix="0" xfId="0">
      <alignment horizontal="center" vertical="center"/>
    </xf>
    <xf numFmtId="0" fontId="2" fillId="2" borderId="1" applyAlignment="1" pivotButton="0" quotePrefix="0" xfId="0">
      <alignment horizontal="center" vertical="center"/>
    </xf>
    <xf numFmtId="0" fontId="13" fillId="0" borderId="0" applyAlignment="1" applyProtection="1" pivotButton="0" quotePrefix="0" xfId="0">
      <alignment horizontal="center" vertical="center"/>
      <protection locked="0" hidden="0"/>
    </xf>
    <xf numFmtId="0" fontId="3" fillId="0" borderId="0" pivotButton="0" quotePrefix="0" xfId="0"/>
    <xf numFmtId="0" fontId="4" fillId="3" borderId="1" applyAlignment="1" pivotButton="0" quotePrefix="0" xfId="0">
      <alignment horizontal="center" vertical="center"/>
    </xf>
    <xf numFmtId="165" fontId="4" fillId="10" borderId="1" applyAlignment="1" pivotButton="0" quotePrefix="0" xfId="0">
      <alignment horizontal="center" vertical="center"/>
    </xf>
    <xf numFmtId="0" fontId="4" fillId="3" borderId="0" applyAlignment="1" pivotButton="0" quotePrefix="0" xfId="0">
      <alignment horizontal="center" vertical="center"/>
    </xf>
    <xf numFmtId="0" fontId="18" fillId="0" borderId="0" applyAlignment="1" applyProtection="1" pivotButton="0" quotePrefix="0" xfId="0">
      <alignment horizontal="center" vertical="center"/>
      <protection locked="0" hidden="0"/>
    </xf>
    <xf numFmtId="0" fontId="18" fillId="0" borderId="0" applyAlignment="1" pivotButton="0" quotePrefix="0" xfId="0">
      <alignment horizontal="center" vertical="center"/>
    </xf>
    <xf numFmtId="165" fontId="4" fillId="9" borderId="1" applyAlignment="1" pivotButton="0" quotePrefix="0" xfId="0">
      <alignment horizontal="center" vertical="center"/>
    </xf>
    <xf numFmtId="165" fontId="4" fillId="8" borderId="1" applyAlignment="1" pivotButton="0" quotePrefix="0" xfId="0">
      <alignment horizontal="center"/>
    </xf>
    <xf numFmtId="0" fontId="19" fillId="0" borderId="1" applyAlignment="1" applyProtection="1" pivotButton="0" quotePrefix="0" xfId="0">
      <alignment horizontal="center" vertical="center"/>
      <protection locked="0" hidden="0"/>
    </xf>
    <xf numFmtId="0" fontId="4" fillId="3" borderId="7" applyAlignment="1" pivotButton="0" quotePrefix="0" xfId="0">
      <alignment horizontal="left" vertical="center"/>
    </xf>
    <xf numFmtId="0" fontId="5" fillId="0" borderId="4" applyAlignment="1" pivotButton="0" quotePrefix="0" xfId="0">
      <alignment horizontal="left" vertical="center"/>
    </xf>
    <xf numFmtId="0" fontId="5" fillId="0" borderId="5" applyAlignment="1" pivotButton="0" quotePrefix="0" xfId="0">
      <alignment horizontal="left" vertical="center"/>
    </xf>
    <xf numFmtId="0" fontId="5" fillId="0" borderId="0" applyAlignment="1" pivotButton="0" quotePrefix="0" xfId="0">
      <alignment horizontal="left" vertical="center"/>
    </xf>
    <xf numFmtId="0" fontId="4" fillId="3" borderId="1" applyAlignment="1" pivotButton="0" quotePrefix="0" xfId="0">
      <alignment horizontal="left" vertical="center"/>
    </xf>
    <xf numFmtId="0" fontId="5" fillId="0" borderId="1" applyAlignment="1" pivotButton="0" quotePrefix="0" xfId="0">
      <alignment horizontal="left" vertical="center"/>
    </xf>
    <xf numFmtId="0" fontId="5" fillId="14" borderId="1" applyAlignment="1" applyProtection="1" pivotButton="0" quotePrefix="0" xfId="0">
      <alignment horizontal="center" vertical="center"/>
      <protection locked="0" hidden="0"/>
    </xf>
    <xf numFmtId="0" fontId="5" fillId="0" borderId="2" applyAlignment="1" applyProtection="1" pivotButton="0" quotePrefix="0" xfId="0">
      <alignment horizontal="center" vertical="center"/>
      <protection locked="0" hidden="0"/>
    </xf>
    <xf numFmtId="0" fontId="22" fillId="13" borderId="1" applyAlignment="1" pivotButton="0" quotePrefix="0" xfId="0">
      <alignment horizontal="center" vertical="center"/>
    </xf>
    <xf numFmtId="0" fontId="4" fillId="8" borderId="1" applyAlignment="1" pivotButton="0" quotePrefix="0" xfId="0">
      <alignment horizontal="center" vertical="center"/>
    </xf>
    <xf numFmtId="0" fontId="3" fillId="0" borderId="0" applyAlignment="1" pivotButton="0" quotePrefix="0" xfId="0">
      <alignment vertical="center"/>
    </xf>
    <xf numFmtId="165" fontId="5" fillId="0" borderId="0" applyAlignment="1" pivotButton="0" quotePrefix="0" xfId="0">
      <alignment vertical="center"/>
    </xf>
    <xf numFmtId="0" fontId="23" fillId="0" borderId="1" applyAlignment="1" applyProtection="1" pivotButton="0" quotePrefix="0" xfId="0">
      <alignment horizontal="center" vertical="center"/>
      <protection locked="0" hidden="0"/>
    </xf>
    <xf numFmtId="0" fontId="23" fillId="0" borderId="0" applyAlignment="1" applyProtection="1" pivotButton="0" quotePrefix="0" xfId="0">
      <alignment horizontal="center" vertical="center"/>
      <protection locked="0" hidden="0"/>
    </xf>
    <xf numFmtId="0" fontId="3" fillId="0" borderId="0" applyProtection="1" pivotButton="0" quotePrefix="0" xfId="0">
      <protection locked="0" hidden="0"/>
    </xf>
    <xf numFmtId="165" fontId="4" fillId="15" borderId="1" applyAlignment="1" pivotButton="0" quotePrefix="0" xfId="0">
      <alignment horizontal="center" vertical="center"/>
    </xf>
    <xf numFmtId="0" fontId="4" fillId="3" borderId="2" applyAlignment="1" pivotButton="0" quotePrefix="0" xfId="0">
      <alignment horizontal="center" vertical="center"/>
    </xf>
    <xf numFmtId="0" fontId="4" fillId="3" borderId="3" applyAlignment="1" pivotButton="0" quotePrefix="0" xfId="0">
      <alignment horizontal="center" vertical="center"/>
    </xf>
    <xf numFmtId="0" fontId="9" fillId="4" borderId="9" applyAlignment="1" pivotButton="0" quotePrefix="0" xfId="0">
      <alignment horizontal="center" vertical="center"/>
    </xf>
    <xf numFmtId="0" fontId="5" fillId="0" borderId="1" applyAlignment="1" applyProtection="1" pivotButton="0" quotePrefix="0" xfId="0">
      <alignment horizontal="center" vertical="center"/>
      <protection locked="0" hidden="0"/>
    </xf>
    <xf numFmtId="0" fontId="3" fillId="12" borderId="1" applyAlignment="1" pivotButton="0" quotePrefix="0" xfId="0">
      <alignment horizontal="center" vertical="center"/>
    </xf>
    <xf numFmtId="0" fontId="3" fillId="0" borderId="0" applyAlignment="1" pivotButton="0" quotePrefix="0" xfId="0">
      <alignment horizontal="center"/>
    </xf>
    <xf numFmtId="0" fontId="4" fillId="16" borderId="6" applyAlignment="1" pivotButton="0" quotePrefix="0" xfId="0">
      <alignment horizontal="center" vertical="center"/>
    </xf>
    <xf numFmtId="164" fontId="4" fillId="16" borderId="6" applyAlignment="1" pivotButton="0" quotePrefix="0" xfId="2">
      <alignment horizontal="center" vertical="center" wrapText="1"/>
    </xf>
    <xf numFmtId="164" fontId="10" fillId="16" borderId="6" applyAlignment="1" pivotButton="0" quotePrefix="0" xfId="2">
      <alignment horizontal="center" vertical="center" wrapText="1"/>
    </xf>
    <xf numFmtId="2" fontId="9" fillId="4" borderId="1" applyAlignment="1" pivotButton="0" quotePrefix="0" xfId="0">
      <alignment horizontal="center" vertical="center"/>
    </xf>
    <xf numFmtId="2" fontId="9" fillId="4" borderId="6" applyAlignment="1" pivotButton="0" quotePrefix="0" xfId="0">
      <alignment horizontal="center" vertical="center"/>
    </xf>
    <xf numFmtId="0" fontId="11" fillId="3" borderId="2" applyAlignment="1" pivotButton="0" quotePrefix="0" xfId="0">
      <alignment horizontal="center" vertical="center"/>
    </xf>
    <xf numFmtId="0" fontId="9" fillId="4" borderId="6" applyAlignment="1" pivotButton="0" quotePrefix="0" xfId="0">
      <alignment horizontal="center" vertical="center"/>
    </xf>
    <xf numFmtId="2" fontId="9" fillId="4" borderId="9" applyAlignment="1" pivotButton="0" quotePrefix="0" xfId="0">
      <alignment horizontal="center" vertical="center"/>
    </xf>
    <xf numFmtId="0" fontId="9" fillId="4" borderId="1" applyAlignment="1" pivotButton="0" quotePrefix="0" xfId="0">
      <alignment horizontal="center" vertical="center"/>
    </xf>
    <xf numFmtId="0" fontId="4" fillId="3" borderId="2" applyAlignment="1" pivotButton="0" quotePrefix="0" xfId="0">
      <alignment horizontal="left" vertical="center"/>
    </xf>
    <xf numFmtId="164" fontId="4" fillId="3" borderId="10" applyAlignment="1" pivotButton="0" quotePrefix="0" xfId="2">
      <alignment horizontal="center" vertical="center"/>
    </xf>
    <xf numFmtId="0" fontId="4" fillId="3" borderId="10" applyAlignment="1" pivotButton="0" quotePrefix="0" xfId="0">
      <alignment horizontal="center" vertical="center"/>
    </xf>
    <xf numFmtId="0" fontId="4" fillId="3" borderId="10" applyAlignment="1" pivotButton="0" quotePrefix="0" xfId="0">
      <alignment vertical="center"/>
    </xf>
    <xf numFmtId="164" fontId="9" fillId="11" borderId="9" applyAlignment="1" pivotButton="0" quotePrefix="0" xfId="2">
      <alignment horizontal="center" vertical="center"/>
    </xf>
    <xf numFmtId="164" fontId="9" fillId="11" borderId="1" applyAlignment="1" pivotButton="0" quotePrefix="0" xfId="2">
      <alignment horizontal="center" vertical="center"/>
    </xf>
    <xf numFmtId="164" fontId="4" fillId="3" borderId="10" applyAlignment="1" pivotButton="0" quotePrefix="0" xfId="2">
      <alignment vertical="center"/>
    </xf>
    <xf numFmtId="0" fontId="5" fillId="0" borderId="6" applyAlignment="1" pivotButton="0" quotePrefix="0" xfId="0">
      <alignment horizontal="left" vertical="center"/>
    </xf>
    <xf numFmtId="0" fontId="5" fillId="4" borderId="1" applyAlignment="1" pivotButton="0" quotePrefix="0" xfId="0">
      <alignment horizontal="left" vertical="center"/>
    </xf>
    <xf numFmtId="164" fontId="9" fillId="4" borderId="1" applyAlignment="1" pivotButton="0" quotePrefix="0" xfId="2">
      <alignment horizontal="center" vertical="center"/>
    </xf>
    <xf numFmtId="164" fontId="4" fillId="3" borderId="1" applyAlignment="1" pivotButton="0" quotePrefix="0" xfId="2">
      <alignment vertical="center"/>
    </xf>
    <xf numFmtId="0" fontId="3" fillId="0" borderId="0" applyAlignment="1" pivotButton="0" quotePrefix="0" xfId="0">
      <alignment horizontal="left"/>
    </xf>
    <xf numFmtId="0" fontId="22" fillId="13" borderId="1" applyAlignment="1" pivotButton="0" quotePrefix="0" xfId="0">
      <alignment horizontal="left" vertical="center"/>
    </xf>
    <xf numFmtId="164" fontId="5" fillId="0" borderId="0" applyAlignment="1" pivotButton="0" quotePrefix="0" xfId="2">
      <alignment horizontal="center" vertical="center"/>
    </xf>
    <xf numFmtId="164" fontId="4" fillId="3" borderId="1" applyAlignment="1" pivotButton="0" quotePrefix="0" xfId="2">
      <alignment horizontal="center" vertical="center"/>
    </xf>
    <xf numFmtId="164" fontId="5" fillId="0" borderId="1" applyAlignment="1" pivotButton="0" quotePrefix="0" xfId="2">
      <alignment horizontal="center" vertical="center"/>
    </xf>
    <xf numFmtId="164" fontId="5" fillId="0" borderId="0" applyAlignment="1" pivotButton="0" quotePrefix="0" xfId="2">
      <alignment vertical="center"/>
    </xf>
    <xf numFmtId="0" fontId="4" fillId="3" borderId="8" applyAlignment="1" pivotButton="0" quotePrefix="0" xfId="0">
      <alignment horizontal="left" vertical="center"/>
    </xf>
    <xf numFmtId="0" fontId="4" fillId="3" borderId="6" applyAlignment="1" pivotButton="0" quotePrefix="0" xfId="0">
      <alignment horizontal="left" vertical="center"/>
    </xf>
    <xf numFmtId="0" fontId="16" fillId="0" borderId="0" pivotButton="0" quotePrefix="0" xfId="0"/>
    <xf numFmtId="0" fontId="3" fillId="0" borderId="0" applyAlignment="1" applyProtection="1" pivotButton="0" quotePrefix="0" xfId="0">
      <alignment horizontal="center"/>
      <protection locked="0" hidden="0"/>
    </xf>
    <xf numFmtId="0" fontId="3" fillId="0" borderId="1" applyAlignment="1" pivotButton="0" quotePrefix="0" xfId="0">
      <alignment horizontal="center"/>
    </xf>
    <xf numFmtId="0" fontId="14" fillId="0" borderId="0" applyAlignment="1" applyProtection="1" pivotButton="0" quotePrefix="0" xfId="0">
      <alignment horizontal="center" vertical="center"/>
      <protection locked="0" hidden="0"/>
    </xf>
    <xf numFmtId="16" fontId="15" fillId="0" borderId="0" applyProtection="1" pivotButton="0" quotePrefix="0" xfId="0">
      <protection locked="0" hidden="0"/>
    </xf>
    <xf numFmtId="0" fontId="19" fillId="0" borderId="0" applyAlignment="1" applyProtection="1" pivotButton="0" quotePrefix="0" xfId="0">
      <alignment horizontal="center" vertical="center"/>
      <protection locked="0" hidden="0"/>
    </xf>
    <xf numFmtId="0" fontId="23" fillId="0" borderId="1" applyAlignment="1" pivotButton="0" quotePrefix="0" xfId="0">
      <alignment horizontal="center" vertical="center"/>
    </xf>
    <xf numFmtId="164" fontId="3" fillId="0" borderId="1" applyAlignment="1" pivotButton="0" quotePrefix="0" xfId="2">
      <alignment horizontal="center"/>
    </xf>
    <xf numFmtId="0" fontId="13" fillId="0" borderId="1" applyAlignment="1" applyProtection="1" pivotButton="0" quotePrefix="0" xfId="0">
      <alignment horizontal="center" vertical="center"/>
      <protection locked="0" hidden="0"/>
    </xf>
    <xf numFmtId="164" fontId="9" fillId="11" borderId="8" applyAlignment="1" pivotButton="0" quotePrefix="0" xfId="2">
      <alignment vertical="center"/>
    </xf>
    <xf numFmtId="164" fontId="9" fillId="11" borderId="7" applyAlignment="1" pivotButton="0" quotePrefix="0" xfId="2">
      <alignment vertical="center"/>
    </xf>
    <xf numFmtId="164" fontId="5" fillId="0" borderId="9" applyAlignment="1" pivotButton="0" quotePrefix="0" xfId="2">
      <alignment horizontal="center" vertical="center"/>
    </xf>
    <xf numFmtId="164" fontId="5" fillId="0" borderId="1" applyAlignment="1" pivotButton="0" quotePrefix="0" xfId="2">
      <alignment vertical="center"/>
    </xf>
    <xf numFmtId="164" fontId="3" fillId="0" borderId="1" applyAlignment="1" pivotButton="0" quotePrefix="0" xfId="2">
      <alignment horizontal="center"/>
    </xf>
    <xf numFmtId="3" fontId="5" fillId="0" borderId="1" applyAlignment="1" pivotButton="0" quotePrefix="0" xfId="0">
      <alignment horizontal="center" vertical="center"/>
    </xf>
    <xf numFmtId="16" fontId="4" fillId="3" borderId="1" applyAlignment="1" pivotButton="0" quotePrefix="0" xfId="0">
      <alignment horizontal="center" vertical="center"/>
    </xf>
    <xf numFmtId="16" fontId="27" fillId="18" borderId="14" applyAlignment="1" pivotButton="0" quotePrefix="0" xfId="0">
      <alignment horizontal="center" vertical="center"/>
    </xf>
    <xf numFmtId="0" fontId="27" fillId="18" borderId="14" applyAlignment="1" pivotButton="0" quotePrefix="0" xfId="0">
      <alignment horizontal="center" vertical="center" wrapText="1"/>
    </xf>
    <xf numFmtId="0" fontId="28" fillId="0" borderId="7" applyAlignment="1" pivotButton="0" quotePrefix="0" xfId="0">
      <alignment horizontal="left" vertical="center"/>
    </xf>
    <xf numFmtId="0" fontId="29" fillId="0" borderId="1" applyAlignment="1" pivotButton="0" quotePrefix="0" xfId="0">
      <alignment horizontal="center"/>
    </xf>
    <xf numFmtId="0" fontId="29" fillId="19" borderId="1" applyAlignment="1" pivotButton="0" quotePrefix="0" xfId="0">
      <alignment horizontal="center"/>
    </xf>
    <xf numFmtId="0" fontId="28" fillId="0" borderId="4" applyAlignment="1" pivotButton="0" quotePrefix="0" xfId="0">
      <alignment horizontal="left" vertical="center"/>
    </xf>
    <xf numFmtId="0" fontId="28" fillId="0" borderId="5" applyAlignment="1" pivotButton="0" quotePrefix="0" xfId="0">
      <alignment horizontal="left" vertical="center"/>
    </xf>
    <xf numFmtId="0" fontId="28" fillId="0" borderId="1" applyAlignment="1" pivotButton="0" quotePrefix="0" xfId="0">
      <alignment horizontal="left" vertical="center"/>
    </xf>
    <xf numFmtId="0" fontId="30" fillId="19" borderId="1" applyAlignment="1" pivotButton="0" quotePrefix="0" xfId="0">
      <alignment horizontal="left" vertical="center"/>
    </xf>
    <xf numFmtId="0" fontId="31" fillId="19" borderId="1" applyAlignment="1" pivotButton="0" quotePrefix="0" xfId="0">
      <alignment horizontal="center"/>
    </xf>
    <xf numFmtId="0" fontId="3" fillId="0" borderId="1" applyAlignment="1" pivotButton="0" quotePrefix="0" xfId="0">
      <alignment horizontal="left"/>
    </xf>
    <xf numFmtId="164" fontId="5" fillId="0" borderId="0" applyAlignment="1" pivotButton="0" quotePrefix="0" xfId="2">
      <alignment vertical="center"/>
    </xf>
    <xf numFmtId="16" fontId="27" fillId="8" borderId="14" applyAlignment="1" pivotButton="0" quotePrefix="0" xfId="0">
      <alignment horizontal="center" vertical="center"/>
    </xf>
    <xf numFmtId="0" fontId="27" fillId="8" borderId="14" applyAlignment="1" pivotButton="0" quotePrefix="0" xfId="0">
      <alignment horizontal="center" vertical="center" wrapText="1"/>
    </xf>
    <xf numFmtId="0" fontId="29" fillId="0" borderId="0" applyAlignment="1" pivotButton="0" quotePrefix="0" xfId="0">
      <alignment horizontal="center"/>
    </xf>
    <xf numFmtId="16" fontId="27" fillId="0" borderId="0" applyAlignment="1" pivotButton="0" quotePrefix="0" xfId="0">
      <alignment horizontal="center" vertical="center"/>
    </xf>
    <xf numFmtId="0" fontId="27" fillId="0" borderId="0" applyAlignment="1" pivotButton="0" quotePrefix="0" xfId="0">
      <alignment horizontal="center" vertical="center" wrapText="1"/>
    </xf>
    <xf numFmtId="0" fontId="28" fillId="0" borderId="0" applyAlignment="1" pivotButton="0" quotePrefix="0" xfId="0">
      <alignment horizontal="left" vertical="center"/>
    </xf>
    <xf numFmtId="0" fontId="30" fillId="0" borderId="0" applyAlignment="1" pivotButton="0" quotePrefix="0" xfId="0">
      <alignment horizontal="left" vertical="center"/>
    </xf>
    <xf numFmtId="0" fontId="31" fillId="0" borderId="0" applyAlignment="1" pivotButton="0" quotePrefix="0" xfId="0">
      <alignment horizontal="center"/>
    </xf>
    <xf numFmtId="0" fontId="27" fillId="0" borderId="0" applyAlignment="1" pivotButton="0" quotePrefix="0" xfId="0">
      <alignment vertical="center"/>
    </xf>
    <xf numFmtId="3" fontId="29" fillId="0" borderId="1" applyAlignment="1" pivotButton="0" quotePrefix="0" xfId="0">
      <alignment horizontal="center"/>
    </xf>
    <xf numFmtId="0" fontId="29" fillId="5" borderId="1" applyAlignment="1" pivotButton="0" quotePrefix="0" xfId="0">
      <alignment horizontal="center"/>
    </xf>
    <xf numFmtId="0" fontId="30" fillId="5" borderId="1" applyAlignment="1" pivotButton="0" quotePrefix="0" xfId="0">
      <alignment horizontal="left" vertical="center"/>
    </xf>
    <xf numFmtId="0" fontId="31" fillId="5" borderId="1" applyAlignment="1" pivotButton="0" quotePrefix="0" xfId="0">
      <alignment horizontal="center"/>
    </xf>
    <xf numFmtId="3" fontId="32" fillId="0" borderId="0" applyAlignment="1" applyProtection="1" pivotButton="0" quotePrefix="0" xfId="0">
      <alignment horizontal="center" vertical="center"/>
      <protection locked="0" hidden="0"/>
    </xf>
    <xf numFmtId="0" fontId="38" fillId="0" borderId="1" applyAlignment="1" pivotButton="0" quotePrefix="0" xfId="0">
      <alignment horizontal="left" vertical="center"/>
    </xf>
    <xf numFmtId="0" fontId="23" fillId="3" borderId="1" applyAlignment="1" applyProtection="1" pivotButton="0" quotePrefix="0" xfId="0">
      <alignment horizontal="center" vertical="center"/>
      <protection locked="0" hidden="0"/>
    </xf>
    <xf numFmtId="0" fontId="19" fillId="0" borderId="1" applyAlignment="1" pivotButton="0" quotePrefix="0" xfId="2">
      <alignment horizontal="center" vertical="center"/>
    </xf>
    <xf numFmtId="0" fontId="28" fillId="0" borderId="1" applyAlignment="1" applyProtection="1" pivotButton="0" quotePrefix="0" xfId="0">
      <alignment horizontal="left" vertical="center"/>
      <protection locked="0" hidden="0"/>
    </xf>
    <xf numFmtId="16" fontId="4" fillId="3" borderId="2" applyAlignment="1" pivotButton="0" quotePrefix="0" xfId="0">
      <alignment horizontal="center" vertical="center"/>
    </xf>
    <xf numFmtId="0" fontId="3" fillId="0" borderId="0" applyAlignment="1" pivotButton="0" quotePrefix="0" xfId="0">
      <alignment horizontal="center" vertical="center"/>
    </xf>
    <xf numFmtId="165" fontId="4" fillId="0" borderId="0" applyAlignment="1" pivotButton="0" quotePrefix="0" xfId="0">
      <alignment horizontal="center" vertical="center"/>
    </xf>
    <xf numFmtId="0" fontId="4" fillId="0" borderId="1" applyAlignment="1" applyProtection="1" pivotButton="0" quotePrefix="0" xfId="0">
      <alignment horizontal="center" vertical="center"/>
      <protection locked="0" hidden="0"/>
    </xf>
    <xf numFmtId="0" fontId="35" fillId="0" borderId="0" applyAlignment="1" pivotButton="0" quotePrefix="0" xfId="0">
      <alignment horizontal="left"/>
    </xf>
    <xf numFmtId="0" fontId="35" fillId="0" borderId="0" applyAlignment="1" pivotButton="0" quotePrefix="0" xfId="0">
      <alignment horizontal="center"/>
    </xf>
    <xf numFmtId="164" fontId="3" fillId="0" borderId="0" applyAlignment="1" pivotButton="0" quotePrefix="0" xfId="2">
      <alignment horizontal="center"/>
    </xf>
    <xf numFmtId="164" fontId="3" fillId="0" borderId="0" pivotButton="0" quotePrefix="0" xfId="2"/>
    <xf numFmtId="16" fontId="4" fillId="0" borderId="0" applyAlignment="1" pivotButton="0" quotePrefix="0" xfId="0">
      <alignment horizontal="center" vertical="center"/>
    </xf>
    <xf numFmtId="3" fontId="5" fillId="0" borderId="1" applyAlignment="1" applyProtection="1" pivotButton="0" quotePrefix="0" xfId="0">
      <alignment horizontal="center" vertical="center"/>
      <protection locked="0" hidden="0"/>
    </xf>
    <xf numFmtId="3" fontId="5" fillId="14" borderId="1" applyAlignment="1" applyProtection="1" pivotButton="0" quotePrefix="0" xfId="0">
      <alignment horizontal="center" vertical="center"/>
      <protection locked="0" hidden="0"/>
    </xf>
    <xf numFmtId="0" fontId="17" fillId="3" borderId="1" applyAlignment="1" pivotButton="0" quotePrefix="0" xfId="0">
      <alignment horizontal="center" vertical="center"/>
    </xf>
    <xf numFmtId="0" fontId="5" fillId="0" borderId="0" pivotButton="0" quotePrefix="0" xfId="0"/>
    <xf numFmtId="0" fontId="41" fillId="0" borderId="0" pivotButton="0" quotePrefix="0" xfId="0"/>
    <xf numFmtId="164" fontId="5" fillId="0" borderId="0" pivotButton="0" quotePrefix="0" xfId="2"/>
    <xf numFmtId="0" fontId="5" fillId="0" borderId="1" applyAlignment="1" applyProtection="1" pivotButton="0" quotePrefix="0" xfId="0">
      <alignment horizontal="center" vertical="center" wrapText="1"/>
      <protection locked="0" hidden="0"/>
    </xf>
    <xf numFmtId="0" fontId="33" fillId="0" borderId="0" applyAlignment="1" pivotButton="0" quotePrefix="0" xfId="0">
      <alignment horizontal="left" vertical="center"/>
    </xf>
    <xf numFmtId="0" fontId="34" fillId="0" borderId="0" applyAlignment="1" pivotButton="0" quotePrefix="0" xfId="0">
      <alignment horizontal="center" vertical="center"/>
    </xf>
    <xf numFmtId="164" fontId="3" fillId="0" borderId="0" pivotButton="0" quotePrefix="0" xfId="2"/>
    <xf numFmtId="16" fontId="0" fillId="0" borderId="0" pivotButton="0" quotePrefix="0" xfId="0"/>
    <xf numFmtId="0" fontId="20" fillId="3" borderId="1" applyAlignment="1" pivotButton="0" quotePrefix="0" xfId="0">
      <alignment horizontal="center" vertical="center"/>
    </xf>
    <xf numFmtId="0" fontId="4" fillId="12" borderId="0" applyAlignment="1" pivotButton="0" quotePrefix="0" xfId="0">
      <alignment horizontal="left" vertical="center"/>
    </xf>
    <xf numFmtId="0" fontId="13" fillId="0" borderId="1" applyAlignment="1" pivotButton="0" quotePrefix="0" xfId="0">
      <alignment horizontal="center" vertical="center"/>
    </xf>
    <xf numFmtId="0" fontId="5" fillId="0" borderId="9" applyAlignment="1" pivotButton="0" quotePrefix="0" xfId="0">
      <alignment horizontal="center" vertical="center"/>
    </xf>
    <xf numFmtId="0" fontId="5" fillId="8" borderId="24" applyAlignment="1" pivotButton="0" quotePrefix="0" xfId="0">
      <alignment horizontal="left" vertical="center"/>
    </xf>
    <xf numFmtId="0" fontId="9" fillId="8" borderId="23" applyAlignment="1" pivotButton="0" quotePrefix="0" xfId="0">
      <alignment horizontal="center" vertical="center"/>
    </xf>
    <xf numFmtId="2" fontId="9" fillId="8" borderId="23" applyAlignment="1" pivotButton="0" quotePrefix="0" xfId="0">
      <alignment horizontal="center" vertical="center"/>
    </xf>
    <xf numFmtId="0" fontId="5" fillId="8" borderId="23" applyAlignment="1" applyProtection="1" pivotButton="0" quotePrefix="0" xfId="0">
      <alignment horizontal="center" vertical="center"/>
      <protection locked="0" hidden="0"/>
    </xf>
    <xf numFmtId="0" fontId="5" fillId="22" borderId="5" applyAlignment="1" pivotButton="0" quotePrefix="0" xfId="0">
      <alignment horizontal="left" vertical="center"/>
    </xf>
    <xf numFmtId="0" fontId="5" fillId="22" borderId="1" applyAlignment="1" pivotButton="0" quotePrefix="0" xfId="0">
      <alignment horizontal="center" vertical="center"/>
    </xf>
    <xf numFmtId="164" fontId="5" fillId="22" borderId="1" applyAlignment="1" pivotButton="0" quotePrefix="0" xfId="2">
      <alignment vertical="center"/>
    </xf>
    <xf numFmtId="0" fontId="2" fillId="24" borderId="1" applyAlignment="1" pivotButton="0" quotePrefix="0" xfId="0">
      <alignment horizontal="left" vertical="center"/>
    </xf>
    <xf numFmtId="0" fontId="2" fillId="24" borderId="1" applyAlignment="1" pivotButton="0" quotePrefix="0" xfId="0">
      <alignment horizontal="center" vertical="center"/>
    </xf>
    <xf numFmtId="0" fontId="13" fillId="17" borderId="1" applyAlignment="1" pivotButton="0" quotePrefix="0" xfId="0">
      <alignment horizontal="left" vertical="center"/>
    </xf>
    <xf numFmtId="0" fontId="13" fillId="17" borderId="1" applyAlignment="1" pivotButton="0" quotePrefix="0" xfId="0">
      <alignment horizontal="center" vertical="center"/>
    </xf>
    <xf numFmtId="0" fontId="27" fillId="18" borderId="17" applyAlignment="1" pivotButton="0" quotePrefix="0" xfId="0">
      <alignment horizontal="center" vertical="center"/>
    </xf>
    <xf numFmtId="0" fontId="28" fillId="0" borderId="4" applyAlignment="1" pivotButton="0" quotePrefix="0" xfId="0">
      <alignment vertical="center"/>
    </xf>
    <xf numFmtId="166" fontId="4" fillId="15" borderId="1" applyAlignment="1" pivotButton="0" quotePrefix="0" xfId="6">
      <alignment horizontal="center" vertical="center"/>
    </xf>
    <xf numFmtId="0" fontId="19" fillId="0" borderId="0" applyAlignment="1" applyProtection="1" pivotButton="0" quotePrefix="0" xfId="0">
      <alignment horizontal="center"/>
      <protection locked="0" hidden="0"/>
    </xf>
    <xf numFmtId="165" fontId="2" fillId="0" borderId="0" applyAlignment="1" pivotButton="0" quotePrefix="0" xfId="0">
      <alignment horizontal="center"/>
    </xf>
    <xf numFmtId="0" fontId="39" fillId="7" borderId="1" applyAlignment="1" applyProtection="1" pivotButton="0" quotePrefix="0" xfId="0">
      <alignment horizontal="left" vertical="center"/>
      <protection locked="0" hidden="0"/>
    </xf>
    <xf numFmtId="0" fontId="3" fillId="0" borderId="1" pivotButton="0" quotePrefix="0" xfId="0"/>
    <xf numFmtId="16" fontId="3" fillId="0" borderId="0" applyAlignment="1" pivotButton="0" quotePrefix="0" xfId="0">
      <alignment horizontal="center"/>
    </xf>
    <xf numFmtId="0" fontId="16" fillId="0" borderId="0" applyAlignment="1" pivotButton="0" quotePrefix="0" xfId="0">
      <alignment horizontal="right"/>
    </xf>
    <xf numFmtId="0" fontId="5" fillId="23" borderId="1" applyAlignment="1" applyProtection="1" pivotButton="0" quotePrefix="0" xfId="0">
      <alignment horizontal="left" vertical="center"/>
      <protection locked="0" hidden="0"/>
    </xf>
    <xf numFmtId="0" fontId="37" fillId="26" borderId="27" applyAlignment="1" applyProtection="1" pivotButton="0" quotePrefix="0" xfId="0">
      <alignment horizontal="center" vertical="center"/>
      <protection locked="0" hidden="0"/>
    </xf>
    <xf numFmtId="0" fontId="36" fillId="0" borderId="27" applyAlignment="1" applyProtection="1" pivotButton="0" quotePrefix="0" xfId="0">
      <alignment horizontal="center" vertical="center"/>
      <protection locked="0" hidden="0"/>
    </xf>
    <xf numFmtId="0" fontId="4" fillId="0" borderId="1" applyAlignment="1" pivotButton="0" quotePrefix="0" xfId="0">
      <alignment horizontal="center" vertical="center"/>
    </xf>
    <xf numFmtId="0" fontId="28" fillId="0" borderId="9" applyAlignment="1" applyProtection="1" pivotButton="0" quotePrefix="0" xfId="0">
      <alignment horizontal="left" vertical="center"/>
      <protection locked="0" hidden="0"/>
    </xf>
    <xf numFmtId="0" fontId="29" fillId="0" borderId="9" applyAlignment="1" pivotButton="0" quotePrefix="0" xfId="0">
      <alignment horizontal="center"/>
    </xf>
    <xf numFmtId="0" fontId="29" fillId="5" borderId="9" applyAlignment="1" pivotButton="0" quotePrefix="0" xfId="0">
      <alignment horizontal="center"/>
    </xf>
    <xf numFmtId="3" fontId="46" fillId="27" borderId="1" applyAlignment="1" pivotButton="0" quotePrefix="0" xfId="0">
      <alignment horizontal="center"/>
    </xf>
    <xf numFmtId="165" fontId="45" fillId="17" borderId="1" applyAlignment="1" pivotButton="0" quotePrefix="0" xfId="2">
      <alignment horizontal="left" vertical="center" wrapText="1"/>
    </xf>
    <xf numFmtId="165" fontId="45" fillId="0" borderId="1" applyAlignment="1" pivotButton="0" quotePrefix="0" xfId="2">
      <alignment horizontal="left" vertical="center" wrapText="1"/>
    </xf>
    <xf numFmtId="16" fontId="27" fillId="28" borderId="1" applyAlignment="1" pivotButton="0" quotePrefix="0" xfId="0">
      <alignment horizontal="center" vertical="center"/>
    </xf>
    <xf numFmtId="0" fontId="27" fillId="28" borderId="38" applyAlignment="1" pivotButton="0" quotePrefix="0" xfId="0">
      <alignment horizontal="center" vertical="center" wrapText="1"/>
    </xf>
    <xf numFmtId="16" fontId="27" fillId="28" borderId="2" applyAlignment="1" pivotButton="0" quotePrefix="0" xfId="0">
      <alignment horizontal="center" vertical="center"/>
    </xf>
    <xf numFmtId="0" fontId="27" fillId="28" borderId="10" applyAlignment="1" pivotButton="0" quotePrefix="0" xfId="0">
      <alignment horizontal="center" vertical="center" wrapText="1"/>
    </xf>
    <xf numFmtId="3" fontId="30" fillId="10" borderId="9" applyAlignment="1" pivotButton="0" quotePrefix="0" xfId="0">
      <alignment horizontal="center"/>
    </xf>
    <xf numFmtId="3" fontId="27" fillId="28" borderId="9" applyAlignment="1" pivotButton="0" quotePrefix="0" xfId="0">
      <alignment horizontal="center"/>
    </xf>
    <xf numFmtId="3" fontId="27" fillId="28" borderId="1" applyAlignment="1" pivotButton="0" quotePrefix="0" xfId="0">
      <alignment horizontal="center"/>
    </xf>
    <xf numFmtId="0" fontId="27" fillId="28" borderId="1" applyAlignment="1" pivotButton="0" quotePrefix="0" xfId="0">
      <alignment horizontal="center"/>
    </xf>
    <xf numFmtId="0" fontId="5" fillId="0" borderId="22" applyAlignment="1" applyProtection="1" pivotButton="0" quotePrefix="0" xfId="0">
      <alignment horizontal="center" vertical="center"/>
      <protection locked="0" hidden="0"/>
    </xf>
    <xf numFmtId="0" fontId="12" fillId="3" borderId="1" applyAlignment="1" pivotButton="0" quotePrefix="0" xfId="0">
      <alignment vertical="center"/>
    </xf>
    <xf numFmtId="0" fontId="2" fillId="24" borderId="11" applyAlignment="1" pivotButton="0" quotePrefix="0" xfId="0">
      <alignment horizontal="center" vertical="center"/>
    </xf>
    <xf numFmtId="164" fontId="5" fillId="0" borderId="0" applyAlignment="1" pivotButton="0" quotePrefix="0" xfId="2">
      <alignment horizontal="center" vertical="center"/>
    </xf>
    <xf numFmtId="0" fontId="45" fillId="0" borderId="0" applyAlignment="1" pivotButton="0" quotePrefix="0" xfId="0">
      <alignment vertical="center"/>
    </xf>
    <xf numFmtId="0" fontId="36" fillId="22" borderId="0" applyAlignment="1" applyProtection="1" pivotButton="0" quotePrefix="0" xfId="0">
      <alignment horizontal="center" vertical="center"/>
      <protection locked="0" hidden="0"/>
    </xf>
    <xf numFmtId="165" fontId="2" fillId="2" borderId="1" applyAlignment="1" pivotButton="0" quotePrefix="0" xfId="0">
      <alignment horizontal="center" vertical="center"/>
    </xf>
    <xf numFmtId="165" fontId="4" fillId="8" borderId="1" applyAlignment="1" pivotButton="0" quotePrefix="0" xfId="0">
      <alignment horizontal="center" vertical="center"/>
    </xf>
    <xf numFmtId="0" fontId="47" fillId="0" borderId="1" applyAlignment="1" pivotButton="0" quotePrefix="0" xfId="0">
      <alignment vertical="center"/>
    </xf>
    <xf numFmtId="0" fontId="13" fillId="0" borderId="2" applyAlignment="1" pivotButton="0" quotePrefix="0" xfId="0">
      <alignment horizontal="center" vertical="center"/>
    </xf>
    <xf numFmtId="0" fontId="13" fillId="0" borderId="10" applyAlignment="1" pivotButton="0" quotePrefix="0" xfId="0">
      <alignment horizontal="center" vertical="center"/>
    </xf>
    <xf numFmtId="0" fontId="13" fillId="0" borderId="3" applyAlignment="1" pivotButton="0" quotePrefix="0" xfId="0">
      <alignment horizontal="center" vertical="center"/>
    </xf>
    <xf numFmtId="0" fontId="47" fillId="0" borderId="0" applyAlignment="1" pivotButton="0" quotePrefix="0" xfId="0">
      <alignment vertical="center"/>
    </xf>
    <xf numFmtId="0" fontId="31" fillId="5" borderId="9" applyAlignment="1" pivotButton="0" quotePrefix="0" xfId="0">
      <alignment horizontal="center"/>
    </xf>
    <xf numFmtId="165" fontId="49" fillId="0" borderId="1" applyAlignment="1" pivotButton="0" quotePrefix="0" xfId="0">
      <alignment horizontal="center"/>
    </xf>
    <xf numFmtId="0" fontId="49" fillId="0" borderId="1" applyAlignment="1" pivotButton="0" quotePrefix="0" xfId="0">
      <alignment horizontal="center"/>
    </xf>
    <xf numFmtId="16" fontId="27" fillId="32" borderId="1" applyAlignment="1" pivotButton="0" quotePrefix="0" xfId="0">
      <alignment horizontal="center" vertical="center"/>
    </xf>
    <xf numFmtId="16" fontId="27" fillId="32" borderId="2" applyAlignment="1" pivotButton="0" quotePrefix="0" xfId="0">
      <alignment horizontal="center" vertical="center"/>
    </xf>
    <xf numFmtId="0" fontId="27" fillId="32" borderId="10" applyAlignment="1" pivotButton="0" quotePrefix="0" xfId="0">
      <alignment horizontal="center" vertical="center" wrapText="1"/>
    </xf>
    <xf numFmtId="3" fontId="27" fillId="32" borderId="9" applyAlignment="1" pivotButton="0" quotePrefix="0" xfId="0">
      <alignment horizontal="center"/>
    </xf>
    <xf numFmtId="3" fontId="27" fillId="32" borderId="1" applyAlignment="1" pivotButton="0" quotePrefix="0" xfId="0">
      <alignment horizontal="center"/>
    </xf>
    <xf numFmtId="3" fontId="30" fillId="23" borderId="9" applyAlignment="1" pivotButton="0" quotePrefix="0" xfId="0">
      <alignment horizontal="center"/>
    </xf>
    <xf numFmtId="0" fontId="28" fillId="22" borderId="5" applyAlignment="1" pivotButton="0" quotePrefix="0" xfId="0">
      <alignment horizontal="left" vertical="center"/>
    </xf>
    <xf numFmtId="0" fontId="29" fillId="0" borderId="6" applyAlignment="1" pivotButton="0" quotePrefix="0" xfId="0">
      <alignment horizontal="center"/>
    </xf>
    <xf numFmtId="0" fontId="29" fillId="0" borderId="1" applyAlignment="1" pivotButton="0" quotePrefix="0" xfId="0">
      <alignment horizontal="left"/>
    </xf>
    <xf numFmtId="164" fontId="52" fillId="0" borderId="1" applyAlignment="1" pivotButton="0" quotePrefix="0" xfId="2">
      <alignment vertical="center"/>
    </xf>
    <xf numFmtId="164" fontId="45" fillId="0" borderId="9" applyAlignment="1" pivotButton="0" quotePrefix="0" xfId="2">
      <alignment horizontal="center" vertical="center"/>
    </xf>
    <xf numFmtId="164" fontId="4" fillId="0" borderId="1" applyAlignment="1" pivotButton="0" quotePrefix="0" xfId="2">
      <alignment horizontal="center" vertical="center"/>
    </xf>
    <xf numFmtId="0" fontId="4" fillId="0" borderId="0" applyAlignment="1" applyProtection="1" pivotButton="0" quotePrefix="0" xfId="0">
      <alignment horizontal="center" vertical="center"/>
      <protection locked="0" hidden="0"/>
    </xf>
    <xf numFmtId="0" fontId="4" fillId="0" borderId="0" applyProtection="1" pivotButton="0" quotePrefix="0" xfId="0">
      <protection locked="0" hidden="0"/>
    </xf>
    <xf numFmtId="0" fontId="4" fillId="0" borderId="0" pivotButton="0" quotePrefix="0" xfId="0"/>
    <xf numFmtId="0" fontId="49" fillId="0" borderId="0" pivotButton="0" quotePrefix="0" xfId="0"/>
    <xf numFmtId="0" fontId="23" fillId="0" borderId="0" applyAlignment="1" pivotButton="0" quotePrefix="0" xfId="0">
      <alignment horizontal="center" vertical="center"/>
    </xf>
    <xf numFmtId="0" fontId="5" fillId="31" borderId="1" applyAlignment="1" applyProtection="1" pivotButton="0" quotePrefix="0" xfId="0">
      <alignment horizontal="center" vertical="center"/>
      <protection locked="0" hidden="0"/>
    </xf>
    <xf numFmtId="165" fontId="4" fillId="6" borderId="1" applyAlignment="1" pivotButton="0" quotePrefix="0" xfId="0">
      <alignment horizontal="center" vertical="center"/>
    </xf>
    <xf numFmtId="0" fontId="24" fillId="0" borderId="1" pivotButton="0" quotePrefix="0" xfId="0"/>
    <xf numFmtId="14" fontId="24" fillId="0" borderId="1" pivotButton="0" quotePrefix="0" xfId="0"/>
    <xf numFmtId="3" fontId="31" fillId="9" borderId="9" applyAlignment="1" pivotButton="0" quotePrefix="0" xfId="0">
      <alignment horizontal="center"/>
    </xf>
    <xf numFmtId="3" fontId="31" fillId="9" borderId="1" applyAlignment="1" pivotButton="0" quotePrefix="0" xfId="0">
      <alignment horizontal="center"/>
    </xf>
    <xf numFmtId="0" fontId="30" fillId="10" borderId="28" applyAlignment="1" pivotButton="0" quotePrefix="0" xfId="0">
      <alignment horizontal="center" vertical="center" wrapText="1"/>
    </xf>
    <xf numFmtId="16" fontId="30" fillId="10" borderId="28" applyAlignment="1" pivotButton="0" quotePrefix="0" xfId="0">
      <alignment horizontal="center" vertical="center"/>
    </xf>
    <xf numFmtId="0" fontId="13" fillId="0" borderId="0" applyAlignment="1" pivotButton="0" quotePrefix="0" xfId="0">
      <alignment horizontal="center" vertical="center"/>
    </xf>
    <xf numFmtId="0" fontId="2" fillId="33" borderId="1" applyAlignment="1" pivotButton="0" quotePrefix="0" xfId="0">
      <alignment horizontal="left" vertical="center"/>
    </xf>
    <xf numFmtId="0" fontId="2" fillId="33" borderId="1" applyAlignment="1" pivotButton="0" quotePrefix="0" xfId="0">
      <alignment horizontal="center" vertical="center"/>
    </xf>
    <xf numFmtId="164" fontId="5" fillId="0" borderId="1" applyAlignment="1" pivotButton="0" quotePrefix="0" xfId="2">
      <alignment horizontal="center" vertical="center"/>
    </xf>
    <xf numFmtId="0" fontId="3" fillId="22" borderId="1" applyAlignment="1" pivotButton="0" quotePrefix="0" xfId="0">
      <alignment horizontal="center"/>
    </xf>
    <xf numFmtId="164" fontId="3" fillId="22" borderId="1" applyAlignment="1" pivotButton="0" quotePrefix="0" xfId="2">
      <alignment horizontal="center"/>
    </xf>
    <xf numFmtId="3" fontId="3" fillId="22" borderId="1" applyAlignment="1" pivotButton="0" quotePrefix="0" xfId="0">
      <alignment horizontal="center"/>
    </xf>
    <xf numFmtId="0" fontId="2" fillId="33" borderId="38" applyAlignment="1" pivotButton="0" quotePrefix="0" xfId="0">
      <alignment horizontal="center" vertical="center"/>
    </xf>
    <xf numFmtId="0" fontId="2" fillId="33" borderId="19" applyAlignment="1" pivotButton="0" quotePrefix="0" xfId="0">
      <alignment horizontal="center" vertical="center"/>
    </xf>
    <xf numFmtId="0" fontId="25" fillId="5" borderId="42" applyAlignment="1" applyProtection="1" pivotButton="0" quotePrefix="0" xfId="0">
      <alignment horizontal="center" wrapText="1" readingOrder="1"/>
      <protection locked="0" hidden="0"/>
    </xf>
    <xf numFmtId="0" fontId="24" fillId="0" borderId="43" applyAlignment="1" pivotButton="0" quotePrefix="0" xfId="0">
      <alignment horizontal="center"/>
    </xf>
    <xf numFmtId="0" fontId="24" fillId="0" borderId="44" applyAlignment="1" pivotButton="0" quotePrefix="0" xfId="0">
      <alignment horizontal="center"/>
    </xf>
    <xf numFmtId="0" fontId="24" fillId="0" borderId="45" applyAlignment="1" pivotButton="0" quotePrefix="0" xfId="0">
      <alignment horizontal="center"/>
    </xf>
    <xf numFmtId="0" fontId="53" fillId="0" borderId="1" applyAlignment="1" pivotButton="0" quotePrefix="0" xfId="0">
      <alignment vertical="center"/>
    </xf>
    <xf numFmtId="0" fontId="27" fillId="20" borderId="1" applyAlignment="1" pivotButton="0" quotePrefix="0" xfId="0">
      <alignment horizontal="center" vertical="center"/>
    </xf>
    <xf numFmtId="0" fontId="27" fillId="20" borderId="1" applyAlignment="1" pivotButton="0" quotePrefix="0" xfId="0">
      <alignment horizontal="center" vertical="center" wrapText="1"/>
    </xf>
    <xf numFmtId="16" fontId="27" fillId="20" borderId="1" applyAlignment="1" pivotButton="0" quotePrefix="0" xfId="0">
      <alignment horizontal="center" vertical="center"/>
    </xf>
    <xf numFmtId="3" fontId="46" fillId="20" borderId="1" applyAlignment="1" pivotButton="0" quotePrefix="0" xfId="0">
      <alignment horizontal="center"/>
    </xf>
    <xf numFmtId="0" fontId="30" fillId="5" borderId="1" applyAlignment="1" pivotButton="0" quotePrefix="0" xfId="0">
      <alignment horizontal="center" vertical="center"/>
    </xf>
    <xf numFmtId="165" fontId="4" fillId="31" borderId="1" applyAlignment="1" pivotButton="0" quotePrefix="0" xfId="0">
      <alignment horizontal="center"/>
    </xf>
    <xf numFmtId="0" fontId="12" fillId="3" borderId="8" applyAlignment="1" pivotButton="0" quotePrefix="0" xfId="0">
      <alignment horizontal="center" vertical="center"/>
    </xf>
    <xf numFmtId="3" fontId="12" fillId="0" borderId="1" applyAlignment="1" pivotButton="0" quotePrefix="0" xfId="2">
      <alignment horizontal="center" vertical="center"/>
    </xf>
    <xf numFmtId="3" fontId="12" fillId="0" borderId="0" applyAlignment="1" pivotButton="0" quotePrefix="0" xfId="2">
      <alignment horizontal="center" vertical="center"/>
    </xf>
    <xf numFmtId="3" fontId="12" fillId="0" borderId="0" applyAlignment="1" pivotButton="0" quotePrefix="0" xfId="2">
      <alignment horizontal="center" vertical="center"/>
    </xf>
    <xf numFmtId="3" fontId="12" fillId="0" borderId="9" applyAlignment="1" pivotButton="0" quotePrefix="0" xfId="2">
      <alignment horizontal="center" vertical="center"/>
    </xf>
    <xf numFmtId="0" fontId="39" fillId="0" borderId="1" applyAlignment="1" applyProtection="1" pivotButton="0" quotePrefix="0" xfId="0">
      <alignment vertical="center"/>
      <protection locked="0" hidden="0"/>
    </xf>
    <xf numFmtId="3" fontId="12" fillId="31" borderId="1" applyAlignment="1" pivotButton="0" quotePrefix="0" xfId="2">
      <alignment horizontal="center" vertical="center"/>
    </xf>
    <xf numFmtId="0" fontId="28" fillId="0" borderId="9" applyAlignment="1" applyProtection="1" pivotButton="0" quotePrefix="0" xfId="0">
      <alignment horizontal="center" vertical="center"/>
      <protection locked="0" hidden="0"/>
    </xf>
    <xf numFmtId="0" fontId="28" fillId="0" borderId="1" applyAlignment="1" applyProtection="1" pivotButton="0" quotePrefix="0" xfId="0">
      <alignment horizontal="center" vertical="center"/>
      <protection locked="0" hidden="0"/>
    </xf>
    <xf numFmtId="164" fontId="52" fillId="0" borderId="1" applyAlignment="1" pivotButton="0" quotePrefix="0" xfId="2">
      <alignment horizontal="center" vertical="center"/>
    </xf>
    <xf numFmtId="164" fontId="3" fillId="0" borderId="2" applyAlignment="1" pivotButton="0" quotePrefix="0" xfId="2">
      <alignment horizontal="center"/>
    </xf>
    <xf numFmtId="0" fontId="13" fillId="0" borderId="1" applyAlignment="1" applyProtection="1" pivotButton="0" quotePrefix="0" xfId="0">
      <alignment vertical="center" wrapText="1"/>
      <protection locked="0" hidden="0"/>
    </xf>
    <xf numFmtId="0" fontId="4" fillId="10" borderId="1" applyAlignment="1" applyProtection="1" pivotButton="0" quotePrefix="0" xfId="0">
      <alignment horizontal="center" vertical="center"/>
      <protection locked="0" hidden="0"/>
    </xf>
    <xf numFmtId="0" fontId="5" fillId="0" borderId="1" applyAlignment="1" applyProtection="1" pivotButton="0" quotePrefix="0" xfId="0">
      <alignment horizontal="left" vertical="center"/>
      <protection locked="0" hidden="0"/>
    </xf>
    <xf numFmtId="164" fontId="13" fillId="0" borderId="1" applyAlignment="1" pivotButton="0" quotePrefix="0" xfId="2">
      <alignment horizontal="center" vertical="center"/>
    </xf>
    <xf numFmtId="0" fontId="13" fillId="0" borderId="1" applyAlignment="1" pivotButton="0" quotePrefix="0" xfId="0">
      <alignment vertical="center"/>
    </xf>
    <xf numFmtId="0" fontId="2" fillId="30" borderId="1" applyAlignment="1" pivotButton="0" quotePrefix="0" xfId="0">
      <alignment horizontal="center" vertical="center"/>
    </xf>
    <xf numFmtId="0" fontId="56" fillId="0" borderId="1" applyAlignment="1" applyProtection="1" pivotButton="0" quotePrefix="0" xfId="0">
      <alignment horizontal="left" vertical="center"/>
      <protection locked="0" hidden="0"/>
    </xf>
    <xf numFmtId="0" fontId="57" fillId="0" borderId="26" applyAlignment="1" applyProtection="1" pivotButton="0" quotePrefix="0" xfId="0">
      <alignment horizontal="center" vertical="center"/>
      <protection locked="0" hidden="0"/>
    </xf>
    <xf numFmtId="0" fontId="4" fillId="19" borderId="1" applyAlignment="1" applyProtection="1" pivotButton="0" quotePrefix="0" xfId="0">
      <alignment horizontal="center" vertical="center"/>
      <protection locked="0" hidden="0"/>
    </xf>
    <xf numFmtId="164" fontId="58" fillId="0" borderId="1" applyAlignment="1" pivotButton="0" quotePrefix="0" xfId="2">
      <alignment horizontal="center" vertical="center"/>
    </xf>
    <xf numFmtId="0" fontId="4" fillId="14" borderId="1" applyAlignment="1" applyProtection="1" pivotButton="0" quotePrefix="0" xfId="0">
      <alignment horizontal="center" vertical="center"/>
      <protection locked="0" hidden="0"/>
    </xf>
    <xf numFmtId="164" fontId="47" fillId="0" borderId="1" applyAlignment="1" pivotButton="0" quotePrefix="0" xfId="2">
      <alignment horizontal="center" vertical="center"/>
    </xf>
    <xf numFmtId="0" fontId="4" fillId="14" borderId="1" applyAlignment="1" pivotButton="0" quotePrefix="0" xfId="0">
      <alignment horizontal="center" vertical="center"/>
    </xf>
    <xf numFmtId="0" fontId="2" fillId="35" borderId="1" applyAlignment="1" pivotButton="0" quotePrefix="0" xfId="0">
      <alignment horizontal="left" vertical="center"/>
    </xf>
    <xf numFmtId="0" fontId="2" fillId="35" borderId="1" applyAlignment="1" pivotButton="0" quotePrefix="0" xfId="0">
      <alignment horizontal="center" vertical="center"/>
    </xf>
    <xf numFmtId="165" fontId="2" fillId="35" borderId="1" applyAlignment="1" pivotButton="0" quotePrefix="0" xfId="0">
      <alignment horizontal="center" vertical="center"/>
    </xf>
    <xf numFmtId="16" fontId="27" fillId="35" borderId="1" applyAlignment="1" pivotButton="0" quotePrefix="0" xfId="0">
      <alignment horizontal="center" vertical="center"/>
    </xf>
    <xf numFmtId="0" fontId="27" fillId="35" borderId="38" applyAlignment="1" pivotButton="0" quotePrefix="0" xfId="0">
      <alignment horizontal="center" vertical="center" wrapText="1"/>
    </xf>
    <xf numFmtId="16" fontId="27" fillId="35" borderId="2" applyAlignment="1" pivotButton="0" quotePrefix="0" xfId="0">
      <alignment horizontal="center" vertical="center"/>
    </xf>
    <xf numFmtId="0" fontId="27" fillId="35" borderId="10" applyAlignment="1" pivotButton="0" quotePrefix="0" xfId="0">
      <alignment horizontal="center" vertical="center" wrapText="1"/>
    </xf>
    <xf numFmtId="3" fontId="27" fillId="8" borderId="9" applyAlignment="1" pivotButton="0" quotePrefix="0" xfId="0">
      <alignment horizontal="center"/>
    </xf>
    <xf numFmtId="0" fontId="27" fillId="8" borderId="1" applyAlignment="1" pivotButton="0" quotePrefix="0" xfId="0">
      <alignment horizontal="center"/>
    </xf>
    <xf numFmtId="3" fontId="27" fillId="8" borderId="1" applyAlignment="1" pivotButton="0" quotePrefix="0" xfId="0">
      <alignment horizontal="center"/>
    </xf>
    <xf numFmtId="3" fontId="30" fillId="29" borderId="9" applyAlignment="1" pivotButton="0" quotePrefix="0" xfId="0">
      <alignment horizontal="center"/>
    </xf>
    <xf numFmtId="165" fontId="4" fillId="0" borderId="1" applyAlignment="1" pivotButton="0" quotePrefix="0" xfId="0">
      <alignment horizontal="center" vertical="center"/>
    </xf>
    <xf numFmtId="165" fontId="2" fillId="30" borderId="6" applyAlignment="1" pivotButton="0" quotePrefix="0" xfId="2">
      <alignment horizontal="center" vertical="center" wrapText="1"/>
    </xf>
    <xf numFmtId="165" fontId="2" fillId="30" borderId="1" applyAlignment="1" pivotButton="0" quotePrefix="0" xfId="0">
      <alignment horizontal="center"/>
    </xf>
    <xf numFmtId="3" fontId="12" fillId="0" borderId="0" applyAlignment="1" pivotButton="0" quotePrefix="0" xfId="2">
      <alignment horizontal="center" vertical="center"/>
    </xf>
    <xf numFmtId="0" fontId="2" fillId="34" borderId="1" applyAlignment="1" pivotButton="0" quotePrefix="0" xfId="0">
      <alignment horizontal="left" vertical="center"/>
    </xf>
    <xf numFmtId="0" fontId="2" fillId="34" borderId="1" applyAlignment="1" pivotButton="0" quotePrefix="0" xfId="0">
      <alignment horizontal="center" vertical="center"/>
    </xf>
    <xf numFmtId="0" fontId="2" fillId="30" borderId="1" applyAlignment="1" pivotButton="0" quotePrefix="0" xfId="0">
      <alignment horizontal="left" vertical="center"/>
    </xf>
    <xf numFmtId="0" fontId="19" fillId="0" borderId="3" applyAlignment="1" applyProtection="1" pivotButton="0" quotePrefix="0" xfId="0">
      <alignment horizontal="center" vertical="center"/>
      <protection locked="0" hidden="0"/>
    </xf>
    <xf numFmtId="165" fontId="2" fillId="37" borderId="1" applyAlignment="1" pivotButton="0" quotePrefix="0" xfId="0">
      <alignment horizontal="center" vertical="center"/>
    </xf>
    <xf numFmtId="0" fontId="4" fillId="23" borderId="1" applyAlignment="1" applyProtection="1" pivotButton="0" quotePrefix="0" xfId="0">
      <alignment horizontal="center" vertical="center"/>
      <protection locked="0" hidden="0"/>
    </xf>
    <xf numFmtId="0" fontId="9" fillId="4" borderId="38" applyAlignment="1" pivotButton="0" quotePrefix="0" xfId="0">
      <alignment horizontal="center" vertical="center"/>
    </xf>
    <xf numFmtId="164" fontId="9" fillId="11" borderId="12" applyAlignment="1" pivotButton="0" quotePrefix="0" xfId="2">
      <alignment horizontal="center" vertical="center"/>
    </xf>
    <xf numFmtId="2" fontId="9" fillId="4" borderId="19" applyAlignment="1" pivotButton="0" quotePrefix="0" xfId="0">
      <alignment horizontal="center" vertical="center"/>
    </xf>
    <xf numFmtId="18" fontId="13" fillId="0" borderId="1" applyAlignment="1" applyProtection="1" pivotButton="0" quotePrefix="0" xfId="0">
      <alignment horizontal="center" vertical="center"/>
      <protection locked="0" hidden="0"/>
    </xf>
    <xf numFmtId="165" fontId="2" fillId="21" borderId="0" applyAlignment="1" pivotButton="0" quotePrefix="0" xfId="0">
      <alignment horizontal="center" vertical="center"/>
    </xf>
    <xf numFmtId="165" fontId="4" fillId="31" borderId="1" applyAlignment="1" pivotButton="0" quotePrefix="0" xfId="0">
      <alignment horizontal="center" vertical="center"/>
    </xf>
    <xf numFmtId="0" fontId="5" fillId="5" borderId="2" applyAlignment="1" applyProtection="1" pivotButton="0" quotePrefix="0" xfId="0">
      <alignment horizontal="center" vertical="center"/>
      <protection locked="0" hidden="0"/>
    </xf>
    <xf numFmtId="0" fontId="59" fillId="0" borderId="1" applyAlignment="1" pivotButton="0" quotePrefix="0" xfId="0">
      <alignment horizontal="left" vertical="center"/>
    </xf>
    <xf numFmtId="0" fontId="59" fillId="0" borderId="1" applyAlignment="1" pivotButton="0" quotePrefix="0" xfId="0">
      <alignment horizontal="center" vertical="center"/>
    </xf>
    <xf numFmtId="164" fontId="59" fillId="0" borderId="1" applyAlignment="1" pivotButton="0" quotePrefix="0" xfId="2">
      <alignment horizontal="center" vertical="center"/>
    </xf>
    <xf numFmtId="0" fontId="36" fillId="0" borderId="1" applyAlignment="1" applyProtection="1" pivotButton="0" quotePrefix="0" xfId="0">
      <alignment horizontal="left" vertical="center"/>
      <protection locked="0" hidden="0"/>
    </xf>
    <xf numFmtId="0" fontId="4" fillId="3" borderId="46" applyAlignment="1" pivotButton="0" quotePrefix="0" xfId="0">
      <alignment horizontal="center" vertical="center"/>
    </xf>
    <xf numFmtId="0" fontId="25" fillId="5" borderId="6" applyAlignment="1" applyProtection="1" pivotButton="0" quotePrefix="0" xfId="0">
      <alignment horizontal="center" wrapText="1" readingOrder="1"/>
      <protection locked="0" hidden="0"/>
    </xf>
    <xf numFmtId="164" fontId="9" fillId="11" borderId="1" applyAlignment="1" pivotButton="0" quotePrefix="0" xfId="2">
      <alignment vertical="center"/>
    </xf>
    <xf numFmtId="0" fontId="5" fillId="31" borderId="2" applyAlignment="1" applyProtection="1" pivotButton="0" quotePrefix="0" xfId="0">
      <alignment horizontal="center" vertical="center"/>
      <protection locked="0" hidden="0"/>
    </xf>
    <xf numFmtId="0" fontId="60" fillId="0" borderId="0" applyAlignment="1" pivotButton="0" quotePrefix="0" xfId="0">
      <alignment horizontal="center"/>
    </xf>
    <xf numFmtId="165" fontId="2" fillId="34" borderId="1" applyAlignment="1" pivotButton="0" quotePrefix="0" xfId="0">
      <alignment horizontal="center" vertical="center"/>
    </xf>
    <xf numFmtId="0" fontId="4" fillId="38" borderId="1" applyAlignment="1" applyProtection="1" pivotButton="0" quotePrefix="0" xfId="0">
      <alignment horizontal="center" vertical="center"/>
      <protection locked="0" hidden="0"/>
    </xf>
    <xf numFmtId="165" fontId="62" fillId="30" borderId="1" applyAlignment="1" pivotButton="0" quotePrefix="0" xfId="0">
      <alignment horizontal="center" vertical="center"/>
    </xf>
    <xf numFmtId="0" fontId="3" fillId="31" borderId="1" applyAlignment="1" pivotButton="0" quotePrefix="0" xfId="0">
      <alignment horizontal="center"/>
    </xf>
    <xf numFmtId="0" fontId="63" fillId="0" borderId="1" applyAlignment="1" applyProtection="1" pivotButton="0" quotePrefix="0" xfId="0">
      <alignment horizontal="center" vertical="center"/>
      <protection locked="0" hidden="0"/>
    </xf>
    <xf numFmtId="0" fontId="64" fillId="39" borderId="50" applyAlignment="1" pivotButton="0" quotePrefix="0" xfId="0">
      <alignment horizontal="left"/>
    </xf>
    <xf numFmtId="0" fontId="64" fillId="40" borderId="50" applyAlignment="1" pivotButton="0" quotePrefix="0" xfId="0">
      <alignment horizontal="center" vertical="center"/>
    </xf>
    <xf numFmtId="0" fontId="64" fillId="41" borderId="50" applyAlignment="1" pivotButton="0" quotePrefix="0" xfId="0">
      <alignment horizontal="center" vertical="center"/>
    </xf>
    <xf numFmtId="0" fontId="64" fillId="42" borderId="50" applyAlignment="1" pivotButton="0" quotePrefix="0" xfId="0">
      <alignment horizontal="center" vertical="center"/>
    </xf>
    <xf numFmtId="0" fontId="65" fillId="43" borderId="50" pivotButton="0" quotePrefix="0" xfId="0"/>
    <xf numFmtId="167" fontId="65" fillId="43" borderId="50" applyAlignment="1" pivotButton="0" quotePrefix="0" xfId="0">
      <alignment horizontal="center"/>
    </xf>
    <xf numFmtId="0" fontId="65" fillId="44" borderId="50" pivotButton="0" quotePrefix="0" xfId="0"/>
    <xf numFmtId="167" fontId="65" fillId="44" borderId="50" applyAlignment="1" pivotButton="0" quotePrefix="0" xfId="0">
      <alignment horizontal="center"/>
    </xf>
    <xf numFmtId="0" fontId="65" fillId="41" borderId="51" pivotButton="0" quotePrefix="0" xfId="0"/>
    <xf numFmtId="167" fontId="65" fillId="41" borderId="51" applyAlignment="1" pivotButton="0" quotePrefix="0" xfId="0">
      <alignment horizontal="center"/>
    </xf>
    <xf numFmtId="0" fontId="65" fillId="44" borderId="52" pivotButton="0" quotePrefix="0" xfId="0"/>
    <xf numFmtId="167" fontId="65" fillId="44" borderId="53" applyAlignment="1" pivotButton="0" quotePrefix="0" xfId="0">
      <alignment horizontal="center"/>
    </xf>
    <xf numFmtId="167" fontId="65" fillId="44" borderId="54" applyAlignment="1" pivotButton="0" quotePrefix="0" xfId="0">
      <alignment horizontal="center"/>
    </xf>
    <xf numFmtId="0" fontId="65" fillId="43" borderId="55" pivotButton="0" quotePrefix="0" xfId="0"/>
    <xf numFmtId="167" fontId="65" fillId="43" borderId="56" applyAlignment="1" pivotButton="0" quotePrefix="0" xfId="0">
      <alignment horizontal="center"/>
    </xf>
    <xf numFmtId="0" fontId="65" fillId="44" borderId="55" pivotButton="0" quotePrefix="0" xfId="0"/>
    <xf numFmtId="167" fontId="65" fillId="44" borderId="56" applyAlignment="1" pivotButton="0" quotePrefix="0" xfId="0">
      <alignment horizontal="center"/>
    </xf>
    <xf numFmtId="0" fontId="65" fillId="43" borderId="57" pivotButton="0" quotePrefix="0" xfId="0"/>
    <xf numFmtId="167" fontId="65" fillId="43" borderId="58" applyAlignment="1" pivotButton="0" quotePrefix="0" xfId="0">
      <alignment horizontal="center"/>
    </xf>
    <xf numFmtId="167" fontId="65" fillId="43" borderId="59" applyAlignment="1" pivotButton="0" quotePrefix="0" xfId="0">
      <alignment horizontal="center"/>
    </xf>
    <xf numFmtId="0" fontId="65" fillId="44" borderId="57" pivotButton="0" quotePrefix="0" xfId="0"/>
    <xf numFmtId="167" fontId="65" fillId="44" borderId="58" applyAlignment="1" pivotButton="0" quotePrefix="0" xfId="0">
      <alignment horizontal="center"/>
    </xf>
    <xf numFmtId="167" fontId="65" fillId="44" borderId="59" applyAlignment="1" pivotButton="0" quotePrefix="0" xfId="0">
      <alignment horizontal="center"/>
    </xf>
    <xf numFmtId="0" fontId="65" fillId="43" borderId="52" pivotButton="0" quotePrefix="0" xfId="0"/>
    <xf numFmtId="167" fontId="65" fillId="43" borderId="53" applyAlignment="1" pivotButton="0" quotePrefix="0" xfId="0">
      <alignment horizontal="center"/>
    </xf>
    <xf numFmtId="167" fontId="65" fillId="43" borderId="54" applyAlignment="1" pivotButton="0" quotePrefix="0" xfId="0">
      <alignment horizontal="center"/>
    </xf>
    <xf numFmtId="0" fontId="66" fillId="43" borderId="50" pivotButton="0" quotePrefix="0" xfId="0"/>
    <xf numFmtId="167" fontId="66" fillId="43" borderId="50" applyAlignment="1" pivotButton="0" quotePrefix="0" xfId="0">
      <alignment horizontal="center"/>
    </xf>
    <xf numFmtId="0" fontId="65" fillId="0" borderId="0" pivotButton="0" quotePrefix="0" xfId="0"/>
    <xf numFmtId="0" fontId="24" fillId="0" borderId="0" applyAlignment="1" pivotButton="0" quotePrefix="0" xfId="0">
      <alignment horizontal="left"/>
    </xf>
    <xf numFmtId="0" fontId="67" fillId="40" borderId="0" applyAlignment="1" pivotButton="0" quotePrefix="0" xfId="0">
      <alignment horizontal="center" vertical="center"/>
    </xf>
    <xf numFmtId="0" fontId="67" fillId="41" borderId="0" applyAlignment="1" pivotButton="0" quotePrefix="0" xfId="0">
      <alignment horizontal="center" vertical="center"/>
    </xf>
    <xf numFmtId="0" fontId="67" fillId="8" borderId="0" applyAlignment="1" pivotButton="0" quotePrefix="0" xfId="0">
      <alignment horizontal="center" vertical="center"/>
    </xf>
    <xf numFmtId="0" fontId="67" fillId="42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/>
    </xf>
    <xf numFmtId="0" fontId="24" fillId="44" borderId="0" pivotButton="0" quotePrefix="0" xfId="0"/>
    <xf numFmtId="167" fontId="24" fillId="44" borderId="0" applyAlignment="1" pivotButton="0" quotePrefix="0" xfId="0">
      <alignment horizontal="center"/>
    </xf>
    <xf numFmtId="0" fontId="68" fillId="14" borderId="1" applyAlignment="1" applyProtection="1" pivotButton="0" quotePrefix="0" xfId="0">
      <alignment horizontal="center" vertical="center"/>
      <protection locked="0" hidden="0"/>
    </xf>
    <xf numFmtId="0" fontId="40" fillId="0" borderId="2" applyAlignment="1" pivotButton="0" quotePrefix="0" xfId="0">
      <alignment horizontal="left" vertical="center"/>
    </xf>
    <xf numFmtId="0" fontId="40" fillId="0" borderId="10" applyAlignment="1" pivotButton="0" quotePrefix="0" xfId="0">
      <alignment horizontal="left" vertical="center"/>
    </xf>
    <xf numFmtId="0" fontId="40" fillId="0" borderId="3" applyAlignment="1" pivotButton="0" quotePrefix="0" xfId="0">
      <alignment horizontal="left" vertical="center"/>
    </xf>
    <xf numFmtId="0" fontId="4" fillId="12" borderId="0" applyAlignment="1" pivotButton="0" quotePrefix="0" xfId="0">
      <alignment horizontal="center" vertical="center"/>
    </xf>
    <xf numFmtId="165" fontId="4" fillId="15" borderId="1" applyAlignment="1" pivotButton="0" quotePrefix="0" xfId="0">
      <alignment horizontal="center"/>
    </xf>
    <xf numFmtId="167" fontId="0" fillId="31" borderId="0" applyAlignment="1" pivotButton="0" quotePrefix="0" xfId="0">
      <alignment horizontal="center"/>
    </xf>
    <xf numFmtId="0" fontId="4" fillId="0" borderId="0" applyAlignment="1" pivotButton="0" quotePrefix="0" xfId="0">
      <alignment horizontal="center" vertical="center"/>
    </xf>
    <xf numFmtId="0" fontId="12" fillId="0" borderId="0" applyAlignment="1" applyProtection="1" pivotButton="0" quotePrefix="0" xfId="0">
      <alignment horizontal="center" vertical="center"/>
      <protection locked="0" hidden="0"/>
    </xf>
    <xf numFmtId="0" fontId="18" fillId="0" borderId="1" applyAlignment="1" applyProtection="1" pivotButton="0" quotePrefix="0" xfId="0">
      <alignment horizontal="center" vertical="center"/>
      <protection locked="0" hidden="0"/>
    </xf>
    <xf numFmtId="0" fontId="23" fillId="0" borderId="0" applyAlignment="1" pivotButton="0" quotePrefix="0" xfId="0">
      <alignment vertical="center"/>
    </xf>
    <xf numFmtId="0" fontId="16" fillId="0" borderId="1" applyAlignment="1" applyProtection="1" pivotButton="0" quotePrefix="0" xfId="0">
      <alignment horizontal="center" vertical="center"/>
      <protection locked="0" hidden="0"/>
    </xf>
    <xf numFmtId="0" fontId="5" fillId="0" borderId="9" applyAlignment="1" applyProtection="1" pivotButton="0" quotePrefix="0" xfId="0">
      <alignment horizontal="center" vertical="center"/>
      <protection locked="0" hidden="0"/>
    </xf>
    <xf numFmtId="0" fontId="19" fillId="0" borderId="0" applyProtection="1" pivotButton="0" quotePrefix="0" xfId="0">
      <protection locked="0" hidden="0"/>
    </xf>
    <xf numFmtId="0" fontId="14" fillId="22" borderId="0" applyProtection="1" pivotButton="0" quotePrefix="0" xfId="0">
      <protection locked="0" hidden="0"/>
    </xf>
    <xf numFmtId="0" fontId="3" fillId="22" borderId="0" pivotButton="0" quotePrefix="0" xfId="0"/>
    <xf numFmtId="0" fontId="4" fillId="22" borderId="0" applyAlignment="1" applyProtection="1" pivotButton="0" quotePrefix="0" xfId="0">
      <alignment horizontal="center"/>
      <protection locked="0" hidden="0"/>
    </xf>
    <xf numFmtId="0" fontId="16" fillId="0" borderId="0" applyAlignment="1" applyProtection="1" pivotButton="0" quotePrefix="0" xfId="0">
      <alignment horizontal="center" vertical="center"/>
      <protection locked="0" hidden="0"/>
    </xf>
    <xf numFmtId="0" fontId="16" fillId="0" borderId="0" applyAlignment="1" pivotButton="0" quotePrefix="0" xfId="0">
      <alignment vertical="center"/>
    </xf>
    <xf numFmtId="0" fontId="4" fillId="12" borderId="0" applyAlignment="1" pivotButton="0" quotePrefix="0" xfId="0">
      <alignment vertical="center"/>
    </xf>
    <xf numFmtId="0" fontId="11" fillId="12" borderId="0" applyAlignment="1" pivotButton="0" quotePrefix="0" xfId="0">
      <alignment vertical="center"/>
    </xf>
    <xf numFmtId="0" fontId="1" fillId="0" borderId="0" applyAlignment="1" applyProtection="1" pivotButton="0" quotePrefix="0" xfId="0">
      <alignment horizontal="center" vertical="center"/>
      <protection locked="0" hidden="0"/>
    </xf>
    <xf numFmtId="165" fontId="2" fillId="21" borderId="1" applyAlignment="1" pivotButton="0" quotePrefix="0" xfId="0">
      <alignment horizontal="center" vertical="center"/>
    </xf>
    <xf numFmtId="0" fontId="36" fillId="0" borderId="1" applyAlignment="1" applyProtection="1" pivotButton="0" quotePrefix="0" xfId="0">
      <alignment horizontal="center" vertical="center"/>
      <protection locked="0" hidden="0"/>
    </xf>
    <xf numFmtId="0" fontId="5" fillId="5" borderId="1" applyAlignment="1" applyProtection="1" pivotButton="0" quotePrefix="0" xfId="0">
      <alignment horizontal="center" vertical="center"/>
      <protection locked="0" hidden="0"/>
    </xf>
    <xf numFmtId="0" fontId="13" fillId="0" borderId="1" applyAlignment="1" applyProtection="1" pivotButton="0" quotePrefix="0" xfId="0">
      <alignment horizontal="center" vertical="center" wrapText="1"/>
      <protection locked="0" hidden="0"/>
    </xf>
    <xf numFmtId="0" fontId="4" fillId="3" borderId="6" applyAlignment="1" pivotButton="0" quotePrefix="0" xfId="0">
      <alignment horizontal="center" vertical="center"/>
    </xf>
    <xf numFmtId="0" fontId="43" fillId="20" borderId="1" applyAlignment="1" pivotButton="0" quotePrefix="0" xfId="0">
      <alignment horizontal="center" vertical="center" wrapText="1"/>
    </xf>
    <xf numFmtId="0" fontId="8" fillId="0" borderId="0" applyProtection="1" pivotButton="0" quotePrefix="0" xfId="0">
      <protection locked="0" hidden="0"/>
    </xf>
    <xf numFmtId="165" fontId="4" fillId="7" borderId="1" applyAlignment="1" pivotButton="0" quotePrefix="0" xfId="0">
      <alignment horizontal="center"/>
    </xf>
    <xf numFmtId="0" fontId="5" fillId="0" borderId="7" applyAlignment="1" pivotButton="0" quotePrefix="0" xfId="0">
      <alignment horizontal="left" vertical="center"/>
    </xf>
    <xf numFmtId="0" fontId="5" fillId="22" borderId="0" applyAlignment="1" applyProtection="1" pivotButton="0" quotePrefix="0" xfId="0">
      <alignment horizontal="center"/>
      <protection locked="0" hidden="0"/>
    </xf>
    <xf numFmtId="0" fontId="16" fillId="0" borderId="0" applyProtection="1" pivotButton="0" quotePrefix="0" xfId="0">
      <protection locked="0" hidden="0"/>
    </xf>
    <xf numFmtId="0" fontId="37" fillId="26" borderId="26" applyAlignment="1" applyProtection="1" pivotButton="0" quotePrefix="0" xfId="0">
      <alignment horizontal="center" vertical="center"/>
      <protection locked="0" hidden="0"/>
    </xf>
    <xf numFmtId="0" fontId="36" fillId="0" borderId="26" applyAlignment="1" applyProtection="1" pivotButton="0" quotePrefix="0" xfId="0">
      <alignment horizontal="center" vertical="center"/>
      <protection locked="0" hidden="0"/>
    </xf>
    <xf numFmtId="0" fontId="14" fillId="0" borderId="0" applyProtection="1" pivotButton="0" quotePrefix="0" xfId="0">
      <protection locked="0" hidden="0"/>
    </xf>
    <xf numFmtId="0" fontId="37" fillId="26" borderId="1" applyAlignment="1" applyProtection="1" pivotButton="0" quotePrefix="0" xfId="0">
      <alignment horizontal="center" vertical="center"/>
      <protection locked="0" hidden="0"/>
    </xf>
    <xf numFmtId="165" fontId="4" fillId="6" borderId="1" applyAlignment="1" pivotButton="0" quotePrefix="0" xfId="0">
      <alignment horizontal="center"/>
    </xf>
    <xf numFmtId="3" fontId="4" fillId="14" borderId="1" applyAlignment="1" applyProtection="1" pivotButton="0" quotePrefix="0" xfId="0">
      <alignment horizontal="center" vertical="center"/>
      <protection locked="0" hidden="0"/>
    </xf>
    <xf numFmtId="0" fontId="5" fillId="31" borderId="1" applyAlignment="1" pivotButton="0" quotePrefix="0" xfId="0">
      <alignment horizontal="center" vertical="center"/>
    </xf>
    <xf numFmtId="0" fontId="36" fillId="0" borderId="0" applyAlignment="1" applyProtection="1" pivotButton="0" quotePrefix="0" xfId="0">
      <alignment horizontal="center" vertical="center"/>
      <protection locked="0" hidden="0"/>
    </xf>
    <xf numFmtId="0" fontId="45" fillId="0" borderId="1" applyAlignment="1" pivotButton="0" quotePrefix="0" xfId="0">
      <alignment vertical="center"/>
    </xf>
    <xf numFmtId="0" fontId="4" fillId="10" borderId="1" applyAlignment="1" pivotButton="0" quotePrefix="0" xfId="0">
      <alignment horizontal="center" vertical="center"/>
    </xf>
    <xf numFmtId="0" fontId="4" fillId="29" borderId="1" applyAlignment="1" pivotButton="0" quotePrefix="0" xfId="0">
      <alignment horizontal="left" vertical="center"/>
    </xf>
    <xf numFmtId="0" fontId="2" fillId="32" borderId="1" applyAlignment="1" pivotButton="0" quotePrefix="0" xfId="0">
      <alignment horizontal="left" vertical="center"/>
    </xf>
    <xf numFmtId="0" fontId="2" fillId="32" borderId="1" applyAlignment="1" pivotButton="0" quotePrefix="0" xfId="0">
      <alignment horizontal="center" vertical="center"/>
    </xf>
    <xf numFmtId="3" fontId="36" fillId="0" borderId="1" applyAlignment="1" applyProtection="1" pivotButton="0" quotePrefix="0" xfId="0">
      <alignment horizontal="center" vertical="center"/>
      <protection locked="0" hidden="0"/>
    </xf>
    <xf numFmtId="16" fontId="4" fillId="31" borderId="1" applyAlignment="1" pivotButton="0" quotePrefix="0" xfId="0">
      <alignment horizontal="center" vertical="center"/>
    </xf>
    <xf numFmtId="0" fontId="52" fillId="0" borderId="1" applyAlignment="1" pivotButton="0" quotePrefix="0" xfId="0">
      <alignment horizontal="left" vertical="center"/>
    </xf>
    <xf numFmtId="0" fontId="52" fillId="0" borderId="1" applyAlignment="1" pivotButton="0" quotePrefix="0" xfId="0">
      <alignment horizontal="center" vertical="center"/>
    </xf>
    <xf numFmtId="0" fontId="45" fillId="0" borderId="1" applyAlignment="1" pivotButton="0" quotePrefix="0" xfId="0">
      <alignment horizontal="left" vertical="center"/>
    </xf>
    <xf numFmtId="0" fontId="45" fillId="0" borderId="1" applyAlignment="1" pivotButton="0" quotePrefix="0" xfId="0">
      <alignment horizontal="center" vertical="center"/>
    </xf>
    <xf numFmtId="0" fontId="4" fillId="0" borderId="1" applyAlignment="1" pivotButton="0" quotePrefix="0" xfId="0">
      <alignment horizontal="left" vertical="center"/>
    </xf>
    <xf numFmtId="16" fontId="3" fillId="0" borderId="0" applyAlignment="1" applyProtection="1" pivotButton="0" quotePrefix="0" xfId="0">
      <alignment horizontal="center"/>
      <protection locked="0" hidden="0"/>
    </xf>
    <xf numFmtId="0" fontId="19" fillId="0" borderId="0" applyAlignment="1" pivotButton="0" quotePrefix="0" xfId="0">
      <alignment horizontal="center" vertical="center"/>
    </xf>
    <xf numFmtId="0" fontId="4" fillId="10" borderId="1" applyAlignment="1" pivotButton="0" quotePrefix="0" xfId="0">
      <alignment horizontal="left" vertical="center"/>
    </xf>
    <xf numFmtId="0" fontId="4" fillId="0" borderId="0" applyAlignment="1" pivotButton="0" quotePrefix="0" xfId="0">
      <alignment vertical="center"/>
    </xf>
    <xf numFmtId="165" fontId="4" fillId="10" borderId="9" applyAlignment="1" pivotButton="0" quotePrefix="0" xfId="0">
      <alignment horizontal="center" vertical="center"/>
    </xf>
    <xf numFmtId="0" fontId="8" fillId="0" borderId="1" applyAlignment="1" applyProtection="1" pivotButton="0" quotePrefix="0" xfId="0">
      <alignment horizontal="center" vertical="center"/>
      <protection locked="0" hidden="0"/>
    </xf>
    <xf numFmtId="49" fontId="23" fillId="0" borderId="1" applyAlignment="1" applyProtection="1" pivotButton="0" quotePrefix="0" xfId="0">
      <alignment horizontal="center" vertical="center"/>
      <protection locked="0" hidden="0"/>
    </xf>
    <xf numFmtId="0" fontId="42" fillId="20" borderId="1" applyAlignment="1" pivotButton="0" quotePrefix="0" xfId="0">
      <alignment vertical="center"/>
    </xf>
    <xf numFmtId="3" fontId="12" fillId="3" borderId="1" applyAlignment="1" pivotButton="0" quotePrefix="0" xfId="0">
      <alignment horizontal="center" vertical="center"/>
    </xf>
    <xf numFmtId="0" fontId="0" fillId="0" borderId="1" pivotButton="0" quotePrefix="0" xfId="0"/>
    <xf numFmtId="0" fontId="47" fillId="0" borderId="1" applyAlignment="1" pivotButton="0" quotePrefix="0" xfId="0">
      <alignment horizontal="left" vertical="center"/>
    </xf>
    <xf numFmtId="0" fontId="47" fillId="0" borderId="1" applyAlignment="1" pivotButton="0" quotePrefix="0" xfId="0">
      <alignment horizontal="center" vertical="center"/>
    </xf>
    <xf numFmtId="0" fontId="13" fillId="0" borderId="1" applyAlignment="1" pivotButton="0" quotePrefix="0" xfId="0">
      <alignment horizontal="left" vertical="center"/>
    </xf>
    <xf numFmtId="0" fontId="3" fillId="5" borderId="1" applyAlignment="1" pivotButton="0" quotePrefix="0" xfId="0">
      <alignment horizontal="center"/>
    </xf>
    <xf numFmtId="0" fontId="3" fillId="0" borderId="0" applyAlignment="1" pivotButton="0" quotePrefix="0" xfId="0">
      <alignment horizontal="right"/>
    </xf>
    <xf numFmtId="0" fontId="36" fillId="25" borderId="1" applyAlignment="1" applyProtection="1" pivotButton="0" quotePrefix="0" xfId="0">
      <alignment horizontal="left" vertical="center"/>
      <protection locked="0" hidden="0"/>
    </xf>
    <xf numFmtId="0" fontId="4" fillId="29" borderId="1" applyAlignment="1" pivotButton="0" quotePrefix="0" xfId="0">
      <alignment horizontal="center" vertical="center"/>
    </xf>
    <xf numFmtId="0" fontId="58" fillId="0" borderId="1" applyAlignment="1" pivotButton="0" quotePrefix="0" xfId="0">
      <alignment horizontal="left" vertical="center"/>
    </xf>
    <xf numFmtId="0" fontId="58" fillId="0" borderId="1" applyAlignment="1" pivotButton="0" quotePrefix="0" xfId="0">
      <alignment horizontal="center" vertical="center"/>
    </xf>
    <xf numFmtId="0" fontId="18" fillId="0" borderId="0" applyAlignment="1" pivotButton="0" quotePrefix="0" xfId="0">
      <alignment vertical="center"/>
    </xf>
    <xf numFmtId="0" fontId="2" fillId="36" borderId="1" applyAlignment="1" pivotButton="0" quotePrefix="0" xfId="0">
      <alignment horizontal="left" vertical="center"/>
    </xf>
    <xf numFmtId="0" fontId="2" fillId="36" borderId="1" applyAlignment="1" pivotButton="0" quotePrefix="0" xfId="0">
      <alignment horizontal="center" vertical="center"/>
    </xf>
    <xf numFmtId="165" fontId="4" fillId="10" borderId="1" applyAlignment="1" pivotButton="0" quotePrefix="0" xfId="0">
      <alignment horizontal="center"/>
    </xf>
    <xf numFmtId="49" fontId="5" fillId="0" borderId="9" applyAlignment="1" applyProtection="1" pivotButton="0" quotePrefix="0" xfId="0">
      <alignment horizontal="center" vertical="center"/>
      <protection locked="0" hidden="0"/>
    </xf>
    <xf numFmtId="0" fontId="13" fillId="31" borderId="1" applyAlignment="1" applyProtection="1" pivotButton="0" quotePrefix="0" xfId="0">
      <alignment horizontal="center" vertical="center"/>
      <protection locked="0" hidden="0"/>
    </xf>
    <xf numFmtId="0" fontId="4" fillId="10" borderId="3" applyAlignment="1" pivotButton="0" quotePrefix="0" xfId="0">
      <alignment horizontal="center" vertical="center"/>
    </xf>
    <xf numFmtId="0" fontId="1" fillId="0" borderId="0" applyAlignment="1" pivotButton="0" quotePrefix="0" xfId="0">
      <alignment horizontal="center"/>
    </xf>
    <xf numFmtId="0" fontId="3" fillId="12" borderId="12" applyAlignment="1" pivotButton="0" quotePrefix="0" xfId="0">
      <alignment horizontal="center" vertical="center"/>
    </xf>
    <xf numFmtId="0" fontId="60" fillId="15" borderId="49" applyAlignment="1" pivotButton="0" quotePrefix="0" xfId="0">
      <alignment horizontal="center"/>
    </xf>
    <xf numFmtId="0" fontId="3" fillId="13" borderId="3" applyAlignment="1" pivotButton="0" quotePrefix="0" xfId="0">
      <alignment horizontal="center" vertical="center"/>
    </xf>
    <xf numFmtId="0" fontId="4" fillId="12" borderId="3" applyAlignment="1" pivotButton="0" quotePrefix="0" xfId="0">
      <alignment horizontal="center" vertical="center"/>
    </xf>
    <xf numFmtId="167" fontId="65" fillId="31" borderId="50" applyAlignment="1" pivotButton="0" quotePrefix="0" xfId="0">
      <alignment horizontal="center"/>
    </xf>
    <xf numFmtId="0" fontId="65" fillId="16" borderId="50" pivotButton="0" quotePrefix="0" xfId="0"/>
    <xf numFmtId="167" fontId="65" fillId="16" borderId="50" applyAlignment="1" pivotButton="0" quotePrefix="0" xfId="0">
      <alignment horizontal="center"/>
    </xf>
    <xf numFmtId="167" fontId="65" fillId="31" borderId="53" applyAlignment="1" pivotButton="0" quotePrefix="0" xfId="0">
      <alignment horizontal="center"/>
    </xf>
    <xf numFmtId="167" fontId="65" fillId="31" borderId="58" applyAlignment="1" pivotButton="0" quotePrefix="0" xfId="0">
      <alignment horizontal="center"/>
    </xf>
    <xf numFmtId="167" fontId="65" fillId="44" borderId="60" applyAlignment="1" pivotButton="0" quotePrefix="0" xfId="0">
      <alignment horizontal="center"/>
    </xf>
    <xf numFmtId="167" fontId="65" fillId="31" borderId="60" applyAlignment="1" pivotButton="0" quotePrefix="0" xfId="0">
      <alignment horizontal="center"/>
    </xf>
    <xf numFmtId="0" fontId="65" fillId="44" borderId="61" pivotButton="0" quotePrefix="0" xfId="0"/>
    <xf numFmtId="0" fontId="65" fillId="43" borderId="63" pivotButton="0" quotePrefix="0" xfId="0"/>
    <xf numFmtId="167" fontId="65" fillId="43" borderId="63" applyAlignment="1" pivotButton="0" quotePrefix="0" xfId="0">
      <alignment horizontal="center"/>
    </xf>
    <xf numFmtId="0" fontId="65" fillId="43" borderId="64" pivotButton="0" quotePrefix="0" xfId="0"/>
    <xf numFmtId="167" fontId="65" fillId="43" borderId="65" applyAlignment="1" pivotButton="0" quotePrefix="0" xfId="0">
      <alignment horizontal="center"/>
    </xf>
    <xf numFmtId="167" fontId="65" fillId="43" borderId="66" applyAlignment="1" pivotButton="0" quotePrefix="0" xfId="0">
      <alignment horizontal="center"/>
    </xf>
    <xf numFmtId="0" fontId="65" fillId="44" borderId="67" pivotButton="0" quotePrefix="0" xfId="0"/>
    <xf numFmtId="167" fontId="65" fillId="44" borderId="68" applyAlignment="1" pivotButton="0" quotePrefix="0" xfId="0">
      <alignment horizontal="center"/>
    </xf>
    <xf numFmtId="0" fontId="65" fillId="43" borderId="67" pivotButton="0" quotePrefix="0" xfId="0"/>
    <xf numFmtId="167" fontId="65" fillId="43" borderId="68" applyAlignment="1" pivotButton="0" quotePrefix="0" xfId="0">
      <alignment horizontal="center"/>
    </xf>
    <xf numFmtId="0" fontId="65" fillId="44" borderId="69" pivotButton="0" quotePrefix="0" xfId="0"/>
    <xf numFmtId="167" fontId="65" fillId="44" borderId="70" applyAlignment="1" pivotButton="0" quotePrefix="0" xfId="0">
      <alignment horizontal="center"/>
    </xf>
    <xf numFmtId="167" fontId="65" fillId="44" borderId="71" applyAlignment="1" pivotButton="0" quotePrefix="0" xfId="0">
      <alignment horizontal="center"/>
    </xf>
    <xf numFmtId="167" fontId="65" fillId="31" borderId="54" applyAlignment="1" pivotButton="0" quotePrefix="0" xfId="0">
      <alignment horizontal="center"/>
    </xf>
    <xf numFmtId="167" fontId="65" fillId="31" borderId="56" applyAlignment="1" pivotButton="0" quotePrefix="0" xfId="0">
      <alignment horizontal="center"/>
    </xf>
    <xf numFmtId="167" fontId="65" fillId="31" borderId="59" applyAlignment="1" pivotButton="0" quotePrefix="0" xfId="0">
      <alignment horizontal="center"/>
    </xf>
    <xf numFmtId="167" fontId="65" fillId="31" borderId="62" applyAlignment="1" pivotButton="0" quotePrefix="0" xfId="0">
      <alignment horizontal="center"/>
    </xf>
    <xf numFmtId="0" fontId="40" fillId="0" borderId="2" applyAlignment="1" pivotButton="0" quotePrefix="0" xfId="0">
      <alignment horizontal="left" vertical="center"/>
    </xf>
    <xf numFmtId="0" fontId="40" fillId="0" borderId="10" applyAlignment="1" pivotButton="0" quotePrefix="0" xfId="0">
      <alignment horizontal="left" vertical="center"/>
    </xf>
    <xf numFmtId="0" fontId="40" fillId="0" borderId="3" applyAlignment="1" pivotButton="0" quotePrefix="0" xfId="0">
      <alignment horizontal="left" vertical="center"/>
    </xf>
    <xf numFmtId="0" fontId="1" fillId="0" borderId="2" applyAlignment="1" applyProtection="1" pivotButton="0" quotePrefix="0" xfId="0">
      <alignment horizontal="center" vertical="center"/>
      <protection locked="0" hidden="0"/>
    </xf>
    <xf numFmtId="0" fontId="1" fillId="0" borderId="10" applyAlignment="1" applyProtection="1" pivotButton="0" quotePrefix="0" xfId="0">
      <alignment horizontal="center" vertical="center"/>
      <protection locked="0" hidden="0"/>
    </xf>
    <xf numFmtId="0" fontId="1" fillId="0" borderId="3" applyAlignment="1" applyProtection="1" pivotButton="0" quotePrefix="0" xfId="0">
      <alignment horizontal="center" vertical="center"/>
      <protection locked="0" hidden="0"/>
    </xf>
    <xf numFmtId="0" fontId="3" fillId="0" borderId="2" applyAlignment="1" applyProtection="1" pivotButton="0" quotePrefix="0" xfId="0">
      <alignment horizontal="center"/>
      <protection locked="0" hidden="0"/>
    </xf>
    <xf numFmtId="0" fontId="3" fillId="0" borderId="10" applyAlignment="1" applyProtection="1" pivotButton="0" quotePrefix="0" xfId="0">
      <alignment horizontal="center"/>
      <protection locked="0" hidden="0"/>
    </xf>
    <xf numFmtId="0" fontId="3" fillId="0" borderId="3" applyAlignment="1" applyProtection="1" pivotButton="0" quotePrefix="0" xfId="0">
      <alignment horizontal="center"/>
      <protection locked="0" hidden="0"/>
    </xf>
    <xf numFmtId="0" fontId="4" fillId="12" borderId="6" applyAlignment="1" pivotButton="0" quotePrefix="0" xfId="0">
      <alignment horizontal="left" vertical="center"/>
    </xf>
    <xf numFmtId="0" fontId="4" fillId="12" borderId="9" applyAlignment="1" pivotButton="0" quotePrefix="0" xfId="0">
      <alignment horizontal="left" vertical="center"/>
    </xf>
    <xf numFmtId="164" fontId="4" fillId="12" borderId="6" applyAlignment="1" pivotButton="0" quotePrefix="0" xfId="2">
      <alignment horizontal="center" vertical="center" wrapText="1"/>
    </xf>
    <xf numFmtId="164" fontId="4" fillId="12" borderId="9" applyAlignment="1" pivotButton="0" quotePrefix="0" xfId="2">
      <alignment horizontal="center" vertical="center" wrapText="1"/>
    </xf>
    <xf numFmtId="164" fontId="12" fillId="12" borderId="6" applyAlignment="1" pivotButton="0" quotePrefix="0" xfId="2">
      <alignment horizontal="center" vertical="center" wrapText="1"/>
    </xf>
    <xf numFmtId="164" fontId="12" fillId="12" borderId="9" applyAlignment="1" pivotButton="0" quotePrefix="0" xfId="2">
      <alignment horizontal="center" vertical="center" wrapText="1"/>
    </xf>
    <xf numFmtId="0" fontId="36" fillId="0" borderId="2" applyAlignment="1" applyProtection="1" pivotButton="0" quotePrefix="0" xfId="0">
      <alignment horizontal="center" vertical="center"/>
      <protection locked="0" hidden="0"/>
    </xf>
    <xf numFmtId="0" fontId="36" fillId="0" borderId="10" applyAlignment="1" applyProtection="1" pivotButton="0" quotePrefix="0" xfId="0">
      <alignment horizontal="center" vertical="center"/>
      <protection locked="0" hidden="0"/>
    </xf>
    <xf numFmtId="0" fontId="36" fillId="0" borderId="3" applyAlignment="1" applyProtection="1" pivotButton="0" quotePrefix="0" xfId="0">
      <alignment horizontal="center" vertical="center"/>
      <protection locked="0" hidden="0"/>
    </xf>
    <xf numFmtId="0" fontId="47" fillId="0" borderId="2" applyAlignment="1" pivotButton="0" quotePrefix="0" xfId="0">
      <alignment horizontal="center" vertical="center"/>
    </xf>
    <xf numFmtId="0" fontId="47" fillId="0" borderId="10" applyAlignment="1" pivotButton="0" quotePrefix="0" xfId="0">
      <alignment horizontal="center" vertical="center"/>
    </xf>
    <xf numFmtId="0" fontId="47" fillId="0" borderId="3" applyAlignment="1" pivotButton="0" quotePrefix="0" xfId="0">
      <alignment horizontal="center" vertical="center"/>
    </xf>
    <xf numFmtId="0" fontId="2" fillId="21" borderId="2" applyAlignment="1" pivotButton="0" quotePrefix="0" xfId="0">
      <alignment horizontal="center" vertical="center"/>
    </xf>
    <xf numFmtId="0" fontId="2" fillId="21" borderId="10" applyAlignment="1" pivotButton="0" quotePrefix="0" xfId="0">
      <alignment horizontal="center" vertical="center"/>
    </xf>
    <xf numFmtId="0" fontId="2" fillId="21" borderId="3" applyAlignment="1" pivotButton="0" quotePrefix="0" xfId="0">
      <alignment horizontal="center" vertical="center"/>
    </xf>
    <xf numFmtId="0" fontId="4" fillId="10" borderId="2" applyAlignment="1" pivotButton="0" quotePrefix="0" xfId="0">
      <alignment horizontal="center" vertical="center"/>
    </xf>
    <xf numFmtId="0" fontId="4" fillId="10" borderId="10" applyAlignment="1" pivotButton="0" quotePrefix="0" xfId="0">
      <alignment horizontal="center" vertical="center"/>
    </xf>
    <xf numFmtId="0" fontId="4" fillId="10" borderId="3" applyAlignment="1" pivotButton="0" quotePrefix="0" xfId="0">
      <alignment horizontal="center" vertical="center"/>
    </xf>
    <xf numFmtId="0" fontId="4" fillId="12" borderId="0" applyAlignment="1" pivotButton="0" quotePrefix="0" xfId="0">
      <alignment horizontal="center" vertical="center"/>
    </xf>
    <xf numFmtId="0" fontId="4" fillId="12" borderId="6" applyAlignment="1" pivotButton="0" quotePrefix="0" xfId="0">
      <alignment horizontal="center" vertical="center"/>
    </xf>
    <xf numFmtId="0" fontId="4" fillId="12" borderId="9" applyAlignment="1" pivotButton="0" quotePrefix="0" xfId="0">
      <alignment horizontal="center" vertical="center"/>
    </xf>
    <xf numFmtId="0" fontId="1" fillId="0" borderId="0" applyAlignment="1" pivotButton="0" quotePrefix="0" xfId="0">
      <alignment horizontal="center"/>
    </xf>
    <xf numFmtId="0" fontId="3" fillId="12" borderId="12" applyAlignment="1" pivotButton="0" quotePrefix="0" xfId="0">
      <alignment horizontal="center" vertical="center"/>
    </xf>
    <xf numFmtId="0" fontId="27" fillId="8" borderId="13" applyAlignment="1" pivotButton="0" quotePrefix="0" xfId="0">
      <alignment horizontal="center" vertical="center"/>
    </xf>
    <xf numFmtId="0" fontId="27" fillId="8" borderId="0" applyAlignment="1" pivotButton="0" quotePrefix="0" xfId="0">
      <alignment horizontal="center" vertical="center"/>
    </xf>
    <xf numFmtId="0" fontId="27" fillId="8" borderId="14" applyAlignment="1" pivotButton="0" quotePrefix="0" xfId="0">
      <alignment horizontal="center" vertical="center"/>
    </xf>
    <xf numFmtId="0" fontId="27" fillId="8" borderId="18" applyAlignment="1" pivotButton="0" quotePrefix="0" xfId="0">
      <alignment horizontal="center" vertical="center"/>
    </xf>
    <xf numFmtId="0" fontId="27" fillId="8" borderId="15" applyAlignment="1" pivotButton="0" quotePrefix="0" xfId="0">
      <alignment horizontal="center" vertical="center"/>
    </xf>
    <xf numFmtId="0" fontId="27" fillId="8" borderId="16" applyAlignment="1" pivotButton="0" quotePrefix="0" xfId="0">
      <alignment horizontal="center" vertical="center"/>
    </xf>
    <xf numFmtId="0" fontId="27" fillId="8" borderId="17" applyAlignment="1" pivotButton="0" quotePrefix="0" xfId="0">
      <alignment horizontal="center" vertical="center"/>
    </xf>
    <xf numFmtId="0" fontId="30" fillId="10" borderId="28" applyAlignment="1" pivotButton="0" quotePrefix="0" xfId="0">
      <alignment horizontal="center" vertical="center" wrapText="1"/>
    </xf>
    <xf numFmtId="0" fontId="30" fillId="10" borderId="29" applyAlignment="1" pivotButton="0" quotePrefix="0" xfId="0">
      <alignment horizontal="center" vertical="center"/>
    </xf>
    <xf numFmtId="0" fontId="30" fillId="10" borderId="30" applyAlignment="1" pivotButton="0" quotePrefix="0" xfId="0">
      <alignment horizontal="center" vertical="center"/>
    </xf>
    <xf numFmtId="0" fontId="30" fillId="10" borderId="41" applyAlignment="1" pivotButton="0" quotePrefix="0" xfId="0">
      <alignment horizontal="center" vertical="center"/>
    </xf>
    <xf numFmtId="0" fontId="30" fillId="10" borderId="28" applyAlignment="1" pivotButton="0" quotePrefix="0" xfId="0">
      <alignment horizontal="center" vertical="center"/>
    </xf>
    <xf numFmtId="0" fontId="24" fillId="0" borderId="2" applyAlignment="1" pivotButton="0" quotePrefix="0" xfId="0">
      <alignment horizontal="center"/>
    </xf>
    <xf numFmtId="0" fontId="24" fillId="0" borderId="3" applyAlignment="1" pivotButton="0" quotePrefix="0" xfId="0">
      <alignment horizontal="center"/>
    </xf>
    <xf numFmtId="0" fontId="60" fillId="15" borderId="47" applyAlignment="1" pivotButton="0" quotePrefix="0" xfId="0">
      <alignment horizontal="center"/>
    </xf>
    <xf numFmtId="0" fontId="60" fillId="15" borderId="48" applyAlignment="1" pivotButton="0" quotePrefix="0" xfId="0">
      <alignment horizontal="center"/>
    </xf>
    <xf numFmtId="0" fontId="3" fillId="13" borderId="2" applyAlignment="1" pivotButton="0" quotePrefix="0" xfId="0">
      <alignment horizontal="center" vertical="center"/>
    </xf>
    <xf numFmtId="0" fontId="3" fillId="13" borderId="10" applyAlignment="1" pivotButton="0" quotePrefix="0" xfId="0">
      <alignment horizontal="center" vertical="center"/>
    </xf>
    <xf numFmtId="0" fontId="60" fillId="15" borderId="49" applyAlignment="1" pivotButton="0" quotePrefix="0" xfId="0">
      <alignment horizontal="center"/>
    </xf>
    <xf numFmtId="0" fontId="4" fillId="12" borderId="0" applyAlignment="1" pivotButton="0" quotePrefix="0" xfId="0">
      <alignment horizontal="left" vertical="center"/>
    </xf>
    <xf numFmtId="0" fontId="4" fillId="12" borderId="2" applyAlignment="1" pivotButton="0" quotePrefix="0" xfId="0">
      <alignment horizontal="center" vertical="center"/>
    </xf>
    <xf numFmtId="0" fontId="4" fillId="12" borderId="10" applyAlignment="1" pivotButton="0" quotePrefix="0" xfId="0">
      <alignment horizontal="center" vertical="center"/>
    </xf>
    <xf numFmtId="0" fontId="4" fillId="12" borderId="3" applyAlignment="1" pivotButton="0" quotePrefix="0" xfId="0">
      <alignment horizontal="center" vertical="center"/>
    </xf>
    <xf numFmtId="0" fontId="3" fillId="13" borderId="3" applyAlignment="1" pivotButton="0" quotePrefix="0" xfId="0">
      <alignment horizontal="center" vertical="center"/>
    </xf>
    <xf numFmtId="0" fontId="27" fillId="18" borderId="20" applyAlignment="1" pivotButton="0" quotePrefix="0" xfId="0">
      <alignment horizontal="center" vertical="center"/>
    </xf>
    <xf numFmtId="0" fontId="27" fillId="18" borderId="21" applyAlignment="1" pivotButton="0" quotePrefix="0" xfId="0">
      <alignment horizontal="center" vertical="center"/>
    </xf>
    <xf numFmtId="0" fontId="27" fillId="18" borderId="14" applyAlignment="1" pivotButton="0" quotePrefix="0" xfId="0">
      <alignment horizontal="center" vertical="center"/>
    </xf>
    <xf numFmtId="0" fontId="27" fillId="18" borderId="25" applyAlignment="1" pivotButton="0" quotePrefix="0" xfId="0">
      <alignment horizontal="center" vertical="center"/>
    </xf>
    <xf numFmtId="0" fontId="27" fillId="18" borderId="15" applyAlignment="1" pivotButton="0" quotePrefix="0" xfId="0">
      <alignment horizontal="center" vertical="center"/>
    </xf>
    <xf numFmtId="0" fontId="27" fillId="18" borderId="16" applyAlignment="1" pivotButton="0" quotePrefix="0" xfId="0">
      <alignment horizontal="center" vertical="center"/>
    </xf>
    <xf numFmtId="0" fontId="27" fillId="18" borderId="17" applyAlignment="1" pivotButton="0" quotePrefix="0" xfId="0">
      <alignment horizontal="center" vertical="center"/>
    </xf>
    <xf numFmtId="0" fontId="27" fillId="18" borderId="18" applyAlignment="1" pivotButton="0" quotePrefix="0" xfId="0">
      <alignment horizontal="center" vertical="center"/>
    </xf>
    <xf numFmtId="0" fontId="27" fillId="20" borderId="1" applyAlignment="1" pivotButton="0" quotePrefix="0" xfId="0">
      <alignment horizontal="center" vertical="center"/>
    </xf>
    <xf numFmtId="0" fontId="27" fillId="20" borderId="22" applyAlignment="1" pivotButton="0" quotePrefix="0" xfId="0">
      <alignment horizontal="center" vertical="center"/>
    </xf>
    <xf numFmtId="0" fontId="27" fillId="20" borderId="12" applyAlignment="1" pivotButton="0" quotePrefix="0" xfId="0">
      <alignment horizontal="center" vertical="center"/>
    </xf>
    <xf numFmtId="0" fontId="27" fillId="20" borderId="11" applyAlignment="1" pivotButton="0" quotePrefix="0" xfId="0">
      <alignment horizontal="center" vertical="center"/>
    </xf>
    <xf numFmtId="0" fontId="27" fillId="20" borderId="1" applyAlignment="1" pivotButton="0" quotePrefix="0" xfId="0">
      <alignment horizontal="center" vertical="center" wrapText="1"/>
    </xf>
    <xf numFmtId="0" fontId="27" fillId="28" borderId="31" applyAlignment="1" pivotButton="0" quotePrefix="0" xfId="0">
      <alignment horizontal="center" vertical="center"/>
    </xf>
    <xf numFmtId="0" fontId="27" fillId="28" borderId="32" applyAlignment="1" pivotButton="0" quotePrefix="0" xfId="0">
      <alignment horizontal="center" vertical="center"/>
    </xf>
    <xf numFmtId="0" fontId="27" fillId="28" borderId="33" applyAlignment="1" pivotButton="0" quotePrefix="0" xfId="0">
      <alignment horizontal="center" vertical="center"/>
    </xf>
    <xf numFmtId="0" fontId="27" fillId="28" borderId="34" applyAlignment="1" pivotButton="0" quotePrefix="0" xfId="0">
      <alignment horizontal="center" vertical="center"/>
    </xf>
    <xf numFmtId="0" fontId="27" fillId="28" borderId="37" applyAlignment="1" pivotButton="0" quotePrefix="0" xfId="0">
      <alignment horizontal="center" vertical="center"/>
    </xf>
    <xf numFmtId="0" fontId="27" fillId="28" borderId="2" applyAlignment="1" pivotButton="0" quotePrefix="0" xfId="0">
      <alignment horizontal="center" vertical="center"/>
    </xf>
    <xf numFmtId="0" fontId="27" fillId="28" borderId="10" applyAlignment="1" pivotButton="0" quotePrefix="0" xfId="0">
      <alignment horizontal="center" vertical="center"/>
    </xf>
    <xf numFmtId="0" fontId="27" fillId="28" borderId="3" applyAlignment="1" pivotButton="0" quotePrefix="0" xfId="0">
      <alignment horizontal="center" vertical="center"/>
    </xf>
    <xf numFmtId="0" fontId="27" fillId="28" borderId="35" applyAlignment="1" pivotButton="0" quotePrefix="0" xfId="0">
      <alignment horizontal="center" vertical="center" wrapText="1"/>
    </xf>
    <xf numFmtId="0" fontId="27" fillId="28" borderId="39" applyAlignment="1" pivotButton="0" quotePrefix="0" xfId="0">
      <alignment horizontal="center" vertical="center" wrapText="1"/>
    </xf>
    <xf numFmtId="0" fontId="27" fillId="28" borderId="36" applyAlignment="1" pivotButton="0" quotePrefix="0" xfId="0">
      <alignment horizontal="center" vertical="center" wrapText="1"/>
    </xf>
    <xf numFmtId="0" fontId="27" fillId="28" borderId="40" applyAlignment="1" pivotButton="0" quotePrefix="0" xfId="0">
      <alignment horizontal="center" vertical="center" wrapText="1"/>
    </xf>
    <xf numFmtId="0" fontId="27" fillId="35" borderId="2" applyAlignment="1" pivotButton="0" quotePrefix="0" xfId="0">
      <alignment horizontal="center" vertical="center"/>
    </xf>
    <xf numFmtId="0" fontId="27" fillId="35" borderId="10" applyAlignment="1" pivotButton="0" quotePrefix="0" xfId="0">
      <alignment horizontal="center" vertical="center"/>
    </xf>
    <xf numFmtId="0" fontId="27" fillId="35" borderId="3" applyAlignment="1" pivotButton="0" quotePrefix="0" xfId="0">
      <alignment horizontal="center" vertical="center"/>
    </xf>
    <xf numFmtId="0" fontId="27" fillId="35" borderId="6" applyAlignment="1" pivotButton="0" quotePrefix="0" xfId="0">
      <alignment horizontal="center" vertical="center"/>
    </xf>
    <xf numFmtId="0" fontId="27" fillId="35" borderId="9" applyAlignment="1" pivotButton="0" quotePrefix="0" xfId="0">
      <alignment horizontal="center" vertical="center"/>
    </xf>
    <xf numFmtId="0" fontId="27" fillId="35" borderId="6" applyAlignment="1" pivotButton="0" quotePrefix="0" xfId="0">
      <alignment horizontal="center" vertical="center" wrapText="1"/>
    </xf>
    <xf numFmtId="0" fontId="27" fillId="35" borderId="9" applyAlignment="1" pivotButton="0" quotePrefix="0" xfId="0">
      <alignment horizontal="center" vertical="center" wrapText="1"/>
    </xf>
    <xf numFmtId="0" fontId="3" fillId="0" borderId="1" applyAlignment="1" pivotButton="0" quotePrefix="0" xfId="0">
      <alignment horizontal="left"/>
    </xf>
    <xf numFmtId="0" fontId="2" fillId="33" borderId="38" applyAlignment="1" pivotButton="0" quotePrefix="0" xfId="0">
      <alignment horizontal="center" vertical="center"/>
    </xf>
    <xf numFmtId="0" fontId="2" fillId="33" borderId="19" applyAlignment="1" pivotButton="0" quotePrefix="0" xfId="0">
      <alignment horizontal="center" vertical="center"/>
    </xf>
    <xf numFmtId="0" fontId="5" fillId="4" borderId="2" applyAlignment="1" pivotButton="0" quotePrefix="0" xfId="0">
      <alignment horizontal="left" vertical="center"/>
    </xf>
    <xf numFmtId="0" fontId="5" fillId="4" borderId="10" applyAlignment="1" pivotButton="0" quotePrefix="0" xfId="0">
      <alignment horizontal="left" vertical="center"/>
    </xf>
    <xf numFmtId="0" fontId="5" fillId="4" borderId="3" applyAlignment="1" pivotButton="0" quotePrefix="0" xfId="0">
      <alignment horizontal="left" vertical="center"/>
    </xf>
    <xf numFmtId="0" fontId="4" fillId="3" borderId="2" applyAlignment="1" pivotButton="0" quotePrefix="0" xfId="0">
      <alignment horizontal="center" vertical="center"/>
    </xf>
    <xf numFmtId="0" fontId="4" fillId="3" borderId="10" applyAlignment="1" pivotButton="0" quotePrefix="0" xfId="0">
      <alignment horizontal="center" vertical="center"/>
    </xf>
    <xf numFmtId="0" fontId="4" fillId="3" borderId="19" applyAlignment="1" pivotButton="0" quotePrefix="0" xfId="0">
      <alignment horizontal="center" vertical="center"/>
    </xf>
    <xf numFmtId="0" fontId="4" fillId="3" borderId="3" applyAlignment="1" pivotButton="0" quotePrefix="0" xfId="0">
      <alignment horizontal="center" vertical="center"/>
    </xf>
    <xf numFmtId="0" fontId="4" fillId="3" borderId="1" applyAlignment="1" pivotButton="0" quotePrefix="0" xfId="0">
      <alignment horizontal="left" vertical="center"/>
    </xf>
    <xf numFmtId="0" fontId="5" fillId="4" borderId="1" applyAlignment="1" pivotButton="0" quotePrefix="0" xfId="0">
      <alignment horizontal="left" vertical="center"/>
    </xf>
    <xf numFmtId="0" fontId="2" fillId="24" borderId="2" applyAlignment="1" pivotButton="0" quotePrefix="0" xfId="0">
      <alignment horizontal="center" vertical="center"/>
    </xf>
    <xf numFmtId="0" fontId="2" fillId="24" borderId="10" applyAlignment="1" pivotButton="0" quotePrefix="0" xfId="0">
      <alignment horizontal="center" vertical="center"/>
    </xf>
    <xf numFmtId="0" fontId="13" fillId="17" borderId="2" applyAlignment="1" pivotButton="0" quotePrefix="0" xfId="0">
      <alignment horizontal="center" vertical="center"/>
    </xf>
    <xf numFmtId="0" fontId="13" fillId="17" borderId="10" applyAlignment="1" pivotButton="0" quotePrefix="0" xfId="0">
      <alignment horizontal="center" vertical="center"/>
    </xf>
    <xf numFmtId="0" fontId="13" fillId="17" borderId="3" applyAlignment="1" pivotButton="0" quotePrefix="0" xfId="0">
      <alignment horizontal="center" vertical="center"/>
    </xf>
    <xf numFmtId="0" fontId="27" fillId="32" borderId="31" applyAlignment="1" pivotButton="0" quotePrefix="0" xfId="0">
      <alignment horizontal="center" vertical="center"/>
    </xf>
    <xf numFmtId="0" fontId="27" fillId="32" borderId="32" applyAlignment="1" pivotButton="0" quotePrefix="0" xfId="0">
      <alignment horizontal="center" vertical="center"/>
    </xf>
    <xf numFmtId="0" fontId="27" fillId="32" borderId="33" applyAlignment="1" pivotButton="0" quotePrefix="0" xfId="0">
      <alignment horizontal="center" vertical="center"/>
    </xf>
    <xf numFmtId="0" fontId="27" fillId="32" borderId="34" applyAlignment="1" pivotButton="0" quotePrefix="0" xfId="0">
      <alignment horizontal="center" vertical="center"/>
    </xf>
    <xf numFmtId="0" fontId="27" fillId="32" borderId="37" applyAlignment="1" pivotButton="0" quotePrefix="0" xfId="0">
      <alignment horizontal="center" vertical="center"/>
    </xf>
    <xf numFmtId="0" fontId="27" fillId="32" borderId="2" applyAlignment="1" pivotButton="0" quotePrefix="0" xfId="0">
      <alignment horizontal="center" vertical="center"/>
    </xf>
    <xf numFmtId="0" fontId="27" fillId="32" borderId="10" applyAlignment="1" pivotButton="0" quotePrefix="0" xfId="0">
      <alignment horizontal="center" vertical="center"/>
    </xf>
    <xf numFmtId="0" fontId="27" fillId="32" borderId="3" applyAlignment="1" pivotButton="0" quotePrefix="0" xfId="0">
      <alignment horizontal="center" vertical="center"/>
    </xf>
    <xf numFmtId="0" fontId="27" fillId="32" borderId="35" applyAlignment="1" pivotButton="0" quotePrefix="0" xfId="0">
      <alignment horizontal="center" vertical="center" wrapText="1"/>
    </xf>
    <xf numFmtId="0" fontId="27" fillId="32" borderId="39" applyAlignment="1" pivotButton="0" quotePrefix="0" xfId="0">
      <alignment horizontal="center" vertical="center" wrapText="1"/>
    </xf>
    <xf numFmtId="0" fontId="27" fillId="32" borderId="36" applyAlignment="1" pivotButton="0" quotePrefix="0" xfId="0">
      <alignment horizontal="center" vertical="center" wrapText="1"/>
    </xf>
    <xf numFmtId="0" fontId="27" fillId="32" borderId="40" applyAlignment="1" pivotButton="0" quotePrefix="0" xfId="0">
      <alignment horizontal="center" vertical="center" wrapText="1"/>
    </xf>
    <xf numFmtId="0" fontId="0" fillId="0" borderId="46" applyAlignment="1" pivotButton="0" quotePrefix="0" xfId="0">
      <alignment horizontal="center" vertical="center"/>
    </xf>
    <xf numFmtId="0" fontId="48" fillId="30" borderId="2" applyAlignment="1" pivotButton="0" quotePrefix="0" xfId="0">
      <alignment horizontal="center"/>
    </xf>
    <xf numFmtId="0" fontId="48" fillId="30" borderId="3" applyAlignment="1" pivotButton="0" quotePrefix="0" xfId="0">
      <alignment horizontal="center"/>
    </xf>
    <xf numFmtId="167" fontId="0" fillId="0" borderId="0" applyAlignment="1" pivotButton="0" quotePrefix="0" xfId="0">
      <alignment horizontal="center"/>
    </xf>
    <xf numFmtId="167" fontId="0" fillId="31" borderId="0" applyAlignment="1" pivotButton="0" quotePrefix="0" xfId="0">
      <alignment horizontal="center"/>
    </xf>
    <xf numFmtId="167" fontId="24" fillId="44" borderId="0" applyAlignment="1" pivotButton="0" quotePrefix="0" xfId="0">
      <alignment horizontal="center"/>
    </xf>
    <xf numFmtId="167" fontId="65" fillId="43" borderId="50" applyAlignment="1" pivotButton="0" quotePrefix="0" xfId="0">
      <alignment horizontal="center"/>
    </xf>
    <xf numFmtId="167" fontId="65" fillId="31" borderId="50" applyAlignment="1" pivotButton="0" quotePrefix="0" xfId="0">
      <alignment horizontal="center"/>
    </xf>
    <xf numFmtId="167" fontId="65" fillId="44" borderId="50" applyAlignment="1" pivotButton="0" quotePrefix="0" xfId="0">
      <alignment horizontal="center"/>
    </xf>
    <xf numFmtId="167" fontId="65" fillId="16" borderId="50" applyAlignment="1" pivotButton="0" quotePrefix="0" xfId="0">
      <alignment horizontal="center"/>
    </xf>
    <xf numFmtId="167" fontId="65" fillId="41" borderId="51" applyAlignment="1" pivotButton="0" quotePrefix="0" xfId="0">
      <alignment horizontal="center"/>
    </xf>
    <xf numFmtId="167" fontId="65" fillId="43" borderId="53" applyAlignment="1" pivotButton="0" quotePrefix="0" xfId="0">
      <alignment horizontal="center"/>
    </xf>
    <xf numFmtId="167" fontId="65" fillId="31" borderId="53" applyAlignment="1" pivotButton="0" quotePrefix="0" xfId="0">
      <alignment horizontal="center"/>
    </xf>
    <xf numFmtId="167" fontId="65" fillId="31" borderId="54" applyAlignment="1" pivotButton="0" quotePrefix="0" xfId="0">
      <alignment horizontal="center"/>
    </xf>
    <xf numFmtId="167" fontId="65" fillId="31" borderId="56" applyAlignment="1" pivotButton="0" quotePrefix="0" xfId="0">
      <alignment horizontal="center"/>
    </xf>
    <xf numFmtId="167" fontId="65" fillId="44" borderId="58" applyAlignment="1" pivotButton="0" quotePrefix="0" xfId="0">
      <alignment horizontal="center"/>
    </xf>
    <xf numFmtId="167" fontId="65" fillId="31" borderId="58" applyAlignment="1" pivotButton="0" quotePrefix="0" xfId="0">
      <alignment horizontal="center"/>
    </xf>
    <xf numFmtId="167" fontId="65" fillId="31" borderId="59" applyAlignment="1" pivotButton="0" quotePrefix="0" xfId="0">
      <alignment horizontal="center"/>
    </xf>
    <xf numFmtId="167" fontId="65" fillId="43" borderId="58" applyAlignment="1" pivotButton="0" quotePrefix="0" xfId="0">
      <alignment horizontal="center"/>
    </xf>
    <xf numFmtId="167" fontId="65" fillId="44" borderId="53" applyAlignment="1" pivotButton="0" quotePrefix="0" xfId="0">
      <alignment horizontal="center"/>
    </xf>
    <xf numFmtId="167" fontId="65" fillId="44" borderId="60" applyAlignment="1" pivotButton="0" quotePrefix="0" xfId="0">
      <alignment horizontal="center"/>
    </xf>
    <xf numFmtId="167" fontId="65" fillId="31" borderId="60" applyAlignment="1" pivotButton="0" quotePrefix="0" xfId="0">
      <alignment horizontal="center"/>
    </xf>
    <xf numFmtId="167" fontId="65" fillId="31" borderId="62" applyAlignment="1" pivotButton="0" quotePrefix="0" xfId="0">
      <alignment horizontal="center"/>
    </xf>
    <xf numFmtId="167" fontId="65" fillId="43" borderId="65" applyAlignment="1" pivotButton="0" quotePrefix="0" xfId="0">
      <alignment horizontal="center"/>
    </xf>
    <xf numFmtId="167" fontId="65" fillId="43" borderId="66" applyAlignment="1" pivotButton="0" quotePrefix="0" xfId="0">
      <alignment horizontal="center"/>
    </xf>
    <xf numFmtId="167" fontId="65" fillId="44" borderId="68" applyAlignment="1" pivotButton="0" quotePrefix="0" xfId="0">
      <alignment horizontal="center"/>
    </xf>
    <xf numFmtId="167" fontId="65" fillId="43" borderId="68" applyAlignment="1" pivotButton="0" quotePrefix="0" xfId="0">
      <alignment horizontal="center"/>
    </xf>
    <xf numFmtId="167" fontId="65" fillId="44" borderId="70" applyAlignment="1" pivotButton="0" quotePrefix="0" xfId="0">
      <alignment horizontal="center"/>
    </xf>
    <xf numFmtId="167" fontId="65" fillId="44" borderId="71" applyAlignment="1" pivotButton="0" quotePrefix="0" xfId="0">
      <alignment horizontal="center"/>
    </xf>
    <xf numFmtId="167" fontId="65" fillId="43" borderId="63" applyAlignment="1" pivotButton="0" quotePrefix="0" xfId="0">
      <alignment horizontal="center"/>
    </xf>
    <xf numFmtId="167" fontId="66" fillId="43" borderId="50" applyAlignment="1" pivotButton="0" quotePrefix="0" xfId="0">
      <alignment horizontal="center"/>
    </xf>
    <xf numFmtId="167" fontId="65" fillId="43" borderId="54" applyAlignment="1" pivotButton="0" quotePrefix="0" xfId="0">
      <alignment horizontal="center"/>
    </xf>
    <xf numFmtId="167" fontId="65" fillId="44" borderId="56" applyAlignment="1" pivotButton="0" quotePrefix="0" xfId="0">
      <alignment horizontal="center"/>
    </xf>
    <xf numFmtId="167" fontId="65" fillId="43" borderId="56" applyAlignment="1" pivotButton="0" quotePrefix="0" xfId="0">
      <alignment horizontal="center"/>
    </xf>
    <xf numFmtId="167" fontId="65" fillId="44" borderId="59" applyAlignment="1" pivotButton="0" quotePrefix="0" xfId="0">
      <alignment horizontal="center"/>
    </xf>
    <xf numFmtId="167" fontId="65" fillId="43" borderId="59" applyAlignment="1" pivotButton="0" quotePrefix="0" xfId="0">
      <alignment horizontal="center"/>
    </xf>
    <xf numFmtId="167" fontId="65" fillId="44" borderId="54" applyAlignment="1" pivotButton="0" quotePrefix="0" xfId="0">
      <alignment horizontal="center"/>
    </xf>
    <xf numFmtId="0" fontId="1" fillId="0" borderId="1" applyAlignment="1" applyProtection="1" pivotButton="0" quotePrefix="0" xfId="0">
      <alignment horizontal="center" vertical="center"/>
      <protection locked="0" hidden="0"/>
    </xf>
    <xf numFmtId="0" fontId="0" fillId="0" borderId="10" applyProtection="1" pivotButton="0" quotePrefix="0" xfId="0">
      <protection locked="0" hidden="0"/>
    </xf>
    <xf numFmtId="0" fontId="0" fillId="0" borderId="3" applyProtection="1" pivotButton="0" quotePrefix="0" xfId="0">
      <protection locked="0" hidden="0"/>
    </xf>
    <xf numFmtId="0" fontId="3" fillId="0" borderId="1" applyAlignment="1" applyProtection="1" pivotButton="0" quotePrefix="0" xfId="0">
      <alignment horizontal="center"/>
      <protection locked="0" hidden="0"/>
    </xf>
    <xf numFmtId="164" fontId="3" fillId="0" borderId="0" pivotButton="0" quotePrefix="0" xfId="2"/>
    <xf numFmtId="164" fontId="3" fillId="0" borderId="0" pivotButton="0" quotePrefix="0" xfId="0"/>
    <xf numFmtId="0" fontId="4" fillId="12" borderId="1" applyAlignment="1" pivotButton="0" quotePrefix="0" xfId="0">
      <alignment horizontal="left" vertical="center"/>
    </xf>
    <xf numFmtId="164" fontId="4" fillId="12" borderId="1" applyAlignment="1" pivotButton="0" quotePrefix="0" xfId="2">
      <alignment horizontal="center" vertical="center" wrapText="1"/>
    </xf>
    <xf numFmtId="164" fontId="12" fillId="12" borderId="1" applyAlignment="1" pivotButton="0" quotePrefix="0" xfId="2">
      <alignment horizontal="center" vertical="center" wrapText="1"/>
    </xf>
    <xf numFmtId="168" fontId="4" fillId="7" borderId="1" applyAlignment="1" pivotButton="0" quotePrefix="0" xfId="0">
      <alignment horizontal="center"/>
    </xf>
    <xf numFmtId="165" fontId="4" fillId="7" borderId="1" applyAlignment="1" pivotButton="0" quotePrefix="0" xfId="0">
      <alignment horizontal="center"/>
    </xf>
    <xf numFmtId="165" fontId="4" fillId="15" borderId="1" applyAlignment="1" pivotButton="0" quotePrefix="0" xfId="0">
      <alignment horizontal="center"/>
    </xf>
    <xf numFmtId="165" fontId="4" fillId="10" borderId="1" applyAlignment="1" pivotButton="0" quotePrefix="0" xfId="0">
      <alignment horizontal="center"/>
    </xf>
    <xf numFmtId="165" fontId="4" fillId="6" borderId="1" applyAlignment="1" pivotButton="0" quotePrefix="0" xfId="0">
      <alignment horizontal="center"/>
    </xf>
    <xf numFmtId="0" fontId="0" fillId="0" borderId="9" pivotButton="0" quotePrefix="0" xfId="0"/>
    <xf numFmtId="165" fontId="4" fillId="10" borderId="1" applyAlignment="1" pivotButton="0" quotePrefix="0" xfId="0">
      <alignment horizontal="center" vertical="center"/>
    </xf>
    <xf numFmtId="168" fontId="4" fillId="10" borderId="1" applyAlignment="1" pivotButton="0" quotePrefix="0" xfId="0">
      <alignment horizontal="center" vertical="center"/>
    </xf>
    <xf numFmtId="165" fontId="4" fillId="15" borderId="1" applyAlignment="1" pivotButton="0" quotePrefix="0" xfId="0">
      <alignment horizontal="center" vertical="center"/>
    </xf>
    <xf numFmtId="165" fontId="4" fillId="8" borderId="1" applyAlignment="1" pivotButton="0" quotePrefix="0" xfId="0">
      <alignment horizontal="center" vertical="center"/>
    </xf>
    <xf numFmtId="165" fontId="5" fillId="0" borderId="0" applyAlignment="1" pivotButton="0" quotePrefix="0" xfId="0">
      <alignment vertical="center"/>
    </xf>
    <xf numFmtId="165" fontId="2" fillId="2" borderId="1" applyAlignment="1" pivotButton="0" quotePrefix="0" xfId="0">
      <alignment horizontal="center" vertical="center"/>
    </xf>
    <xf numFmtId="0" fontId="0" fillId="0" borderId="10" pivotButton="0" quotePrefix="0" xfId="0"/>
    <xf numFmtId="0" fontId="7" fillId="0" borderId="10" pivotButton="0" quotePrefix="0" xfId="0"/>
    <xf numFmtId="164" fontId="5" fillId="0" borderId="1" applyAlignment="1" pivotButton="0" quotePrefix="0" xfId="2">
      <alignment vertical="center"/>
    </xf>
    <xf numFmtId="0" fontId="19" fillId="0" borderId="1" applyAlignment="1" pivotButton="0" quotePrefix="0" xfId="0">
      <alignment horizontal="center" vertical="center"/>
    </xf>
    <xf numFmtId="0" fontId="63" fillId="0" borderId="1" applyAlignment="1" pivotButton="0" quotePrefix="0" xfId="0">
      <alignment horizontal="center" vertical="center"/>
    </xf>
    <xf numFmtId="164" fontId="5" fillId="0" borderId="0" applyAlignment="1" pivotButton="0" quotePrefix="0" xfId="2">
      <alignment horizontal="center" vertical="center"/>
    </xf>
    <xf numFmtId="164" fontId="4" fillId="3" borderId="1" applyAlignment="1" pivotButton="0" quotePrefix="0" xfId="2">
      <alignment horizontal="center" vertical="center"/>
    </xf>
    <xf numFmtId="164" fontId="5" fillId="0" borderId="1" applyAlignment="1" pivotButton="0" quotePrefix="0" xfId="2">
      <alignment horizontal="center" vertical="center"/>
    </xf>
    <xf numFmtId="164" fontId="5" fillId="0" borderId="0" applyAlignment="1" pivotButton="0" quotePrefix="0" xfId="2">
      <alignment vertical="center"/>
    </xf>
    <xf numFmtId="164" fontId="5" fillId="0" borderId="9" applyAlignment="1" pivotButton="0" quotePrefix="0" xfId="2">
      <alignment horizontal="center" vertical="center"/>
    </xf>
    <xf numFmtId="164" fontId="45" fillId="0" borderId="9" applyAlignment="1" pivotButton="0" quotePrefix="0" xfId="2">
      <alignment horizontal="center" vertical="center"/>
    </xf>
    <xf numFmtId="164" fontId="4" fillId="0" borderId="1" applyAlignment="1" pivotButton="0" quotePrefix="0" xfId="2">
      <alignment horizontal="center" vertical="center"/>
    </xf>
    <xf numFmtId="164" fontId="47" fillId="0" borderId="1" applyAlignment="1" pivotButton="0" quotePrefix="0" xfId="2">
      <alignment horizontal="center" vertical="center"/>
    </xf>
    <xf numFmtId="164" fontId="59" fillId="0" borderId="1" applyAlignment="1" pivotButton="0" quotePrefix="0" xfId="2">
      <alignment horizontal="center" vertical="center"/>
    </xf>
    <xf numFmtId="164" fontId="3" fillId="0" borderId="1" applyAlignment="1" pivotButton="0" quotePrefix="0" xfId="2">
      <alignment horizontal="center"/>
    </xf>
    <xf numFmtId="165" fontId="2" fillId="0" borderId="0" applyAlignment="1" pivotButton="0" quotePrefix="0" xfId="0">
      <alignment horizontal="center"/>
    </xf>
    <xf numFmtId="0" fontId="0" fillId="0" borderId="3" pivotButton="0" quotePrefix="0" xfId="0"/>
    <xf numFmtId="0" fontId="2" fillId="21" borderId="1" applyAlignment="1" pivotButton="0" quotePrefix="0" xfId="0">
      <alignment horizontal="center" vertical="center"/>
    </xf>
    <xf numFmtId="165" fontId="2" fillId="21" borderId="1" applyAlignment="1" pivotButton="0" quotePrefix="0" xfId="0">
      <alignment horizontal="center" vertical="center"/>
    </xf>
    <xf numFmtId="168" fontId="2" fillId="21" borderId="1" applyAlignment="1" pivotButton="0" quotePrefix="0" xfId="0">
      <alignment horizontal="center" vertical="center"/>
    </xf>
    <xf numFmtId="0" fontId="40" fillId="0" borderId="1" applyAlignment="1" pivotButton="0" quotePrefix="0" xfId="0">
      <alignment horizontal="left" vertical="center"/>
    </xf>
    <xf numFmtId="0" fontId="5" fillId="5" borderId="1" applyAlignment="1" pivotButton="0" quotePrefix="0" xfId="0">
      <alignment horizontal="center" vertical="center"/>
    </xf>
    <xf numFmtId="0" fontId="4" fillId="12" borderId="1" applyAlignment="1" pivotButton="0" quotePrefix="0" xfId="0">
      <alignment horizontal="center" vertical="center"/>
    </xf>
    <xf numFmtId="165" fontId="4" fillId="0" borderId="0" applyAlignment="1" pivotButton="0" quotePrefix="0" xfId="0">
      <alignment horizontal="center" vertical="center"/>
    </xf>
    <xf numFmtId="168" fontId="4" fillId="7" borderId="1" applyAlignment="1" pivotButton="0" quotePrefix="0" xfId="2">
      <alignment horizontal="center"/>
    </xf>
    <xf numFmtId="0" fontId="63" fillId="0" borderId="1" applyAlignment="1" pivotButton="0" quotePrefix="0" xfId="2">
      <alignment horizontal="center" vertical="center"/>
    </xf>
    <xf numFmtId="0" fontId="5" fillId="0" borderId="2" applyAlignment="1" pivotButton="0" quotePrefix="0" xfId="0">
      <alignment horizontal="center" vertical="center"/>
    </xf>
    <xf numFmtId="0" fontId="0" fillId="0" borderId="12" pivotButton="0" quotePrefix="0" xfId="0"/>
    <xf numFmtId="0" fontId="7" fillId="0" borderId="12" pivotButton="0" quotePrefix="0" xfId="0"/>
    <xf numFmtId="164" fontId="4" fillId="3" borderId="1" applyAlignment="1" pivotButton="0" quotePrefix="0" xfId="2">
      <alignment vertical="center"/>
    </xf>
    <xf numFmtId="164" fontId="58" fillId="0" borderId="1" applyAlignment="1" pivotButton="0" quotePrefix="0" xfId="2">
      <alignment horizontal="center" vertical="center"/>
    </xf>
    <xf numFmtId="165" fontId="4" fillId="31" borderId="1" applyAlignment="1" pivotButton="0" quotePrefix="0" xfId="0">
      <alignment horizontal="center" vertical="center"/>
    </xf>
    <xf numFmtId="3" fontId="36" fillId="0" borderId="1" applyAlignment="1" pivotButton="0" quotePrefix="0" xfId="0">
      <alignment horizontal="center" vertical="center"/>
    </xf>
    <xf numFmtId="0" fontId="36" fillId="0" borderId="1" applyAlignment="1" pivotButton="0" quotePrefix="0" xfId="0">
      <alignment horizontal="center" vertical="center"/>
    </xf>
    <xf numFmtId="165" fontId="45" fillId="17" borderId="1" applyAlignment="1" pivotButton="0" quotePrefix="0" xfId="2">
      <alignment horizontal="left" vertical="center" wrapText="1"/>
    </xf>
    <xf numFmtId="165" fontId="2" fillId="21" borderId="0" applyAlignment="1" pivotButton="0" quotePrefix="0" xfId="0">
      <alignment horizontal="center" vertical="center"/>
    </xf>
    <xf numFmtId="164" fontId="52" fillId="0" borderId="1" applyAlignment="1" pivotButton="0" quotePrefix="0" xfId="2">
      <alignment vertical="center"/>
    </xf>
    <xf numFmtId="164" fontId="52" fillId="0" borderId="1" applyAlignment="1" pivotButton="0" quotePrefix="0" xfId="2">
      <alignment horizontal="center" vertical="center"/>
    </xf>
    <xf numFmtId="164" fontId="13" fillId="0" borderId="1" applyAlignment="1" pivotButton="0" quotePrefix="0" xfId="2">
      <alignment horizontal="center" vertical="center"/>
    </xf>
    <xf numFmtId="165" fontId="4" fillId="8" borderId="1" applyAlignment="1" pivotButton="0" quotePrefix="0" xfId="0">
      <alignment horizontal="center"/>
    </xf>
    <xf numFmtId="0" fontId="27" fillId="8" borderId="73" applyAlignment="1" pivotButton="0" quotePrefix="0" xfId="0">
      <alignment horizontal="center" vertical="center"/>
    </xf>
    <xf numFmtId="0" fontId="0" fillId="0" borderId="16" pivotButton="0" quotePrefix="0" xfId="0"/>
    <xf numFmtId="0" fontId="0" fillId="0" borderId="17" pivotButton="0" quotePrefix="0" xfId="0"/>
    <xf numFmtId="0" fontId="0" fillId="0" borderId="18" pivotButton="0" quotePrefix="0" xfId="0"/>
    <xf numFmtId="0" fontId="0" fillId="0" borderId="30" pivotButton="0" quotePrefix="0" xfId="0"/>
    <xf numFmtId="0" fontId="0" fillId="0" borderId="41" pivotButton="0" quotePrefix="0" xfId="0"/>
    <xf numFmtId="0" fontId="24" fillId="0" borderId="1" applyAlignment="1" pivotButton="0" quotePrefix="0" xfId="0">
      <alignment horizontal="center"/>
    </xf>
    <xf numFmtId="0" fontId="0" fillId="0" borderId="81" pivotButton="0" quotePrefix="0" xfId="0"/>
    <xf numFmtId="168" fontId="4" fillId="9" borderId="1" applyAlignment="1" pivotButton="0" quotePrefix="0" xfId="0">
      <alignment horizontal="center" vertical="center"/>
    </xf>
    <xf numFmtId="165" fontId="4" fillId="9" borderId="1" applyAlignment="1" pivotButton="0" quotePrefix="0" xfId="0">
      <alignment horizontal="center" vertical="center"/>
    </xf>
    <xf numFmtId="165" fontId="62" fillId="30" borderId="1" applyAlignment="1" pivotButton="0" quotePrefix="0" xfId="0">
      <alignment horizontal="center" vertical="center"/>
    </xf>
    <xf numFmtId="165" fontId="2" fillId="34" borderId="1" applyAlignment="1" pivotButton="0" quotePrefix="0" xfId="0">
      <alignment horizontal="center" vertical="center"/>
    </xf>
    <xf numFmtId="165" fontId="4" fillId="6" borderId="1" applyAlignment="1" pivotButton="0" quotePrefix="0" xfId="0">
      <alignment horizontal="center" vertical="center"/>
    </xf>
    <xf numFmtId="166" fontId="4" fillId="15" borderId="1" applyAlignment="1" pivotButton="0" quotePrefix="0" xfId="6">
      <alignment horizontal="center" vertical="center"/>
    </xf>
    <xf numFmtId="0" fontId="5" fillId="0" borderId="1" applyAlignment="1" pivotButton="0" quotePrefix="0" xfId="0">
      <alignment horizontal="center" vertical="center" wrapText="1"/>
    </xf>
    <xf numFmtId="168" fontId="4" fillId="9" borderId="1" applyAlignment="1" pivotButton="0" quotePrefix="0" xfId="2">
      <alignment horizontal="center" vertical="center"/>
    </xf>
    <xf numFmtId="165" fontId="4" fillId="0" borderId="1" applyAlignment="1" pivotButton="0" quotePrefix="0" xfId="0">
      <alignment horizontal="center" vertical="center"/>
    </xf>
    <xf numFmtId="0" fontId="18" fillId="0" borderId="1" applyAlignment="1" pivotButton="0" quotePrefix="0" xfId="0">
      <alignment horizontal="center" vertical="center"/>
    </xf>
    <xf numFmtId="164" fontId="3" fillId="22" borderId="1" applyAlignment="1" pivotButton="0" quotePrefix="0" xfId="2">
      <alignment horizontal="center"/>
    </xf>
    <xf numFmtId="164" fontId="3" fillId="0" borderId="0" applyAlignment="1" pivotButton="0" quotePrefix="0" xfId="2">
      <alignment horizontal="center"/>
    </xf>
    <xf numFmtId="164" fontId="3" fillId="0" borderId="2" applyAlignment="1" pivotButton="0" quotePrefix="0" xfId="2">
      <alignment horizontal="center"/>
    </xf>
    <xf numFmtId="0" fontId="0" fillId="0" borderId="48" pivotButton="0" quotePrefix="0" xfId="0"/>
    <xf numFmtId="0" fontId="7" fillId="0" borderId="48" pivotButton="0" quotePrefix="0" xfId="0"/>
    <xf numFmtId="165" fontId="4" fillId="10" borderId="9" applyAlignment="1" pivotButton="0" quotePrefix="0" xfId="0">
      <alignment horizontal="center" vertical="center"/>
    </xf>
    <xf numFmtId="165" fontId="45" fillId="0" borderId="1" applyAlignment="1" pivotButton="0" quotePrefix="0" xfId="2">
      <alignment horizontal="left" vertical="center" wrapText="1"/>
    </xf>
    <xf numFmtId="165" fontId="2" fillId="30" borderId="6" applyAlignment="1" pivotButton="0" quotePrefix="0" xfId="2">
      <alignment horizontal="center" vertical="center" wrapText="1"/>
    </xf>
    <xf numFmtId="165" fontId="2" fillId="35" borderId="1" applyAlignment="1" pivotButton="0" quotePrefix="0" xfId="0">
      <alignment horizontal="center" vertical="center"/>
    </xf>
    <xf numFmtId="165" fontId="2" fillId="37" borderId="1" applyAlignment="1" pivotButton="0" quotePrefix="0" xfId="0">
      <alignment horizontal="center" vertical="center"/>
    </xf>
    <xf numFmtId="165" fontId="2" fillId="30" borderId="1" applyAlignment="1" pivotButton="0" quotePrefix="0" xfId="0">
      <alignment horizontal="center"/>
    </xf>
    <xf numFmtId="164" fontId="5" fillId="22" borderId="1" applyAlignment="1" pivotButton="0" quotePrefix="0" xfId="2">
      <alignment vertical="center"/>
    </xf>
    <xf numFmtId="164" fontId="5" fillId="0" borderId="0" pivotButton="0" quotePrefix="0" xfId="2"/>
    <xf numFmtId="0" fontId="60" fillId="15" borderId="82" applyAlignment="1" pivotButton="0" quotePrefix="0" xfId="0">
      <alignment horizontal="center"/>
    </xf>
    <xf numFmtId="0" fontId="0" fillId="0" borderId="49" pivotButton="0" quotePrefix="0" xfId="0"/>
    <xf numFmtId="0" fontId="3" fillId="13" borderId="1" applyAlignment="1" pivotButton="0" quotePrefix="0" xfId="0">
      <alignment horizontal="center" vertical="center"/>
    </xf>
    <xf numFmtId="165" fontId="4" fillId="31" borderId="1" applyAlignment="1" pivotButton="0" quotePrefix="0" xfId="0">
      <alignment horizontal="center"/>
    </xf>
    <xf numFmtId="0" fontId="0" fillId="0" borderId="21" pivotButton="0" quotePrefix="0" xfId="0"/>
    <xf numFmtId="0" fontId="27" fillId="18" borderId="73" applyAlignment="1" pivotButton="0" quotePrefix="0" xfId="0">
      <alignment horizontal="center" vertical="center"/>
    </xf>
    <xf numFmtId="0" fontId="27" fillId="18" borderId="84" applyAlignment="1" pivotButton="0" quotePrefix="0" xfId="0">
      <alignment horizontal="center" vertical="center"/>
    </xf>
    <xf numFmtId="0" fontId="0" fillId="0" borderId="25" pivotButton="0" quotePrefix="0" xfId="0"/>
    <xf numFmtId="0" fontId="27" fillId="20" borderId="9" applyAlignment="1" pivotButton="0" quotePrefix="0" xfId="0">
      <alignment horizontal="center" vertical="center"/>
    </xf>
    <xf numFmtId="0" fontId="0" fillId="0" borderId="11" pivotButton="0" quotePrefix="0" xfId="0"/>
    <xf numFmtId="0" fontId="27" fillId="28" borderId="88" applyAlignment="1" pivotButton="0" quotePrefix="0" xfId="0">
      <alignment horizontal="center" vertical="center"/>
    </xf>
    <xf numFmtId="0" fontId="0" fillId="0" borderId="32" pivotButton="0" quotePrefix="0" xfId="0"/>
    <xf numFmtId="0" fontId="0" fillId="0" borderId="33" pivotButton="0" quotePrefix="0" xfId="0"/>
    <xf numFmtId="0" fontId="27" fillId="28" borderId="1" applyAlignment="1" pivotButton="0" quotePrefix="0" xfId="0">
      <alignment horizontal="center" vertical="center"/>
    </xf>
    <xf numFmtId="0" fontId="0" fillId="0" borderId="87" pivotButton="0" quotePrefix="0" xfId="0"/>
    <xf numFmtId="0" fontId="0" fillId="0" borderId="89" pivotButton="0" quotePrefix="0" xfId="0"/>
    <xf numFmtId="0" fontId="0" fillId="0" borderId="91" pivotButton="0" quotePrefix="0" xfId="0"/>
    <xf numFmtId="0" fontId="27" fillId="35" borderId="1" applyAlignment="1" pivotButton="0" quotePrefix="0" xfId="0">
      <alignment horizontal="center" vertical="center"/>
    </xf>
    <xf numFmtId="0" fontId="27" fillId="35" borderId="1" applyAlignment="1" pivotButton="0" quotePrefix="0" xfId="0">
      <alignment horizontal="center" vertical="center" wrapText="1"/>
    </xf>
    <xf numFmtId="164" fontId="4" fillId="16" borderId="6" applyAlignment="1" pivotButton="0" quotePrefix="0" xfId="2">
      <alignment horizontal="center" vertical="center" wrapText="1"/>
    </xf>
    <xf numFmtId="164" fontId="10" fillId="16" borderId="6" applyAlignment="1" pivotButton="0" quotePrefix="0" xfId="2">
      <alignment horizontal="center" vertical="center" wrapText="1"/>
    </xf>
    <xf numFmtId="164" fontId="9" fillId="11" borderId="8" applyAlignment="1" pivotButton="0" quotePrefix="0" xfId="2">
      <alignment vertical="center"/>
    </xf>
    <xf numFmtId="164" fontId="9" fillId="11" borderId="7" applyAlignment="1" pivotButton="0" quotePrefix="0" xfId="2">
      <alignment vertical="center"/>
    </xf>
    <xf numFmtId="164" fontId="4" fillId="3" borderId="10" applyAlignment="1" pivotButton="0" quotePrefix="0" xfId="2">
      <alignment vertical="center"/>
    </xf>
    <xf numFmtId="164" fontId="9" fillId="11" borderId="9" applyAlignment="1" pivotButton="0" quotePrefix="0" xfId="2">
      <alignment horizontal="center" vertical="center"/>
    </xf>
    <xf numFmtId="164" fontId="9" fillId="11" borderId="12" applyAlignment="1" pivotButton="0" quotePrefix="0" xfId="2">
      <alignment horizontal="center" vertical="center"/>
    </xf>
    <xf numFmtId="164" fontId="4" fillId="3" borderId="10" applyAlignment="1" pivotButton="0" quotePrefix="0" xfId="2">
      <alignment horizontal="center" vertical="center"/>
    </xf>
    <xf numFmtId="164" fontId="9" fillId="11" borderId="1" applyAlignment="1" pivotButton="0" quotePrefix="0" xfId="2">
      <alignment horizontal="center" vertical="center"/>
    </xf>
    <xf numFmtId="164" fontId="9" fillId="11" borderId="1" applyAlignment="1" pivotButton="0" quotePrefix="0" xfId="2">
      <alignment vertical="center"/>
    </xf>
    <xf numFmtId="164" fontId="9" fillId="4" borderId="1" applyAlignment="1" pivotButton="0" quotePrefix="0" xfId="2">
      <alignment horizontal="center" vertical="center"/>
    </xf>
    <xf numFmtId="0" fontId="0" fillId="0" borderId="19" pivotButton="0" quotePrefix="0" xfId="0"/>
    <xf numFmtId="0" fontId="27" fillId="32" borderId="88" applyAlignment="1" pivotButton="0" quotePrefix="0" xfId="0">
      <alignment horizontal="center" vertical="center"/>
    </xf>
    <xf numFmtId="0" fontId="48" fillId="30" borderId="1" applyAlignment="1" pivotButton="0" quotePrefix="0" xfId="0">
      <alignment horizontal="center"/>
    </xf>
    <xf numFmtId="0" fontId="27" fillId="32" borderId="1" applyAlignment="1" pivotButton="0" quotePrefix="0" xfId="0">
      <alignment horizontal="center" vertical="center"/>
    </xf>
    <xf numFmtId="165" fontId="49" fillId="0" borderId="1" applyAlignment="1" pivotButton="0" quotePrefix="0" xfId="0">
      <alignment horizontal="center"/>
    </xf>
    <xf numFmtId="0" fontId="0" fillId="0" borderId="46" pivotButton="0" quotePrefix="0" xfId="0"/>
  </cellXfs>
  <cellStyles count="38">
    <cellStyle name="Normal" xfId="0" builtinId="0"/>
    <cellStyle name="Normal 2" xfId="1"/>
    <cellStyle name="Moeda" xfId="2" builtinId="4"/>
    <cellStyle name="Moeda 2" xfId="3"/>
    <cellStyle name="Normal 3" xfId="4"/>
    <cellStyle name="Normal 4" xfId="5"/>
    <cellStyle name="Vírgula" xfId="6" builtinId="3"/>
    <cellStyle name="Moeda 2 2" xfId="7"/>
    <cellStyle name="Normal 4 2" xfId="8"/>
    <cellStyle name="Normal 2 2" xfId="9"/>
    <cellStyle name="Moeda 2 3" xfId="10"/>
    <cellStyle name="Normal 4 3" xfId="11"/>
    <cellStyle name="Moeda 2 4" xfId="12"/>
    <cellStyle name="Moeda 2 5" xfId="13"/>
    <cellStyle name="Moeda 2 6" xfId="14"/>
    <cellStyle name="Moeda 2 7" xfId="15"/>
    <cellStyle name="Moeda 2 8" xfId="16"/>
    <cellStyle name="Moeda 2 9" xfId="17"/>
    <cellStyle name="Moeda 2 10" xfId="18"/>
    <cellStyle name="Moeda 2 11" xfId="19"/>
    <cellStyle name="Moeda 2 12" xfId="20"/>
    <cellStyle name="Moeda 2 13" xfId="21"/>
    <cellStyle name="Moeda 2 14" xfId="22"/>
    <cellStyle name="Moeda 2 15" xfId="23"/>
    <cellStyle name="Moeda 2 16" xfId="24"/>
    <cellStyle name="Moeda 2 17" xfId="25"/>
    <cellStyle name="Moeda 2 18" xfId="26"/>
    <cellStyle name="Moeda 3" xfId="27"/>
    <cellStyle name="Moeda 2 19" xfId="28"/>
    <cellStyle name="Normal 4 2 2" xfId="29"/>
    <cellStyle name="Moeda 2 2 2" xfId="30"/>
    <cellStyle name="Moeda 2 3 2" xfId="31"/>
    <cellStyle name="Moeda 2 4 2" xfId="32"/>
    <cellStyle name="Moeda 2 6 2" xfId="33"/>
    <cellStyle name="Moeda 2 5 2" xfId="34"/>
    <cellStyle name="Normal 4 3 2" xfId="35"/>
    <cellStyle name="Moeda 2 7 2" xfId="36"/>
    <cellStyle name="Moeda 2 8 2" xfId="37"/>
  </cellStyles>
  <dxfs count="63"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</dxf>
    <dxf>
      <font>
        <name val="Calibri"/>
        <family val="2"/>
        <strike val="0"/>
        <outline val="0"/>
        <shadow val="0"/>
        <sz val="11"/>
        <vertAlign val="baseline"/>
      </font>
    </dxf>
    <dxf>
      <font>
        <name val="Calibri"/>
        <family val="2"/>
        <strike val="0"/>
        <outline val="0"/>
        <shadow val="0"/>
        <sz val="11"/>
        <vertAlign val="baseline"/>
        <scheme val="minor"/>
      </font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</dxf>
    <dxf>
      <font>
        <name val="Calibri"/>
        <family val="2"/>
        <strike val="0"/>
        <outline val="0"/>
        <shadow val="0"/>
        <sz val="11"/>
        <vertAlign val="baseline"/>
        <scheme val="minor"/>
      </font>
    </dxf>
    <dxf>
      <font>
        <name val="Calibri"/>
        <family val="2"/>
        <strike val="0"/>
        <outline val="0"/>
        <shadow val="0"/>
        <sz val="11"/>
        <vertAlign val="baseline"/>
        <scheme val="minor"/>
      </font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worksheet" Target="/xl/worksheets/sheet18.xml" Id="rId18" /><Relationship Type="http://schemas.openxmlformats.org/officeDocument/2006/relationships/worksheet" Target="/xl/worksheets/sheet19.xml" Id="rId19" /><Relationship Type="http://schemas.openxmlformats.org/officeDocument/2006/relationships/worksheet" Target="/xl/worksheets/sheet20.xml" Id="rId20" /><Relationship Type="http://schemas.openxmlformats.org/officeDocument/2006/relationships/worksheet" Target="/xl/worksheets/sheet21.xml" Id="rId21" /><Relationship Type="http://schemas.openxmlformats.org/officeDocument/2006/relationships/worksheet" Target="/xl/worksheets/sheet22.xml" Id="rId22" /><Relationship Type="http://schemas.openxmlformats.org/officeDocument/2006/relationships/worksheet" Target="/xl/worksheets/sheet23.xml" Id="rId23" /><Relationship Type="http://schemas.openxmlformats.org/officeDocument/2006/relationships/worksheet" Target="/xl/worksheets/sheet24.xml" Id="rId24" /><Relationship Type="http://schemas.openxmlformats.org/officeDocument/2006/relationships/worksheet" Target="/xl/worksheets/sheet25.xml" Id="rId25" /><Relationship Type="http://schemas.openxmlformats.org/officeDocument/2006/relationships/worksheet" Target="/xl/worksheets/sheet26.xml" Id="rId26" /><Relationship Type="http://schemas.openxmlformats.org/officeDocument/2006/relationships/worksheet" Target="/xl/worksheets/sheet27.xml" Id="rId27" /><Relationship Type="http://schemas.openxmlformats.org/officeDocument/2006/relationships/worksheet" Target="/xl/worksheets/sheet28.xml" Id="rId28" /><Relationship Type="http://schemas.openxmlformats.org/officeDocument/2006/relationships/worksheet" Target="/xl/worksheets/sheet29.xml" Id="rId29" /><Relationship Type="http://schemas.openxmlformats.org/officeDocument/2006/relationships/worksheet" Target="/xl/worksheets/sheet30.xml" Id="rId30" /><Relationship Type="http://schemas.openxmlformats.org/officeDocument/2006/relationships/worksheet" Target="/xl/worksheets/sheet31.xml" Id="rId31" /><Relationship Type="http://schemas.openxmlformats.org/officeDocument/2006/relationships/worksheet" Target="/xl/worksheets/sheet32.xml" Id="rId32" /><Relationship Type="http://schemas.openxmlformats.org/officeDocument/2006/relationships/worksheet" Target="/xl/worksheets/sheet33.xml" Id="rId33" /><Relationship Type="http://schemas.openxmlformats.org/officeDocument/2006/relationships/worksheet" Target="/xl/worksheets/sheet34.xml" Id="rId34" /><Relationship Type="http://schemas.openxmlformats.org/officeDocument/2006/relationships/worksheet" Target="/xl/worksheets/sheet35.xml" Id="rId35" /><Relationship Type="http://schemas.openxmlformats.org/officeDocument/2006/relationships/worksheet" Target="/xl/worksheets/sheet36.xml" Id="rId36" /><Relationship Type="http://schemas.openxmlformats.org/officeDocument/2006/relationships/worksheet" Target="/xl/worksheets/sheet37.xml" Id="rId37" /><Relationship Type="http://schemas.openxmlformats.org/officeDocument/2006/relationships/worksheet" Target="/xl/worksheets/sheet38.xml" Id="rId38" /><Relationship Type="http://schemas.openxmlformats.org/officeDocument/2006/relationships/externalLink" Target="/xl/externalLinks/externalLink1.xml" Id="rId39" /><Relationship Type="http://schemas.openxmlformats.org/officeDocument/2006/relationships/styles" Target="styles.xml" Id="rId40" /><Relationship Type="http://schemas.openxmlformats.org/officeDocument/2006/relationships/theme" Target="theme/theme1.xml" Id="rId41" /><Relationship Type="http://schemas.microsoft.com/office/2006/relationships/vbaProject" Target="vbaProject.bin" Id="rId42" /></Relationships>
</file>

<file path=xl/comments/comment1.xml><?xml version="1.0" encoding="utf-8"?>
<comments xmlns="http://schemas.openxmlformats.org/spreadsheetml/2006/main">
  <authors>
    <author>Stiphanie da Silva Lima</author>
  </authors>
  <commentList>
    <comment ref="Z23" authorId="0" shapeId="0">
      <text>
        <t xml:space="preserve">Stiphanie da Silva Lima:
13/05 - AJUSTE INVENTÁRIO = 17 UNIDADES </t>
      </text>
    </comment>
  </commentList>
</comments>
</file>

<file path=xl/comments/comment2.xml><?xml version="1.0" encoding="utf-8"?>
<comments xmlns="http://schemas.openxmlformats.org/spreadsheetml/2006/main">
  <authors>
    <author>Leticia</author>
    <author>Stiphanie da Silva Lima</author>
  </authors>
  <commentList>
    <comment ref="D10" authorId="0" shapeId="0">
      <text>
        <t>Leticia:
muito estranho estarem gastando tão poucas sacolas M, ir analisando o progresso e ajustar quando tiver mais histórico</t>
      </text>
    </comment>
    <comment ref="AU10" authorId="1" shapeId="0">
      <text>
        <t>Stiphanie da Silva Lima:
CONSUMO</t>
      </text>
    </comment>
    <comment ref="AU16" authorId="1" shapeId="0">
      <text>
        <t>Stiphanie da Silva Lima:
VENDA</t>
      </text>
    </comment>
    <comment ref="AQ19" authorId="1" shapeId="0">
      <text>
        <t>Stiphanie da Silva Lima:
KIT PAPEL SEDA - 10 PC C/ 20 UND</t>
      </text>
    </comment>
    <comment ref="AU19" authorId="1" shapeId="0">
      <text>
        <t xml:space="preserve">Stiphanie da Silva Lima:
CONSUMO
</t>
      </text>
    </comment>
    <comment ref="AU20" authorId="1" shapeId="0">
      <text>
        <t>Stiphanie da Silva Lima:
3 PCT C/ 1000 UND - CONSUMO</t>
      </text>
    </comment>
    <comment ref="AU21" authorId="1" shapeId="0">
      <text>
        <t xml:space="preserve">Stiphanie da Silva Lima:
10 PCT C/ 20 UND - VENDA
</t>
      </text>
    </comment>
    <comment ref="AQ26" authorId="1" shapeId="0">
      <text>
        <t>Stiphanie da Silva Lima:
CARTUCHO M</t>
      </text>
    </comment>
  </commentList>
</comments>
</file>

<file path=xl/comments/comment3.xml><?xml version="1.0" encoding="utf-8"?>
<comments xmlns="http://schemas.openxmlformats.org/spreadsheetml/2006/main">
  <authors>
    <author>Stiphanie da Silva Lima</author>
  </authors>
  <commentList>
    <comment ref="AN10" authorId="0" shapeId="0">
      <text>
        <t>Stiphanie da Silva Lima:
CONSUMO</t>
      </text>
    </comment>
    <comment ref="AN16" authorId="0" shapeId="0">
      <text>
        <t xml:space="preserve">Stiphanie da Silva Lima:
CONSUMO
</t>
      </text>
    </comment>
    <comment ref="AN17" authorId="0" shapeId="0">
      <text>
        <t>Stiphanie da Silva Lima:
3 PCT C/ 1000 UND - CONSUMO</t>
      </text>
    </comment>
    <comment ref="BB34" authorId="0" shapeId="0">
      <text>
        <t>Stiphanie da Silva Lima:
CARTUCHO P HARRY POTTER</t>
      </text>
    </comment>
  </commentList>
</comments>
</file>

<file path=xl/comments/comment4.xml><?xml version="1.0" encoding="utf-8"?>
<comments xmlns="http://schemas.openxmlformats.org/spreadsheetml/2006/main">
  <authors>
    <author>Leticia</author>
    <author>Stiphanie da Silva Lima</author>
  </authors>
  <commentList>
    <comment ref="D10" authorId="0" shapeId="0">
      <text>
        <t>Leticia:
muito estranho estarem gastando tão poucas sacolas M, ir analisando o progresso e ajustar quando tiver mais histórico</t>
      </text>
    </comment>
    <comment ref="AQ10" authorId="1" shapeId="0">
      <text>
        <t>Stiphanie da Silva Lima:
CONSUMO</t>
      </text>
    </comment>
    <comment ref="AQ16" authorId="1" shapeId="0">
      <text>
        <t>Stiphanie da Silva Lima:
VENDA</t>
      </text>
    </comment>
    <comment ref="AM19" authorId="1" shapeId="0">
      <text>
        <t>Stiphanie da Silva Lima:
KIT PAPEL SEDA - 10 PC C/ 20 UND</t>
      </text>
    </comment>
    <comment ref="AQ19" authorId="1" shapeId="0">
      <text>
        <t xml:space="preserve">Stiphanie da Silva Lima:
CONSUMO
</t>
      </text>
    </comment>
    <comment ref="AQ20" authorId="1" shapeId="0">
      <text>
        <t>Stiphanie da Silva Lima:
3 PCT C/ 1000 UND - CONSUMO</t>
      </text>
    </comment>
    <comment ref="AQ21" authorId="1" shapeId="0">
      <text>
        <t xml:space="preserve">Stiphanie da Silva Lima:
10 PCT C/ 20 UND - VENDA
</t>
      </text>
    </comment>
    <comment ref="AM26" authorId="1" shapeId="0">
      <text>
        <t>Stiphanie da Silva Lima:
CARTUCHO M</t>
      </text>
    </comment>
  </commentList>
</comments>
</file>

<file path=xl/comments/comment5.xml><?xml version="1.0" encoding="utf-8"?>
<comments xmlns="http://schemas.openxmlformats.org/spreadsheetml/2006/main">
  <authors>
    <author>Stiphanie da Silva Lima</author>
  </authors>
  <commentList>
    <comment ref="AW10" authorId="0" shapeId="0">
      <text>
        <t>Stiphanie da Silva Lima:
CONSUMO</t>
      </text>
    </comment>
    <comment ref="AW16" authorId="0" shapeId="0">
      <text>
        <t xml:space="preserve">Stiphanie da Silva Lima:
CONSUMO
</t>
      </text>
    </comment>
    <comment ref="AW17" authorId="0" shapeId="0">
      <text>
        <t>Stiphanie da Silva Lima:
3 PCT C/ 1000 UND - CONSUMO</t>
      </text>
    </comment>
    <comment ref="AW29" authorId="0" shapeId="0">
      <text>
        <t>Stiphanie da Silva Lima:
VENDA</t>
      </text>
    </comment>
    <comment ref="AW42" authorId="0" shapeId="0">
      <text>
        <t xml:space="preserve">Stiphanie da Silva Lima:
CARTUCHO P - VENDA
</t>
      </text>
    </comment>
    <comment ref="AV43" authorId="0" shapeId="0">
      <text>
        <t>Stiphanie da Silva Lima:
CARTUCHO M - VENDA</t>
      </text>
    </comment>
  </commentList>
</comments>
</file>

<file path=xl/comments/comment6.xml><?xml version="1.0" encoding="utf-8"?>
<comments xmlns="http://schemas.openxmlformats.org/spreadsheetml/2006/main">
  <authors>
    <author>Stiphanie da Silva Lima</author>
  </authors>
  <commentList>
    <comment ref="AS10" authorId="0" shapeId="0">
      <text>
        <t>Stiphanie da Silva Lima:
CONSUMO</t>
      </text>
    </comment>
    <comment ref="AS16" authorId="0" shapeId="0">
      <text>
        <t xml:space="preserve">Stiphanie da Silva Lima:
CONSUMO
</t>
      </text>
    </comment>
    <comment ref="AS17" authorId="0" shapeId="0">
      <text>
        <t>Stiphanie da Silva Lima:
3 PCT C/ 1000 UND - CONSUMO</t>
      </text>
    </comment>
    <comment ref="AS29" authorId="0" shapeId="0">
      <text>
        <t>Stiphanie da Silva Lima:
VENDA</t>
      </text>
    </comment>
    <comment ref="AS42" authorId="0" shapeId="0">
      <text>
        <t xml:space="preserve">Stiphanie da Silva Lima:
CARTUCHO P - VENDA
</t>
      </text>
    </comment>
    <comment ref="AR43" authorId="0" shapeId="0">
      <text>
        <t>Stiphanie da Silva Lima:
CARTUCHO M - VENDA</t>
      </text>
    </comment>
  </commentList>
</comments>
</file>

<file path=xl/comments/comment7.xml><?xml version="1.0" encoding="utf-8"?>
<comments xmlns="http://schemas.openxmlformats.org/spreadsheetml/2006/main">
  <authors>
    <author>Stiphanie da Silva Lima</author>
  </authors>
  <commentList>
    <comment ref="AS10" authorId="0" shapeId="0">
      <text>
        <t>Stiphanie da Silva Lima:
CONSUMO</t>
      </text>
    </comment>
    <comment ref="AS16" authorId="0" shapeId="0">
      <text>
        <t xml:space="preserve">Stiphanie da Silva Lima:
CONSUMO
</t>
      </text>
    </comment>
    <comment ref="AS17" authorId="0" shapeId="0">
      <text>
        <t>Stiphanie da Silva Lima:
3 PCT C/ 1000 UND - CONSUMO</t>
      </text>
    </comment>
    <comment ref="BG34" authorId="0" shapeId="0">
      <text>
        <t>Stiphanie da Silva Lima:
CARTUCHO P HARRY POTTER</t>
      </text>
    </comment>
  </commentList>
</comments>
</file>

<file path=xl/comments/comment8.xml><?xml version="1.0" encoding="utf-8"?>
<comments xmlns="http://schemas.openxmlformats.org/spreadsheetml/2006/main">
  <authors>
    <author>Stiphanie da Silva Lima</author>
  </authors>
  <commentList>
    <comment ref="AO10" authorId="0" shapeId="0">
      <text>
        <t>Stiphanie da Silva Lima:
CONSUMO</t>
      </text>
    </comment>
    <comment ref="AO16" authorId="0" shapeId="0">
      <text>
        <t xml:space="preserve">Stiphanie da Silva Lima:
CONSUMO
</t>
      </text>
    </comment>
    <comment ref="AO17" authorId="0" shapeId="0">
      <text>
        <t>Stiphanie da Silva Lima:
3 PCT C/ 1000 UND - CONSUMO</t>
      </text>
    </comment>
    <comment ref="BC34" authorId="0" shapeId="0">
      <text>
        <t>Stiphanie da Silva Lima:
CARTUCHO P HARRY POTTER</t>
      </text>
    </comment>
  </commentList>
</comments>
</file>

<file path=xl/externalLinks/_rels/externalLink1.xml.rels><Relationships xmlns="http://schemas.openxmlformats.org/package/2006/relationships"><Relationship Type="http://schemas.openxmlformats.org/officeDocument/2006/relationships/externalLinkPath" Target="file:///P:\Publico\Marcus%20V\Contagem%20Antilhas\Backups\JA&#218;%20-%20Contagem%20Antilhas%20-%202026_backup_2026-04-30_09-59-51.xlsm" TargetMode="External" Id="rId2" /></Relationships>
</file>

<file path=xl/externalLinks/externalLink1.xml><?xml version="1.0" encoding="utf-8"?>
<externalLink xmlns:r="http://schemas.openxmlformats.org/officeDocument/2006/relationships" xmlns="http://schemas.openxmlformats.org/spreadsheetml/2006/main">
  <externalBook r:id="rId1">
    <sheetNames>
      <sheetName val="AUXILIAR"/>
      <sheetName val="__BKP__AUXILIAR"/>
      <sheetName val="AUXILIAR VD'S"/>
      <sheetName val="__BKP__AUXILIAR VD'S"/>
      <sheetName val="JC 3822"/>
      <sheetName val="__BKP__JC 3822"/>
      <sheetName val="JD 14446"/>
      <sheetName val="__BKP__JD 14446"/>
      <sheetName val="BB 12066"/>
      <sheetName val="__BKP__BB 12066"/>
      <sheetName val="SM 23048"/>
      <sheetName val="__BKP__SM 23048"/>
      <sheetName val="JSH 11722"/>
      <sheetName val="__BKP__JSH 11722"/>
      <sheetName val="CONF 14553"/>
      <sheetName val="Planilha1"/>
      <sheetName val="__BKP__CONF 14553"/>
      <sheetName val="DC 7529"/>
      <sheetName val="__BKP__DC 7529"/>
      <sheetName val="IT 6942"/>
      <sheetName val="__BKP__IT 6942"/>
      <sheetName val="BR 6954"/>
      <sheetName val="__BKP__BR 6954"/>
      <sheetName val="CDJ 23091"/>
      <sheetName val="__BKP__CDJ 23091"/>
      <sheetName val="ERJ 22838"/>
      <sheetName val="TOTAL ITENS DOADOS NATAL.22"/>
      <sheetName val="TOTAL ITENS DOADOS MÃES"/>
      <sheetName val="__BKP__ERJ 22838"/>
      <sheetName val="ER SM 24137"/>
      <sheetName val="__BKP__ER SM 24137"/>
      <sheetName val="TOTAL ITENS DOADOS 2026"/>
      <sheetName val="TOTAL ITENS DOADOS NAMORADOS"/>
      <sheetName val="TOTAL ITENS DOADOS PAIS"/>
      <sheetName val="TOTAL ITENS DOADOS DISNEY"/>
      <sheetName val="LOJAS JAÚ"/>
      <sheetName val="TOTAL ITENS DOADOS NATA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3">
          <cell r="A33" t="str">
            <v>SACOLA P OUI</v>
          </cell>
        </row>
        <row r="34">
          <cell r="A34" t="str">
            <v>SACOLA M OUI</v>
          </cell>
        </row>
        <row r="35">
          <cell r="A35" t="str">
            <v>SACOLA G OUI</v>
          </cell>
        </row>
        <row r="36">
          <cell r="A36" t="str">
            <v>SACO M OUI (BRINDE)</v>
          </cell>
        </row>
        <row r="39">
          <cell r="A39" t="str">
            <v>KIT CAIXA P OUI</v>
          </cell>
        </row>
        <row r="40">
          <cell r="A40" t="str">
            <v>KIT CAIXA M OUI</v>
          </cell>
        </row>
        <row r="41">
          <cell r="A41" t="str">
            <v>KIT CAIXA G OUI</v>
          </cell>
        </row>
        <row r="43">
          <cell r="A43" t="str">
            <v>SACOLAS E CAIXAS QDB</v>
          </cell>
        </row>
        <row r="44">
          <cell r="A44" t="str">
            <v>SACOLA P - QDB</v>
          </cell>
        </row>
        <row r="45">
          <cell r="A45" t="str">
            <v>SACOLA M - QDB</v>
          </cell>
        </row>
        <row r="46">
          <cell r="A46" t="str">
            <v>SACOLA G - QDB</v>
          </cell>
        </row>
        <row r="47">
          <cell r="A47" t="str">
            <v>CAIXA P QDB</v>
          </cell>
        </row>
        <row r="48">
          <cell r="A48" t="str">
            <v>CAIXA M QDB</v>
          </cell>
        </row>
        <row r="49">
          <cell r="A49" t="str">
            <v>CAIXA G QDB</v>
          </cell>
        </row>
      </sheetData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tables/table1.xml><?xml version="1.0" encoding="utf-8"?>
<table xmlns="http://schemas.openxmlformats.org/spreadsheetml/2006/main" id="1" name="saldo_estoque_18_05_2026" displayName="saldo_estoque_18_05_2026" ref="A1:X31" headerRowCount="1" totalsRowShown="0" headerRowDxfId="62" dataDxfId="61">
  <tableColumns count="24">
    <tableColumn id="1" name="Produtos" dataDxfId="60"/>
    <tableColumn id="2" name="12973" dataDxfId="59"/>
    <tableColumn id="3" name="11734" dataDxfId="58"/>
    <tableColumn id="4" name="14462" dataDxfId="57"/>
    <tableColumn id="5" name="5418" dataDxfId="56"/>
    <tableColumn id="6" name="11733" dataDxfId="55"/>
    <tableColumn id="7" name="23012" dataDxfId="54"/>
    <tableColumn id="8" name="6700" dataDxfId="53"/>
    <tableColumn id="9" name="13868" dataDxfId="52"/>
    <tableColumn id="10" name="13370" dataDxfId="51"/>
    <tableColumn id="11" name="20000" dataDxfId="50"/>
    <tableColumn id="12" name="23049" dataDxfId="49"/>
    <tableColumn id="13" name="6727" dataDxfId="48"/>
    <tableColumn id="14" name="12466" dataDxfId="47"/>
    <tableColumn id="15" name="12942" dataDxfId="46"/>
    <tableColumn id="16" name="3822" dataDxfId="45"/>
    <tableColumn id="17" name="14446" dataDxfId="44"/>
    <tableColumn id="18" name="12066" dataDxfId="43"/>
    <tableColumn id="19" name="23048" dataDxfId="42"/>
    <tableColumn id="20" name="11722" dataDxfId="41"/>
    <tableColumn id="21" name="14553" dataDxfId="40"/>
    <tableColumn id="22" name="7529" dataDxfId="39"/>
    <tableColumn id="23" name="6942" dataDxfId="38"/>
    <tableColumn id="24" name="6954" dataDxfId="3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2" name="saldo_estoque_18_05_20264" displayName="saldo_estoque_18_05_20264" ref="A1:X31" headerRowCount="1" totalsRowShown="0" headerRowDxfId="36" dataDxfId="35">
  <tableColumns count="24">
    <tableColumn id="1" name="Produtos" dataDxfId="34"/>
    <tableColumn id="2" name="12973" dataDxfId="33"/>
    <tableColumn id="3" name="11734" dataDxfId="32"/>
    <tableColumn id="4" name="14462" dataDxfId="31"/>
    <tableColumn id="5" name="5418" dataDxfId="30"/>
    <tableColumn id="6" name="11733" dataDxfId="29"/>
    <tableColumn id="7" name="23012" dataDxfId="28"/>
    <tableColumn id="8" name="6700" dataDxfId="27"/>
    <tableColumn id="9" name="13868" dataDxfId="26"/>
    <tableColumn id="10" name="13370" dataDxfId="25"/>
    <tableColumn id="11" name="20000" dataDxfId="24"/>
    <tableColumn id="12" name="23049" dataDxfId="23"/>
    <tableColumn id="13" name="6727" dataDxfId="22"/>
    <tableColumn id="14" name="12466" dataDxfId="21"/>
    <tableColumn id="15" name="12942" dataDxfId="20"/>
    <tableColumn id="16" name="3822" dataDxfId="19"/>
    <tableColumn id="17" name="14446" dataDxfId="18"/>
    <tableColumn id="18" name="12066" dataDxfId="17"/>
    <tableColumn id="19" name="23048" dataDxfId="16"/>
    <tableColumn id="20" name="11722" dataDxfId="15"/>
    <tableColumn id="21" name="14553" dataDxfId="14"/>
    <tableColumn id="22" name="7529" dataDxfId="13"/>
    <tableColumn id="23" name="6942" dataDxfId="12"/>
    <tableColumn id="24" name="6954" dataDxfId="1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2.xml.rels><Relationships xmlns="http://schemas.openxmlformats.org/package/2006/relationships"><Relationship Type="http://schemas.openxmlformats.org/officeDocument/2006/relationships/table" Target="/xl/tables/table2.xml" Id="rId1" /></Relationships>
</file>

<file path=xl/worksheets/_rels/sheet5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_rels/sheet26.xml.rels><Relationships xmlns="http://schemas.openxmlformats.org/package/2006/relationships"><Relationship Type="http://schemas.openxmlformats.org/officeDocument/2006/relationships/comments" Target="/xl/comments/comment2.xml" Id="comments" /><Relationship Type="http://schemas.openxmlformats.org/officeDocument/2006/relationships/vmlDrawing" Target="/xl/drawings/vmlDrawing2.vml" Id="anysvml" /></Relationships>
</file>

<file path=xl/worksheets/_rels/sheet27.xml.rels><Relationships xmlns="http://schemas.openxmlformats.org/package/2006/relationships"><Relationship Type="http://schemas.openxmlformats.org/officeDocument/2006/relationships/comments" Target="/xl/comments/comment3.xml" Id="comments" /><Relationship Type="http://schemas.openxmlformats.org/officeDocument/2006/relationships/vmlDrawing" Target="/xl/drawings/vmlDrawing3.vml" Id="anysvml" /></Relationships>
</file>

<file path=xl/worksheets/_rels/sheet28.xml.rels><Relationships xmlns="http://schemas.openxmlformats.org/package/2006/relationships"><Relationship Type="http://schemas.openxmlformats.org/officeDocument/2006/relationships/comments" Target="/xl/comments/comment4.xml" Id="comments" /><Relationship Type="http://schemas.openxmlformats.org/officeDocument/2006/relationships/vmlDrawing" Target="/xl/drawings/vmlDrawing4.vml" Id="anysvml" /></Relationships>
</file>

<file path=xl/worksheets/_rels/sheet29.xml.rels><Relationships xmlns="http://schemas.openxmlformats.org/package/2006/relationships"><Relationship Type="http://schemas.openxmlformats.org/officeDocument/2006/relationships/comments" Target="/xl/comments/comment5.xml" Id="comments" /><Relationship Type="http://schemas.openxmlformats.org/officeDocument/2006/relationships/vmlDrawing" Target="/xl/drawings/vmlDrawing5.vml" Id="anysvml" /></Relationships>
</file>

<file path=xl/worksheets/_rels/sheet30.xml.rels><Relationships xmlns="http://schemas.openxmlformats.org/package/2006/relationships"><Relationship Type="http://schemas.openxmlformats.org/officeDocument/2006/relationships/comments" Target="/xl/comments/comment6.xml" Id="comments" /><Relationship Type="http://schemas.openxmlformats.org/officeDocument/2006/relationships/vmlDrawing" Target="/xl/drawings/vmlDrawing6.vml" Id="anysvml" /></Relationships>
</file>

<file path=xl/worksheets/_rels/sheet31.xml.rels><Relationships xmlns="http://schemas.openxmlformats.org/package/2006/relationships"><Relationship Type="http://schemas.openxmlformats.org/officeDocument/2006/relationships/comments" Target="/xl/comments/comment7.xml" Id="comments" /><Relationship Type="http://schemas.openxmlformats.org/officeDocument/2006/relationships/vmlDrawing" Target="/xl/drawings/vmlDrawing7.vml" Id="anysvml" /></Relationships>
</file>

<file path=xl/worksheets/_rels/sheet32.xml.rels><Relationships xmlns="http://schemas.openxmlformats.org/package/2006/relationships"><Relationship Type="http://schemas.openxmlformats.org/officeDocument/2006/relationships/comments" Target="/xl/comments/comment8.xml" Id="comments" /><Relationship Type="http://schemas.openxmlformats.org/officeDocument/2006/relationships/vmlDrawing" Target="/xl/drawings/vmlDrawing8.vml" Id="anysvml" /></Relationships>
</file>

<file path=xl/worksheets/sheet1.xml><?xml version="1.0" encoding="utf-8"?>
<worksheet xmlns="http://schemas.openxmlformats.org/spreadsheetml/2006/main">
  <sheetPr codeName="Planilha39">
    <outlinePr summaryBelow="1" summaryRight="1"/>
    <pageSetUpPr/>
  </sheetPr>
  <dimension ref="A1:X32"/>
  <sheetViews>
    <sheetView workbookViewId="0">
      <selection activeCell="A1" sqref="A1:Y1048576"/>
    </sheetView>
  </sheetViews>
  <sheetFormatPr baseColWidth="8" defaultRowHeight="15"/>
  <cols>
    <col width="63.42578125" customWidth="1" min="1" max="1"/>
    <col hidden="1" width="5.28515625" customWidth="1" min="2" max="15"/>
    <col width="5.28515625" customWidth="1" min="16" max="24"/>
  </cols>
  <sheetData>
    <row r="1">
      <c r="A1" s="334" t="inlineStr">
        <is>
          <t>Produtos</t>
        </is>
      </c>
      <c r="B1" s="335" t="inlineStr">
        <is>
          <t>12973</t>
        </is>
      </c>
      <c r="C1" s="335" t="inlineStr">
        <is>
          <t>11734</t>
        </is>
      </c>
      <c r="D1" s="335" t="inlineStr">
        <is>
          <t>14462</t>
        </is>
      </c>
      <c r="E1" s="335" t="inlineStr">
        <is>
          <t>5418</t>
        </is>
      </c>
      <c r="F1" s="335" t="inlineStr">
        <is>
          <t>11733</t>
        </is>
      </c>
      <c r="G1" s="335" t="inlineStr">
        <is>
          <t>23012</t>
        </is>
      </c>
      <c r="H1" s="336" t="inlineStr">
        <is>
          <t>6700</t>
        </is>
      </c>
      <c r="I1" s="336" t="inlineStr">
        <is>
          <t>13868</t>
        </is>
      </c>
      <c r="J1" s="336" t="inlineStr">
        <is>
          <t>13370</t>
        </is>
      </c>
      <c r="K1" s="336" t="inlineStr">
        <is>
          <t>20000</t>
        </is>
      </c>
      <c r="L1" s="336" t="inlineStr">
        <is>
          <t>23049</t>
        </is>
      </c>
      <c r="M1" s="336" t="inlineStr">
        <is>
          <t>6727</t>
        </is>
      </c>
      <c r="N1" s="336" t="inlineStr">
        <is>
          <t>12466</t>
        </is>
      </c>
      <c r="O1" s="336" t="inlineStr">
        <is>
          <t>12942</t>
        </is>
      </c>
      <c r="P1" s="337" t="inlineStr">
        <is>
          <t>3822</t>
        </is>
      </c>
      <c r="Q1" s="337" t="inlineStr">
        <is>
          <t>14446</t>
        </is>
      </c>
      <c r="R1" s="337" t="inlineStr">
        <is>
          <t>12066</t>
        </is>
      </c>
      <c r="S1" s="338" t="inlineStr">
        <is>
          <t>23048</t>
        </is>
      </c>
      <c r="T1" s="338" t="inlineStr">
        <is>
          <t>11722</t>
        </is>
      </c>
      <c r="U1" s="338" t="inlineStr">
        <is>
          <t>14553</t>
        </is>
      </c>
      <c r="V1" s="338" t="inlineStr">
        <is>
          <t>7529</t>
        </is>
      </c>
      <c r="W1" s="338" t="inlineStr">
        <is>
          <t>6942</t>
        </is>
      </c>
      <c r="X1" s="338" t="inlineStr">
        <is>
          <t>6954</t>
        </is>
      </c>
    </row>
    <row r="2">
      <c r="A2" t="inlineStr">
        <is>
          <t>00000000089402 - CAIXA PRESENTE P BOT INST/25 VDA</t>
        </is>
      </c>
      <c r="B2" s="570" t="n">
        <v>184</v>
      </c>
      <c r="C2" s="570" t="n">
        <v>182</v>
      </c>
      <c r="D2" s="570" t="n">
        <v>33</v>
      </c>
      <c r="E2" s="570" t="n">
        <v>77</v>
      </c>
      <c r="F2" s="570" t="n">
        <v>16</v>
      </c>
      <c r="G2" s="570" t="n">
        <v>49</v>
      </c>
      <c r="H2" s="571" t="n">
        <v>260</v>
      </c>
      <c r="I2" s="571" t="n">
        <v>254</v>
      </c>
      <c r="J2" s="570" t="n">
        <v>0</v>
      </c>
      <c r="K2" s="570" t="n">
        <v>0</v>
      </c>
      <c r="L2" s="571" t="n">
        <v>158</v>
      </c>
      <c r="M2" s="571" t="n">
        <v>149</v>
      </c>
      <c r="N2" s="571" t="n">
        <v>122</v>
      </c>
      <c r="O2" s="571" t="n">
        <v>150</v>
      </c>
      <c r="P2" s="571" t="n">
        <v>46</v>
      </c>
      <c r="Q2" s="571" t="n">
        <v>208</v>
      </c>
      <c r="R2" s="571" t="n">
        <v>198</v>
      </c>
      <c r="S2" s="571" t="n">
        <v>118</v>
      </c>
      <c r="T2" s="571" t="n">
        <v>217</v>
      </c>
      <c r="U2" s="571" t="n">
        <v>95</v>
      </c>
      <c r="V2" s="571" t="n">
        <v>80</v>
      </c>
      <c r="W2" s="571" t="n">
        <v>100</v>
      </c>
      <c r="X2" s="571" t="n">
        <v>76</v>
      </c>
    </row>
    <row r="3">
      <c r="A3" t="inlineStr">
        <is>
          <t>00000000003517 - CAIXA P INST 2021 VERDE ECONOMICA</t>
        </is>
      </c>
      <c r="B3" s="570" t="n">
        <v>0</v>
      </c>
      <c r="C3" s="570" t="n">
        <v>0</v>
      </c>
      <c r="D3" s="570" t="n">
        <v>-16</v>
      </c>
      <c r="E3" s="570" t="n">
        <v>-1</v>
      </c>
      <c r="F3" s="570" t="n">
        <v>-13</v>
      </c>
      <c r="G3" s="570" t="n">
        <v>-1</v>
      </c>
      <c r="H3" s="570" t="n">
        <v>0</v>
      </c>
      <c r="I3" s="570" t="n">
        <v>0</v>
      </c>
      <c r="J3" s="571" t="n">
        <v>165</v>
      </c>
      <c r="K3" s="571" t="n">
        <v>116</v>
      </c>
      <c r="L3" s="570" t="n">
        <v>0</v>
      </c>
      <c r="M3" s="570" t="n">
        <v>-7</v>
      </c>
      <c r="N3" s="570" t="n">
        <v>0</v>
      </c>
      <c r="O3" s="571" t="n">
        <v>16</v>
      </c>
      <c r="P3" s="570" t="n">
        <v>0</v>
      </c>
      <c r="Q3" s="570" t="n">
        <v>0</v>
      </c>
      <c r="R3" s="570" t="n">
        <v>0</v>
      </c>
      <c r="S3" s="571" t="n">
        <v>1</v>
      </c>
      <c r="T3" s="570" t="n">
        <v>0</v>
      </c>
      <c r="U3" s="570" t="n">
        <v>0</v>
      </c>
      <c r="V3" s="570" t="n">
        <v>0</v>
      </c>
      <c r="W3" s="570" t="n">
        <v>0</v>
      </c>
      <c r="X3" s="570" t="n">
        <v>0</v>
      </c>
    </row>
    <row r="4">
      <c r="A4" t="inlineStr">
        <is>
          <t>00000000089401 - CX PRESENTE M BOTI INST/25 VDA</t>
        </is>
      </c>
      <c r="B4" s="570" t="n">
        <v>295</v>
      </c>
      <c r="C4" s="570" t="n">
        <v>300</v>
      </c>
      <c r="D4" s="570" t="n">
        <v>95</v>
      </c>
      <c r="E4" s="570" t="n">
        <v>99</v>
      </c>
      <c r="F4" s="570" t="n">
        <v>66</v>
      </c>
      <c r="G4" s="570" t="n">
        <v>123</v>
      </c>
      <c r="H4" s="571" t="n">
        <v>307</v>
      </c>
      <c r="I4" s="571" t="n">
        <v>141</v>
      </c>
      <c r="J4" s="571" t="n">
        <v>185</v>
      </c>
      <c r="K4" s="571" t="n">
        <v>266</v>
      </c>
      <c r="L4" s="571" t="n">
        <v>143</v>
      </c>
      <c r="M4" s="571" t="n">
        <v>190</v>
      </c>
      <c r="N4" s="571" t="n">
        <v>235</v>
      </c>
      <c r="O4" s="571" t="n">
        <v>68</v>
      </c>
      <c r="P4" s="571" t="n">
        <v>67</v>
      </c>
      <c r="Q4" s="571" t="n">
        <v>253</v>
      </c>
      <c r="R4" s="571" t="n">
        <v>248</v>
      </c>
      <c r="S4" s="571" t="n">
        <v>191</v>
      </c>
      <c r="T4" s="571" t="n">
        <v>130</v>
      </c>
      <c r="U4" s="571" t="n">
        <v>27</v>
      </c>
      <c r="V4" s="571" t="n">
        <v>76</v>
      </c>
      <c r="W4" s="571" t="n">
        <v>65</v>
      </c>
      <c r="X4" s="571" t="n">
        <v>27</v>
      </c>
    </row>
    <row r="5">
      <c r="A5" t="inlineStr">
        <is>
          <t>00000000003530 - CAIXA M INST 2021 VERDE ECONOMICA</t>
        </is>
      </c>
      <c r="B5" s="570" t="n">
        <v>0</v>
      </c>
      <c r="C5" s="570" t="n">
        <v>0</v>
      </c>
      <c r="D5" s="570" t="n">
        <v>-2</v>
      </c>
      <c r="E5" s="570" t="n">
        <v>0</v>
      </c>
      <c r="F5" s="570" t="n">
        <v>0</v>
      </c>
      <c r="G5" s="570" t="n">
        <v>0</v>
      </c>
      <c r="H5" s="570" t="n">
        <v>0</v>
      </c>
      <c r="I5" s="571" t="n">
        <v>4</v>
      </c>
      <c r="J5" s="570" t="n">
        <v>0</v>
      </c>
      <c r="K5" s="570" t="n">
        <v>0</v>
      </c>
      <c r="L5" s="570" t="n">
        <v>0</v>
      </c>
      <c r="M5" s="570" t="n">
        <v>0</v>
      </c>
      <c r="N5" s="570" t="n">
        <v>0</v>
      </c>
      <c r="O5" s="570" t="n">
        <v>0</v>
      </c>
      <c r="P5" s="570" t="n">
        <v>0</v>
      </c>
      <c r="Q5" s="571" t="n">
        <v>0</v>
      </c>
      <c r="R5" s="570" t="n">
        <v>0</v>
      </c>
      <c r="S5" s="571" t="n">
        <v>2</v>
      </c>
      <c r="T5" s="570" t="n">
        <v>0</v>
      </c>
      <c r="U5" s="570" t="n">
        <v>0</v>
      </c>
      <c r="V5" s="570" t="n">
        <v>0</v>
      </c>
      <c r="W5" s="570" t="n">
        <v>0</v>
      </c>
      <c r="X5" s="570" t="n">
        <v>0</v>
      </c>
    </row>
    <row r="6">
      <c r="A6" t="inlineStr">
        <is>
          <t>00000000003554 - CAIXA G INST 2021 VERDE ECONOMICA</t>
        </is>
      </c>
      <c r="B6" s="570" t="n">
        <v>51</v>
      </c>
      <c r="C6" s="570" t="n">
        <v>45</v>
      </c>
      <c r="D6" s="570" t="n">
        <v>1</v>
      </c>
      <c r="E6" s="570" t="n">
        <v>2</v>
      </c>
      <c r="F6" s="570" t="n">
        <v>19</v>
      </c>
      <c r="G6" s="570" t="n">
        <v>28</v>
      </c>
      <c r="H6" s="571" t="n">
        <v>20</v>
      </c>
      <c r="I6" s="571" t="n">
        <v>20</v>
      </c>
      <c r="J6" s="571" t="n">
        <v>68</v>
      </c>
      <c r="K6" s="571" t="n">
        <v>8</v>
      </c>
      <c r="L6" s="571" t="n">
        <v>-4</v>
      </c>
      <c r="M6" s="571" t="n">
        <v>46</v>
      </c>
      <c r="N6" s="571" t="n">
        <v>11</v>
      </c>
      <c r="O6" s="571" t="n">
        <v>8</v>
      </c>
      <c r="P6" s="571" t="n">
        <v>17</v>
      </c>
      <c r="Q6" s="571" t="n">
        <v>13</v>
      </c>
      <c r="R6" s="571" t="n">
        <v>47</v>
      </c>
      <c r="S6" s="571" t="n">
        <v>17</v>
      </c>
      <c r="T6" s="571" t="n">
        <v>57</v>
      </c>
      <c r="U6" s="571" t="n">
        <v>12</v>
      </c>
      <c r="V6" s="571" t="n">
        <v>5</v>
      </c>
      <c r="W6" s="571" t="n">
        <v>4</v>
      </c>
      <c r="X6" s="571" t="n">
        <v>8</v>
      </c>
    </row>
    <row r="7">
      <c r="A7" t="inlineStr">
        <is>
          <t>00000000089400 - ENVELOPE PRESENTE M BOTI INST/25 VDA</t>
        </is>
      </c>
      <c r="B7" s="570" t="n">
        <v>0</v>
      </c>
      <c r="C7" s="570" t="n">
        <v>0</v>
      </c>
      <c r="D7" s="570" t="n">
        <v>0</v>
      </c>
      <c r="E7" s="570" t="n">
        <v>0</v>
      </c>
      <c r="F7" s="570" t="n">
        <v>0</v>
      </c>
      <c r="G7" s="570" t="n">
        <v>0</v>
      </c>
      <c r="H7" s="571" t="n">
        <v>216</v>
      </c>
      <c r="I7" s="571" t="n">
        <v>272</v>
      </c>
      <c r="J7" s="571" t="n">
        <v>85</v>
      </c>
      <c r="K7" s="571" t="n">
        <v>450</v>
      </c>
      <c r="L7" s="571" t="n">
        <v>130</v>
      </c>
      <c r="M7" s="571" t="n">
        <v>57</v>
      </c>
      <c r="N7" s="571" t="n">
        <v>175</v>
      </c>
      <c r="O7" s="571" t="n">
        <v>23</v>
      </c>
      <c r="P7" s="571" t="n">
        <v>110</v>
      </c>
      <c r="Q7" s="571" t="n">
        <v>111</v>
      </c>
      <c r="R7" s="571" t="n">
        <v>168</v>
      </c>
      <c r="S7" s="571" t="n">
        <v>0</v>
      </c>
      <c r="T7" s="571" t="n">
        <v>-3</v>
      </c>
      <c r="U7" s="571" t="n">
        <v>1</v>
      </c>
      <c r="V7" s="571" t="n">
        <v>40</v>
      </c>
      <c r="W7" s="571" t="n">
        <v>0</v>
      </c>
      <c r="X7" s="571" t="n">
        <v>0</v>
      </c>
    </row>
    <row r="8">
      <c r="A8" t="inlineStr">
        <is>
          <t>00000000086027 - CAIXA DIVERTIDAMENTE M INFANTIL 2024</t>
        </is>
      </c>
      <c r="B8" s="570" t="n">
        <v>12</v>
      </c>
      <c r="C8" s="570" t="n">
        <v>0</v>
      </c>
      <c r="D8" s="570" t="n">
        <v>0</v>
      </c>
      <c r="E8" s="570" t="n">
        <v>0</v>
      </c>
      <c r="F8" s="570" t="n">
        <v>3</v>
      </c>
      <c r="G8" s="570" t="n">
        <v>4</v>
      </c>
      <c r="H8" s="571" t="n">
        <v>359</v>
      </c>
      <c r="I8" s="571" t="n">
        <v>272</v>
      </c>
      <c r="J8" s="571" t="n">
        <v>66</v>
      </c>
      <c r="K8" s="571" t="n">
        <v>146</v>
      </c>
      <c r="L8" s="571" t="n">
        <v>118</v>
      </c>
      <c r="M8" s="571" t="n">
        <v>170</v>
      </c>
      <c r="N8" s="571" t="n">
        <v>91</v>
      </c>
      <c r="O8" s="571" t="n">
        <v>133</v>
      </c>
      <c r="P8" s="571" t="n">
        <v>39</v>
      </c>
      <c r="Q8" s="571" t="n">
        <v>0</v>
      </c>
      <c r="R8" s="571" t="n">
        <v>80</v>
      </c>
      <c r="S8" s="571" t="n">
        <v>188</v>
      </c>
      <c r="T8" s="571" t="n">
        <v>347</v>
      </c>
      <c r="U8" s="571" t="n">
        <v>18</v>
      </c>
      <c r="V8" s="571" t="n">
        <v>102</v>
      </c>
      <c r="W8" s="571" t="n">
        <v>124</v>
      </c>
      <c r="X8" s="571" t="n">
        <v>15</v>
      </c>
    </row>
    <row r="9">
      <c r="A9" t="inlineStr">
        <is>
          <t>00000000087691 - COLECIONAV BOT NAT/24 CONE ARVORE UNIT</t>
        </is>
      </c>
      <c r="B9" s="570" t="n">
        <v>97</v>
      </c>
      <c r="C9" s="570" t="n">
        <v>12</v>
      </c>
      <c r="D9" s="570" t="n">
        <v>68</v>
      </c>
      <c r="E9" s="570" t="n">
        <v>0</v>
      </c>
      <c r="F9" s="570" t="n">
        <v>0</v>
      </c>
      <c r="G9" s="570" t="n">
        <v>0</v>
      </c>
      <c r="H9" s="570" t="n">
        <v>0</v>
      </c>
      <c r="I9" s="570" t="n">
        <v>0</v>
      </c>
      <c r="J9" s="570" t="n">
        <v>0</v>
      </c>
      <c r="K9" s="570" t="n">
        <v>0</v>
      </c>
      <c r="L9" s="570" t="n">
        <v>3</v>
      </c>
      <c r="M9" s="570" t="n">
        <v>8</v>
      </c>
      <c r="N9" s="570" t="n">
        <v>2</v>
      </c>
      <c r="O9" s="570" t="n">
        <v>8</v>
      </c>
      <c r="P9" s="570" t="n">
        <v>0</v>
      </c>
      <c r="Q9" s="570" t="n">
        <v>0</v>
      </c>
      <c r="R9" s="570" t="n">
        <v>0</v>
      </c>
      <c r="S9" s="570" t="n">
        <v>0</v>
      </c>
      <c r="T9" s="570" t="n">
        <v>0</v>
      </c>
      <c r="U9" s="570" t="n">
        <v>0</v>
      </c>
      <c r="V9" s="570" t="n">
        <v>0</v>
      </c>
      <c r="W9" s="570" t="n">
        <v>0</v>
      </c>
      <c r="X9" s="570" t="n">
        <v>0</v>
      </c>
    </row>
    <row r="10">
      <c r="A10" t="inlineStr">
        <is>
          <t>00000000087694 - COLECIONAVEIS BOT NAT/24 BOLA UNITARIA</t>
        </is>
      </c>
      <c r="B10" s="570" t="n">
        <v>2</v>
      </c>
      <c r="C10" s="570" t="n">
        <v>5</v>
      </c>
      <c r="D10" s="570" t="n">
        <v>7</v>
      </c>
      <c r="E10" s="570" t="n">
        <v>0</v>
      </c>
      <c r="F10" s="570" t="n">
        <v>0</v>
      </c>
      <c r="G10" s="570" t="n">
        <v>0</v>
      </c>
      <c r="H10" s="570" t="n">
        <v>0</v>
      </c>
      <c r="I10" s="570" t="n">
        <v>0</v>
      </c>
      <c r="J10" s="570" t="n">
        <v>0</v>
      </c>
      <c r="K10" s="570" t="n">
        <v>0</v>
      </c>
      <c r="L10" s="570" t="n">
        <v>6</v>
      </c>
      <c r="M10" s="570" t="n">
        <v>6</v>
      </c>
      <c r="N10" s="570" t="n">
        <v>1</v>
      </c>
      <c r="O10" s="570" t="n">
        <v>0</v>
      </c>
      <c r="P10" s="570" t="n">
        <v>0</v>
      </c>
      <c r="Q10" s="570" t="n">
        <v>0</v>
      </c>
      <c r="R10" s="570" t="n">
        <v>0</v>
      </c>
      <c r="S10" s="570" t="n">
        <v>0</v>
      </c>
      <c r="T10" s="570" t="n">
        <v>0</v>
      </c>
      <c r="U10" s="570" t="n">
        <v>0</v>
      </c>
      <c r="V10" s="570" t="n">
        <v>0</v>
      </c>
      <c r="W10" s="571" t="n">
        <v>2</v>
      </c>
      <c r="X10" s="570" t="n">
        <v>0</v>
      </c>
    </row>
    <row r="11">
      <c r="A11" t="inlineStr">
        <is>
          <t>00000000090774 - PIN MELHOR PAI O BOTICARIO PAIS/25 UNIT</t>
        </is>
      </c>
      <c r="B11" s="570" t="n">
        <v>0</v>
      </c>
      <c r="C11" s="570" t="n">
        <v>0</v>
      </c>
      <c r="D11" s="570" t="n">
        <v>0</v>
      </c>
      <c r="E11" s="570" t="n">
        <v>0</v>
      </c>
      <c r="F11" s="570" t="n">
        <v>0</v>
      </c>
      <c r="G11" s="570" t="n">
        <v>0</v>
      </c>
      <c r="H11" s="570" t="n">
        <v>0</v>
      </c>
      <c r="I11" s="570" t="n">
        <v>0</v>
      </c>
      <c r="J11" s="570" t="n">
        <v>0</v>
      </c>
      <c r="K11" s="570" t="n">
        <v>0</v>
      </c>
      <c r="L11" s="570" t="n">
        <v>0</v>
      </c>
      <c r="M11" s="570" t="n">
        <v>0</v>
      </c>
      <c r="N11" s="570" t="n">
        <v>0</v>
      </c>
      <c r="O11" s="570" t="n">
        <v>0</v>
      </c>
      <c r="P11" s="571" t="n">
        <v>15</v>
      </c>
      <c r="Q11" s="570" t="n">
        <v>0</v>
      </c>
      <c r="R11" s="570" t="n">
        <v>0</v>
      </c>
      <c r="S11" s="570" t="n">
        <v>0</v>
      </c>
      <c r="T11" s="570" t="n">
        <v>0</v>
      </c>
      <c r="U11" s="570" t="n">
        <v>0</v>
      </c>
      <c r="V11" s="570" t="n">
        <v>0</v>
      </c>
      <c r="W11" s="570" t="n">
        <v>0</v>
      </c>
      <c r="X11" s="570" t="n">
        <v>0</v>
      </c>
    </row>
    <row r="12">
      <c r="A12" t="inlineStr">
        <is>
          <t>00000000090770 - PIN BALAO O BOTICARIO PAIS/25 UNIT</t>
        </is>
      </c>
      <c r="B12" s="570" t="n">
        <v>0</v>
      </c>
      <c r="C12" s="570" t="n">
        <v>0</v>
      </c>
      <c r="D12" s="570" t="n">
        <v>0</v>
      </c>
      <c r="E12" s="570" t="n">
        <v>0</v>
      </c>
      <c r="F12" s="570" t="n">
        <v>0</v>
      </c>
      <c r="G12" s="570" t="n">
        <v>0</v>
      </c>
      <c r="H12" s="570" t="n">
        <v>0</v>
      </c>
      <c r="I12" s="570" t="n">
        <v>0</v>
      </c>
      <c r="J12" s="570" t="n">
        <v>0</v>
      </c>
      <c r="K12" s="570" t="n">
        <v>0</v>
      </c>
      <c r="L12" s="570" t="n">
        <v>0</v>
      </c>
      <c r="M12" s="570" t="n">
        <v>0</v>
      </c>
      <c r="N12" s="570" t="n">
        <v>0</v>
      </c>
      <c r="O12" s="570" t="n">
        <v>0</v>
      </c>
      <c r="P12" s="571" t="n">
        <v>10</v>
      </c>
      <c r="Q12" s="570" t="n">
        <v>0</v>
      </c>
      <c r="R12" s="570" t="n">
        <v>0</v>
      </c>
      <c r="S12" s="570" t="n">
        <v>0</v>
      </c>
      <c r="T12" s="570" t="n">
        <v>0</v>
      </c>
      <c r="U12" s="570" t="n">
        <v>0</v>
      </c>
      <c r="V12" s="570" t="n">
        <v>0</v>
      </c>
      <c r="W12" s="570" t="n">
        <v>0</v>
      </c>
      <c r="X12" s="570" t="n">
        <v>0</v>
      </c>
    </row>
    <row r="13">
      <c r="A13" t="inlineStr">
        <is>
          <t>00000000090772 - PIN AMOR O BOTICARIO PAIS/25 UNIT</t>
        </is>
      </c>
      <c r="B13" s="570" t="n">
        <v>0</v>
      </c>
      <c r="C13" s="570" t="n">
        <v>0</v>
      </c>
      <c r="D13" s="570" t="n">
        <v>0</v>
      </c>
      <c r="E13" s="570" t="n">
        <v>0</v>
      </c>
      <c r="F13" s="570" t="n">
        <v>0</v>
      </c>
      <c r="G13" s="570" t="n">
        <v>0</v>
      </c>
      <c r="H13" s="570" t="n">
        <v>0</v>
      </c>
      <c r="I13" s="570" t="n">
        <v>0</v>
      </c>
      <c r="J13" s="570" t="n">
        <v>0</v>
      </c>
      <c r="K13" s="570" t="n">
        <v>0</v>
      </c>
      <c r="L13" s="570" t="n">
        <v>0</v>
      </c>
      <c r="M13" s="570" t="n">
        <v>0</v>
      </c>
      <c r="N13" s="570" t="n">
        <v>0</v>
      </c>
      <c r="O13" s="570" t="n">
        <v>0</v>
      </c>
      <c r="P13" s="571" t="n">
        <v>13</v>
      </c>
      <c r="Q13" s="570" t="n">
        <v>0</v>
      </c>
      <c r="R13" s="570" t="n">
        <v>0</v>
      </c>
      <c r="S13" s="570" t="n">
        <v>0</v>
      </c>
      <c r="T13" s="570" t="n">
        <v>0</v>
      </c>
      <c r="U13" s="570" t="n">
        <v>0</v>
      </c>
      <c r="V13" s="570" t="n">
        <v>0</v>
      </c>
      <c r="W13" s="570" t="n">
        <v>0</v>
      </c>
      <c r="X13" s="570" t="n">
        <v>0</v>
      </c>
    </row>
    <row r="14">
      <c r="A14" t="inlineStr">
        <is>
          <t>00000000090821 - SACOLA P BOTICARIO INST/25</t>
        </is>
      </c>
      <c r="B14" s="570" t="n">
        <v>0</v>
      </c>
      <c r="C14" s="570" t="n">
        <v>0</v>
      </c>
      <c r="D14" s="570" t="n">
        <v>0</v>
      </c>
      <c r="E14" s="570" t="n">
        <v>800</v>
      </c>
      <c r="F14" s="570" t="n">
        <v>0</v>
      </c>
      <c r="G14" s="570" t="n">
        <v>0</v>
      </c>
      <c r="H14" s="570" t="n">
        <v>0</v>
      </c>
      <c r="I14" s="570" t="n">
        <v>0</v>
      </c>
      <c r="J14" s="570" t="n">
        <v>0</v>
      </c>
      <c r="K14" s="570" t="n">
        <v>0</v>
      </c>
      <c r="L14" s="570" t="n">
        <v>0</v>
      </c>
      <c r="M14" s="570" t="n">
        <v>0</v>
      </c>
      <c r="N14" s="570" t="n">
        <v>0</v>
      </c>
      <c r="O14" s="570" t="n">
        <v>0</v>
      </c>
      <c r="P14" s="570" t="n">
        <v>0</v>
      </c>
      <c r="Q14" s="570" t="n">
        <v>0</v>
      </c>
      <c r="R14" s="570" t="n">
        <v>0</v>
      </c>
      <c r="S14" s="570" t="n">
        <v>0</v>
      </c>
      <c r="T14" s="570" t="n">
        <v>0</v>
      </c>
      <c r="U14" s="570" t="n">
        <v>0</v>
      </c>
      <c r="V14" s="570" t="n">
        <v>0</v>
      </c>
      <c r="W14" s="570" t="n">
        <v>0</v>
      </c>
      <c r="X14" s="570" t="n">
        <v>0</v>
      </c>
    </row>
    <row r="15">
      <c r="A15" t="inlineStr">
        <is>
          <t>00000000090822 - SACOLA M BOTICARIO INST/25</t>
        </is>
      </c>
      <c r="B15" s="570" t="n">
        <v>0</v>
      </c>
      <c r="C15" s="570" t="n">
        <v>0</v>
      </c>
      <c r="D15" s="570" t="n">
        <v>0</v>
      </c>
      <c r="E15" s="570" t="n">
        <v>400</v>
      </c>
      <c r="F15" s="570" t="n">
        <v>0</v>
      </c>
      <c r="G15" s="570" t="n">
        <v>0</v>
      </c>
      <c r="H15" s="570" t="n">
        <v>0</v>
      </c>
      <c r="I15" s="570" t="n">
        <v>0</v>
      </c>
      <c r="J15" s="570" t="n">
        <v>0</v>
      </c>
      <c r="K15" s="570" t="n">
        <v>0</v>
      </c>
      <c r="L15" s="570" t="n">
        <v>0</v>
      </c>
      <c r="M15" s="570" t="n">
        <v>0</v>
      </c>
      <c r="N15" s="570" t="n">
        <v>0</v>
      </c>
      <c r="O15" s="570" t="n">
        <v>0</v>
      </c>
      <c r="P15" s="570" t="n">
        <v>0</v>
      </c>
      <c r="Q15" s="570" t="n">
        <v>0</v>
      </c>
      <c r="R15" s="570" t="n">
        <v>0</v>
      </c>
      <c r="S15" s="570" t="n">
        <v>0</v>
      </c>
      <c r="T15" s="570" t="n">
        <v>0</v>
      </c>
      <c r="U15" s="570" t="n">
        <v>0</v>
      </c>
      <c r="V15" s="570" t="n">
        <v>0</v>
      </c>
      <c r="W15" s="570" t="n">
        <v>0</v>
      </c>
      <c r="X15" s="570" t="n">
        <v>0</v>
      </c>
    </row>
    <row r="16">
      <c r="A16" t="inlineStr">
        <is>
          <t>00000000094389 - PAPEL SEDA BOTI INSTIT 2025 UNIT</t>
        </is>
      </c>
      <c r="B16" s="570" t="n">
        <v>0</v>
      </c>
      <c r="C16" s="570" t="n">
        <v>0</v>
      </c>
      <c r="D16" s="570" t="n">
        <v>0</v>
      </c>
      <c r="E16" s="570" t="n">
        <v>800</v>
      </c>
      <c r="F16" s="570" t="n">
        <v>0</v>
      </c>
      <c r="G16" s="570" t="n">
        <v>0</v>
      </c>
      <c r="H16" s="570" t="n">
        <v>0</v>
      </c>
      <c r="I16" s="570" t="n">
        <v>0</v>
      </c>
      <c r="J16" s="570" t="n">
        <v>0</v>
      </c>
      <c r="K16" s="570" t="n">
        <v>0</v>
      </c>
      <c r="L16" s="570" t="n">
        <v>0</v>
      </c>
      <c r="M16" s="570" t="n">
        <v>0</v>
      </c>
      <c r="N16" s="570" t="n">
        <v>0</v>
      </c>
      <c r="O16" s="570" t="n">
        <v>0</v>
      </c>
      <c r="P16" s="570" t="n">
        <v>0</v>
      </c>
      <c r="Q16" s="570" t="n">
        <v>0</v>
      </c>
      <c r="R16" s="570" t="n">
        <v>0</v>
      </c>
      <c r="S16" s="570" t="n">
        <v>0</v>
      </c>
      <c r="T16" s="570" t="n">
        <v>0</v>
      </c>
      <c r="U16" s="570" t="n">
        <v>0</v>
      </c>
      <c r="V16" s="570" t="n">
        <v>0</v>
      </c>
      <c r="W16" s="570" t="n">
        <v>0</v>
      </c>
      <c r="X16" s="570" t="n">
        <v>0</v>
      </c>
    </row>
    <row r="17">
      <c r="A17" t="inlineStr">
        <is>
          <t>00000000094802 - CAIXA LAÃ‡O M BOTI DORAMA 2025 UNIT</t>
        </is>
      </c>
      <c r="B17" s="570" t="n">
        <v>0</v>
      </c>
      <c r="C17" s="570" t="n">
        <v>0</v>
      </c>
      <c r="D17" s="570" t="n">
        <v>0</v>
      </c>
      <c r="E17" s="570" t="n">
        <v>0</v>
      </c>
      <c r="F17" s="570" t="n">
        <v>0</v>
      </c>
      <c r="G17" s="570" t="n">
        <v>0</v>
      </c>
      <c r="H17" s="570" t="n">
        <v>0</v>
      </c>
      <c r="I17" s="570" t="n">
        <v>0</v>
      </c>
      <c r="J17" s="570" t="n">
        <v>0</v>
      </c>
      <c r="K17" s="570" t="n">
        <v>0</v>
      </c>
      <c r="L17" s="570" t="n">
        <v>0</v>
      </c>
      <c r="M17" s="570" t="n">
        <v>0</v>
      </c>
      <c r="N17" s="570" t="n">
        <v>0</v>
      </c>
      <c r="O17" s="570" t="n">
        <v>0</v>
      </c>
      <c r="P17" s="570" t="n">
        <v>0</v>
      </c>
      <c r="Q17" s="570" t="n">
        <v>0</v>
      </c>
      <c r="R17" s="570" t="n">
        <v>0</v>
      </c>
      <c r="S17" s="570" t="n">
        <v>0</v>
      </c>
      <c r="T17" s="571" t="n">
        <v>8</v>
      </c>
      <c r="U17" s="570" t="n">
        <v>0</v>
      </c>
      <c r="V17" s="570" t="n">
        <v>0</v>
      </c>
      <c r="W17" s="571" t="n">
        <v>8</v>
      </c>
      <c r="X17" s="570" t="n">
        <v>0</v>
      </c>
    </row>
    <row r="18">
      <c r="A18" t="inlineStr">
        <is>
          <t>00000000094682 - CAIXA LACO M BOTI ARANHA 2025 UNIT</t>
        </is>
      </c>
      <c r="B18" s="570" t="n">
        <v>11</v>
      </c>
      <c r="C18" s="570" t="n">
        <v>0</v>
      </c>
      <c r="D18" s="570" t="n">
        <v>0</v>
      </c>
      <c r="E18" s="570" t="n">
        <v>0</v>
      </c>
      <c r="F18" s="570" t="n">
        <v>0</v>
      </c>
      <c r="G18" s="570" t="n">
        <v>4</v>
      </c>
      <c r="H18" s="570" t="n">
        <v>0</v>
      </c>
      <c r="I18" s="570" t="n">
        <v>7</v>
      </c>
      <c r="J18" s="570" t="n">
        <v>2</v>
      </c>
      <c r="K18" s="570" t="n">
        <v>0</v>
      </c>
      <c r="L18" s="570" t="n">
        <v>1</v>
      </c>
      <c r="M18" s="570" t="n">
        <v>1</v>
      </c>
      <c r="N18" s="570" t="n">
        <v>7</v>
      </c>
      <c r="O18" s="570" t="n">
        <v>0</v>
      </c>
      <c r="P18" s="570" t="n">
        <v>0</v>
      </c>
      <c r="Q18" s="570" t="n">
        <v>0</v>
      </c>
      <c r="R18" s="571" t="n">
        <v>4</v>
      </c>
      <c r="S18" s="570" t="n">
        <v>0</v>
      </c>
      <c r="T18" s="571" t="n">
        <v>11</v>
      </c>
      <c r="U18" s="571" t="n">
        <v>5</v>
      </c>
      <c r="V18" s="570" t="n">
        <v>0</v>
      </c>
      <c r="W18" s="571" t="n">
        <v>4</v>
      </c>
      <c r="X18" s="570" t="n">
        <v>0</v>
      </c>
    </row>
    <row r="19">
      <c r="A19" t="inlineStr">
        <is>
          <t>00000000094775 - CAIXA LACO P NATAL 2025 BOTI UNIT</t>
        </is>
      </c>
      <c r="B19" s="570" t="n">
        <v>0</v>
      </c>
      <c r="C19" s="570" t="n">
        <v>0</v>
      </c>
      <c r="D19" s="570" t="n">
        <v>0</v>
      </c>
      <c r="E19" s="570" t="n">
        <v>0</v>
      </c>
      <c r="F19" s="570" t="n">
        <v>0</v>
      </c>
      <c r="G19" s="570" t="n">
        <v>19</v>
      </c>
      <c r="H19" s="570" t="n">
        <v>0</v>
      </c>
      <c r="I19" s="570" t="n">
        <v>0</v>
      </c>
      <c r="J19" s="570" t="n">
        <v>4</v>
      </c>
      <c r="K19" s="570" t="n">
        <v>0</v>
      </c>
      <c r="L19" s="570" t="n">
        <v>0</v>
      </c>
      <c r="M19" s="571" t="n">
        <v>4</v>
      </c>
      <c r="N19" s="570" t="n">
        <v>0</v>
      </c>
      <c r="O19" s="570" t="n">
        <v>0</v>
      </c>
      <c r="P19" s="571" t="n">
        <v>90</v>
      </c>
      <c r="Q19" s="570" t="n">
        <v>0</v>
      </c>
      <c r="R19" s="571" t="n">
        <v>40</v>
      </c>
      <c r="S19" s="570" t="n">
        <v>0</v>
      </c>
      <c r="T19" s="571" t="n">
        <v>3</v>
      </c>
      <c r="U19" s="570" t="n">
        <v>0</v>
      </c>
      <c r="V19" s="570" t="n">
        <v>0</v>
      </c>
      <c r="W19" s="571" t="n">
        <v>15</v>
      </c>
      <c r="X19" s="570" t="n">
        <v>0</v>
      </c>
    </row>
    <row r="20">
      <c r="A20" t="inlineStr">
        <is>
          <t>00000000094776 - CAIXA LACO M NATAL 2025 BOTI UNIT</t>
        </is>
      </c>
      <c r="B20" s="570" t="n">
        <v>0</v>
      </c>
      <c r="C20" s="570" t="n">
        <v>0</v>
      </c>
      <c r="D20" s="570" t="n">
        <v>1</v>
      </c>
      <c r="E20" s="570" t="n">
        <v>0</v>
      </c>
      <c r="F20" s="570" t="n">
        <v>0</v>
      </c>
      <c r="G20" s="570" t="n">
        <v>5</v>
      </c>
      <c r="H20" s="570" t="n">
        <v>0</v>
      </c>
      <c r="I20" s="570" t="n">
        <v>3</v>
      </c>
      <c r="J20" s="570" t="n">
        <v>7</v>
      </c>
      <c r="K20" s="570" t="n">
        <v>0</v>
      </c>
      <c r="L20" s="570" t="n">
        <v>0</v>
      </c>
      <c r="M20" s="570" t="n">
        <v>0</v>
      </c>
      <c r="N20" s="570" t="n">
        <v>0</v>
      </c>
      <c r="O20" s="571" t="n">
        <v>1</v>
      </c>
      <c r="P20" s="571" t="n">
        <v>162</v>
      </c>
      <c r="Q20" s="570" t="n">
        <v>0</v>
      </c>
      <c r="R20" s="570" t="n">
        <v>0</v>
      </c>
      <c r="S20" s="570" t="n">
        <v>0</v>
      </c>
      <c r="T20" s="571" t="n">
        <v>31</v>
      </c>
      <c r="U20" s="570" t="n">
        <v>0</v>
      </c>
      <c r="V20" s="570" t="n">
        <v>0</v>
      </c>
      <c r="W20" s="571" t="n">
        <v>41</v>
      </c>
      <c r="X20" s="570" t="n">
        <v>0</v>
      </c>
    </row>
    <row r="21">
      <c r="A21" t="inlineStr">
        <is>
          <t>00000000094777 - CAIXA LACO G NATAL 2025 BOTI UNIT</t>
        </is>
      </c>
      <c r="B21" s="570" t="n">
        <v>4</v>
      </c>
      <c r="C21" s="570" t="n">
        <v>3</v>
      </c>
      <c r="D21" s="570" t="n">
        <v>0</v>
      </c>
      <c r="E21" s="570" t="n">
        <v>0</v>
      </c>
      <c r="F21" s="570" t="n">
        <v>0</v>
      </c>
      <c r="G21" s="570" t="n">
        <v>9</v>
      </c>
      <c r="H21" s="570" t="n">
        <v>0</v>
      </c>
      <c r="I21" s="570" t="n">
        <v>0</v>
      </c>
      <c r="J21" s="570" t="n">
        <v>0</v>
      </c>
      <c r="K21" s="570" t="n">
        <v>0</v>
      </c>
      <c r="L21" s="570" t="n">
        <v>0</v>
      </c>
      <c r="M21" s="570" t="n">
        <v>0</v>
      </c>
      <c r="N21" s="570" t="n">
        <v>0</v>
      </c>
      <c r="O21" s="570" t="n">
        <v>0</v>
      </c>
      <c r="P21" s="570" t="n">
        <v>0</v>
      </c>
      <c r="Q21" s="570" t="n">
        <v>0</v>
      </c>
      <c r="R21" s="570" t="n">
        <v>0</v>
      </c>
      <c r="S21" s="570" t="n">
        <v>0</v>
      </c>
      <c r="T21" s="570" t="n">
        <v>0</v>
      </c>
      <c r="U21" s="570" t="n">
        <v>0</v>
      </c>
      <c r="V21" s="570" t="n">
        <v>0</v>
      </c>
      <c r="W21" s="570" t="n">
        <v>0</v>
      </c>
      <c r="X21" s="570" t="n">
        <v>0</v>
      </c>
    </row>
    <row r="22">
      <c r="A22" t="inlineStr">
        <is>
          <t>00000000094778 - ENVELOPE P NATAL 2025 BOT UNIT</t>
        </is>
      </c>
      <c r="B22" s="570" t="n">
        <v>0</v>
      </c>
      <c r="C22" s="570" t="n">
        <v>0</v>
      </c>
      <c r="D22" s="570" t="n">
        <v>0</v>
      </c>
      <c r="E22" s="570" t="n">
        <v>0</v>
      </c>
      <c r="F22" s="570" t="n">
        <v>0</v>
      </c>
      <c r="G22" s="570" t="n">
        <v>0</v>
      </c>
      <c r="H22" s="570" t="n">
        <v>0</v>
      </c>
      <c r="I22" s="570" t="n">
        <v>0</v>
      </c>
      <c r="J22" s="570" t="n">
        <v>0</v>
      </c>
      <c r="K22" s="570" t="n">
        <v>0</v>
      </c>
      <c r="L22" s="571" t="n">
        <v>35</v>
      </c>
      <c r="M22" s="570" t="n">
        <v>0</v>
      </c>
      <c r="N22" s="570" t="n">
        <v>0</v>
      </c>
      <c r="O22" s="570" t="n">
        <v>0</v>
      </c>
      <c r="P22" s="570" t="n">
        <v>0</v>
      </c>
      <c r="Q22" s="570" t="n">
        <v>0</v>
      </c>
      <c r="R22" s="570" t="n">
        <v>0</v>
      </c>
      <c r="S22" s="570" t="n">
        <v>0</v>
      </c>
      <c r="T22" s="570" t="n">
        <v>0</v>
      </c>
      <c r="U22" s="570" t="n">
        <v>0</v>
      </c>
      <c r="V22" s="570" t="n">
        <v>0</v>
      </c>
      <c r="W22" s="570" t="n">
        <v>0</v>
      </c>
      <c r="X22" s="570" t="n">
        <v>0</v>
      </c>
    </row>
    <row r="23">
      <c r="A23" t="inlineStr">
        <is>
          <t>00000000094779 - ENVELOPE M NATAL 2025 BOTI UNIT</t>
        </is>
      </c>
      <c r="B23" s="570" t="n">
        <v>0</v>
      </c>
      <c r="C23" s="570" t="n">
        <v>0</v>
      </c>
      <c r="D23" s="570" t="n">
        <v>0</v>
      </c>
      <c r="E23" s="570" t="n">
        <v>0</v>
      </c>
      <c r="F23" s="570" t="n">
        <v>0</v>
      </c>
      <c r="G23" s="570" t="n">
        <v>1</v>
      </c>
      <c r="H23" s="570" t="n">
        <v>0</v>
      </c>
      <c r="I23" s="570" t="n">
        <v>0</v>
      </c>
      <c r="J23" s="570" t="n">
        <v>0</v>
      </c>
      <c r="K23" s="570" t="n">
        <v>0</v>
      </c>
      <c r="L23" s="571" t="n">
        <v>1</v>
      </c>
      <c r="M23" s="570" t="n">
        <v>0</v>
      </c>
      <c r="N23" s="570" t="n">
        <v>1</v>
      </c>
      <c r="O23" s="570" t="n">
        <v>0</v>
      </c>
      <c r="P23" s="570" t="n">
        <v>0</v>
      </c>
      <c r="Q23" s="570" t="n">
        <v>0</v>
      </c>
      <c r="R23" s="570" t="n">
        <v>0</v>
      </c>
      <c r="S23" s="570" t="n">
        <v>0</v>
      </c>
      <c r="T23" s="570" t="n">
        <v>0</v>
      </c>
      <c r="U23" s="570" t="n">
        <v>0</v>
      </c>
      <c r="V23" s="570" t="n">
        <v>0</v>
      </c>
      <c r="W23" s="570" t="n">
        <v>0</v>
      </c>
      <c r="X23" s="570" t="n">
        <v>0</v>
      </c>
    </row>
    <row r="24">
      <c r="A24" t="inlineStr">
        <is>
          <t>00000000095151 - PIN BOTI NATAL 2025 UNIT</t>
        </is>
      </c>
      <c r="B24" s="570" t="n">
        <v>0</v>
      </c>
      <c r="C24" s="570" t="n">
        <v>0</v>
      </c>
      <c r="D24" s="570" t="n">
        <v>0</v>
      </c>
      <c r="E24" s="570" t="n">
        <v>0</v>
      </c>
      <c r="F24" s="570" t="n">
        <v>0</v>
      </c>
      <c r="G24" s="570" t="n">
        <v>0</v>
      </c>
      <c r="H24" s="570" t="n">
        <v>0</v>
      </c>
      <c r="I24" s="570" t="n">
        <v>0</v>
      </c>
      <c r="J24" s="570" t="n">
        <v>0</v>
      </c>
      <c r="K24" s="570" t="n">
        <v>0</v>
      </c>
      <c r="L24" s="570" t="n">
        <v>0</v>
      </c>
      <c r="M24" s="571" t="n">
        <v>14</v>
      </c>
      <c r="N24" s="571" t="n">
        <v>6</v>
      </c>
      <c r="O24" s="570" t="n">
        <v>0</v>
      </c>
      <c r="P24" s="571" t="n">
        <v>1</v>
      </c>
      <c r="Q24" s="571" t="n">
        <v>3</v>
      </c>
      <c r="R24" s="571" t="n">
        <v>5</v>
      </c>
      <c r="S24" s="571" t="n">
        <v>4</v>
      </c>
      <c r="T24" s="571" t="n">
        <v>5</v>
      </c>
      <c r="U24" s="570" t="n">
        <v>0</v>
      </c>
      <c r="V24" s="570" t="n">
        <v>0</v>
      </c>
      <c r="W24" s="570" t="n">
        <v>0</v>
      </c>
      <c r="X24" s="570" t="n">
        <v>0</v>
      </c>
    </row>
    <row r="25">
      <c r="A25" t="inlineStr">
        <is>
          <t>00000000096437 - CAIXA LACO P MAES/26 BOTI UNIT</t>
        </is>
      </c>
      <c r="B25" s="570" t="n">
        <v>17</v>
      </c>
      <c r="C25" s="570" t="n">
        <v>0</v>
      </c>
      <c r="D25" s="570" t="n">
        <v>-33</v>
      </c>
      <c r="E25" s="570" t="n">
        <v>101</v>
      </c>
      <c r="F25" s="570" t="n">
        <v>-3</v>
      </c>
      <c r="G25" s="570" t="n">
        <v>0</v>
      </c>
      <c r="H25" s="571" t="n">
        <v>82</v>
      </c>
      <c r="I25" s="571" t="n">
        <v>49</v>
      </c>
      <c r="J25" s="571" t="n">
        <v>50</v>
      </c>
      <c r="K25" s="571" t="n">
        <v>89</v>
      </c>
      <c r="L25" s="571" t="n">
        <v>-1</v>
      </c>
      <c r="M25" s="571" t="n">
        <v>69</v>
      </c>
      <c r="N25" s="571" t="n">
        <v>1</v>
      </c>
      <c r="O25" s="571" t="n">
        <v>20</v>
      </c>
      <c r="P25" s="571" t="n">
        <v>0</v>
      </c>
      <c r="Q25" s="571" t="n">
        <v>0</v>
      </c>
      <c r="R25" s="571" t="n">
        <v>0</v>
      </c>
      <c r="S25" s="571" t="n">
        <v>3</v>
      </c>
      <c r="T25" s="571" t="n">
        <v>3</v>
      </c>
      <c r="U25" s="571" t="n">
        <v>0</v>
      </c>
      <c r="V25" s="571" t="n">
        <v>0</v>
      </c>
      <c r="W25" s="571" t="n">
        <v>1</v>
      </c>
      <c r="X25" s="571" t="n">
        <v>-1</v>
      </c>
    </row>
    <row r="26">
      <c r="A26" t="inlineStr">
        <is>
          <t>00000000096438 - CAIXA LACO M MAES/26 BOTI UNIT</t>
        </is>
      </c>
      <c r="B26" s="570" t="n">
        <v>2</v>
      </c>
      <c r="C26" s="570" t="n">
        <v>18</v>
      </c>
      <c r="D26" s="570" t="n">
        <v>-10</v>
      </c>
      <c r="E26" s="570" t="n">
        <v>15</v>
      </c>
      <c r="F26" s="570" t="n">
        <v>-1</v>
      </c>
      <c r="G26" s="570" t="n">
        <v>-1</v>
      </c>
      <c r="H26" s="571" t="n">
        <v>160</v>
      </c>
      <c r="I26" s="571" t="n">
        <v>177</v>
      </c>
      <c r="J26" s="571" t="n">
        <v>53</v>
      </c>
      <c r="K26" s="571" t="n">
        <v>40</v>
      </c>
      <c r="L26" s="571" t="n">
        <v>3</v>
      </c>
      <c r="M26" s="571" t="n">
        <v>49</v>
      </c>
      <c r="N26" s="571" t="n">
        <v>3</v>
      </c>
      <c r="O26" s="571" t="n">
        <v>9</v>
      </c>
      <c r="P26" s="571" t="n">
        <v>6</v>
      </c>
      <c r="Q26" s="571" t="n">
        <v>8</v>
      </c>
      <c r="R26" s="571" t="n">
        <v>5</v>
      </c>
      <c r="S26" s="571" t="n">
        <v>3</v>
      </c>
      <c r="T26" s="571" t="n">
        <v>-1</v>
      </c>
      <c r="U26" s="571" t="n">
        <v>2</v>
      </c>
      <c r="V26" s="571" t="n">
        <v>-2</v>
      </c>
      <c r="W26" s="571" t="n">
        <v>1</v>
      </c>
      <c r="X26" s="571" t="n">
        <v>1</v>
      </c>
    </row>
    <row r="27">
      <c r="A27" t="inlineStr">
        <is>
          <t>00000000096440 - ENVELOPE P MAES 2026 BOTI UNIT</t>
        </is>
      </c>
      <c r="B27" s="570" t="n">
        <v>0</v>
      </c>
      <c r="C27" s="570" t="n">
        <v>0</v>
      </c>
      <c r="D27" s="570" t="n">
        <v>0</v>
      </c>
      <c r="E27" s="570" t="n">
        <v>0</v>
      </c>
      <c r="F27" s="570" t="n">
        <v>0</v>
      </c>
      <c r="G27" s="570" t="n">
        <v>0</v>
      </c>
      <c r="H27" s="571" t="n">
        <v>46</v>
      </c>
      <c r="I27" s="571" t="n">
        <v>22</v>
      </c>
      <c r="J27" s="571" t="n">
        <v>49</v>
      </c>
      <c r="K27" s="571" t="n">
        <v>55</v>
      </c>
      <c r="L27" s="571" t="n">
        <v>69</v>
      </c>
      <c r="M27" s="571" t="n">
        <v>14</v>
      </c>
      <c r="N27" s="571" t="n">
        <v>0</v>
      </c>
      <c r="O27" s="571" t="n">
        <v>22</v>
      </c>
      <c r="P27" s="571" t="n">
        <v>0</v>
      </c>
      <c r="Q27" s="571" t="n">
        <v>0</v>
      </c>
      <c r="R27" s="571" t="n">
        <v>1</v>
      </c>
      <c r="S27" s="571" t="n">
        <v>4</v>
      </c>
      <c r="T27" s="571" t="n">
        <v>-5</v>
      </c>
      <c r="U27" s="571" t="n">
        <v>2</v>
      </c>
      <c r="V27" s="571" t="n">
        <v>-1</v>
      </c>
      <c r="W27" s="571" t="n">
        <v>0</v>
      </c>
      <c r="X27" s="571" t="n">
        <v>0</v>
      </c>
    </row>
    <row r="28">
      <c r="A28" t="inlineStr">
        <is>
          <t>00000000096441 - ENVELOPE M MAES 2026 BOTI UNIT</t>
        </is>
      </c>
      <c r="B28" s="570" t="n">
        <v>0</v>
      </c>
      <c r="C28" s="570" t="n">
        <v>1</v>
      </c>
      <c r="D28" s="570" t="n">
        <v>3</v>
      </c>
      <c r="E28" s="570" t="n">
        <v>-1</v>
      </c>
      <c r="F28" s="570" t="n">
        <v>-2</v>
      </c>
      <c r="G28" s="570" t="n">
        <v>7</v>
      </c>
      <c r="H28" s="571" t="n">
        <v>7</v>
      </c>
      <c r="I28" s="571" t="n">
        <v>20</v>
      </c>
      <c r="J28" s="571" t="n">
        <v>54</v>
      </c>
      <c r="K28" s="571" t="n">
        <v>1</v>
      </c>
      <c r="L28" s="571" t="n">
        <v>6</v>
      </c>
      <c r="M28" s="571" t="n">
        <v>12</v>
      </c>
      <c r="N28" s="571" t="n">
        <v>5</v>
      </c>
      <c r="O28" s="571" t="n">
        <v>94</v>
      </c>
      <c r="P28" s="571" t="n">
        <v>4</v>
      </c>
      <c r="Q28" s="571" t="n">
        <v>0</v>
      </c>
      <c r="R28" s="571" t="n">
        <v>0</v>
      </c>
      <c r="S28" s="571" t="n">
        <v>-2</v>
      </c>
      <c r="T28" s="571" t="n">
        <v>-4</v>
      </c>
      <c r="U28" s="571" t="n">
        <v>1</v>
      </c>
      <c r="V28" s="571" t="n">
        <v>0</v>
      </c>
      <c r="W28" s="571" t="n">
        <v>3</v>
      </c>
      <c r="X28" s="571" t="n">
        <v>1</v>
      </c>
    </row>
    <row r="29">
      <c r="A29" t="inlineStr">
        <is>
          <t>00000000044742 - FITA DE VEDACAO VOID DEVOLUCAO</t>
        </is>
      </c>
      <c r="B29" s="570" t="n">
        <v>0</v>
      </c>
      <c r="C29" s="570" t="n">
        <v>0</v>
      </c>
      <c r="D29" s="570" t="n">
        <v>0</v>
      </c>
      <c r="E29" s="570" t="n">
        <v>0</v>
      </c>
      <c r="F29" s="570" t="n">
        <v>0</v>
      </c>
      <c r="G29" s="570" t="n">
        <v>0</v>
      </c>
      <c r="H29" s="570" t="n">
        <v>0</v>
      </c>
      <c r="I29" s="570" t="n">
        <v>0</v>
      </c>
      <c r="J29" s="570" t="n">
        <v>0</v>
      </c>
      <c r="K29" s="570" t="n">
        <v>0</v>
      </c>
      <c r="L29" s="570" t="n">
        <v>0</v>
      </c>
      <c r="M29" s="570" t="n">
        <v>1</v>
      </c>
      <c r="N29" s="570" t="n">
        <v>1</v>
      </c>
      <c r="O29" s="570" t="n">
        <v>0</v>
      </c>
      <c r="P29" s="570" t="n">
        <v>0</v>
      </c>
      <c r="Q29" s="570" t="n">
        <v>0</v>
      </c>
      <c r="R29" s="570" t="n">
        <v>1</v>
      </c>
      <c r="S29" s="570" t="n">
        <v>0</v>
      </c>
      <c r="T29" s="570" t="n">
        <v>0</v>
      </c>
      <c r="U29" s="570" t="n">
        <v>0</v>
      </c>
      <c r="V29" s="570" t="n">
        <v>0</v>
      </c>
      <c r="W29" s="570" t="n">
        <v>0</v>
      </c>
      <c r="X29" s="570" t="n">
        <v>0</v>
      </c>
    </row>
    <row r="30">
      <c r="A30" t="inlineStr">
        <is>
          <t>00000000086009 - CAIXA LACO G NAT/24</t>
        </is>
      </c>
      <c r="B30" s="570" t="n">
        <v>1</v>
      </c>
      <c r="C30" s="570" t="n">
        <v>0</v>
      </c>
      <c r="D30" s="570" t="n">
        <v>0</v>
      </c>
      <c r="E30" s="570" t="n">
        <v>0</v>
      </c>
      <c r="F30" s="570" t="n">
        <v>0</v>
      </c>
      <c r="G30" s="570" t="n">
        <v>0</v>
      </c>
      <c r="H30" s="570" t="n">
        <v>0</v>
      </c>
      <c r="I30" s="570" t="n">
        <v>0</v>
      </c>
      <c r="J30" s="570" t="n">
        <v>0</v>
      </c>
      <c r="K30" s="570" t="n">
        <v>0</v>
      </c>
      <c r="L30" s="570" t="n">
        <v>0</v>
      </c>
      <c r="M30" s="570" t="n">
        <v>0</v>
      </c>
      <c r="N30" s="570" t="n">
        <v>0</v>
      </c>
      <c r="O30" s="570" t="n">
        <v>0</v>
      </c>
      <c r="P30" s="570" t="n">
        <v>0</v>
      </c>
      <c r="Q30" s="570" t="n">
        <v>0</v>
      </c>
      <c r="R30" s="570" t="n">
        <v>0</v>
      </c>
      <c r="S30" s="570" t="n">
        <v>0</v>
      </c>
      <c r="T30" s="570" t="n">
        <v>0</v>
      </c>
      <c r="U30" s="570" t="n">
        <v>0</v>
      </c>
      <c r="V30" s="570" t="n">
        <v>0</v>
      </c>
      <c r="W30" s="570" t="n">
        <v>0</v>
      </c>
      <c r="X30" s="570" t="n">
        <v>0</v>
      </c>
    </row>
    <row r="31">
      <c r="A31" t="inlineStr">
        <is>
          <t>00000000096583 - ENVELOPE M AMOR 2026 BOTI UNIT</t>
        </is>
      </c>
      <c r="B31" s="570" t="n">
        <v>300</v>
      </c>
      <c r="C31" s="570" t="n">
        <v>50</v>
      </c>
      <c r="D31" s="570" t="n">
        <v>0</v>
      </c>
      <c r="E31" s="570" t="n">
        <v>100</v>
      </c>
      <c r="F31" s="570" t="n">
        <v>50</v>
      </c>
      <c r="G31" s="570" t="n">
        <v>0</v>
      </c>
      <c r="H31" s="570" t="n">
        <v>100</v>
      </c>
      <c r="I31" s="570" t="n">
        <v>100</v>
      </c>
      <c r="J31" s="570" t="n">
        <v>0</v>
      </c>
      <c r="K31" s="570" t="n">
        <v>50</v>
      </c>
      <c r="L31" s="570" t="n">
        <v>0</v>
      </c>
      <c r="M31" s="570" t="n">
        <v>0</v>
      </c>
      <c r="N31" s="570" t="n">
        <v>0</v>
      </c>
      <c r="O31" s="570" t="n">
        <v>0</v>
      </c>
      <c r="P31" s="570" t="n">
        <v>0</v>
      </c>
      <c r="Q31" s="570" t="n">
        <v>50</v>
      </c>
      <c r="R31" s="570" t="n">
        <v>50</v>
      </c>
      <c r="S31" s="570" t="n">
        <v>50</v>
      </c>
      <c r="T31" s="570" t="n">
        <v>100</v>
      </c>
      <c r="U31" s="570" t="n">
        <v>50</v>
      </c>
      <c r="V31" s="570" t="n">
        <v>50</v>
      </c>
      <c r="W31" s="570" t="n">
        <v>0</v>
      </c>
      <c r="X31" s="570" t="n">
        <v>100</v>
      </c>
    </row>
    <row r="32">
      <c r="A32" s="340" t="inlineStr">
        <is>
          <t>Total</t>
        </is>
      </c>
      <c r="B32" s="572" t="n">
        <v>1276</v>
      </c>
      <c r="C32" s="572" t="n">
        <v>766</v>
      </c>
      <c r="D32" s="572" t="n">
        <v>246</v>
      </c>
      <c r="E32" s="572" t="n">
        <v>2542</v>
      </c>
      <c r="F32" s="572" t="n">
        <v>285</v>
      </c>
      <c r="G32" s="572" t="n">
        <v>347</v>
      </c>
      <c r="H32" s="572" t="n">
        <v>1712</v>
      </c>
      <c r="I32" s="572" t="n">
        <v>1545</v>
      </c>
      <c r="J32" s="572" t="n">
        <v>792</v>
      </c>
      <c r="K32" s="572" t="n">
        <v>1275</v>
      </c>
      <c r="L32" s="572" t="n">
        <v>672</v>
      </c>
      <c r="M32" s="572" t="n">
        <v>788</v>
      </c>
      <c r="N32" s="572" t="n">
        <v>664</v>
      </c>
      <c r="O32" s="572" t="n">
        <v>555</v>
      </c>
      <c r="P32" s="572" t="n">
        <v>580</v>
      </c>
      <c r="Q32" s="572" t="n">
        <v>696</v>
      </c>
      <c r="R32" s="572" t="n">
        <v>901</v>
      </c>
      <c r="S32" s="572" t="n">
        <v>629</v>
      </c>
      <c r="T32" s="572" t="n">
        <v>954</v>
      </c>
      <c r="U32" s="572" t="n">
        <v>264</v>
      </c>
      <c r="V32" s="572" t="n">
        <v>400</v>
      </c>
      <c r="W32" s="572" t="n">
        <v>369</v>
      </c>
      <c r="X32" s="572" t="n">
        <v>280</v>
      </c>
    </row>
  </sheetData>
  <pageMargins left="0.511811024" right="0.511811024" top="0.787401575" bottom="0.787401575" header="0.31496062" footer="0.31496062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 codeName="Planilha53">
    <outlinePr summaryBelow="1" summaryRight="1"/>
    <pageSetUpPr/>
  </sheetPr>
  <dimension ref="A1:X32"/>
  <sheetViews>
    <sheetView workbookViewId="0">
      <selection activeCell="Z21" sqref="Z21"/>
    </sheetView>
  </sheetViews>
  <sheetFormatPr baseColWidth="8" defaultRowHeight="15"/>
  <cols>
    <col width="63.42578125" customWidth="1" min="1" max="1"/>
    <col hidden="1" width="5.28515625" customWidth="1" min="2" max="15"/>
    <col width="5.28515625" customWidth="1" min="16" max="24"/>
  </cols>
  <sheetData>
    <row r="1">
      <c r="A1" s="334" t="inlineStr">
        <is>
          <t>Produtos</t>
        </is>
      </c>
      <c r="B1" s="335" t="inlineStr">
        <is>
          <t>12973</t>
        </is>
      </c>
      <c r="C1" s="335" t="inlineStr">
        <is>
          <t>11734</t>
        </is>
      </c>
      <c r="D1" s="335" t="inlineStr">
        <is>
          <t>14462</t>
        </is>
      </c>
      <c r="E1" s="335" t="inlineStr">
        <is>
          <t>5418</t>
        </is>
      </c>
      <c r="F1" s="335" t="inlineStr">
        <is>
          <t>11733</t>
        </is>
      </c>
      <c r="G1" s="335" t="inlineStr">
        <is>
          <t>23012</t>
        </is>
      </c>
      <c r="H1" s="336" t="inlineStr">
        <is>
          <t>6700</t>
        </is>
      </c>
      <c r="I1" s="336" t="inlineStr">
        <is>
          <t>13868</t>
        </is>
      </c>
      <c r="J1" s="336" t="inlineStr">
        <is>
          <t>13370</t>
        </is>
      </c>
      <c r="K1" s="336" t="inlineStr">
        <is>
          <t>20000</t>
        </is>
      </c>
      <c r="L1" s="336" t="inlineStr">
        <is>
          <t>23049</t>
        </is>
      </c>
      <c r="M1" s="336" t="inlineStr">
        <is>
          <t>6727</t>
        </is>
      </c>
      <c r="N1" s="336" t="inlineStr">
        <is>
          <t>12466</t>
        </is>
      </c>
      <c r="O1" s="336" t="inlineStr">
        <is>
          <t>12942</t>
        </is>
      </c>
      <c r="P1" s="337" t="inlineStr">
        <is>
          <t>3822</t>
        </is>
      </c>
      <c r="Q1" s="337" t="inlineStr">
        <is>
          <t>14446</t>
        </is>
      </c>
      <c r="R1" s="337" t="inlineStr">
        <is>
          <t>12066</t>
        </is>
      </c>
      <c r="S1" s="338" t="inlineStr">
        <is>
          <t>23048</t>
        </is>
      </c>
      <c r="T1" s="338" t="inlineStr">
        <is>
          <t>11722</t>
        </is>
      </c>
      <c r="U1" s="338" t="inlineStr">
        <is>
          <t>14553</t>
        </is>
      </c>
      <c r="V1" s="338" t="inlineStr">
        <is>
          <t>7529</t>
        </is>
      </c>
      <c r="W1" s="338" t="inlineStr">
        <is>
          <t>6942</t>
        </is>
      </c>
      <c r="X1" s="338" t="inlineStr">
        <is>
          <t>6954</t>
        </is>
      </c>
    </row>
    <row r="2">
      <c r="A2" t="inlineStr">
        <is>
          <t>00000000089402 - CAIXA PRESENTE P BOT INST/25 VDA</t>
        </is>
      </c>
      <c r="B2" s="570" t="n">
        <v>184</v>
      </c>
      <c r="C2" s="570" t="n">
        <v>182</v>
      </c>
      <c r="D2" s="570" t="n">
        <v>33</v>
      </c>
      <c r="E2" s="570" t="n">
        <v>77</v>
      </c>
      <c r="F2" s="570" t="n">
        <v>16</v>
      </c>
      <c r="G2" s="570" t="n">
        <v>49</v>
      </c>
      <c r="H2" s="571" t="n">
        <v>260</v>
      </c>
      <c r="I2" s="571" t="n">
        <v>254</v>
      </c>
      <c r="J2" s="570" t="n">
        <v>0</v>
      </c>
      <c r="K2" s="570" t="n">
        <v>0</v>
      </c>
      <c r="L2" s="571" t="n">
        <v>158</v>
      </c>
      <c r="M2" s="571" t="n">
        <v>149</v>
      </c>
      <c r="N2" s="571" t="n">
        <v>122</v>
      </c>
      <c r="O2" s="571" t="n">
        <v>150</v>
      </c>
      <c r="P2" s="570" t="n">
        <v>46</v>
      </c>
      <c r="Q2" s="570" t="n">
        <v>208</v>
      </c>
      <c r="R2" s="570" t="n">
        <v>198</v>
      </c>
      <c r="S2" s="570" t="n">
        <v>118</v>
      </c>
      <c r="T2" s="570" t="n">
        <v>217</v>
      </c>
      <c r="U2" s="570" t="n">
        <v>95</v>
      </c>
      <c r="V2" s="570" t="n">
        <v>80</v>
      </c>
      <c r="W2" s="570" t="n">
        <v>100</v>
      </c>
      <c r="X2" s="570" t="n">
        <v>76</v>
      </c>
    </row>
    <row r="3">
      <c r="A3" t="inlineStr">
        <is>
          <t>00000000003517 - CAIXA P INST 2021 VERDE ECONOMICA</t>
        </is>
      </c>
      <c r="B3" s="570" t="n">
        <v>0</v>
      </c>
      <c r="C3" s="570" t="n">
        <v>0</v>
      </c>
      <c r="D3" s="570" t="n">
        <v>-16</v>
      </c>
      <c r="E3" s="570" t="n">
        <v>-1</v>
      </c>
      <c r="F3" s="570" t="n">
        <v>-13</v>
      </c>
      <c r="G3" s="570" t="n">
        <v>-1</v>
      </c>
      <c r="H3" s="570" t="n">
        <v>0</v>
      </c>
      <c r="I3" s="570" t="n">
        <v>0</v>
      </c>
      <c r="J3" s="571" t="n">
        <v>165</v>
      </c>
      <c r="K3" s="571" t="n">
        <v>116</v>
      </c>
      <c r="L3" s="570" t="n">
        <v>0</v>
      </c>
      <c r="M3" s="570" t="n">
        <v>-7</v>
      </c>
      <c r="N3" s="570" t="n">
        <v>0</v>
      </c>
      <c r="O3" s="571" t="n">
        <v>16</v>
      </c>
      <c r="P3" s="570" t="n">
        <v>0</v>
      </c>
      <c r="Q3" s="570" t="n">
        <v>0</v>
      </c>
      <c r="R3" s="570" t="n">
        <v>0</v>
      </c>
      <c r="S3" s="570" t="n">
        <v>1</v>
      </c>
      <c r="T3" s="570" t="n">
        <v>0</v>
      </c>
      <c r="U3" s="570" t="n">
        <v>0</v>
      </c>
      <c r="V3" s="570" t="n">
        <v>0</v>
      </c>
      <c r="W3" s="570" t="n">
        <v>0</v>
      </c>
      <c r="X3" s="570" t="n">
        <v>0</v>
      </c>
    </row>
    <row r="4">
      <c r="A4" t="inlineStr">
        <is>
          <t>00000000089401 - CX PRESENTE M BOTI INST/25 VDA</t>
        </is>
      </c>
      <c r="B4" s="570" t="n">
        <v>295</v>
      </c>
      <c r="C4" s="570" t="n">
        <v>300</v>
      </c>
      <c r="D4" s="570" t="n">
        <v>95</v>
      </c>
      <c r="E4" s="570" t="n">
        <v>99</v>
      </c>
      <c r="F4" s="570" t="n">
        <v>66</v>
      </c>
      <c r="G4" s="570" t="n">
        <v>123</v>
      </c>
      <c r="H4" s="571" t="n">
        <v>307</v>
      </c>
      <c r="I4" s="571" t="n">
        <v>141</v>
      </c>
      <c r="J4" s="571" t="n">
        <v>185</v>
      </c>
      <c r="K4" s="571" t="n">
        <v>266</v>
      </c>
      <c r="L4" s="571" t="n">
        <v>143</v>
      </c>
      <c r="M4" s="571" t="n">
        <v>190</v>
      </c>
      <c r="N4" s="571" t="n">
        <v>235</v>
      </c>
      <c r="O4" s="571" t="n">
        <v>68</v>
      </c>
      <c r="P4" s="570" t="n">
        <v>67</v>
      </c>
      <c r="Q4" s="570" t="n">
        <v>253</v>
      </c>
      <c r="R4" s="570" t="n">
        <v>248</v>
      </c>
      <c r="S4" s="570" t="n">
        <v>191</v>
      </c>
      <c r="T4" s="570" t="n">
        <v>130</v>
      </c>
      <c r="U4" s="570" t="n">
        <v>27</v>
      </c>
      <c r="V4" s="570" t="n">
        <v>76</v>
      </c>
      <c r="W4" s="570" t="n">
        <v>65</v>
      </c>
      <c r="X4" s="570" t="n">
        <v>27</v>
      </c>
    </row>
    <row r="5">
      <c r="A5" t="inlineStr">
        <is>
          <t>00000000003530 - CAIXA M INST 2021 VERDE ECONOMICA</t>
        </is>
      </c>
      <c r="B5" s="570" t="n">
        <v>0</v>
      </c>
      <c r="C5" s="570" t="n">
        <v>0</v>
      </c>
      <c r="D5" s="570" t="n">
        <v>-2</v>
      </c>
      <c r="E5" s="570" t="n">
        <v>0</v>
      </c>
      <c r="F5" s="570" t="n">
        <v>0</v>
      </c>
      <c r="G5" s="570" t="n">
        <v>0</v>
      </c>
      <c r="H5" s="570" t="n">
        <v>0</v>
      </c>
      <c r="I5" s="571" t="n">
        <v>4</v>
      </c>
      <c r="J5" s="570" t="n">
        <v>0</v>
      </c>
      <c r="K5" s="570" t="n">
        <v>0</v>
      </c>
      <c r="L5" s="570" t="n">
        <v>0</v>
      </c>
      <c r="M5" s="570" t="n">
        <v>0</v>
      </c>
      <c r="N5" s="570" t="n">
        <v>0</v>
      </c>
      <c r="O5" s="570" t="n">
        <v>0</v>
      </c>
      <c r="P5" s="570" t="n">
        <v>0</v>
      </c>
      <c r="Q5" s="570" t="n">
        <v>0</v>
      </c>
      <c r="R5" s="570" t="n">
        <v>0</v>
      </c>
      <c r="S5" s="570" t="n">
        <v>2</v>
      </c>
      <c r="T5" s="570" t="n">
        <v>0</v>
      </c>
      <c r="U5" s="570" t="n">
        <v>0</v>
      </c>
      <c r="V5" s="570" t="n">
        <v>0</v>
      </c>
      <c r="W5" s="570" t="n">
        <v>0</v>
      </c>
      <c r="X5" s="570" t="n">
        <v>0</v>
      </c>
    </row>
    <row r="6">
      <c r="A6" t="inlineStr">
        <is>
          <t>00000000003554 - CAIXA G INST 2021 VERDE ECONOMICA</t>
        </is>
      </c>
      <c r="B6" s="570" t="n">
        <v>51</v>
      </c>
      <c r="C6" s="570" t="n">
        <v>45</v>
      </c>
      <c r="D6" s="570" t="n">
        <v>1</v>
      </c>
      <c r="E6" s="570" t="n">
        <v>2</v>
      </c>
      <c r="F6" s="570" t="n">
        <v>19</v>
      </c>
      <c r="G6" s="570" t="n">
        <v>28</v>
      </c>
      <c r="H6" s="571" t="n">
        <v>20</v>
      </c>
      <c r="I6" s="571" t="n">
        <v>20</v>
      </c>
      <c r="J6" s="571" t="n">
        <v>68</v>
      </c>
      <c r="K6" s="571" t="n">
        <v>8</v>
      </c>
      <c r="L6" s="571" t="n">
        <v>-4</v>
      </c>
      <c r="M6" s="571" t="n">
        <v>46</v>
      </c>
      <c r="N6" s="571" t="n">
        <v>11</v>
      </c>
      <c r="O6" s="571" t="n">
        <v>8</v>
      </c>
      <c r="P6" s="570" t="n">
        <v>17</v>
      </c>
      <c r="Q6" s="570" t="n">
        <v>13</v>
      </c>
      <c r="R6" s="570" t="n">
        <v>47</v>
      </c>
      <c r="S6" s="570" t="n">
        <v>17</v>
      </c>
      <c r="T6" s="570" t="n">
        <v>57</v>
      </c>
      <c r="U6" s="570" t="n">
        <v>12</v>
      </c>
      <c r="V6" s="570" t="n">
        <v>5</v>
      </c>
      <c r="W6" s="570" t="n">
        <v>4</v>
      </c>
      <c r="X6" s="570" t="n">
        <v>8</v>
      </c>
    </row>
    <row r="7">
      <c r="A7" t="inlineStr">
        <is>
          <t>00000000089400 - ENVELOPE PRESENTE M BOTI INST/25 VDA</t>
        </is>
      </c>
      <c r="B7" s="570" t="n">
        <v>0</v>
      </c>
      <c r="C7" s="570" t="n">
        <v>0</v>
      </c>
      <c r="D7" s="570" t="n">
        <v>0</v>
      </c>
      <c r="E7" s="570" t="n">
        <v>0</v>
      </c>
      <c r="F7" s="570" t="n">
        <v>0</v>
      </c>
      <c r="G7" s="570" t="n">
        <v>0</v>
      </c>
      <c r="H7" s="571" t="n">
        <v>216</v>
      </c>
      <c r="I7" s="571" t="n">
        <v>272</v>
      </c>
      <c r="J7" s="571" t="n">
        <v>85</v>
      </c>
      <c r="K7" s="571" t="n">
        <v>450</v>
      </c>
      <c r="L7" s="571" t="n">
        <v>130</v>
      </c>
      <c r="M7" s="571" t="n">
        <v>57</v>
      </c>
      <c r="N7" s="571" t="n">
        <v>175</v>
      </c>
      <c r="O7" s="571" t="n">
        <v>23</v>
      </c>
      <c r="P7" s="570" t="n">
        <v>110</v>
      </c>
      <c r="Q7" s="570" t="n">
        <v>111</v>
      </c>
      <c r="R7" s="570" t="n">
        <v>168</v>
      </c>
      <c r="S7" s="570" t="n">
        <v>0</v>
      </c>
      <c r="T7" s="570" t="n">
        <v>-3</v>
      </c>
      <c r="U7" s="570" t="n">
        <v>1</v>
      </c>
      <c r="V7" s="570" t="n">
        <v>40</v>
      </c>
      <c r="W7" s="570" t="n">
        <v>0</v>
      </c>
      <c r="X7" s="570" t="n">
        <v>0</v>
      </c>
    </row>
    <row r="8">
      <c r="A8" t="inlineStr">
        <is>
          <t>00000000086027 - CAIXA DIVERTIDAMENTE M INFANTIL 2024</t>
        </is>
      </c>
      <c r="B8" s="570" t="n">
        <v>12</v>
      </c>
      <c r="C8" s="570" t="n">
        <v>0</v>
      </c>
      <c r="D8" s="570" t="n">
        <v>0</v>
      </c>
      <c r="E8" s="570" t="n">
        <v>0</v>
      </c>
      <c r="F8" s="570" t="n">
        <v>3</v>
      </c>
      <c r="G8" s="570" t="n">
        <v>4</v>
      </c>
      <c r="H8" s="571" t="n">
        <v>359</v>
      </c>
      <c r="I8" s="571" t="n">
        <v>272</v>
      </c>
      <c r="J8" s="571" t="n">
        <v>66</v>
      </c>
      <c r="K8" s="571" t="n">
        <v>146</v>
      </c>
      <c r="L8" s="571" t="n">
        <v>118</v>
      </c>
      <c r="M8" s="571" t="n">
        <v>170</v>
      </c>
      <c r="N8" s="571" t="n">
        <v>91</v>
      </c>
      <c r="O8" s="571" t="n">
        <v>133</v>
      </c>
      <c r="P8" s="570" t="n">
        <v>39</v>
      </c>
      <c r="Q8" s="570" t="n">
        <v>0</v>
      </c>
      <c r="R8" s="570" t="n">
        <v>80</v>
      </c>
      <c r="S8" s="570" t="n">
        <v>188</v>
      </c>
      <c r="T8" s="570" t="n">
        <v>347</v>
      </c>
      <c r="U8" s="570" t="n">
        <v>18</v>
      </c>
      <c r="V8" s="570" t="n">
        <v>102</v>
      </c>
      <c r="W8" s="570" t="n">
        <v>124</v>
      </c>
      <c r="X8" s="570" t="n">
        <v>15</v>
      </c>
    </row>
    <row r="9">
      <c r="A9" t="inlineStr">
        <is>
          <t>00000000087691 - COLECIONAV BOT NAT/24 CONE ARVORE UNIT</t>
        </is>
      </c>
      <c r="B9" s="570" t="n">
        <v>97</v>
      </c>
      <c r="C9" s="570" t="n">
        <v>12</v>
      </c>
      <c r="D9" s="570" t="n">
        <v>68</v>
      </c>
      <c r="E9" s="570" t="n">
        <v>0</v>
      </c>
      <c r="F9" s="570" t="n">
        <v>0</v>
      </c>
      <c r="G9" s="570" t="n">
        <v>0</v>
      </c>
      <c r="H9" s="570" t="n">
        <v>0</v>
      </c>
      <c r="I9" s="570" t="n">
        <v>0</v>
      </c>
      <c r="J9" s="570" t="n">
        <v>0</v>
      </c>
      <c r="K9" s="570" t="n">
        <v>0</v>
      </c>
      <c r="L9" s="570" t="n">
        <v>3</v>
      </c>
      <c r="M9" s="570" t="n">
        <v>8</v>
      </c>
      <c r="N9" s="570" t="n">
        <v>2</v>
      </c>
      <c r="O9" s="570" t="n">
        <v>8</v>
      </c>
      <c r="P9" s="570" t="n">
        <v>0</v>
      </c>
      <c r="Q9" s="570" t="n">
        <v>0</v>
      </c>
      <c r="R9" s="570" t="n">
        <v>0</v>
      </c>
      <c r="S9" s="570" t="n">
        <v>0</v>
      </c>
      <c r="T9" s="570" t="n">
        <v>0</v>
      </c>
      <c r="U9" s="570" t="n">
        <v>0</v>
      </c>
      <c r="V9" s="570" t="n">
        <v>0</v>
      </c>
      <c r="W9" s="570" t="n">
        <v>0</v>
      </c>
      <c r="X9" s="570" t="n">
        <v>0</v>
      </c>
    </row>
    <row r="10">
      <c r="A10" t="inlineStr">
        <is>
          <t>00000000087694 - COLECIONAVEIS BOT NAT/24 BOLA UNITARIA</t>
        </is>
      </c>
      <c r="B10" s="570" t="n">
        <v>2</v>
      </c>
      <c r="C10" s="570" t="n">
        <v>5</v>
      </c>
      <c r="D10" s="570" t="n">
        <v>7</v>
      </c>
      <c r="E10" s="570" t="n">
        <v>0</v>
      </c>
      <c r="F10" s="570" t="n">
        <v>0</v>
      </c>
      <c r="G10" s="570" t="n">
        <v>0</v>
      </c>
      <c r="H10" s="570" t="n">
        <v>0</v>
      </c>
      <c r="I10" s="570" t="n">
        <v>0</v>
      </c>
      <c r="J10" s="570" t="n">
        <v>0</v>
      </c>
      <c r="K10" s="570" t="n">
        <v>0</v>
      </c>
      <c r="L10" s="570" t="n">
        <v>6</v>
      </c>
      <c r="M10" s="570" t="n">
        <v>6</v>
      </c>
      <c r="N10" s="570" t="n">
        <v>1</v>
      </c>
      <c r="O10" s="570" t="n">
        <v>0</v>
      </c>
      <c r="P10" s="570" t="n">
        <v>0</v>
      </c>
      <c r="Q10" s="570" t="n">
        <v>0</v>
      </c>
      <c r="R10" s="570" t="n">
        <v>0</v>
      </c>
      <c r="S10" s="570" t="n">
        <v>0</v>
      </c>
      <c r="T10" s="570" t="n">
        <v>0</v>
      </c>
      <c r="U10" s="570" t="n">
        <v>0</v>
      </c>
      <c r="V10" s="570" t="n">
        <v>0</v>
      </c>
      <c r="W10" s="570" t="n">
        <v>2</v>
      </c>
      <c r="X10" s="570" t="n">
        <v>0</v>
      </c>
    </row>
    <row r="11">
      <c r="A11" t="inlineStr">
        <is>
          <t>00000000090774 - PIN MELHOR PAI O BOTICARIO PAIS/25 UNIT</t>
        </is>
      </c>
      <c r="B11" s="570" t="n">
        <v>0</v>
      </c>
      <c r="C11" s="570" t="n">
        <v>0</v>
      </c>
      <c r="D11" s="570" t="n">
        <v>0</v>
      </c>
      <c r="E11" s="570" t="n">
        <v>0</v>
      </c>
      <c r="F11" s="570" t="n">
        <v>0</v>
      </c>
      <c r="G11" s="570" t="n">
        <v>0</v>
      </c>
      <c r="H11" s="570" t="n">
        <v>0</v>
      </c>
      <c r="I11" s="570" t="n">
        <v>0</v>
      </c>
      <c r="J11" s="570" t="n">
        <v>0</v>
      </c>
      <c r="K11" s="570" t="n">
        <v>0</v>
      </c>
      <c r="L11" s="570" t="n">
        <v>0</v>
      </c>
      <c r="M11" s="570" t="n">
        <v>0</v>
      </c>
      <c r="N11" s="570" t="n">
        <v>0</v>
      </c>
      <c r="O11" s="570" t="n">
        <v>0</v>
      </c>
      <c r="P11" s="570" t="n">
        <v>15</v>
      </c>
      <c r="Q11" s="570" t="n">
        <v>0</v>
      </c>
      <c r="R11" s="570" t="n">
        <v>0</v>
      </c>
      <c r="S11" s="570" t="n">
        <v>0</v>
      </c>
      <c r="T11" s="570" t="n">
        <v>0</v>
      </c>
      <c r="U11" s="570" t="n">
        <v>0</v>
      </c>
      <c r="V11" s="570" t="n">
        <v>0</v>
      </c>
      <c r="W11" s="570" t="n">
        <v>0</v>
      </c>
      <c r="X11" s="570" t="n">
        <v>0</v>
      </c>
    </row>
    <row r="12">
      <c r="A12" t="inlineStr">
        <is>
          <t>00000000090770 - PIN BALAO O BOTICARIO PAIS/25 UNIT</t>
        </is>
      </c>
      <c r="B12" s="570" t="n">
        <v>0</v>
      </c>
      <c r="C12" s="570" t="n">
        <v>0</v>
      </c>
      <c r="D12" s="570" t="n">
        <v>0</v>
      </c>
      <c r="E12" s="570" t="n">
        <v>0</v>
      </c>
      <c r="F12" s="570" t="n">
        <v>0</v>
      </c>
      <c r="G12" s="570" t="n">
        <v>0</v>
      </c>
      <c r="H12" s="570" t="n">
        <v>0</v>
      </c>
      <c r="I12" s="570" t="n">
        <v>0</v>
      </c>
      <c r="J12" s="570" t="n">
        <v>0</v>
      </c>
      <c r="K12" s="570" t="n">
        <v>0</v>
      </c>
      <c r="L12" s="570" t="n">
        <v>0</v>
      </c>
      <c r="M12" s="570" t="n">
        <v>0</v>
      </c>
      <c r="N12" s="570" t="n">
        <v>0</v>
      </c>
      <c r="O12" s="570" t="n">
        <v>0</v>
      </c>
      <c r="P12" s="570" t="n">
        <v>10</v>
      </c>
      <c r="Q12" s="570" t="n">
        <v>0</v>
      </c>
      <c r="R12" s="570" t="n">
        <v>0</v>
      </c>
      <c r="S12" s="570" t="n">
        <v>0</v>
      </c>
      <c r="T12" s="570" t="n">
        <v>0</v>
      </c>
      <c r="U12" s="570" t="n">
        <v>0</v>
      </c>
      <c r="V12" s="570" t="n">
        <v>0</v>
      </c>
      <c r="W12" s="570" t="n">
        <v>0</v>
      </c>
      <c r="X12" s="570" t="n">
        <v>0</v>
      </c>
    </row>
    <row r="13">
      <c r="A13" t="inlineStr">
        <is>
          <t>00000000090772 - PIN AMOR O BOTICARIO PAIS/25 UNIT</t>
        </is>
      </c>
      <c r="B13" s="570" t="n">
        <v>0</v>
      </c>
      <c r="C13" s="570" t="n">
        <v>0</v>
      </c>
      <c r="D13" s="570" t="n">
        <v>0</v>
      </c>
      <c r="E13" s="570" t="n">
        <v>0</v>
      </c>
      <c r="F13" s="570" t="n">
        <v>0</v>
      </c>
      <c r="G13" s="570" t="n">
        <v>0</v>
      </c>
      <c r="H13" s="570" t="n">
        <v>0</v>
      </c>
      <c r="I13" s="570" t="n">
        <v>0</v>
      </c>
      <c r="J13" s="570" t="n">
        <v>0</v>
      </c>
      <c r="K13" s="570" t="n">
        <v>0</v>
      </c>
      <c r="L13" s="570" t="n">
        <v>0</v>
      </c>
      <c r="M13" s="570" t="n">
        <v>0</v>
      </c>
      <c r="N13" s="570" t="n">
        <v>0</v>
      </c>
      <c r="O13" s="570" t="n">
        <v>0</v>
      </c>
      <c r="P13" s="570" t="n">
        <v>13</v>
      </c>
      <c r="Q13" s="570" t="n">
        <v>0</v>
      </c>
      <c r="R13" s="570" t="n">
        <v>0</v>
      </c>
      <c r="S13" s="570" t="n">
        <v>0</v>
      </c>
      <c r="T13" s="570" t="n">
        <v>0</v>
      </c>
      <c r="U13" s="570" t="n">
        <v>0</v>
      </c>
      <c r="V13" s="570" t="n">
        <v>0</v>
      </c>
      <c r="W13" s="570" t="n">
        <v>0</v>
      </c>
      <c r="X13" s="570" t="n">
        <v>0</v>
      </c>
    </row>
    <row r="14">
      <c r="A14" t="inlineStr">
        <is>
          <t>00000000090821 - SACOLA P BOTICARIO INST/25</t>
        </is>
      </c>
      <c r="B14" s="570" t="n">
        <v>0</v>
      </c>
      <c r="C14" s="570" t="n">
        <v>0</v>
      </c>
      <c r="D14" s="570" t="n">
        <v>0</v>
      </c>
      <c r="E14" s="570" t="n">
        <v>800</v>
      </c>
      <c r="F14" s="570" t="n">
        <v>0</v>
      </c>
      <c r="G14" s="570" t="n">
        <v>0</v>
      </c>
      <c r="H14" s="570" t="n">
        <v>0</v>
      </c>
      <c r="I14" s="570" t="n">
        <v>0</v>
      </c>
      <c r="J14" s="570" t="n">
        <v>0</v>
      </c>
      <c r="K14" s="570" t="n">
        <v>0</v>
      </c>
      <c r="L14" s="570" t="n">
        <v>0</v>
      </c>
      <c r="M14" s="570" t="n">
        <v>0</v>
      </c>
      <c r="N14" s="570" t="n">
        <v>0</v>
      </c>
      <c r="O14" s="570" t="n">
        <v>0</v>
      </c>
      <c r="P14" s="570" t="n">
        <v>0</v>
      </c>
      <c r="Q14" s="570" t="n">
        <v>0</v>
      </c>
      <c r="R14" s="570" t="n">
        <v>0</v>
      </c>
      <c r="S14" s="570" t="n">
        <v>0</v>
      </c>
      <c r="T14" s="570" t="n">
        <v>0</v>
      </c>
      <c r="U14" s="570" t="n">
        <v>0</v>
      </c>
      <c r="V14" s="570" t="n">
        <v>0</v>
      </c>
      <c r="W14" s="570" t="n">
        <v>0</v>
      </c>
      <c r="X14" s="570" t="n">
        <v>0</v>
      </c>
    </row>
    <row r="15">
      <c r="A15" t="inlineStr">
        <is>
          <t>00000000090822 - SACOLA M BOTICARIO INST/25</t>
        </is>
      </c>
      <c r="B15" s="570" t="n">
        <v>0</v>
      </c>
      <c r="C15" s="570" t="n">
        <v>0</v>
      </c>
      <c r="D15" s="570" t="n">
        <v>0</v>
      </c>
      <c r="E15" s="570" t="n">
        <v>400</v>
      </c>
      <c r="F15" s="570" t="n">
        <v>0</v>
      </c>
      <c r="G15" s="570" t="n">
        <v>0</v>
      </c>
      <c r="H15" s="570" t="n">
        <v>0</v>
      </c>
      <c r="I15" s="570" t="n">
        <v>0</v>
      </c>
      <c r="J15" s="570" t="n">
        <v>0</v>
      </c>
      <c r="K15" s="570" t="n">
        <v>0</v>
      </c>
      <c r="L15" s="570" t="n">
        <v>0</v>
      </c>
      <c r="M15" s="570" t="n">
        <v>0</v>
      </c>
      <c r="N15" s="570" t="n">
        <v>0</v>
      </c>
      <c r="O15" s="570" t="n">
        <v>0</v>
      </c>
      <c r="P15" s="570" t="n">
        <v>0</v>
      </c>
      <c r="Q15" s="570" t="n">
        <v>0</v>
      </c>
      <c r="R15" s="570" t="n">
        <v>0</v>
      </c>
      <c r="S15" s="570" t="n">
        <v>0</v>
      </c>
      <c r="T15" s="570" t="n">
        <v>0</v>
      </c>
      <c r="U15" s="570" t="n">
        <v>0</v>
      </c>
      <c r="V15" s="570" t="n">
        <v>0</v>
      </c>
      <c r="W15" s="570" t="n">
        <v>0</v>
      </c>
      <c r="X15" s="570" t="n">
        <v>0</v>
      </c>
    </row>
    <row r="16">
      <c r="A16" t="inlineStr">
        <is>
          <t>00000000094389 - PAPEL SEDA BOTI INSTIT 2025 UNIT</t>
        </is>
      </c>
      <c r="B16" s="570" t="n">
        <v>0</v>
      </c>
      <c r="C16" s="570" t="n">
        <v>0</v>
      </c>
      <c r="D16" s="570" t="n">
        <v>0</v>
      </c>
      <c r="E16" s="570" t="n">
        <v>800</v>
      </c>
      <c r="F16" s="570" t="n">
        <v>0</v>
      </c>
      <c r="G16" s="570" t="n">
        <v>0</v>
      </c>
      <c r="H16" s="570" t="n">
        <v>0</v>
      </c>
      <c r="I16" s="570" t="n">
        <v>0</v>
      </c>
      <c r="J16" s="570" t="n">
        <v>0</v>
      </c>
      <c r="K16" s="570" t="n">
        <v>0</v>
      </c>
      <c r="L16" s="570" t="n">
        <v>0</v>
      </c>
      <c r="M16" s="570" t="n">
        <v>0</v>
      </c>
      <c r="N16" s="570" t="n">
        <v>0</v>
      </c>
      <c r="O16" s="570" t="n">
        <v>0</v>
      </c>
      <c r="P16" s="570" t="n">
        <v>0</v>
      </c>
      <c r="Q16" s="570" t="n">
        <v>0</v>
      </c>
      <c r="R16" s="570" t="n">
        <v>0</v>
      </c>
      <c r="S16" s="570" t="n">
        <v>0</v>
      </c>
      <c r="T16" s="570" t="n">
        <v>0</v>
      </c>
      <c r="U16" s="570" t="n">
        <v>0</v>
      </c>
      <c r="V16" s="570" t="n">
        <v>0</v>
      </c>
      <c r="W16" s="570" t="n">
        <v>0</v>
      </c>
      <c r="X16" s="570" t="n">
        <v>0</v>
      </c>
    </row>
    <row r="17">
      <c r="A17" t="inlineStr">
        <is>
          <t>00000000094802 - CAIXA LAÃ‡O M BOTI DORAMA 2025 UNIT</t>
        </is>
      </c>
      <c r="B17" s="570" t="n">
        <v>0</v>
      </c>
      <c r="C17" s="570" t="n">
        <v>0</v>
      </c>
      <c r="D17" s="570" t="n">
        <v>0</v>
      </c>
      <c r="E17" s="570" t="n">
        <v>0</v>
      </c>
      <c r="F17" s="570" t="n">
        <v>0</v>
      </c>
      <c r="G17" s="570" t="n">
        <v>0</v>
      </c>
      <c r="H17" s="570" t="n">
        <v>0</v>
      </c>
      <c r="I17" s="570" t="n">
        <v>0</v>
      </c>
      <c r="J17" s="570" t="n">
        <v>0</v>
      </c>
      <c r="K17" s="570" t="n">
        <v>0</v>
      </c>
      <c r="L17" s="570" t="n">
        <v>0</v>
      </c>
      <c r="M17" s="570" t="n">
        <v>0</v>
      </c>
      <c r="N17" s="570" t="n">
        <v>0</v>
      </c>
      <c r="O17" s="570" t="n">
        <v>0</v>
      </c>
      <c r="P17" s="570" t="n">
        <v>0</v>
      </c>
      <c r="Q17" s="570" t="n">
        <v>0</v>
      </c>
      <c r="R17" s="570" t="n">
        <v>0</v>
      </c>
      <c r="S17" s="570" t="n">
        <v>0</v>
      </c>
      <c r="T17" s="570" t="n">
        <v>8</v>
      </c>
      <c r="U17" s="570" t="n">
        <v>0</v>
      </c>
      <c r="V17" s="570" t="n">
        <v>0</v>
      </c>
      <c r="W17" s="570" t="n">
        <v>8</v>
      </c>
      <c r="X17" s="570" t="n">
        <v>0</v>
      </c>
    </row>
    <row r="18">
      <c r="A18" t="inlineStr">
        <is>
          <t>00000000094682 - CAIXA LACO M BOTI ARANHA 2025 UNIT</t>
        </is>
      </c>
      <c r="B18" s="570" t="n">
        <v>11</v>
      </c>
      <c r="C18" s="570" t="n">
        <v>0</v>
      </c>
      <c r="D18" s="570" t="n">
        <v>0</v>
      </c>
      <c r="E18" s="570" t="n">
        <v>0</v>
      </c>
      <c r="F18" s="570" t="n">
        <v>0</v>
      </c>
      <c r="G18" s="570" t="n">
        <v>4</v>
      </c>
      <c r="H18" s="570" t="n">
        <v>0</v>
      </c>
      <c r="I18" s="570" t="n">
        <v>7</v>
      </c>
      <c r="J18" s="570" t="n">
        <v>2</v>
      </c>
      <c r="K18" s="570" t="n">
        <v>0</v>
      </c>
      <c r="L18" s="570" t="n">
        <v>1</v>
      </c>
      <c r="M18" s="570" t="n">
        <v>1</v>
      </c>
      <c r="N18" s="570" t="n">
        <v>7</v>
      </c>
      <c r="O18" s="570" t="n">
        <v>0</v>
      </c>
      <c r="P18" s="570" t="n">
        <v>0</v>
      </c>
      <c r="Q18" s="570" t="n">
        <v>0</v>
      </c>
      <c r="R18" s="570" t="n">
        <v>4</v>
      </c>
      <c r="S18" s="570" t="n">
        <v>0</v>
      </c>
      <c r="T18" s="570" t="n">
        <v>11</v>
      </c>
      <c r="U18" s="570" t="n">
        <v>5</v>
      </c>
      <c r="V18" s="570" t="n">
        <v>0</v>
      </c>
      <c r="W18" s="570" t="n">
        <v>4</v>
      </c>
      <c r="X18" s="570" t="n">
        <v>0</v>
      </c>
    </row>
    <row r="19">
      <c r="A19" t="inlineStr">
        <is>
          <t>00000000094775 - CAIXA LACO P NATAL 2025 BOTI UNIT</t>
        </is>
      </c>
      <c r="B19" s="570" t="n">
        <v>0</v>
      </c>
      <c r="C19" s="570" t="n">
        <v>0</v>
      </c>
      <c r="D19" s="570" t="n">
        <v>0</v>
      </c>
      <c r="E19" s="570" t="n">
        <v>0</v>
      </c>
      <c r="F19" s="570" t="n">
        <v>0</v>
      </c>
      <c r="G19" s="570" t="n">
        <v>19</v>
      </c>
      <c r="H19" s="570" t="n">
        <v>0</v>
      </c>
      <c r="I19" s="570" t="n">
        <v>0</v>
      </c>
      <c r="J19" s="570" t="n">
        <v>4</v>
      </c>
      <c r="K19" s="570" t="n">
        <v>0</v>
      </c>
      <c r="L19" s="570" t="n">
        <v>0</v>
      </c>
      <c r="M19" s="571" t="n">
        <v>4</v>
      </c>
      <c r="N19" s="570" t="n">
        <v>0</v>
      </c>
      <c r="O19" s="570" t="n">
        <v>0</v>
      </c>
      <c r="P19" s="570" t="n">
        <v>90</v>
      </c>
      <c r="Q19" s="570" t="n">
        <v>0</v>
      </c>
      <c r="R19" s="570" t="n">
        <v>40</v>
      </c>
      <c r="S19" s="570" t="n">
        <v>0</v>
      </c>
      <c r="T19" s="570" t="n">
        <v>3</v>
      </c>
      <c r="U19" s="570" t="n">
        <v>0</v>
      </c>
      <c r="V19" s="570" t="n">
        <v>0</v>
      </c>
      <c r="W19" s="570" t="n">
        <v>15</v>
      </c>
      <c r="X19" s="570" t="n">
        <v>0</v>
      </c>
    </row>
    <row r="20">
      <c r="A20" t="inlineStr">
        <is>
          <t>00000000094776 - CAIXA LACO M NATAL 2025 BOTI UNIT</t>
        </is>
      </c>
      <c r="B20" s="570" t="n">
        <v>0</v>
      </c>
      <c r="C20" s="570" t="n">
        <v>0</v>
      </c>
      <c r="D20" s="570" t="n">
        <v>1</v>
      </c>
      <c r="E20" s="570" t="n">
        <v>0</v>
      </c>
      <c r="F20" s="570" t="n">
        <v>0</v>
      </c>
      <c r="G20" s="570" t="n">
        <v>5</v>
      </c>
      <c r="H20" s="570" t="n">
        <v>0</v>
      </c>
      <c r="I20" s="570" t="n">
        <v>3</v>
      </c>
      <c r="J20" s="570" t="n">
        <v>7</v>
      </c>
      <c r="K20" s="570" t="n">
        <v>0</v>
      </c>
      <c r="L20" s="570" t="n">
        <v>0</v>
      </c>
      <c r="M20" s="570" t="n">
        <v>0</v>
      </c>
      <c r="N20" s="570" t="n">
        <v>0</v>
      </c>
      <c r="O20" s="571" t="n">
        <v>1</v>
      </c>
      <c r="P20" s="570" t="n">
        <v>162</v>
      </c>
      <c r="Q20" s="570" t="n">
        <v>0</v>
      </c>
      <c r="R20" s="570" t="n">
        <v>0</v>
      </c>
      <c r="S20" s="570" t="n">
        <v>0</v>
      </c>
      <c r="T20" s="570" t="n">
        <v>31</v>
      </c>
      <c r="U20" s="570" t="n">
        <v>0</v>
      </c>
      <c r="V20" s="570" t="n">
        <v>0</v>
      </c>
      <c r="W20" s="570" t="n">
        <v>41</v>
      </c>
      <c r="X20" s="570" t="n">
        <v>0</v>
      </c>
    </row>
    <row r="21">
      <c r="A21" t="inlineStr">
        <is>
          <t>00000000094777 - CAIXA LACO G NATAL 2025 BOTI UNIT</t>
        </is>
      </c>
      <c r="B21" s="570" t="n">
        <v>4</v>
      </c>
      <c r="C21" s="570" t="n">
        <v>3</v>
      </c>
      <c r="D21" s="570" t="n">
        <v>0</v>
      </c>
      <c r="E21" s="570" t="n">
        <v>0</v>
      </c>
      <c r="F21" s="570" t="n">
        <v>0</v>
      </c>
      <c r="G21" s="570" t="n">
        <v>9</v>
      </c>
      <c r="H21" s="570" t="n">
        <v>0</v>
      </c>
      <c r="I21" s="570" t="n">
        <v>0</v>
      </c>
      <c r="J21" s="570" t="n">
        <v>0</v>
      </c>
      <c r="K21" s="570" t="n">
        <v>0</v>
      </c>
      <c r="L21" s="570" t="n">
        <v>0</v>
      </c>
      <c r="M21" s="570" t="n">
        <v>0</v>
      </c>
      <c r="N21" s="570" t="n">
        <v>0</v>
      </c>
      <c r="O21" s="570" t="n">
        <v>0</v>
      </c>
      <c r="P21" s="570" t="n">
        <v>0</v>
      </c>
      <c r="Q21" s="570" t="n">
        <v>0</v>
      </c>
      <c r="R21" s="570" t="n">
        <v>0</v>
      </c>
      <c r="S21" s="570" t="n">
        <v>0</v>
      </c>
      <c r="T21" s="570" t="n">
        <v>0</v>
      </c>
      <c r="U21" s="570" t="n">
        <v>0</v>
      </c>
      <c r="V21" s="570" t="n">
        <v>0</v>
      </c>
      <c r="W21" s="570" t="n">
        <v>0</v>
      </c>
      <c r="X21" s="570" t="n">
        <v>0</v>
      </c>
    </row>
    <row r="22">
      <c r="A22" t="inlineStr">
        <is>
          <t>00000000094778 - ENVELOPE P NATAL 2025 BOT UNIT</t>
        </is>
      </c>
      <c r="B22" s="570" t="n">
        <v>0</v>
      </c>
      <c r="C22" s="570" t="n">
        <v>0</v>
      </c>
      <c r="D22" s="570" t="n">
        <v>0</v>
      </c>
      <c r="E22" s="570" t="n">
        <v>0</v>
      </c>
      <c r="F22" s="570" t="n">
        <v>0</v>
      </c>
      <c r="G22" s="570" t="n">
        <v>0</v>
      </c>
      <c r="H22" s="570" t="n">
        <v>0</v>
      </c>
      <c r="I22" s="570" t="n">
        <v>0</v>
      </c>
      <c r="J22" s="570" t="n">
        <v>0</v>
      </c>
      <c r="K22" s="570" t="n">
        <v>0</v>
      </c>
      <c r="L22" s="571" t="n">
        <v>35</v>
      </c>
      <c r="M22" s="570" t="n">
        <v>0</v>
      </c>
      <c r="N22" s="570" t="n">
        <v>0</v>
      </c>
      <c r="O22" s="570" t="n">
        <v>0</v>
      </c>
      <c r="P22" s="570" t="n">
        <v>0</v>
      </c>
      <c r="Q22" s="570" t="n">
        <v>0</v>
      </c>
      <c r="R22" s="570" t="n">
        <v>0</v>
      </c>
      <c r="S22" s="570" t="n">
        <v>0</v>
      </c>
      <c r="T22" s="570" t="n">
        <v>0</v>
      </c>
      <c r="U22" s="570" t="n">
        <v>0</v>
      </c>
      <c r="V22" s="570" t="n">
        <v>0</v>
      </c>
      <c r="W22" s="570" t="n">
        <v>0</v>
      </c>
      <c r="X22" s="570" t="n">
        <v>0</v>
      </c>
    </row>
    <row r="23">
      <c r="A23" t="inlineStr">
        <is>
          <t>00000000094779 - ENVELOPE M NATAL 2025 BOTI UNIT</t>
        </is>
      </c>
      <c r="B23" s="570" t="n">
        <v>0</v>
      </c>
      <c r="C23" s="570" t="n">
        <v>0</v>
      </c>
      <c r="D23" s="570" t="n">
        <v>0</v>
      </c>
      <c r="E23" s="570" t="n">
        <v>0</v>
      </c>
      <c r="F23" s="570" t="n">
        <v>0</v>
      </c>
      <c r="G23" s="570" t="n">
        <v>1</v>
      </c>
      <c r="H23" s="570" t="n">
        <v>0</v>
      </c>
      <c r="I23" s="570" t="n">
        <v>0</v>
      </c>
      <c r="J23" s="570" t="n">
        <v>0</v>
      </c>
      <c r="K23" s="570" t="n">
        <v>0</v>
      </c>
      <c r="L23" s="571" t="n">
        <v>1</v>
      </c>
      <c r="M23" s="570" t="n">
        <v>0</v>
      </c>
      <c r="N23" s="570" t="n">
        <v>1</v>
      </c>
      <c r="O23" s="570" t="n">
        <v>0</v>
      </c>
      <c r="P23" s="570" t="n">
        <v>0</v>
      </c>
      <c r="Q23" s="570" t="n">
        <v>0</v>
      </c>
      <c r="R23" s="570" t="n">
        <v>0</v>
      </c>
      <c r="S23" s="570" t="n">
        <v>0</v>
      </c>
      <c r="T23" s="570" t="n">
        <v>0</v>
      </c>
      <c r="U23" s="570" t="n">
        <v>0</v>
      </c>
      <c r="V23" s="570" t="n">
        <v>0</v>
      </c>
      <c r="W23" s="570" t="n">
        <v>0</v>
      </c>
      <c r="X23" s="570" t="n">
        <v>0</v>
      </c>
    </row>
    <row r="24">
      <c r="A24" t="inlineStr">
        <is>
          <t>00000000095151 - PIN BOTI NATAL 2025 UNIT</t>
        </is>
      </c>
      <c r="B24" s="570" t="n">
        <v>0</v>
      </c>
      <c r="C24" s="570" t="n">
        <v>0</v>
      </c>
      <c r="D24" s="570" t="n">
        <v>0</v>
      </c>
      <c r="E24" s="570" t="n">
        <v>0</v>
      </c>
      <c r="F24" s="570" t="n">
        <v>0</v>
      </c>
      <c r="G24" s="570" t="n">
        <v>0</v>
      </c>
      <c r="H24" s="570" t="n">
        <v>0</v>
      </c>
      <c r="I24" s="570" t="n">
        <v>0</v>
      </c>
      <c r="J24" s="570" t="n">
        <v>0</v>
      </c>
      <c r="K24" s="570" t="n">
        <v>0</v>
      </c>
      <c r="L24" s="570" t="n">
        <v>0</v>
      </c>
      <c r="M24" s="571" t="n">
        <v>14</v>
      </c>
      <c r="N24" s="571" t="n">
        <v>6</v>
      </c>
      <c r="O24" s="570" t="n">
        <v>0</v>
      </c>
      <c r="P24" s="570" t="n">
        <v>1</v>
      </c>
      <c r="Q24" s="570" t="n">
        <v>3</v>
      </c>
      <c r="R24" s="570" t="n">
        <v>5</v>
      </c>
      <c r="S24" s="570" t="n">
        <v>4</v>
      </c>
      <c r="T24" s="570" t="n">
        <v>5</v>
      </c>
      <c r="U24" s="570" t="n">
        <v>0</v>
      </c>
      <c r="V24" s="570" t="n">
        <v>0</v>
      </c>
      <c r="W24" s="570" t="n">
        <v>0</v>
      </c>
      <c r="X24" s="570" t="n">
        <v>0</v>
      </c>
    </row>
    <row r="25">
      <c r="A25" t="inlineStr">
        <is>
          <t>00000000096437 - CAIXA LACO P MAES/26 BOTI UNIT</t>
        </is>
      </c>
      <c r="B25" s="570" t="n">
        <v>17</v>
      </c>
      <c r="C25" s="570" t="n">
        <v>0</v>
      </c>
      <c r="D25" s="570" t="n">
        <v>-33</v>
      </c>
      <c r="E25" s="570" t="n">
        <v>101</v>
      </c>
      <c r="F25" s="570" t="n">
        <v>-3</v>
      </c>
      <c r="G25" s="570" t="n">
        <v>0</v>
      </c>
      <c r="H25" s="571" t="n">
        <v>82</v>
      </c>
      <c r="I25" s="571" t="n">
        <v>49</v>
      </c>
      <c r="J25" s="571" t="n">
        <v>50</v>
      </c>
      <c r="K25" s="571" t="n">
        <v>89</v>
      </c>
      <c r="L25" s="571" t="n">
        <v>-1</v>
      </c>
      <c r="M25" s="571" t="n">
        <v>69</v>
      </c>
      <c r="N25" s="571" t="n">
        <v>1</v>
      </c>
      <c r="O25" s="571" t="n">
        <v>20</v>
      </c>
      <c r="P25" s="570" t="n">
        <v>0</v>
      </c>
      <c r="Q25" s="570" t="n">
        <v>0</v>
      </c>
      <c r="R25" s="570" t="n">
        <v>0</v>
      </c>
      <c r="S25" s="570" t="n">
        <v>3</v>
      </c>
      <c r="T25" s="570" t="n">
        <v>3</v>
      </c>
      <c r="U25" s="570" t="n">
        <v>0</v>
      </c>
      <c r="V25" s="570" t="n">
        <v>0</v>
      </c>
      <c r="W25" s="570" t="n">
        <v>1</v>
      </c>
      <c r="X25" s="570" t="n">
        <v>-1</v>
      </c>
    </row>
    <row r="26">
      <c r="A26" t="inlineStr">
        <is>
          <t>00000000096438 - CAIXA LACO M MAES/26 BOTI UNIT</t>
        </is>
      </c>
      <c r="B26" s="570" t="n">
        <v>2</v>
      </c>
      <c r="C26" s="570" t="n">
        <v>18</v>
      </c>
      <c r="D26" s="570" t="n">
        <v>-10</v>
      </c>
      <c r="E26" s="570" t="n">
        <v>15</v>
      </c>
      <c r="F26" s="570" t="n">
        <v>-1</v>
      </c>
      <c r="G26" s="570" t="n">
        <v>-1</v>
      </c>
      <c r="H26" s="571" t="n">
        <v>160</v>
      </c>
      <c r="I26" s="571" t="n">
        <v>177</v>
      </c>
      <c r="J26" s="571" t="n">
        <v>53</v>
      </c>
      <c r="K26" s="571" t="n">
        <v>40</v>
      </c>
      <c r="L26" s="571" t="n">
        <v>3</v>
      </c>
      <c r="M26" s="571" t="n">
        <v>49</v>
      </c>
      <c r="N26" s="571" t="n">
        <v>3</v>
      </c>
      <c r="O26" s="571" t="n">
        <v>9</v>
      </c>
      <c r="P26" s="570" t="n">
        <v>6</v>
      </c>
      <c r="Q26" s="570" t="n">
        <v>8</v>
      </c>
      <c r="R26" s="570" t="n">
        <v>5</v>
      </c>
      <c r="S26" s="570" t="n">
        <v>3</v>
      </c>
      <c r="T26" s="570" t="n">
        <v>-1</v>
      </c>
      <c r="U26" s="570" t="n">
        <v>2</v>
      </c>
      <c r="V26" s="570" t="n">
        <v>-2</v>
      </c>
      <c r="W26" s="570" t="n">
        <v>1</v>
      </c>
      <c r="X26" s="570" t="n">
        <v>1</v>
      </c>
    </row>
    <row r="27">
      <c r="A27" t="inlineStr">
        <is>
          <t>00000000096440 - ENVELOPE P MAES 2026 BOTI UNIT</t>
        </is>
      </c>
      <c r="B27" s="570" t="n">
        <v>0</v>
      </c>
      <c r="C27" s="570" t="n">
        <v>0</v>
      </c>
      <c r="D27" s="570" t="n">
        <v>0</v>
      </c>
      <c r="E27" s="570" t="n">
        <v>0</v>
      </c>
      <c r="F27" s="570" t="n">
        <v>0</v>
      </c>
      <c r="G27" s="570" t="n">
        <v>0</v>
      </c>
      <c r="H27" s="571" t="n">
        <v>46</v>
      </c>
      <c r="I27" s="571" t="n">
        <v>22</v>
      </c>
      <c r="J27" s="571" t="n">
        <v>49</v>
      </c>
      <c r="K27" s="571" t="n">
        <v>55</v>
      </c>
      <c r="L27" s="571" t="n">
        <v>69</v>
      </c>
      <c r="M27" s="571" t="n">
        <v>14</v>
      </c>
      <c r="N27" s="571" t="n">
        <v>0</v>
      </c>
      <c r="O27" s="571" t="n">
        <v>22</v>
      </c>
      <c r="P27" s="570" t="n">
        <v>0</v>
      </c>
      <c r="Q27" s="570" t="n">
        <v>0</v>
      </c>
      <c r="R27" s="570" t="n">
        <v>1</v>
      </c>
      <c r="S27" s="570" t="n">
        <v>4</v>
      </c>
      <c r="T27" s="570" t="n">
        <v>-5</v>
      </c>
      <c r="U27" s="570" t="n">
        <v>2</v>
      </c>
      <c r="V27" s="570" t="n">
        <v>-1</v>
      </c>
      <c r="W27" s="570" t="n">
        <v>0</v>
      </c>
      <c r="X27" s="570" t="n">
        <v>0</v>
      </c>
    </row>
    <row r="28">
      <c r="A28" t="inlineStr">
        <is>
          <t>00000000096441 - ENVELOPE M MAES 2026 BOTI UNIT</t>
        </is>
      </c>
      <c r="B28" s="570" t="n">
        <v>0</v>
      </c>
      <c r="C28" s="570" t="n">
        <v>1</v>
      </c>
      <c r="D28" s="570" t="n">
        <v>3</v>
      </c>
      <c r="E28" s="570" t="n">
        <v>-1</v>
      </c>
      <c r="F28" s="570" t="n">
        <v>-2</v>
      </c>
      <c r="G28" s="570" t="n">
        <v>7</v>
      </c>
      <c r="H28" s="571" t="n">
        <v>7</v>
      </c>
      <c r="I28" s="571" t="n">
        <v>20</v>
      </c>
      <c r="J28" s="571" t="n">
        <v>54</v>
      </c>
      <c r="K28" s="571" t="n">
        <v>1</v>
      </c>
      <c r="L28" s="571" t="n">
        <v>6</v>
      </c>
      <c r="M28" s="571" t="n">
        <v>12</v>
      </c>
      <c r="N28" s="571" t="n">
        <v>5</v>
      </c>
      <c r="O28" s="571" t="n">
        <v>94</v>
      </c>
      <c r="P28" s="570" t="n">
        <v>4</v>
      </c>
      <c r="Q28" s="570" t="n">
        <v>0</v>
      </c>
      <c r="R28" s="570" t="n">
        <v>0</v>
      </c>
      <c r="S28" s="570" t="n">
        <v>-2</v>
      </c>
      <c r="T28" s="570" t="n">
        <v>-4</v>
      </c>
      <c r="U28" s="570" t="n">
        <v>1</v>
      </c>
      <c r="V28" s="570" t="n">
        <v>0</v>
      </c>
      <c r="W28" s="570" t="n">
        <v>3</v>
      </c>
      <c r="X28" s="570" t="n">
        <v>1</v>
      </c>
    </row>
    <row r="29">
      <c r="A29" t="inlineStr">
        <is>
          <t>00000000044742 - FITA DE VEDACAO VOID DEVOLUCAO</t>
        </is>
      </c>
      <c r="B29" s="570" t="n">
        <v>0</v>
      </c>
      <c r="C29" s="570" t="n">
        <v>0</v>
      </c>
      <c r="D29" s="570" t="n">
        <v>0</v>
      </c>
      <c r="E29" s="570" t="n">
        <v>0</v>
      </c>
      <c r="F29" s="570" t="n">
        <v>0</v>
      </c>
      <c r="G29" s="570" t="n">
        <v>0</v>
      </c>
      <c r="H29" s="570" t="n">
        <v>0</v>
      </c>
      <c r="I29" s="570" t="n">
        <v>0</v>
      </c>
      <c r="J29" s="570" t="n">
        <v>0</v>
      </c>
      <c r="K29" s="570" t="n">
        <v>0</v>
      </c>
      <c r="L29" s="570" t="n">
        <v>0</v>
      </c>
      <c r="M29" s="570" t="n">
        <v>1</v>
      </c>
      <c r="N29" s="570" t="n">
        <v>1</v>
      </c>
      <c r="O29" s="570" t="n">
        <v>0</v>
      </c>
      <c r="P29" s="570" t="n">
        <v>0</v>
      </c>
      <c r="Q29" s="570" t="n">
        <v>0</v>
      </c>
      <c r="R29" s="570" t="n">
        <v>1</v>
      </c>
      <c r="S29" s="570" t="n">
        <v>0</v>
      </c>
      <c r="T29" s="570" t="n">
        <v>0</v>
      </c>
      <c r="U29" s="570" t="n">
        <v>0</v>
      </c>
      <c r="V29" s="570" t="n">
        <v>0</v>
      </c>
      <c r="W29" s="570" t="n">
        <v>0</v>
      </c>
      <c r="X29" s="570" t="n">
        <v>0</v>
      </c>
    </row>
    <row r="30">
      <c r="A30" t="inlineStr">
        <is>
          <t>00000000086009 - CAIXA LACO G NAT/24</t>
        </is>
      </c>
      <c r="B30" s="570" t="n">
        <v>1</v>
      </c>
      <c r="C30" s="570" t="n">
        <v>0</v>
      </c>
      <c r="D30" s="570" t="n">
        <v>0</v>
      </c>
      <c r="E30" s="570" t="n">
        <v>0</v>
      </c>
      <c r="F30" s="570" t="n">
        <v>0</v>
      </c>
      <c r="G30" s="570" t="n">
        <v>0</v>
      </c>
      <c r="H30" s="570" t="n">
        <v>0</v>
      </c>
      <c r="I30" s="570" t="n">
        <v>0</v>
      </c>
      <c r="J30" s="570" t="n">
        <v>0</v>
      </c>
      <c r="K30" s="570" t="n">
        <v>0</v>
      </c>
      <c r="L30" s="570" t="n">
        <v>0</v>
      </c>
      <c r="M30" s="570" t="n">
        <v>0</v>
      </c>
      <c r="N30" s="570" t="n">
        <v>0</v>
      </c>
      <c r="O30" s="570" t="n">
        <v>0</v>
      </c>
      <c r="P30" s="570" t="n">
        <v>0</v>
      </c>
      <c r="Q30" s="570" t="n">
        <v>0</v>
      </c>
      <c r="R30" s="570" t="n">
        <v>0</v>
      </c>
      <c r="S30" s="570" t="n">
        <v>0</v>
      </c>
      <c r="T30" s="570" t="n">
        <v>0</v>
      </c>
      <c r="U30" s="570" t="n">
        <v>0</v>
      </c>
      <c r="V30" s="570" t="n">
        <v>0</v>
      </c>
      <c r="W30" s="570" t="n">
        <v>0</v>
      </c>
      <c r="X30" s="570" t="n">
        <v>0</v>
      </c>
    </row>
    <row r="31">
      <c r="A31" t="inlineStr">
        <is>
          <t>00000000096583 - ENVELOPE M AMOR 2026 BOTI UNIT</t>
        </is>
      </c>
      <c r="B31" s="570" t="n">
        <v>300</v>
      </c>
      <c r="C31" s="570" t="n">
        <v>50</v>
      </c>
      <c r="D31" s="570" t="n">
        <v>0</v>
      </c>
      <c r="E31" s="570" t="n">
        <v>100</v>
      </c>
      <c r="F31" s="570" t="n">
        <v>50</v>
      </c>
      <c r="G31" s="570" t="n">
        <v>0</v>
      </c>
      <c r="H31" s="570" t="n">
        <v>100</v>
      </c>
      <c r="I31" s="570" t="n">
        <v>100</v>
      </c>
      <c r="J31" s="570" t="n">
        <v>0</v>
      </c>
      <c r="K31" s="570" t="n">
        <v>50</v>
      </c>
      <c r="L31" s="570" t="n">
        <v>0</v>
      </c>
      <c r="M31" s="570" t="n">
        <v>0</v>
      </c>
      <c r="N31" s="570" t="n">
        <v>0</v>
      </c>
      <c r="O31" s="570" t="n">
        <v>0</v>
      </c>
      <c r="P31" s="570" t="n">
        <v>0</v>
      </c>
      <c r="Q31" s="570" t="n">
        <v>50</v>
      </c>
      <c r="R31" s="570" t="n">
        <v>50</v>
      </c>
      <c r="S31" s="570" t="n">
        <v>50</v>
      </c>
      <c r="T31" s="570" t="n">
        <v>100</v>
      </c>
      <c r="U31" s="570" t="n">
        <v>50</v>
      </c>
      <c r="V31" s="570" t="n">
        <v>50</v>
      </c>
      <c r="W31" s="570" t="n">
        <v>0</v>
      </c>
      <c r="X31" s="570" t="n">
        <v>100</v>
      </c>
    </row>
    <row r="32">
      <c r="A32" s="340" t="inlineStr">
        <is>
          <t>Total</t>
        </is>
      </c>
      <c r="B32" s="572" t="n">
        <v>1276</v>
      </c>
      <c r="C32" s="572" t="n">
        <v>766</v>
      </c>
      <c r="D32" s="572" t="n">
        <v>246</v>
      </c>
      <c r="E32" s="572" t="n">
        <v>2542</v>
      </c>
      <c r="F32" s="572" t="n">
        <v>285</v>
      </c>
      <c r="G32" s="572" t="n">
        <v>347</v>
      </c>
      <c r="H32" s="572" t="n">
        <v>1712</v>
      </c>
      <c r="I32" s="572" t="n">
        <v>1545</v>
      </c>
      <c r="J32" s="572" t="n">
        <v>792</v>
      </c>
      <c r="K32" s="572" t="n">
        <v>1275</v>
      </c>
      <c r="L32" s="572" t="n">
        <v>672</v>
      </c>
      <c r="M32" s="572" t="n">
        <v>788</v>
      </c>
      <c r="N32" s="572" t="n">
        <v>664</v>
      </c>
      <c r="O32" s="572" t="n">
        <v>555</v>
      </c>
      <c r="P32" s="572" t="n">
        <v>580</v>
      </c>
      <c r="Q32" s="572" t="n">
        <v>696</v>
      </c>
      <c r="R32" s="572" t="n">
        <v>901</v>
      </c>
      <c r="S32" s="572" t="n">
        <v>629</v>
      </c>
      <c r="T32" s="572" t="n">
        <v>954</v>
      </c>
      <c r="U32" s="572" t="n">
        <v>264</v>
      </c>
      <c r="V32" s="572" t="n">
        <v>400</v>
      </c>
      <c r="W32" s="572" t="n">
        <v>369</v>
      </c>
      <c r="X32" s="572" t="n">
        <v>280</v>
      </c>
    </row>
  </sheetData>
  <pageMargins left="0.511811024" right="0.511811024" top="0.787401575" bottom="0.787401575" header="0.31496062" footer="0.31496062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 codeName="Planilha40">
    <outlinePr summaryBelow="1" summaryRight="1"/>
    <pageSetUpPr/>
  </sheetPr>
  <dimension ref="A1:K82"/>
  <sheetViews>
    <sheetView tabSelected="1" workbookViewId="0">
      <selection activeCell="S21" sqref="S21"/>
    </sheetView>
  </sheetViews>
  <sheetFormatPr baseColWidth="8" defaultRowHeight="15"/>
  <cols>
    <col width="60.85546875" customWidth="1" style="333" min="1" max="1"/>
    <col hidden="1" width="7.28515625" customWidth="1" style="333" min="2" max="8"/>
    <col width="7.28515625" customWidth="1" style="333" min="9" max="11"/>
  </cols>
  <sheetData>
    <row r="1">
      <c r="A1" s="305" t="inlineStr">
        <is>
          <t>Produtos</t>
        </is>
      </c>
      <c r="B1" s="306" t="n">
        <v>14356</v>
      </c>
      <c r="C1" s="306" t="n">
        <v>24790</v>
      </c>
      <c r="D1" s="306" t="n">
        <v>23614</v>
      </c>
      <c r="E1" s="306" t="n">
        <v>23343</v>
      </c>
      <c r="F1" s="306" t="n">
        <v>24119</v>
      </c>
      <c r="G1" s="307" t="n">
        <v>23280</v>
      </c>
      <c r="H1" s="307" t="n">
        <v>22851</v>
      </c>
      <c r="I1" s="308" t="n">
        <v>23091</v>
      </c>
      <c r="J1" s="308" t="n">
        <v>22838</v>
      </c>
      <c r="K1" s="308" t="n">
        <v>24137</v>
      </c>
    </row>
    <row r="2">
      <c r="A2" s="309" t="inlineStr">
        <is>
          <t>00000000090819 - SACOLA PP BOTICARIO INST/25</t>
        </is>
      </c>
      <c r="B2" s="573" t="n">
        <v>0</v>
      </c>
      <c r="C2" s="573" t="n">
        <v>79</v>
      </c>
      <c r="D2" s="573" t="n">
        <v>106</v>
      </c>
      <c r="E2" s="573" t="n">
        <v>190</v>
      </c>
      <c r="F2" s="573" t="n">
        <v>0</v>
      </c>
      <c r="G2" s="574" t="n">
        <v>12</v>
      </c>
      <c r="H2" s="573" t="n">
        <v>0</v>
      </c>
      <c r="I2" s="574" t="n">
        <v>147</v>
      </c>
      <c r="J2" s="574" t="n">
        <v>153</v>
      </c>
      <c r="K2" s="574" t="n">
        <v>40</v>
      </c>
    </row>
    <row r="3">
      <c r="A3" s="311" t="inlineStr">
        <is>
          <t>00000000090821 - SACOLA P BOTICARIO INST/25</t>
        </is>
      </c>
      <c r="B3" s="575" t="n">
        <v>0</v>
      </c>
      <c r="C3" s="575" t="n">
        <v>126</v>
      </c>
      <c r="D3" s="575" t="n">
        <v>561</v>
      </c>
      <c r="E3" s="575" t="n">
        <v>200</v>
      </c>
      <c r="F3" s="575" t="n">
        <v>200</v>
      </c>
      <c r="G3" s="574" t="n">
        <v>354</v>
      </c>
      <c r="H3" s="575" t="n">
        <v>0</v>
      </c>
      <c r="I3" s="575" t="n">
        <v>0</v>
      </c>
      <c r="J3" s="574" t="n">
        <v>252</v>
      </c>
      <c r="K3" s="575" t="n">
        <v>0</v>
      </c>
    </row>
    <row r="4">
      <c r="A4" s="309" t="inlineStr">
        <is>
          <t>00000000090822 - SACOLA M BOTICARIO INST/25</t>
        </is>
      </c>
      <c r="B4" s="573" t="n">
        <v>0</v>
      </c>
      <c r="C4" s="573" t="n">
        <v>132</v>
      </c>
      <c r="D4" s="573" t="n">
        <v>370</v>
      </c>
      <c r="E4" s="573" t="n">
        <v>200</v>
      </c>
      <c r="F4" s="573" t="n">
        <v>200</v>
      </c>
      <c r="G4" s="574" t="n">
        <v>0</v>
      </c>
      <c r="H4" s="573" t="n">
        <v>0</v>
      </c>
      <c r="I4" s="573" t="n">
        <v>0</v>
      </c>
      <c r="J4" s="574" t="n">
        <v>395</v>
      </c>
      <c r="K4" s="573" t="n">
        <v>0</v>
      </c>
    </row>
    <row r="5">
      <c r="A5" s="311" t="inlineStr">
        <is>
          <t>00000000003591 - KIT SACOLA PP INST 2021 VERDE C/10</t>
        </is>
      </c>
      <c r="B5" s="575" t="n">
        <v>0</v>
      </c>
      <c r="C5" s="575" t="n">
        <v>0</v>
      </c>
      <c r="D5" s="575" t="n">
        <v>4</v>
      </c>
      <c r="E5" s="575" t="n">
        <v>23</v>
      </c>
      <c r="F5" s="575" t="n">
        <v>0</v>
      </c>
      <c r="G5" s="575" t="n">
        <v>0</v>
      </c>
      <c r="H5" s="575" t="n">
        <v>0</v>
      </c>
      <c r="I5" s="575" t="n">
        <v>0</v>
      </c>
      <c r="J5" s="575" t="n">
        <v>0</v>
      </c>
      <c r="K5" s="575" t="n">
        <v>0</v>
      </c>
    </row>
    <row r="6">
      <c r="A6" s="309" t="inlineStr">
        <is>
          <t>00000000003608 - KIT SACOLA P INST 2021 VERDE C/10</t>
        </is>
      </c>
      <c r="B6" s="573" t="n">
        <v>0</v>
      </c>
      <c r="C6" s="573" t="n">
        <v>3</v>
      </c>
      <c r="D6" s="573" t="n">
        <v>6</v>
      </c>
      <c r="E6" s="573" t="n">
        <v>11</v>
      </c>
      <c r="F6" s="573" t="n">
        <v>0</v>
      </c>
      <c r="G6" s="573" t="n">
        <v>0</v>
      </c>
      <c r="H6" s="573" t="n">
        <v>0</v>
      </c>
      <c r="I6" s="573" t="n">
        <v>0</v>
      </c>
      <c r="J6" s="573" t="n">
        <v>0</v>
      </c>
      <c r="K6" s="573" t="n">
        <v>0</v>
      </c>
    </row>
    <row r="7">
      <c r="A7" s="311" t="inlineStr">
        <is>
          <t>00000000003610 - KIT SACOLA M INST 2021 VERDE C/10</t>
        </is>
      </c>
      <c r="B7" s="575" t="n">
        <v>0</v>
      </c>
      <c r="C7" s="575" t="n">
        <v>0</v>
      </c>
      <c r="D7" s="575" t="n">
        <v>10</v>
      </c>
      <c r="E7" s="575" t="n">
        <v>28</v>
      </c>
      <c r="F7" s="575" t="n">
        <v>0</v>
      </c>
      <c r="G7" s="575" t="n">
        <v>0</v>
      </c>
      <c r="H7" s="575" t="n">
        <v>0</v>
      </c>
      <c r="I7" s="575" t="n">
        <v>0</v>
      </c>
      <c r="J7" s="574" t="n">
        <v>9</v>
      </c>
      <c r="K7" s="575" t="n">
        <v>0</v>
      </c>
    </row>
    <row r="8">
      <c r="A8" s="309" t="inlineStr">
        <is>
          <t>00000000094389 - PAPEL SEDA BOTI INSTIT 2025 UNIT</t>
        </is>
      </c>
      <c r="B8" s="573" t="n">
        <v>0</v>
      </c>
      <c r="C8" s="573" t="n">
        <v>0</v>
      </c>
      <c r="D8" s="573" t="n">
        <v>0</v>
      </c>
      <c r="E8" s="573" t="n">
        <v>0</v>
      </c>
      <c r="F8" s="573" t="n">
        <v>0</v>
      </c>
      <c r="G8" s="574" t="n">
        <v>9</v>
      </c>
      <c r="H8" s="574" t="n">
        <v>140</v>
      </c>
      <c r="I8" s="573" t="n">
        <v>0</v>
      </c>
      <c r="J8" s="573" t="n">
        <v>0</v>
      </c>
      <c r="K8" s="574" t="n">
        <v>38</v>
      </c>
    </row>
    <row r="9">
      <c r="A9" s="311" t="inlineStr">
        <is>
          <t>00000000043673 - KIT VD INSTITUCIONAL PAPEL DE SEDA C/25</t>
        </is>
      </c>
      <c r="B9" s="575" t="n">
        <v>0</v>
      </c>
      <c r="C9" s="575" t="n">
        <v>42</v>
      </c>
      <c r="D9" s="575" t="n">
        <v>24</v>
      </c>
      <c r="E9" s="575" t="n">
        <v>8</v>
      </c>
      <c r="F9" s="575" t="n">
        <v>12</v>
      </c>
      <c r="G9" s="575" t="n">
        <v>0</v>
      </c>
      <c r="H9" s="575" t="n">
        <v>0</v>
      </c>
      <c r="I9" s="575" t="n">
        <v>0</v>
      </c>
      <c r="J9" s="575" t="n">
        <v>0</v>
      </c>
      <c r="K9" s="575" t="n">
        <v>0</v>
      </c>
    </row>
    <row r="10">
      <c r="A10" s="309" t="inlineStr">
        <is>
          <t>00000000030190 - CART ADESIVOS INST 2021 C/50</t>
        </is>
      </c>
      <c r="B10" s="573" t="n">
        <v>0</v>
      </c>
      <c r="C10" s="573" t="n">
        <v>38</v>
      </c>
      <c r="D10" s="573" t="n">
        <v>58</v>
      </c>
      <c r="E10" s="573" t="n">
        <v>1</v>
      </c>
      <c r="F10" s="573" t="n">
        <v>33</v>
      </c>
      <c r="G10" s="574" t="n">
        <v>0</v>
      </c>
      <c r="H10" s="573" t="n">
        <v>0</v>
      </c>
      <c r="I10" s="573" t="n">
        <v>0</v>
      </c>
      <c r="J10" s="573" t="n">
        <v>0</v>
      </c>
      <c r="K10" s="573" t="n">
        <v>0</v>
      </c>
    </row>
    <row r="11">
      <c r="A11" s="311" t="inlineStr">
        <is>
          <t>00000000045033 - KIT TAG INST. VD S/ FIT C/20 UN</t>
        </is>
      </c>
      <c r="B11" s="575" t="n">
        <v>0</v>
      </c>
      <c r="C11" s="575" t="n">
        <v>0</v>
      </c>
      <c r="D11" s="575" t="n">
        <v>0</v>
      </c>
      <c r="E11" s="575" t="n">
        <v>23</v>
      </c>
      <c r="F11" s="575" t="n">
        <v>0</v>
      </c>
      <c r="G11" s="575" t="n">
        <v>0</v>
      </c>
      <c r="H11" s="575" t="n">
        <v>0</v>
      </c>
      <c r="I11" s="575" t="n">
        <v>0</v>
      </c>
      <c r="J11" s="575" t="n">
        <v>0</v>
      </c>
      <c r="K11" s="575" t="n">
        <v>0</v>
      </c>
    </row>
    <row r="12">
      <c r="A12" s="309" t="inlineStr">
        <is>
          <t>00000000043763 - KIT VD INST TAG C/50</t>
        </is>
      </c>
      <c r="B12" s="573" t="n">
        <v>0</v>
      </c>
      <c r="C12" s="573" t="n">
        <v>0</v>
      </c>
      <c r="D12" s="573" t="n">
        <v>0</v>
      </c>
      <c r="E12" s="573" t="n">
        <v>15</v>
      </c>
      <c r="F12" s="573" t="n">
        <v>0</v>
      </c>
      <c r="G12" s="574" t="n">
        <v>9</v>
      </c>
      <c r="H12" s="573" t="n">
        <v>0</v>
      </c>
      <c r="I12" s="573" t="n">
        <v>0</v>
      </c>
      <c r="J12" s="574" t="n">
        <v>1</v>
      </c>
      <c r="K12" s="573" t="n">
        <v>0</v>
      </c>
    </row>
    <row r="13">
      <c r="A13" s="311" t="inlineStr">
        <is>
          <t>00000000030194 - TAG P/SACOLA INST 2021 KIT C/50 UN VD</t>
        </is>
      </c>
      <c r="B13" s="575" t="n">
        <v>0</v>
      </c>
      <c r="C13" s="575" t="n">
        <v>63</v>
      </c>
      <c r="D13" s="575" t="n">
        <v>42</v>
      </c>
      <c r="E13" s="575" t="n">
        <v>0</v>
      </c>
      <c r="F13" s="575" t="n">
        <v>0</v>
      </c>
      <c r="G13" s="575" t="n">
        <v>0</v>
      </c>
      <c r="H13" s="575" t="n">
        <v>0</v>
      </c>
      <c r="I13" s="575" t="n">
        <v>0</v>
      </c>
      <c r="J13" s="575" t="n">
        <v>0</v>
      </c>
      <c r="K13" s="575" t="n">
        <v>0</v>
      </c>
    </row>
    <row r="14">
      <c r="A14" s="309" t="inlineStr">
        <is>
          <t>00000000089402 - CAIXA PRESENTE P BOT INST/25 VDA</t>
        </is>
      </c>
      <c r="B14" s="573" t="n">
        <v>0</v>
      </c>
      <c r="C14" s="573" t="n">
        <v>0</v>
      </c>
      <c r="D14" s="573" t="n">
        <v>0</v>
      </c>
      <c r="E14" s="573" t="n">
        <v>0</v>
      </c>
      <c r="F14" s="573" t="n">
        <v>0</v>
      </c>
      <c r="G14" s="574" t="n">
        <v>125</v>
      </c>
      <c r="H14" s="574" t="n">
        <v>104</v>
      </c>
      <c r="I14" s="574" t="n">
        <v>100</v>
      </c>
      <c r="J14" s="573" t="n">
        <v>0</v>
      </c>
      <c r="K14" s="573" t="n">
        <v>0</v>
      </c>
    </row>
    <row r="15">
      <c r="A15" s="311" t="inlineStr">
        <is>
          <t>00000000003682 - KIT CAIXA P INST 2021 VERDE VD</t>
        </is>
      </c>
      <c r="B15" s="575" t="n">
        <v>0</v>
      </c>
      <c r="C15" s="575" t="n">
        <v>0</v>
      </c>
      <c r="D15" s="575" t="n">
        <v>4</v>
      </c>
      <c r="E15" s="575" t="n">
        <v>0</v>
      </c>
      <c r="F15" s="575" t="n">
        <v>0</v>
      </c>
      <c r="G15" s="575" t="n">
        <v>0</v>
      </c>
      <c r="H15" s="575" t="n">
        <v>0</v>
      </c>
      <c r="I15" s="575" t="n">
        <v>0</v>
      </c>
      <c r="J15" s="575" t="n">
        <v>0</v>
      </c>
      <c r="K15" s="574" t="n">
        <v>5</v>
      </c>
    </row>
    <row r="16">
      <c r="A16" s="309" t="inlineStr">
        <is>
          <t>00000000089401 - CX PRESENTE M BOTI INST/25 VDA</t>
        </is>
      </c>
      <c r="B16" s="573" t="n">
        <v>0</v>
      </c>
      <c r="C16" s="573" t="n">
        <v>0</v>
      </c>
      <c r="D16" s="573" t="n">
        <v>0</v>
      </c>
      <c r="E16" s="573" t="n">
        <v>0</v>
      </c>
      <c r="F16" s="573" t="n">
        <v>0</v>
      </c>
      <c r="G16" s="574" t="n">
        <v>45</v>
      </c>
      <c r="H16" s="573" t="n">
        <v>0</v>
      </c>
      <c r="I16" s="574" t="n">
        <v>48</v>
      </c>
      <c r="J16" s="574" t="n">
        <v>73</v>
      </c>
      <c r="K16" s="573" t="n">
        <v>0</v>
      </c>
    </row>
    <row r="17">
      <c r="A17" s="311" t="inlineStr">
        <is>
          <t>00000000003704 - KIT CAIXA G INST 2021 VERDE VD</t>
        </is>
      </c>
      <c r="B17" s="575" t="n">
        <v>0</v>
      </c>
      <c r="C17" s="575" t="n">
        <v>0</v>
      </c>
      <c r="D17" s="575" t="n">
        <v>0</v>
      </c>
      <c r="E17" s="575" t="n">
        <v>0</v>
      </c>
      <c r="F17" s="575" t="n">
        <v>0</v>
      </c>
      <c r="G17" s="574" t="n">
        <v>0</v>
      </c>
      <c r="H17" s="575" t="n">
        <v>0</v>
      </c>
      <c r="I17" s="575" t="n">
        <v>0</v>
      </c>
      <c r="J17" s="575" t="n">
        <v>0</v>
      </c>
      <c r="K17" s="574" t="n">
        <v>2</v>
      </c>
    </row>
    <row r="18">
      <c r="A18" s="309" t="inlineStr">
        <is>
          <t>00000000054572 - KIT OVERBAG BOTI PRESENTEAR ECOMMERCE M</t>
        </is>
      </c>
      <c r="B18" s="573" t="n">
        <v>0</v>
      </c>
      <c r="C18" s="573" t="n">
        <v>0</v>
      </c>
      <c r="D18" s="573" t="n">
        <v>0</v>
      </c>
      <c r="E18" s="573" t="n">
        <v>0</v>
      </c>
      <c r="F18" s="573" t="n">
        <v>0</v>
      </c>
      <c r="G18" s="574" t="n">
        <v>23</v>
      </c>
      <c r="H18" s="573" t="n">
        <v>0</v>
      </c>
      <c r="I18" s="573" t="n">
        <v>0</v>
      </c>
      <c r="J18" s="574" t="n">
        <v>8</v>
      </c>
      <c r="K18" s="573" t="n">
        <v>0</v>
      </c>
    </row>
    <row r="19">
      <c r="A19" s="311" t="inlineStr">
        <is>
          <t>00000000046885 - O.U.i SACOLA P 2021</t>
        </is>
      </c>
      <c r="B19" s="575" t="n">
        <v>0</v>
      </c>
      <c r="C19" s="575" t="n">
        <v>4</v>
      </c>
      <c r="D19" s="575" t="n">
        <v>12</v>
      </c>
      <c r="E19" s="575" t="n">
        <v>23</v>
      </c>
      <c r="F19" s="575" t="n">
        <v>0</v>
      </c>
      <c r="G19" s="574" t="n">
        <v>38</v>
      </c>
      <c r="H19" s="574" t="n">
        <v>3</v>
      </c>
      <c r="I19" s="574" t="n">
        <v>116</v>
      </c>
      <c r="J19" s="574" t="n">
        <v>0</v>
      </c>
      <c r="K19" s="574" t="n">
        <v>2</v>
      </c>
    </row>
    <row r="20">
      <c r="A20" s="309" t="inlineStr">
        <is>
          <t>00000000046886 - O.U.I SACOLA M 2021</t>
        </is>
      </c>
      <c r="B20" s="573" t="n">
        <v>0</v>
      </c>
      <c r="C20" s="573" t="n">
        <v>9</v>
      </c>
      <c r="D20" s="573" t="n">
        <v>19</v>
      </c>
      <c r="E20" s="573" t="n">
        <v>11</v>
      </c>
      <c r="F20" s="573" t="n">
        <v>0</v>
      </c>
      <c r="G20" s="574" t="n">
        <v>18</v>
      </c>
      <c r="H20" s="574" t="n">
        <v>12</v>
      </c>
      <c r="I20" s="574" t="n">
        <v>79</v>
      </c>
      <c r="J20" s="574" t="n">
        <v>0</v>
      </c>
      <c r="K20" s="574" t="n">
        <v>0</v>
      </c>
    </row>
    <row r="21">
      <c r="A21" s="311" t="inlineStr">
        <is>
          <t>00000000046887 - O.U.I SACOLA G 2021</t>
        </is>
      </c>
      <c r="B21" s="575" t="n">
        <v>0</v>
      </c>
      <c r="C21" s="575" t="n">
        <v>7</v>
      </c>
      <c r="D21" s="575" t="n">
        <v>13</v>
      </c>
      <c r="E21" s="575" t="n">
        <v>18</v>
      </c>
      <c r="F21" s="575" t="n">
        <v>0</v>
      </c>
      <c r="G21" s="574" t="n">
        <v>0</v>
      </c>
      <c r="H21" s="574" t="n">
        <v>0</v>
      </c>
      <c r="I21" s="574" t="n">
        <v>7</v>
      </c>
      <c r="J21" s="574" t="n">
        <v>0</v>
      </c>
      <c r="K21" s="574" t="n">
        <v>3</v>
      </c>
    </row>
    <row r="22">
      <c r="A22" s="309" t="inlineStr">
        <is>
          <t>00000000046888 - O.U.I KIT CAIXA P 2021</t>
        </is>
      </c>
      <c r="B22" s="573" t="n">
        <v>0</v>
      </c>
      <c r="C22" s="573" t="n">
        <v>19</v>
      </c>
      <c r="D22" s="573" t="n">
        <v>57</v>
      </c>
      <c r="E22" s="573" t="n">
        <v>16</v>
      </c>
      <c r="F22" s="573" t="n">
        <v>5</v>
      </c>
      <c r="G22" s="574" t="n">
        <v>46</v>
      </c>
      <c r="H22" s="574" t="n">
        <v>81</v>
      </c>
      <c r="I22" s="574" t="n">
        <v>39</v>
      </c>
      <c r="J22" s="574" t="n">
        <v>21</v>
      </c>
      <c r="K22" s="574" t="n">
        <v>6</v>
      </c>
    </row>
    <row r="23">
      <c r="A23" s="311" t="inlineStr">
        <is>
          <t>00000000046890 - O.U.I KIT CAIXA M 2021</t>
        </is>
      </c>
      <c r="B23" s="575" t="n">
        <v>0</v>
      </c>
      <c r="C23" s="575" t="n">
        <v>9</v>
      </c>
      <c r="D23" s="575" t="n">
        <v>32</v>
      </c>
      <c r="E23" s="575" t="n">
        <v>23</v>
      </c>
      <c r="F23" s="575" t="n">
        <v>2</v>
      </c>
      <c r="G23" s="574" t="n">
        <v>3</v>
      </c>
      <c r="H23" s="574" t="n">
        <v>86</v>
      </c>
      <c r="I23" s="574" t="n">
        <v>46</v>
      </c>
      <c r="J23" s="574" t="n">
        <v>1</v>
      </c>
      <c r="K23" s="574" t="n">
        <v>6</v>
      </c>
    </row>
    <row r="24">
      <c r="A24" s="309" t="inlineStr">
        <is>
          <t>00000000046891 - O.U.I KIT CAIXA G 2021</t>
        </is>
      </c>
      <c r="B24" s="573" t="n">
        <v>0</v>
      </c>
      <c r="C24" s="573" t="n">
        <v>15</v>
      </c>
      <c r="D24" s="573" t="n">
        <v>48</v>
      </c>
      <c r="E24" s="573" t="n">
        <v>6</v>
      </c>
      <c r="F24" s="573" t="n">
        <v>3</v>
      </c>
      <c r="G24" s="574" t="n">
        <v>44</v>
      </c>
      <c r="H24" s="574" t="n">
        <v>40</v>
      </c>
      <c r="I24" s="574" t="n">
        <v>19</v>
      </c>
      <c r="J24" s="574" t="n">
        <v>28</v>
      </c>
      <c r="K24" s="574" t="n">
        <v>9</v>
      </c>
    </row>
    <row r="25">
      <c r="A25" s="311" t="inlineStr">
        <is>
          <t>00000000047162 - OUI CAIXA M 2021</t>
        </is>
      </c>
      <c r="B25" s="575" t="n">
        <v>0</v>
      </c>
      <c r="C25" s="575" t="n">
        <v>0</v>
      </c>
      <c r="D25" s="575" t="n">
        <v>0</v>
      </c>
      <c r="E25" s="575" t="n">
        <v>0</v>
      </c>
      <c r="F25" s="575" t="n">
        <v>0</v>
      </c>
      <c r="G25" s="575" t="n">
        <v>0</v>
      </c>
      <c r="H25" s="575" t="n">
        <v>0</v>
      </c>
      <c r="I25" s="575" t="n">
        <v>0</v>
      </c>
      <c r="J25" s="575" t="n">
        <v>2</v>
      </c>
      <c r="K25" s="575" t="n">
        <v>0</v>
      </c>
    </row>
    <row r="26">
      <c r="A26" s="309" t="inlineStr">
        <is>
          <t>00000000050110 - CAIXA QDB P INSTITUCIONAL/21</t>
        </is>
      </c>
      <c r="B26" s="573" t="n">
        <v>0</v>
      </c>
      <c r="C26" s="573" t="n">
        <v>0</v>
      </c>
      <c r="D26" s="573" t="n">
        <v>0</v>
      </c>
      <c r="E26" s="573" t="n">
        <v>0</v>
      </c>
      <c r="F26" s="573" t="n">
        <v>0</v>
      </c>
      <c r="G26" s="574" t="n">
        <v>9</v>
      </c>
      <c r="H26" s="573" t="n">
        <v>0</v>
      </c>
      <c r="I26" s="573" t="n">
        <v>0</v>
      </c>
      <c r="J26" s="574" t="n">
        <v>1</v>
      </c>
      <c r="K26" s="573" t="n">
        <v>0</v>
      </c>
    </row>
    <row r="27">
      <c r="A27" s="311" t="inlineStr">
        <is>
          <t>00000000056369 - CAIXA QDB P INST 2023</t>
        </is>
      </c>
      <c r="B27" s="575" t="n">
        <v>0</v>
      </c>
      <c r="C27" s="575" t="n">
        <v>0</v>
      </c>
      <c r="D27" s="575" t="n">
        <v>0</v>
      </c>
      <c r="E27" s="575" t="n">
        <v>4</v>
      </c>
      <c r="F27" s="575" t="n">
        <v>5</v>
      </c>
      <c r="G27" s="574" t="n">
        <v>73</v>
      </c>
      <c r="H27" s="574" t="n">
        <v>18</v>
      </c>
      <c r="I27" s="575" t="n">
        <v>0</v>
      </c>
      <c r="J27" s="574" t="n">
        <v>10</v>
      </c>
      <c r="K27" s="574" t="n">
        <v>17</v>
      </c>
    </row>
    <row r="28">
      <c r="A28" s="309" t="inlineStr">
        <is>
          <t>00000000056375 - KIT QDB CAIXA P INST 2023 VD</t>
        </is>
      </c>
      <c r="B28" s="573" t="n">
        <v>0</v>
      </c>
      <c r="C28" s="573" t="n">
        <v>0</v>
      </c>
      <c r="D28" s="573" t="n">
        <v>0</v>
      </c>
      <c r="E28" s="573" t="n">
        <v>0</v>
      </c>
      <c r="F28" s="573" t="n">
        <v>0</v>
      </c>
      <c r="G28" s="574" t="n">
        <v>20</v>
      </c>
      <c r="H28" s="573" t="n">
        <v>0</v>
      </c>
      <c r="I28" s="574" t="n">
        <v>0</v>
      </c>
      <c r="J28" s="574" t="n">
        <v>0</v>
      </c>
      <c r="K28" s="573" t="n">
        <v>0</v>
      </c>
    </row>
    <row r="29">
      <c r="A29" s="311" t="inlineStr">
        <is>
          <t>00000000056376 - CAIXA QDB  G INST 2023</t>
        </is>
      </c>
      <c r="B29" s="575" t="n">
        <v>0</v>
      </c>
      <c r="C29" s="575" t="n">
        <v>0</v>
      </c>
      <c r="D29" s="575" t="n">
        <v>0</v>
      </c>
      <c r="E29" s="575" t="n">
        <v>20</v>
      </c>
      <c r="F29" s="575" t="n">
        <v>0</v>
      </c>
      <c r="G29" s="574" t="n">
        <v>94</v>
      </c>
      <c r="H29" s="574" t="n">
        <v>15</v>
      </c>
      <c r="I29" s="574" t="n">
        <v>2</v>
      </c>
      <c r="J29" s="574" t="n">
        <v>20</v>
      </c>
      <c r="K29" s="575" t="n">
        <v>0</v>
      </c>
    </row>
    <row r="30">
      <c r="A30" s="309" t="inlineStr">
        <is>
          <t>00000000056378 - KIT CAIXA QDB M INST 2023 VD</t>
        </is>
      </c>
      <c r="B30" s="573" t="n">
        <v>0</v>
      </c>
      <c r="C30" s="573" t="n">
        <v>0</v>
      </c>
      <c r="D30" s="573" t="n">
        <v>0</v>
      </c>
      <c r="E30" s="573" t="n">
        <v>10</v>
      </c>
      <c r="F30" s="573" t="n">
        <v>0</v>
      </c>
      <c r="G30" s="574" t="n">
        <v>40</v>
      </c>
      <c r="H30" s="574" t="n">
        <v>12</v>
      </c>
      <c r="I30" s="574" t="n">
        <v>22</v>
      </c>
      <c r="J30" s="573" t="n">
        <v>0</v>
      </c>
      <c r="K30" s="574" t="n">
        <v>9</v>
      </c>
    </row>
    <row r="31">
      <c r="A31" s="427" t="inlineStr">
        <is>
          <t>00000000053651 - KIT SACOLA EUDORA  INST 2022 P</t>
        </is>
      </c>
      <c r="B31" s="576" t="n">
        <v>0</v>
      </c>
      <c r="C31" s="576" t="n">
        <v>0</v>
      </c>
      <c r="D31" s="576" t="n">
        <v>0</v>
      </c>
      <c r="E31" s="576" t="n">
        <v>127</v>
      </c>
      <c r="F31" s="576" t="n">
        <v>0</v>
      </c>
      <c r="G31" s="576" t="n">
        <v>0</v>
      </c>
      <c r="H31" s="576" t="n">
        <v>0</v>
      </c>
      <c r="I31" s="575" t="n">
        <v>0</v>
      </c>
      <c r="J31" s="575" t="n">
        <v>0</v>
      </c>
      <c r="K31" s="575" t="n">
        <v>0</v>
      </c>
    </row>
    <row r="32">
      <c r="A32" s="427" t="inlineStr">
        <is>
          <t>00000000053944 - KIT SACOLA EUDORA M UNIT INST 2022</t>
        </is>
      </c>
      <c r="B32" s="576" t="n">
        <v>0</v>
      </c>
      <c r="C32" s="576" t="n">
        <v>0</v>
      </c>
      <c r="D32" s="576" t="n">
        <v>-37</v>
      </c>
      <c r="E32" s="576" t="n">
        <v>0</v>
      </c>
      <c r="F32" s="576" t="n">
        <v>0</v>
      </c>
      <c r="G32" s="576" t="n">
        <v>0</v>
      </c>
      <c r="H32" s="576" t="n">
        <v>0</v>
      </c>
      <c r="I32" s="573" t="n">
        <v>0</v>
      </c>
      <c r="J32" s="573" t="n">
        <v>0</v>
      </c>
      <c r="K32" s="573" t="n">
        <v>0</v>
      </c>
    </row>
    <row r="33">
      <c r="A33" s="311" t="inlineStr">
        <is>
          <t>00000000052276 - KIT SACOLA P INST EUD 2022 C/10 VD</t>
        </is>
      </c>
      <c r="B33" s="575" t="n">
        <v>0</v>
      </c>
      <c r="C33" s="575" t="n">
        <v>54</v>
      </c>
      <c r="D33" s="575" t="n">
        <v>16</v>
      </c>
      <c r="E33" s="575" t="n">
        <v>24</v>
      </c>
      <c r="F33" s="575" t="n">
        <v>0</v>
      </c>
      <c r="G33" s="574" t="n">
        <v>19</v>
      </c>
      <c r="H33" s="574" t="n">
        <v>36</v>
      </c>
      <c r="I33" s="574" t="n">
        <v>17</v>
      </c>
      <c r="J33" s="574" t="n">
        <v>30</v>
      </c>
      <c r="K33" s="574" t="n">
        <v>0</v>
      </c>
    </row>
    <row r="34">
      <c r="A34" s="309" t="inlineStr">
        <is>
          <t>00000000052288 - KIT SACOLA M EUD INST 2022 C/10 VD</t>
        </is>
      </c>
      <c r="B34" s="573" t="n">
        <v>0</v>
      </c>
      <c r="C34" s="573" t="n">
        <v>35</v>
      </c>
      <c r="D34" s="573" t="n">
        <v>60</v>
      </c>
      <c r="E34" s="573" t="n">
        <v>40</v>
      </c>
      <c r="F34" s="573" t="n">
        <v>0</v>
      </c>
      <c r="G34" s="574" t="n">
        <v>0</v>
      </c>
      <c r="H34" s="574" t="n">
        <v>17</v>
      </c>
      <c r="I34" s="574" t="n">
        <v>34</v>
      </c>
      <c r="J34" s="574" t="n">
        <v>15</v>
      </c>
      <c r="K34" s="574" t="n">
        <v>2</v>
      </c>
    </row>
    <row r="35">
      <c r="A35" s="311" t="inlineStr">
        <is>
          <t>00000000053653 - KIT SACOLA EUDORA G UNIT INST 2022</t>
        </is>
      </c>
      <c r="B35" s="575" t="n">
        <v>0</v>
      </c>
      <c r="C35" s="575" t="n">
        <v>44</v>
      </c>
      <c r="D35" s="575" t="n">
        <v>9</v>
      </c>
      <c r="E35" s="575" t="n">
        <v>0</v>
      </c>
      <c r="F35" s="575" t="n">
        <v>0</v>
      </c>
      <c r="G35" s="574" t="n">
        <v>0</v>
      </c>
      <c r="H35" s="574" t="n">
        <v>0</v>
      </c>
      <c r="I35" s="574" t="n">
        <v>0</v>
      </c>
      <c r="J35" s="574" t="n">
        <v>0</v>
      </c>
      <c r="K35" s="574" t="n">
        <v>0</v>
      </c>
    </row>
    <row r="36">
      <c r="A36" s="309" t="inlineStr">
        <is>
          <t>00000000053654 - KIT CAIXA P EUDORA INST 2022</t>
        </is>
      </c>
      <c r="B36" s="573" t="n">
        <v>0</v>
      </c>
      <c r="C36" s="573" t="n">
        <v>135</v>
      </c>
      <c r="D36" s="573" t="n">
        <v>118</v>
      </c>
      <c r="E36" s="573" t="n">
        <v>0</v>
      </c>
      <c r="F36" s="573" t="n">
        <v>1</v>
      </c>
      <c r="G36" s="574" t="n">
        <v>77</v>
      </c>
      <c r="H36" s="574" t="n">
        <v>29</v>
      </c>
      <c r="I36" s="574" t="n">
        <v>142</v>
      </c>
      <c r="J36" s="574" t="n">
        <v>8</v>
      </c>
      <c r="K36" s="574" t="n">
        <v>6</v>
      </c>
    </row>
    <row r="37">
      <c r="A37" s="311" t="inlineStr">
        <is>
          <t>00000000053655 - KIT CAIXA  EUDORA INST 2022 M</t>
        </is>
      </c>
      <c r="B37" s="575" t="n">
        <v>0</v>
      </c>
      <c r="C37" s="575" t="n">
        <v>66</v>
      </c>
      <c r="D37" s="575" t="n">
        <v>25</v>
      </c>
      <c r="E37" s="575" t="n">
        <v>3</v>
      </c>
      <c r="F37" s="575" t="n">
        <v>0</v>
      </c>
      <c r="G37" s="574" t="n">
        <v>27</v>
      </c>
      <c r="H37" s="574" t="n">
        <v>88</v>
      </c>
      <c r="I37" s="574" t="n">
        <v>0</v>
      </c>
      <c r="J37" s="574" t="n">
        <v>16</v>
      </c>
      <c r="K37" s="574" t="n">
        <v>0</v>
      </c>
    </row>
    <row r="38">
      <c r="A38" s="309" t="inlineStr">
        <is>
          <t>00000000053656 - KIT CAIXA G EUDORA INST 2022</t>
        </is>
      </c>
      <c r="B38" s="573" t="n">
        <v>0</v>
      </c>
      <c r="C38" s="573" t="n">
        <v>38</v>
      </c>
      <c r="D38" s="573" t="n">
        <v>0</v>
      </c>
      <c r="E38" s="573" t="n">
        <v>9</v>
      </c>
      <c r="F38" s="573" t="n">
        <v>15</v>
      </c>
      <c r="G38" s="574" t="n">
        <v>28</v>
      </c>
      <c r="H38" s="574" t="n">
        <v>23</v>
      </c>
      <c r="I38" s="574" t="n">
        <v>30</v>
      </c>
      <c r="J38" s="574" t="n">
        <v>17</v>
      </c>
      <c r="K38" s="574" t="n">
        <v>10</v>
      </c>
    </row>
    <row r="39" ht="15.75" customHeight="1" thickBot="1">
      <c r="A39" s="313" t="n"/>
      <c r="B39" s="577" t="n"/>
      <c r="C39" s="577" t="n"/>
      <c r="D39" s="577" t="n"/>
      <c r="E39" s="577" t="n"/>
      <c r="F39" s="577" t="n"/>
      <c r="G39" s="577" t="n"/>
      <c r="H39" s="577" t="n"/>
      <c r="I39" s="577" t="n"/>
      <c r="J39" s="577" t="n"/>
      <c r="K39" s="577" t="n"/>
    </row>
    <row r="40">
      <c r="A40" s="328" t="inlineStr">
        <is>
          <t>00000000094371 - SACOLA M EUDORA UNIT MAES 2026</t>
        </is>
      </c>
      <c r="B40" s="578" t="n">
        <v>0</v>
      </c>
      <c r="C40" s="578" t="n">
        <v>9</v>
      </c>
      <c r="D40" s="578" t="n">
        <v>-45</v>
      </c>
      <c r="E40" s="578" t="n">
        <v>0</v>
      </c>
      <c r="F40" s="578" t="n">
        <v>0</v>
      </c>
      <c r="G40" s="579" t="n">
        <v>0</v>
      </c>
      <c r="H40" s="579" t="n">
        <v>0</v>
      </c>
      <c r="I40" s="579" t="n">
        <v>0</v>
      </c>
      <c r="J40" s="579" t="n">
        <v>0</v>
      </c>
      <c r="K40" s="580" t="n">
        <v>32</v>
      </c>
    </row>
    <row r="41">
      <c r="A41" s="320" t="inlineStr">
        <is>
          <t>00000000095162 - KIT TAG VD REVEND EUD INSTIT 2025 C/20</t>
        </is>
      </c>
      <c r="B41" s="575" t="n">
        <v>0</v>
      </c>
      <c r="C41" s="575" t="n">
        <v>0</v>
      </c>
      <c r="D41" s="575" t="n">
        <v>0</v>
      </c>
      <c r="E41" s="575" t="n">
        <v>0</v>
      </c>
      <c r="F41" s="575" t="n">
        <v>0</v>
      </c>
      <c r="G41" s="574" t="n">
        <v>0</v>
      </c>
      <c r="H41" s="574" t="n">
        <v>0</v>
      </c>
      <c r="I41" s="574" t="n">
        <v>5</v>
      </c>
      <c r="J41" s="574" t="n">
        <v>8</v>
      </c>
      <c r="K41" s="581" t="n">
        <v>3</v>
      </c>
    </row>
    <row r="42">
      <c r="A42" s="318" t="inlineStr">
        <is>
          <t>00000000088796 - CAIXA EUDORA M INST/25 UNIT</t>
        </is>
      </c>
      <c r="B42" s="573" t="n">
        <v>0</v>
      </c>
      <c r="C42" s="573" t="n">
        <v>44</v>
      </c>
      <c r="D42" s="573" t="n">
        <v>29</v>
      </c>
      <c r="E42" s="573" t="n">
        <v>14</v>
      </c>
      <c r="F42" s="573" t="n">
        <v>0</v>
      </c>
      <c r="G42" s="574" t="n">
        <v>49</v>
      </c>
      <c r="H42" s="574" t="n">
        <v>50</v>
      </c>
      <c r="I42" s="574" t="n">
        <v>96</v>
      </c>
      <c r="J42" s="574" t="n">
        <v>40</v>
      </c>
      <c r="K42" s="581" t="n">
        <v>49</v>
      </c>
    </row>
    <row r="43" ht="15.75" customHeight="1" thickBot="1">
      <c r="A43" s="325" t="inlineStr">
        <is>
          <t>00000000088799 - ENVELOPE EUDORA P INST/25 UNIT</t>
        </is>
      </c>
      <c r="B43" s="582" t="n">
        <v>0</v>
      </c>
      <c r="C43" s="582" t="n">
        <v>114</v>
      </c>
      <c r="D43" s="582" t="n">
        <v>0</v>
      </c>
      <c r="E43" s="582" t="n">
        <v>0</v>
      </c>
      <c r="F43" s="582" t="n">
        <v>0</v>
      </c>
      <c r="G43" s="583" t="n">
        <v>142</v>
      </c>
      <c r="H43" s="583" t="n">
        <v>31</v>
      </c>
      <c r="I43" s="583" t="n">
        <v>21</v>
      </c>
      <c r="J43" s="583" t="n">
        <v>65</v>
      </c>
      <c r="K43" s="584" t="n">
        <v>49</v>
      </c>
    </row>
    <row r="44">
      <c r="A44" s="328" t="inlineStr">
        <is>
          <t>00000000096442 - SACOLA P MAES 2026 2025 BOTI UNIT</t>
        </is>
      </c>
      <c r="B44" s="578" t="n">
        <v>0</v>
      </c>
      <c r="C44" s="578" t="n">
        <v>211</v>
      </c>
      <c r="D44" s="578" t="n">
        <v>414</v>
      </c>
      <c r="E44" s="578" t="n">
        <v>80</v>
      </c>
      <c r="F44" s="578" t="n">
        <v>0</v>
      </c>
      <c r="G44" s="579" t="n">
        <v>82</v>
      </c>
      <c r="H44" s="579" t="n">
        <v>10</v>
      </c>
      <c r="I44" s="579" t="n">
        <v>0</v>
      </c>
      <c r="J44" s="579" t="n">
        <v>119</v>
      </c>
      <c r="K44" s="580" t="n">
        <v>0</v>
      </c>
    </row>
    <row r="45">
      <c r="A45" s="320" t="inlineStr">
        <is>
          <t>00000000096443 - SACOLA M MAES/26 BOTI UNIT</t>
        </is>
      </c>
      <c r="B45" s="575" t="n">
        <v>0</v>
      </c>
      <c r="C45" s="575" t="n">
        <v>424</v>
      </c>
      <c r="D45" s="575" t="n">
        <v>743</v>
      </c>
      <c r="E45" s="575" t="n">
        <v>189</v>
      </c>
      <c r="F45" s="575" t="n">
        <v>0</v>
      </c>
      <c r="G45" s="574" t="n">
        <v>10</v>
      </c>
      <c r="H45" s="574" t="n">
        <v>15</v>
      </c>
      <c r="I45" s="574" t="n">
        <v>0</v>
      </c>
      <c r="J45" s="574" t="n">
        <v>0</v>
      </c>
      <c r="K45" s="581" t="n">
        <v>0</v>
      </c>
    </row>
    <row r="46">
      <c r="A46" s="318" t="inlineStr">
        <is>
          <t>00000000096444 - SACOLA G MAES 2026 BOTI UNIT</t>
        </is>
      </c>
      <c r="B46" s="573" t="n">
        <v>0</v>
      </c>
      <c r="C46" s="573" t="n">
        <v>0</v>
      </c>
      <c r="D46" s="573" t="n">
        <v>64</v>
      </c>
      <c r="E46" s="573" t="n">
        <v>0</v>
      </c>
      <c r="F46" s="573" t="n">
        <v>0</v>
      </c>
      <c r="G46" s="574" t="n">
        <v>0</v>
      </c>
      <c r="H46" s="574" t="n">
        <v>0</v>
      </c>
      <c r="I46" s="574" t="n">
        <v>0</v>
      </c>
      <c r="J46" s="574" t="n">
        <v>0</v>
      </c>
      <c r="K46" s="581" t="n">
        <v>0</v>
      </c>
    </row>
    <row r="47">
      <c r="A47" s="320" t="inlineStr">
        <is>
          <t>00000000097241 - KIT PAPEL SEDA BOTI MAES 2026 C/20 VD</t>
        </is>
      </c>
      <c r="B47" s="575" t="n">
        <v>0</v>
      </c>
      <c r="C47" s="575" t="n">
        <v>0</v>
      </c>
      <c r="D47" s="575" t="n">
        <v>4</v>
      </c>
      <c r="E47" s="575" t="n">
        <v>0</v>
      </c>
      <c r="F47" s="575" t="n">
        <v>1</v>
      </c>
      <c r="G47" s="574" t="n">
        <v>0</v>
      </c>
      <c r="H47" s="574" t="n">
        <v>0</v>
      </c>
      <c r="I47" s="574" t="n">
        <v>0</v>
      </c>
      <c r="J47" s="574" t="n">
        <v>0</v>
      </c>
      <c r="K47" s="581" t="n">
        <v>1</v>
      </c>
    </row>
    <row r="48">
      <c r="A48" s="318" t="inlineStr">
        <is>
          <t>00000000096437 - CAIXA LACO P MAES/26 BOTI UNIT</t>
        </is>
      </c>
      <c r="B48" s="573" t="n">
        <v>0</v>
      </c>
      <c r="C48" s="573" t="n">
        <v>0</v>
      </c>
      <c r="D48" s="573" t="n">
        <v>0</v>
      </c>
      <c r="E48" s="573" t="n">
        <v>1</v>
      </c>
      <c r="F48" s="573" t="n">
        <v>3</v>
      </c>
      <c r="G48" s="574" t="n">
        <v>31</v>
      </c>
      <c r="H48" s="574" t="n">
        <v>63</v>
      </c>
      <c r="I48" s="574" t="n">
        <v>0</v>
      </c>
      <c r="J48" s="574" t="n">
        <v>77</v>
      </c>
      <c r="K48" s="581" t="n">
        <v>0</v>
      </c>
    </row>
    <row r="49">
      <c r="A49" s="320" t="inlineStr">
        <is>
          <t>00000000096438 - CAIXA LACO M MAES/26 BOTI UNIT</t>
        </is>
      </c>
      <c r="B49" s="575" t="n">
        <v>0</v>
      </c>
      <c r="C49" s="575" t="n">
        <v>0</v>
      </c>
      <c r="D49" s="575" t="n">
        <v>0</v>
      </c>
      <c r="E49" s="575" t="n">
        <v>10</v>
      </c>
      <c r="F49" s="575" t="n">
        <v>3</v>
      </c>
      <c r="G49" s="574" t="n">
        <v>0</v>
      </c>
      <c r="H49" s="574" t="n">
        <v>0</v>
      </c>
      <c r="I49" s="574" t="n">
        <v>0</v>
      </c>
      <c r="J49" s="574" t="n">
        <v>82</v>
      </c>
      <c r="K49" s="581" t="n">
        <v>13</v>
      </c>
    </row>
    <row r="50" ht="15.75" customHeight="1" thickBot="1">
      <c r="A50" s="322" t="inlineStr">
        <is>
          <t>00000000096441 - ENVELOPE M MAES 2026 BOTI UNIT</t>
        </is>
      </c>
      <c r="B50" s="585" t="n">
        <v>0</v>
      </c>
      <c r="C50" s="585" t="n">
        <v>0</v>
      </c>
      <c r="D50" s="585" t="n">
        <v>0</v>
      </c>
      <c r="E50" s="585" t="n">
        <v>0</v>
      </c>
      <c r="F50" s="585" t="n">
        <v>0</v>
      </c>
      <c r="G50" s="583" t="n">
        <v>0</v>
      </c>
      <c r="H50" s="583" t="n">
        <v>0</v>
      </c>
      <c r="I50" s="583" t="n">
        <v>0</v>
      </c>
      <c r="J50" s="583" t="n">
        <v>34</v>
      </c>
      <c r="K50" s="584" t="n">
        <v>30</v>
      </c>
    </row>
    <row r="51">
      <c r="A51" s="315" t="inlineStr">
        <is>
          <t>00000000085706 - KIT SACOLA M EUDORA UNIT NATAL 2025</t>
        </is>
      </c>
      <c r="B51" s="586" t="n">
        <v>0</v>
      </c>
      <c r="C51" s="586" t="n">
        <v>0</v>
      </c>
      <c r="D51" s="586" t="n">
        <v>0</v>
      </c>
      <c r="E51" s="586" t="n">
        <v>0</v>
      </c>
      <c r="F51" s="586" t="n">
        <v>0</v>
      </c>
      <c r="G51" s="579" t="n">
        <v>0</v>
      </c>
      <c r="H51" s="579" t="n">
        <v>0</v>
      </c>
      <c r="I51" s="579" t="n">
        <v>0</v>
      </c>
      <c r="J51" s="579" t="n">
        <v>0</v>
      </c>
      <c r="K51" s="580" t="n">
        <v>13</v>
      </c>
    </row>
    <row r="52">
      <c r="A52" s="318" t="inlineStr">
        <is>
          <t>00000000094959 - PAPEL DE SEDA EUDORA UNITARIO NATAL 25</t>
        </is>
      </c>
      <c r="B52" s="573" t="n">
        <v>0</v>
      </c>
      <c r="C52" s="573" t="n">
        <v>0</v>
      </c>
      <c r="D52" s="573" t="n">
        <v>0</v>
      </c>
      <c r="E52" s="573" t="n">
        <v>0</v>
      </c>
      <c r="F52" s="573" t="n">
        <v>0</v>
      </c>
      <c r="G52" s="574" t="n">
        <v>99</v>
      </c>
      <c r="H52" s="574" t="n">
        <v>0</v>
      </c>
      <c r="I52" s="574" t="n">
        <v>0</v>
      </c>
      <c r="J52" s="574" t="n">
        <v>136</v>
      </c>
      <c r="K52" s="581" t="n">
        <v>130</v>
      </c>
    </row>
    <row r="53">
      <c r="A53" s="320" t="inlineStr">
        <is>
          <t>00000000095150 - KIT TAG VD REVEN EUD INST 2025 MOD C/200</t>
        </is>
      </c>
      <c r="B53" s="575" t="n">
        <v>0</v>
      </c>
      <c r="C53" s="575" t="n">
        <v>0</v>
      </c>
      <c r="D53" s="575" t="n">
        <v>0</v>
      </c>
      <c r="E53" s="575" t="n">
        <v>0</v>
      </c>
      <c r="F53" s="575" t="n">
        <v>0</v>
      </c>
      <c r="G53" s="574" t="n">
        <v>5</v>
      </c>
      <c r="H53" s="574" t="n">
        <v>5</v>
      </c>
      <c r="I53" s="574" t="n">
        <v>0</v>
      </c>
      <c r="J53" s="574" t="n">
        <v>0</v>
      </c>
      <c r="K53" s="581" t="n">
        <v>0</v>
      </c>
    </row>
    <row r="54">
      <c r="A54" s="318" t="inlineStr">
        <is>
          <t>00000000085705 - KIT CAIXA M EUDORA UNIT NATAL 2025</t>
        </is>
      </c>
      <c r="B54" s="573" t="n">
        <v>0</v>
      </c>
      <c r="C54" s="573" t="n">
        <v>60</v>
      </c>
      <c r="D54" s="573" t="n">
        <v>27</v>
      </c>
      <c r="E54" s="573" t="n">
        <v>27</v>
      </c>
      <c r="F54" s="573" t="n">
        <v>10</v>
      </c>
      <c r="G54" s="574" t="n">
        <v>43</v>
      </c>
      <c r="H54" s="574" t="n">
        <v>29</v>
      </c>
      <c r="I54" s="574" t="n">
        <v>39</v>
      </c>
      <c r="J54" s="574" t="n">
        <v>105</v>
      </c>
      <c r="K54" s="581" t="n">
        <v>23</v>
      </c>
    </row>
    <row r="55" ht="15.75" customHeight="1" thickBot="1">
      <c r="A55" s="325" t="inlineStr">
        <is>
          <t>00000000085704 - ENVELOPE P EUDORA UNIT NATAL 2025</t>
        </is>
      </c>
      <c r="B55" s="582" t="n">
        <v>0</v>
      </c>
      <c r="C55" s="582" t="n">
        <v>0</v>
      </c>
      <c r="D55" s="582" t="n">
        <v>7</v>
      </c>
      <c r="E55" s="582" t="n">
        <v>0</v>
      </c>
      <c r="F55" s="582" t="n">
        <v>6</v>
      </c>
      <c r="G55" s="583" t="n">
        <v>163</v>
      </c>
      <c r="H55" s="583" t="n">
        <v>82</v>
      </c>
      <c r="I55" s="583" t="n">
        <v>75</v>
      </c>
      <c r="J55" s="583" t="n">
        <v>180</v>
      </c>
      <c r="K55" s="584" t="n">
        <v>21</v>
      </c>
    </row>
    <row r="56">
      <c r="A56" s="328" t="inlineStr">
        <is>
          <t>00000000094783 - SACOLA P NATAL 2025 BOTI UNIT</t>
        </is>
      </c>
      <c r="B56" s="578" t="n">
        <v>0</v>
      </c>
      <c r="C56" s="578" t="n">
        <v>0</v>
      </c>
      <c r="D56" s="578" t="n">
        <v>0</v>
      </c>
      <c r="E56" s="578" t="n">
        <v>0</v>
      </c>
      <c r="F56" s="578" t="n">
        <v>0</v>
      </c>
      <c r="G56" s="579" t="n">
        <v>2</v>
      </c>
      <c r="H56" s="579" t="n">
        <v>0</v>
      </c>
      <c r="I56" s="579" t="n">
        <v>0</v>
      </c>
      <c r="J56" s="579" t="n">
        <v>0</v>
      </c>
      <c r="K56" s="580" t="n">
        <v>0</v>
      </c>
    </row>
    <row r="57">
      <c r="A57" s="320" t="inlineStr">
        <is>
          <t>00000000094781 - SACOLA M NATAL 2025 BOTI UNIT</t>
        </is>
      </c>
      <c r="B57" s="575" t="n">
        <v>0</v>
      </c>
      <c r="C57" s="575" t="n">
        <v>0</v>
      </c>
      <c r="D57" s="575" t="n">
        <v>0</v>
      </c>
      <c r="E57" s="575" t="n">
        <v>0</v>
      </c>
      <c r="F57" s="575" t="n">
        <v>0</v>
      </c>
      <c r="G57" s="574" t="n">
        <v>33</v>
      </c>
      <c r="H57" s="574" t="n">
        <v>0</v>
      </c>
      <c r="I57" s="574" t="n">
        <v>0</v>
      </c>
      <c r="J57" s="574" t="n">
        <v>0</v>
      </c>
      <c r="K57" s="581" t="n">
        <v>0</v>
      </c>
    </row>
    <row r="58">
      <c r="A58" s="318" t="inlineStr">
        <is>
          <t>00000000094775 - CAIXA LACO P NATAL 2025 BOTI UNIT</t>
        </is>
      </c>
      <c r="B58" s="573" t="n">
        <v>0</v>
      </c>
      <c r="C58" s="573" t="n">
        <v>0</v>
      </c>
      <c r="D58" s="573" t="n">
        <v>0</v>
      </c>
      <c r="E58" s="573" t="n">
        <v>0</v>
      </c>
      <c r="F58" s="573" t="n">
        <v>0</v>
      </c>
      <c r="G58" s="574" t="n">
        <v>5</v>
      </c>
      <c r="H58" s="574" t="n">
        <v>26</v>
      </c>
      <c r="I58" s="574" t="n">
        <v>49</v>
      </c>
      <c r="J58" s="574" t="n">
        <v>99</v>
      </c>
      <c r="K58" s="581" t="n">
        <v>15</v>
      </c>
    </row>
    <row r="59">
      <c r="A59" s="320" t="inlineStr">
        <is>
          <t>00000000094776 - CAIXA LACO M NATAL 2025 BOTI UNIT</t>
        </is>
      </c>
      <c r="B59" s="575" t="n">
        <v>0</v>
      </c>
      <c r="C59" s="575" t="n">
        <v>0</v>
      </c>
      <c r="D59" s="575" t="n">
        <v>0</v>
      </c>
      <c r="E59" s="575" t="n">
        <v>0</v>
      </c>
      <c r="F59" s="575" t="n">
        <v>0</v>
      </c>
      <c r="G59" s="574" t="n">
        <v>0</v>
      </c>
      <c r="H59" s="574" t="n">
        <v>0</v>
      </c>
      <c r="I59" s="574" t="n">
        <v>0</v>
      </c>
      <c r="J59" s="574" t="n">
        <v>40</v>
      </c>
      <c r="K59" s="581" t="n">
        <v>22</v>
      </c>
    </row>
    <row r="60">
      <c r="A60" s="318" t="inlineStr">
        <is>
          <t>00000000094778 - ENVELOPE P NATAL 2025 BOT UNIT</t>
        </is>
      </c>
      <c r="B60" s="573" t="n">
        <v>0</v>
      </c>
      <c r="C60" s="573" t="n">
        <v>0</v>
      </c>
      <c r="D60" s="573" t="n">
        <v>0</v>
      </c>
      <c r="E60" s="573" t="n">
        <v>0</v>
      </c>
      <c r="F60" s="573" t="n">
        <v>0</v>
      </c>
      <c r="G60" s="574" t="n">
        <v>0</v>
      </c>
      <c r="H60" s="574" t="n">
        <v>0</v>
      </c>
      <c r="I60" s="574" t="n">
        <v>3</v>
      </c>
      <c r="J60" s="574" t="n">
        <v>13</v>
      </c>
      <c r="K60" s="581" t="n">
        <v>1</v>
      </c>
    </row>
    <row r="61" ht="15.75" customHeight="1" thickBot="1">
      <c r="A61" s="433" t="inlineStr">
        <is>
          <t>00000000094779 - ENVELOPE M NATAL 2025 BOTI UNIT</t>
        </is>
      </c>
      <c r="B61" s="587" t="n">
        <v>0</v>
      </c>
      <c r="C61" s="587" t="n">
        <v>0</v>
      </c>
      <c r="D61" s="587" t="n">
        <v>0</v>
      </c>
      <c r="E61" s="587" t="n">
        <v>0</v>
      </c>
      <c r="F61" s="587" t="n">
        <v>0</v>
      </c>
      <c r="G61" s="588" t="n">
        <v>0</v>
      </c>
      <c r="H61" s="588" t="n">
        <v>0</v>
      </c>
      <c r="I61" s="588" t="n">
        <v>11</v>
      </c>
      <c r="J61" s="588" t="n">
        <v>51</v>
      </c>
      <c r="K61" s="589" t="n">
        <v>30</v>
      </c>
    </row>
    <row r="62">
      <c r="A62" s="436" t="inlineStr">
        <is>
          <t>00000000096584 - SACOLA M AMOR 2026 2025 BOTI UNIT</t>
        </is>
      </c>
      <c r="B62" s="590" t="n">
        <v>0</v>
      </c>
      <c r="C62" s="590" t="n">
        <v>0</v>
      </c>
      <c r="D62" s="590" t="n">
        <v>0</v>
      </c>
      <c r="E62" s="590" t="n">
        <v>0</v>
      </c>
      <c r="F62" s="590" t="n">
        <v>0</v>
      </c>
      <c r="G62" s="590" t="n">
        <v>0</v>
      </c>
      <c r="H62" s="590" t="n">
        <v>0</v>
      </c>
      <c r="I62" s="590" t="n">
        <v>200</v>
      </c>
      <c r="J62" s="590" t="n">
        <v>0</v>
      </c>
      <c r="K62" s="591" t="n">
        <v>0</v>
      </c>
    </row>
    <row r="63">
      <c r="A63" s="439" t="inlineStr">
        <is>
          <t>00000000097579 - SEDA BOTI VD REVEND AMOR 2026 MOD C/20</t>
        </is>
      </c>
      <c r="B63" s="575" t="n">
        <v>0</v>
      </c>
      <c r="C63" s="575" t="n">
        <v>0</v>
      </c>
      <c r="D63" s="575" t="n">
        <v>0</v>
      </c>
      <c r="E63" s="575" t="n">
        <v>0</v>
      </c>
      <c r="F63" s="575" t="n">
        <v>0</v>
      </c>
      <c r="G63" s="575" t="n">
        <v>0</v>
      </c>
      <c r="H63" s="575" t="n">
        <v>0</v>
      </c>
      <c r="I63" s="575" t="n">
        <v>10</v>
      </c>
      <c r="J63" s="575" t="n">
        <v>0</v>
      </c>
      <c r="K63" s="592" t="n">
        <v>0</v>
      </c>
    </row>
    <row r="64">
      <c r="A64" s="441" t="inlineStr">
        <is>
          <t>00000000097622 - ADES SACOLA REV BOTI AMOR/26 MOD C/20 VD</t>
        </is>
      </c>
      <c r="B64" s="573" t="n">
        <v>0</v>
      </c>
      <c r="C64" s="573" t="n">
        <v>0</v>
      </c>
      <c r="D64" s="573" t="n">
        <v>0</v>
      </c>
      <c r="E64" s="573" t="n">
        <v>0</v>
      </c>
      <c r="F64" s="573" t="n">
        <v>0</v>
      </c>
      <c r="G64" s="573" t="n">
        <v>0</v>
      </c>
      <c r="H64" s="573" t="n">
        <v>0</v>
      </c>
      <c r="I64" s="573" t="n">
        <v>10</v>
      </c>
      <c r="J64" s="573" t="n">
        <v>0</v>
      </c>
      <c r="K64" s="593" t="n">
        <v>0</v>
      </c>
    </row>
    <row r="65" ht="15.75" customHeight="1" thickBot="1">
      <c r="A65" s="443" t="inlineStr">
        <is>
          <t>00000000096583 - ENVELOPE M AMOR 2026 BOTI UNIT</t>
        </is>
      </c>
      <c r="B65" s="594" t="n">
        <v>0</v>
      </c>
      <c r="C65" s="594" t="n">
        <v>0</v>
      </c>
      <c r="D65" s="594" t="n">
        <v>0</v>
      </c>
      <c r="E65" s="594" t="n">
        <v>0</v>
      </c>
      <c r="F65" s="594" t="n">
        <v>0</v>
      </c>
      <c r="G65" s="594" t="n">
        <v>0</v>
      </c>
      <c r="H65" s="594" t="n">
        <v>0</v>
      </c>
      <c r="I65" s="594" t="n">
        <v>50</v>
      </c>
      <c r="J65" s="594" t="n">
        <v>0</v>
      </c>
      <c r="K65" s="595" t="n">
        <v>0</v>
      </c>
    </row>
    <row r="66">
      <c r="A66" s="434" t="inlineStr">
        <is>
          <t>00000000053657 - EUDORA ENVELOPE INST 2022 P</t>
        </is>
      </c>
      <c r="B66" s="596" t="n">
        <v>0</v>
      </c>
      <c r="C66" s="596" t="n">
        <v>0</v>
      </c>
      <c r="D66" s="596" t="n">
        <v>0</v>
      </c>
      <c r="E66" s="596" t="n">
        <v>0</v>
      </c>
      <c r="F66" s="596" t="n">
        <v>0</v>
      </c>
      <c r="G66" s="596" t="n">
        <v>0</v>
      </c>
      <c r="H66" s="596" t="n">
        <v>1</v>
      </c>
      <c r="I66" s="596" t="n">
        <v>0</v>
      </c>
      <c r="J66" s="596" t="n">
        <v>0</v>
      </c>
      <c r="K66" s="596" t="n">
        <v>0</v>
      </c>
    </row>
    <row r="67">
      <c r="A67" s="311" t="inlineStr">
        <is>
          <t>00000000086027 - CAIXA DIVERTIDAMENTE M INFANTIL 2024</t>
        </is>
      </c>
      <c r="B67" s="575" t="n">
        <v>0</v>
      </c>
      <c r="C67" s="575" t="n">
        <v>0</v>
      </c>
      <c r="D67" s="575" t="n">
        <v>22</v>
      </c>
      <c r="E67" s="575" t="n">
        <v>0</v>
      </c>
      <c r="F67" s="575" t="n">
        <v>0</v>
      </c>
      <c r="G67" s="575" t="n">
        <v>0</v>
      </c>
      <c r="H67" s="575" t="n">
        <v>0</v>
      </c>
      <c r="I67" s="575" t="n">
        <v>0</v>
      </c>
      <c r="J67" s="575" t="n">
        <v>0</v>
      </c>
      <c r="K67" s="575" t="n">
        <v>0</v>
      </c>
    </row>
    <row r="68">
      <c r="A68" s="309" t="inlineStr">
        <is>
          <t>00000000087691 - COLECIONAV BOT NAT/24 CONE ARVORE UNIT</t>
        </is>
      </c>
      <c r="B68" s="573" t="n">
        <v>0</v>
      </c>
      <c r="C68" s="573" t="n">
        <v>0</v>
      </c>
      <c r="D68" s="573" t="n">
        <v>3</v>
      </c>
      <c r="E68" s="573" t="n">
        <v>8</v>
      </c>
      <c r="F68" s="573" t="n">
        <v>0</v>
      </c>
      <c r="G68" s="573" t="n">
        <v>0</v>
      </c>
      <c r="H68" s="573" t="n">
        <v>161</v>
      </c>
      <c r="I68" s="573" t="n">
        <v>0</v>
      </c>
      <c r="J68" s="573" t="n">
        <v>208</v>
      </c>
      <c r="K68" s="573" t="n">
        <v>6</v>
      </c>
    </row>
    <row r="69">
      <c r="A69" s="311" t="inlineStr">
        <is>
          <t>00000000089713 - KIT TAG BOTI NAMORADOS 25 C/10 VD</t>
        </is>
      </c>
      <c r="B69" s="575" t="n">
        <v>0</v>
      </c>
      <c r="C69" s="575" t="n">
        <v>0</v>
      </c>
      <c r="D69" s="575" t="n">
        <v>5</v>
      </c>
      <c r="E69" s="575" t="n">
        <v>0</v>
      </c>
      <c r="F69" s="575" t="n">
        <v>0</v>
      </c>
      <c r="G69" s="575" t="n">
        <v>0</v>
      </c>
      <c r="H69" s="575" t="n">
        <v>0</v>
      </c>
      <c r="I69" s="575" t="n">
        <v>0</v>
      </c>
      <c r="J69" s="575" t="n">
        <v>0</v>
      </c>
      <c r="K69" s="575" t="n">
        <v>0</v>
      </c>
    </row>
    <row r="70">
      <c r="A70" s="311" t="inlineStr">
        <is>
          <t>00000000087694 - COLECIONAVEIS BOT NAT/24 BOLA UNITARIA</t>
        </is>
      </c>
      <c r="B70" s="575" t="n">
        <v>0</v>
      </c>
      <c r="C70" s="575" t="n">
        <v>0</v>
      </c>
      <c r="D70" s="575" t="n">
        <v>0</v>
      </c>
      <c r="E70" s="575" t="n">
        <v>1</v>
      </c>
      <c r="F70" s="575" t="n">
        <v>0</v>
      </c>
      <c r="G70" s="575" t="n">
        <v>0</v>
      </c>
      <c r="H70" s="575" t="n">
        <v>9</v>
      </c>
      <c r="I70" s="575" t="n">
        <v>0</v>
      </c>
      <c r="J70" s="575" t="n">
        <v>36</v>
      </c>
      <c r="K70" s="575" t="n">
        <v>14</v>
      </c>
    </row>
    <row r="71">
      <c r="A71" s="309" t="inlineStr">
        <is>
          <t>00000000090451 - CINTA P/CX M QDB MSP 2025</t>
        </is>
      </c>
      <c r="B71" s="573" t="n">
        <v>0</v>
      </c>
      <c r="C71" s="573" t="n">
        <v>0</v>
      </c>
      <c r="D71" s="573" t="n">
        <v>0</v>
      </c>
      <c r="E71" s="573" t="n">
        <v>0</v>
      </c>
      <c r="F71" s="573" t="n">
        <v>0</v>
      </c>
      <c r="G71" s="573" t="n">
        <v>0</v>
      </c>
      <c r="H71" s="573" t="n">
        <v>146</v>
      </c>
      <c r="I71" s="573" t="n">
        <v>0</v>
      </c>
      <c r="J71" s="573" t="n">
        <v>146</v>
      </c>
      <c r="K71" s="573" t="n">
        <v>0</v>
      </c>
    </row>
    <row r="72">
      <c r="A72" s="311" t="inlineStr">
        <is>
          <t>00000000090452 - CARTUCHO PRESENTE QDB MSP 2025</t>
        </is>
      </c>
      <c r="B72" s="575" t="n">
        <v>0</v>
      </c>
      <c r="C72" s="575" t="n">
        <v>0</v>
      </c>
      <c r="D72" s="575" t="n">
        <v>0</v>
      </c>
      <c r="E72" s="575" t="n">
        <v>0</v>
      </c>
      <c r="F72" s="575" t="n">
        <v>0</v>
      </c>
      <c r="G72" s="575" t="n">
        <v>0</v>
      </c>
      <c r="H72" s="575" t="n">
        <v>73</v>
      </c>
      <c r="I72" s="575" t="n">
        <v>0</v>
      </c>
      <c r="J72" s="575" t="n">
        <v>1</v>
      </c>
      <c r="K72" s="575" t="n">
        <v>0</v>
      </c>
    </row>
    <row r="73">
      <c r="A73" s="309" t="inlineStr">
        <is>
          <t>00000000090763 - KIT PAPEL SEDA BOTICARIO PAIS/25 C/20 VD</t>
        </is>
      </c>
      <c r="B73" s="573" t="n">
        <v>0</v>
      </c>
      <c r="C73" s="573" t="n">
        <v>0</v>
      </c>
      <c r="D73" s="573" t="n">
        <v>0</v>
      </c>
      <c r="E73" s="573" t="n">
        <v>10</v>
      </c>
      <c r="F73" s="573" t="n">
        <v>13</v>
      </c>
      <c r="G73" s="573" t="n">
        <v>0</v>
      </c>
      <c r="H73" s="573" t="n">
        <v>0</v>
      </c>
      <c r="I73" s="573" t="n">
        <v>0</v>
      </c>
      <c r="J73" s="573" t="n">
        <v>0</v>
      </c>
      <c r="K73" s="573" t="n">
        <v>0</v>
      </c>
    </row>
    <row r="74">
      <c r="A74" s="311" t="inlineStr">
        <is>
          <t>00000000094684 - SACOLA UNIT M ARANHA 2025 BOTI</t>
        </is>
      </c>
      <c r="B74" s="575" t="n">
        <v>0</v>
      </c>
      <c r="C74" s="575" t="n">
        <v>0</v>
      </c>
      <c r="D74" s="575" t="n">
        <v>0</v>
      </c>
      <c r="E74" s="575" t="n">
        <v>0</v>
      </c>
      <c r="F74" s="575" t="n">
        <v>0</v>
      </c>
      <c r="G74" s="574" t="n">
        <v>69</v>
      </c>
      <c r="H74" s="575" t="n">
        <v>0</v>
      </c>
      <c r="I74" s="575" t="n">
        <v>0</v>
      </c>
      <c r="J74" s="575" t="n">
        <v>0</v>
      </c>
      <c r="K74" s="575" t="n">
        <v>0</v>
      </c>
    </row>
    <row r="75">
      <c r="A75" s="309" t="inlineStr">
        <is>
          <t>00000000094682 - CAIXA LACO M BOTI ARANHA 2025 UNIT</t>
        </is>
      </c>
      <c r="B75" s="573" t="n">
        <v>0</v>
      </c>
      <c r="C75" s="573" t="n">
        <v>0</v>
      </c>
      <c r="D75" s="573" t="n">
        <v>16</v>
      </c>
      <c r="E75" s="573" t="n">
        <v>0</v>
      </c>
      <c r="F75" s="573" t="n">
        <v>0</v>
      </c>
      <c r="G75" s="574" t="n">
        <v>50</v>
      </c>
      <c r="H75" s="574" t="n">
        <v>15</v>
      </c>
      <c r="I75" s="573" t="n">
        <v>0</v>
      </c>
      <c r="J75" s="574" t="n">
        <v>29</v>
      </c>
      <c r="K75" s="574" t="n">
        <v>30</v>
      </c>
    </row>
    <row r="76">
      <c r="A76" s="311" t="inlineStr">
        <is>
          <t>00000000094688 - CAR PRESENTE QDB H/POTTER 2025</t>
        </is>
      </c>
      <c r="B76" s="575" t="n">
        <v>0</v>
      </c>
      <c r="C76" s="575" t="n">
        <v>0</v>
      </c>
      <c r="D76" s="575" t="n">
        <v>22</v>
      </c>
      <c r="E76" s="575" t="n">
        <v>10</v>
      </c>
      <c r="F76" s="575" t="n">
        <v>0</v>
      </c>
      <c r="G76" s="574" t="n">
        <v>65</v>
      </c>
      <c r="H76" s="574" t="n">
        <v>32</v>
      </c>
      <c r="I76" s="575" t="n">
        <v>0</v>
      </c>
      <c r="J76" s="574" t="n">
        <v>49</v>
      </c>
      <c r="K76" s="574" t="n">
        <v>10</v>
      </c>
    </row>
    <row r="77">
      <c r="A77" s="309" t="inlineStr">
        <is>
          <t>00000000095139 - KIT PAPEL SEDA BOTI NATAL 2025 C/20 VD</t>
        </is>
      </c>
      <c r="B77" s="573" t="n">
        <v>0</v>
      </c>
      <c r="C77" s="573" t="n">
        <v>0</v>
      </c>
      <c r="D77" s="573" t="n">
        <v>0</v>
      </c>
      <c r="E77" s="573" t="n">
        <v>0</v>
      </c>
      <c r="F77" s="573" t="n">
        <v>3</v>
      </c>
      <c r="G77" s="573" t="n">
        <v>0</v>
      </c>
      <c r="H77" s="573" t="n">
        <v>0</v>
      </c>
      <c r="I77" s="573" t="n">
        <v>0</v>
      </c>
      <c r="J77" s="573" t="n">
        <v>0</v>
      </c>
      <c r="K77" s="573" t="n">
        <v>0</v>
      </c>
    </row>
    <row r="78">
      <c r="A78" s="311" t="inlineStr">
        <is>
          <t>00000000044742 - FITA DE VEDACAO VOID DEVOLUCAO</t>
        </is>
      </c>
      <c r="B78" s="575" t="n">
        <v>0</v>
      </c>
      <c r="C78" s="575" t="n">
        <v>0</v>
      </c>
      <c r="D78" s="575" t="n">
        <v>0</v>
      </c>
      <c r="E78" s="575" t="n">
        <v>0</v>
      </c>
      <c r="F78" s="575" t="n">
        <v>0</v>
      </c>
      <c r="G78" s="575" t="n">
        <v>1</v>
      </c>
      <c r="H78" s="575" t="n">
        <v>1</v>
      </c>
      <c r="I78" s="575" t="n">
        <v>1</v>
      </c>
      <c r="J78" s="575" t="n">
        <v>0</v>
      </c>
      <c r="K78" s="575" t="n">
        <v>0</v>
      </c>
    </row>
    <row r="79">
      <c r="A79" s="309" t="inlineStr">
        <is>
          <t>00000000046054 - CAIXA PAPELAO TAMPA LIGADA DEVOLUCAO PCK</t>
        </is>
      </c>
      <c r="B79" s="573" t="n">
        <v>0</v>
      </c>
      <c r="C79" s="573" t="n">
        <v>0</v>
      </c>
      <c r="D79" s="573" t="n">
        <v>0</v>
      </c>
      <c r="E79" s="573" t="n">
        <v>0</v>
      </c>
      <c r="F79" s="573" t="n">
        <v>0</v>
      </c>
      <c r="G79" s="573" t="n">
        <v>0</v>
      </c>
      <c r="H79" s="573" t="n">
        <v>0</v>
      </c>
      <c r="I79" s="573" t="n">
        <v>24</v>
      </c>
      <c r="J79" s="573" t="n">
        <v>0</v>
      </c>
      <c r="K79" s="573" t="n">
        <v>0</v>
      </c>
    </row>
    <row r="80">
      <c r="A80" s="311" t="inlineStr">
        <is>
          <t>00000000053652 - KIT SACOLA EUDORA UNIT NATAL 2022 M</t>
        </is>
      </c>
      <c r="B80" s="575" t="n">
        <v>0</v>
      </c>
      <c r="C80" s="575" t="n">
        <v>50</v>
      </c>
      <c r="D80" s="575" t="n">
        <v>0</v>
      </c>
      <c r="E80" s="575" t="n">
        <v>0</v>
      </c>
      <c r="F80" s="575" t="n">
        <v>0</v>
      </c>
      <c r="G80" s="575" t="n">
        <v>0</v>
      </c>
      <c r="H80" s="575" t="n">
        <v>0</v>
      </c>
      <c r="I80" s="575" t="n">
        <v>0</v>
      </c>
      <c r="J80" s="575" t="n">
        <v>0</v>
      </c>
      <c r="K80" s="575" t="n">
        <v>0</v>
      </c>
    </row>
    <row r="81">
      <c r="A81" s="309" t="inlineStr">
        <is>
          <t>00000000089843 - ENVELOPE M BOTI PAIS 2025 UNIT</t>
        </is>
      </c>
      <c r="B81" s="573" t="n">
        <v>0</v>
      </c>
      <c r="C81" s="573" t="n">
        <v>0</v>
      </c>
      <c r="D81" s="573" t="n">
        <v>0</v>
      </c>
      <c r="E81" s="573" t="n">
        <v>0</v>
      </c>
      <c r="F81" s="573" t="n">
        <v>0</v>
      </c>
      <c r="G81" s="573" t="n">
        <v>9</v>
      </c>
      <c r="H81" s="573" t="n">
        <v>0</v>
      </c>
      <c r="I81" s="573" t="n">
        <v>0</v>
      </c>
      <c r="J81" s="573" t="n">
        <v>0</v>
      </c>
      <c r="K81" s="573" t="n">
        <v>0</v>
      </c>
    </row>
    <row r="82">
      <c r="A82" s="331" t="inlineStr">
        <is>
          <t>Total</t>
        </is>
      </c>
      <c r="B82" s="597" t="n">
        <v>0</v>
      </c>
      <c r="C82" s="597" t="n">
        <v>1830</v>
      </c>
      <c r="D82" s="597" t="n">
        <v>2868</v>
      </c>
      <c r="E82" s="597" t="n">
        <v>1384</v>
      </c>
      <c r="F82" s="597" t="n">
        <v>515</v>
      </c>
      <c r="G82" s="597" t="n">
        <v>1971</v>
      </c>
      <c r="H82" s="597" t="n">
        <v>1453</v>
      </c>
      <c r="I82" s="597" t="n">
        <v>1442</v>
      </c>
      <c r="J82" s="597" t="n">
        <v>2578</v>
      </c>
      <c r="K82" s="597" t="n">
        <v>647</v>
      </c>
    </row>
  </sheetData>
  <pageMargins left="0.511811024" right="0.511811024" top="0.787401575" bottom="0.787401575" header="0.31496062" footer="0.31496062"/>
</worksheet>
</file>

<file path=xl/worksheets/sheet4.xml><?xml version="1.0" encoding="utf-8"?>
<worksheet xmlns="http://schemas.openxmlformats.org/spreadsheetml/2006/main">
  <sheetPr codeName="Planilha54">
    <outlinePr summaryBelow="1" summaryRight="1"/>
    <pageSetUpPr/>
  </sheetPr>
  <dimension ref="A1:K83"/>
  <sheetViews>
    <sheetView workbookViewId="0">
      <selection activeCell="R17" sqref="R17"/>
    </sheetView>
  </sheetViews>
  <sheetFormatPr baseColWidth="8" defaultRowHeight="15"/>
  <cols>
    <col width="60.85546875" customWidth="1" style="333" min="1" max="1"/>
    <col hidden="1" width="7.28515625" customWidth="1" style="333" min="2" max="8"/>
    <col width="7.28515625" customWidth="1" style="333" min="9" max="11"/>
  </cols>
  <sheetData>
    <row r="1">
      <c r="A1" s="305" t="inlineStr">
        <is>
          <t>Produtos</t>
        </is>
      </c>
      <c r="B1" s="306" t="n">
        <v>14356</v>
      </c>
      <c r="C1" s="306" t="n">
        <v>24790</v>
      </c>
      <c r="D1" s="306" t="n">
        <v>23614</v>
      </c>
      <c r="E1" s="306" t="n">
        <v>23343</v>
      </c>
      <c r="F1" s="306" t="n">
        <v>24119</v>
      </c>
      <c r="G1" s="307" t="n">
        <v>23280</v>
      </c>
      <c r="H1" s="307" t="n">
        <v>22851</v>
      </c>
      <c r="I1" s="308" t="n">
        <v>23091</v>
      </c>
      <c r="J1" s="308" t="n">
        <v>22838</v>
      </c>
      <c r="K1" s="308" t="n">
        <v>24137</v>
      </c>
    </row>
    <row r="2">
      <c r="A2" s="309" t="inlineStr">
        <is>
          <t>00000000090819 - SACOLA PP BOTICARIO INST/25</t>
        </is>
      </c>
      <c r="B2" s="573" t="n">
        <v>0</v>
      </c>
      <c r="C2" s="573" t="n">
        <v>79</v>
      </c>
      <c r="D2" s="573" t="n">
        <v>106</v>
      </c>
      <c r="E2" s="573" t="n">
        <v>190</v>
      </c>
      <c r="F2" s="573" t="n">
        <v>0</v>
      </c>
      <c r="G2" s="574" t="n">
        <v>12</v>
      </c>
      <c r="H2" s="573" t="n">
        <v>0</v>
      </c>
      <c r="I2" s="573" t="n">
        <v>147</v>
      </c>
      <c r="J2" s="573" t="n">
        <v>153</v>
      </c>
      <c r="K2" s="573" t="n">
        <v>40</v>
      </c>
    </row>
    <row r="3">
      <c r="A3" s="311" t="inlineStr">
        <is>
          <t>00000000090821 - SACOLA P BOTICARIO INST/25</t>
        </is>
      </c>
      <c r="B3" s="575" t="n">
        <v>0</v>
      </c>
      <c r="C3" s="575" t="n">
        <v>126</v>
      </c>
      <c r="D3" s="575" t="n">
        <v>561</v>
      </c>
      <c r="E3" s="575" t="n">
        <v>200</v>
      </c>
      <c r="F3" s="575" t="n">
        <v>200</v>
      </c>
      <c r="G3" s="574" t="n">
        <v>354</v>
      </c>
      <c r="H3" s="575" t="n">
        <v>0</v>
      </c>
      <c r="I3" s="575" t="n">
        <v>0</v>
      </c>
      <c r="J3" s="575" t="n">
        <v>252</v>
      </c>
      <c r="K3" s="575" t="n">
        <v>0</v>
      </c>
    </row>
    <row r="4">
      <c r="A4" s="309" t="inlineStr">
        <is>
          <t>00000000090822 - SACOLA M BOTICARIO INST/25</t>
        </is>
      </c>
      <c r="B4" s="573" t="n">
        <v>0</v>
      </c>
      <c r="C4" s="573" t="n">
        <v>132</v>
      </c>
      <c r="D4" s="573" t="n">
        <v>370</v>
      </c>
      <c r="E4" s="573" t="n">
        <v>200</v>
      </c>
      <c r="F4" s="573" t="n">
        <v>200</v>
      </c>
      <c r="G4" s="574" t="n">
        <v>0</v>
      </c>
      <c r="H4" s="573" t="n">
        <v>0</v>
      </c>
      <c r="I4" s="573" t="n">
        <v>0</v>
      </c>
      <c r="J4" s="573" t="n">
        <v>395</v>
      </c>
      <c r="K4" s="573" t="n">
        <v>0</v>
      </c>
    </row>
    <row r="5">
      <c r="A5" s="311" t="inlineStr">
        <is>
          <t>00000000003591 - KIT SACOLA PP INST 2021 VERDE C/10</t>
        </is>
      </c>
      <c r="B5" s="575" t="n">
        <v>0</v>
      </c>
      <c r="C5" s="575" t="n">
        <v>0</v>
      </c>
      <c r="D5" s="575" t="n">
        <v>4</v>
      </c>
      <c r="E5" s="575" t="n">
        <v>23</v>
      </c>
      <c r="F5" s="575" t="n">
        <v>0</v>
      </c>
      <c r="G5" s="575" t="n">
        <v>0</v>
      </c>
      <c r="H5" s="575" t="n">
        <v>0</v>
      </c>
      <c r="I5" s="575" t="n">
        <v>0</v>
      </c>
      <c r="J5" s="575" t="n">
        <v>0</v>
      </c>
      <c r="K5" s="575" t="n">
        <v>0</v>
      </c>
    </row>
    <row r="6">
      <c r="A6" s="309" t="inlineStr">
        <is>
          <t>00000000003608 - KIT SACOLA P INST 2021 VERDE C/10</t>
        </is>
      </c>
      <c r="B6" s="573" t="n">
        <v>0</v>
      </c>
      <c r="C6" s="573" t="n">
        <v>3</v>
      </c>
      <c r="D6" s="573" t="n">
        <v>6</v>
      </c>
      <c r="E6" s="573" t="n">
        <v>11</v>
      </c>
      <c r="F6" s="573" t="n">
        <v>0</v>
      </c>
      <c r="G6" s="573" t="n">
        <v>0</v>
      </c>
      <c r="H6" s="573" t="n">
        <v>0</v>
      </c>
      <c r="I6" s="573" t="n">
        <v>0</v>
      </c>
      <c r="J6" s="573" t="n">
        <v>0</v>
      </c>
      <c r="K6" s="573" t="n">
        <v>0</v>
      </c>
    </row>
    <row r="7">
      <c r="A7" s="311" t="inlineStr">
        <is>
          <t>00000000003610 - KIT SACOLA M INST 2021 VERDE C/10</t>
        </is>
      </c>
      <c r="B7" s="575" t="n">
        <v>0</v>
      </c>
      <c r="C7" s="575" t="n">
        <v>0</v>
      </c>
      <c r="D7" s="575" t="n">
        <v>10</v>
      </c>
      <c r="E7" s="575" t="n">
        <v>28</v>
      </c>
      <c r="F7" s="575" t="n">
        <v>0</v>
      </c>
      <c r="G7" s="575" t="n">
        <v>0</v>
      </c>
      <c r="H7" s="575" t="n">
        <v>0</v>
      </c>
      <c r="I7" s="575" t="n">
        <v>0</v>
      </c>
      <c r="J7" s="575" t="n">
        <v>9</v>
      </c>
      <c r="K7" s="575" t="n">
        <v>0</v>
      </c>
    </row>
    <row r="8">
      <c r="A8" s="309" t="inlineStr">
        <is>
          <t>00000000094389 - PAPEL SEDA BOTI INSTIT 2025 UNIT</t>
        </is>
      </c>
      <c r="B8" s="573" t="n">
        <v>0</v>
      </c>
      <c r="C8" s="573" t="n">
        <v>0</v>
      </c>
      <c r="D8" s="573" t="n">
        <v>0</v>
      </c>
      <c r="E8" s="573" t="n">
        <v>0</v>
      </c>
      <c r="F8" s="573" t="n">
        <v>0</v>
      </c>
      <c r="G8" s="574" t="n">
        <v>9</v>
      </c>
      <c r="H8" s="574" t="n">
        <v>140</v>
      </c>
      <c r="I8" s="573" t="n">
        <v>0</v>
      </c>
      <c r="J8" s="573" t="n">
        <v>0</v>
      </c>
      <c r="K8" s="573" t="n">
        <v>38</v>
      </c>
    </row>
    <row r="9">
      <c r="A9" s="311" t="inlineStr">
        <is>
          <t>00000000043673 - KIT VD INSTITUCIONAL PAPEL DE SEDA C/25</t>
        </is>
      </c>
      <c r="B9" s="575" t="n">
        <v>0</v>
      </c>
      <c r="C9" s="575" t="n">
        <v>42</v>
      </c>
      <c r="D9" s="575" t="n">
        <v>24</v>
      </c>
      <c r="E9" s="575" t="n">
        <v>8</v>
      </c>
      <c r="F9" s="575" t="n">
        <v>12</v>
      </c>
      <c r="G9" s="575" t="n">
        <v>0</v>
      </c>
      <c r="H9" s="575" t="n">
        <v>0</v>
      </c>
      <c r="I9" s="575" t="n">
        <v>0</v>
      </c>
      <c r="J9" s="575" t="n">
        <v>0</v>
      </c>
      <c r="K9" s="575" t="n">
        <v>0</v>
      </c>
    </row>
    <row r="10">
      <c r="A10" s="309" t="inlineStr">
        <is>
          <t>00000000030190 - CART ADESIVOS INST 2021 C/50</t>
        </is>
      </c>
      <c r="B10" s="573" t="n">
        <v>0</v>
      </c>
      <c r="C10" s="573" t="n">
        <v>38</v>
      </c>
      <c r="D10" s="573" t="n">
        <v>58</v>
      </c>
      <c r="E10" s="573" t="n">
        <v>1</v>
      </c>
      <c r="F10" s="573" t="n">
        <v>33</v>
      </c>
      <c r="G10" s="574" t="n">
        <v>0</v>
      </c>
      <c r="H10" s="573" t="n">
        <v>0</v>
      </c>
      <c r="I10" s="573" t="n">
        <v>0</v>
      </c>
      <c r="J10" s="573" t="n">
        <v>0</v>
      </c>
      <c r="K10" s="573" t="n">
        <v>0</v>
      </c>
    </row>
    <row r="11">
      <c r="A11" s="311" t="inlineStr">
        <is>
          <t>00000000045033 - KIT TAG INST. VD S/ FIT C/20 UN</t>
        </is>
      </c>
      <c r="B11" s="575" t="n">
        <v>0</v>
      </c>
      <c r="C11" s="575" t="n">
        <v>0</v>
      </c>
      <c r="D11" s="575" t="n">
        <v>0</v>
      </c>
      <c r="E11" s="575" t="n">
        <v>23</v>
      </c>
      <c r="F11" s="575" t="n">
        <v>0</v>
      </c>
      <c r="G11" s="575" t="n">
        <v>0</v>
      </c>
      <c r="H11" s="575" t="n">
        <v>0</v>
      </c>
      <c r="I11" s="575" t="n">
        <v>0</v>
      </c>
      <c r="J11" s="575" t="n">
        <v>0</v>
      </c>
      <c r="K11" s="575" t="n">
        <v>0</v>
      </c>
    </row>
    <row r="12">
      <c r="A12" s="309" t="inlineStr">
        <is>
          <t>00000000043763 - KIT VD INST TAG C/50</t>
        </is>
      </c>
      <c r="B12" s="573" t="n">
        <v>0</v>
      </c>
      <c r="C12" s="573" t="n">
        <v>0</v>
      </c>
      <c r="D12" s="573" t="n">
        <v>0</v>
      </c>
      <c r="E12" s="573" t="n">
        <v>15</v>
      </c>
      <c r="F12" s="573" t="n">
        <v>0</v>
      </c>
      <c r="G12" s="574" t="n">
        <v>9</v>
      </c>
      <c r="H12" s="573" t="n">
        <v>0</v>
      </c>
      <c r="I12" s="573" t="n">
        <v>0</v>
      </c>
      <c r="J12" s="573" t="n">
        <v>1</v>
      </c>
      <c r="K12" s="573" t="n">
        <v>0</v>
      </c>
    </row>
    <row r="13">
      <c r="A13" s="311" t="inlineStr">
        <is>
          <t>00000000030194 - TAG P/SACOLA INST 2021 KIT C/50 UN VD</t>
        </is>
      </c>
      <c r="B13" s="575" t="n">
        <v>0</v>
      </c>
      <c r="C13" s="575" t="n">
        <v>63</v>
      </c>
      <c r="D13" s="575" t="n">
        <v>42</v>
      </c>
      <c r="E13" s="575" t="n">
        <v>0</v>
      </c>
      <c r="F13" s="575" t="n">
        <v>0</v>
      </c>
      <c r="G13" s="575" t="n">
        <v>0</v>
      </c>
      <c r="H13" s="575" t="n">
        <v>0</v>
      </c>
      <c r="I13" s="575" t="n">
        <v>0</v>
      </c>
      <c r="J13" s="575" t="n">
        <v>0</v>
      </c>
      <c r="K13" s="575" t="n">
        <v>0</v>
      </c>
    </row>
    <row r="14">
      <c r="A14" s="309" t="inlineStr">
        <is>
          <t>00000000089402 - CAIXA PRESENTE P BOT INST/25 VDA</t>
        </is>
      </c>
      <c r="B14" s="573" t="n">
        <v>0</v>
      </c>
      <c r="C14" s="573" t="n">
        <v>0</v>
      </c>
      <c r="D14" s="573" t="n">
        <v>0</v>
      </c>
      <c r="E14" s="573" t="n">
        <v>0</v>
      </c>
      <c r="F14" s="573" t="n">
        <v>0</v>
      </c>
      <c r="G14" s="574" t="n">
        <v>125</v>
      </c>
      <c r="H14" s="574" t="n">
        <v>104</v>
      </c>
      <c r="I14" s="573" t="n">
        <v>100</v>
      </c>
      <c r="J14" s="573" t="n">
        <v>0</v>
      </c>
      <c r="K14" s="573" t="n">
        <v>0</v>
      </c>
    </row>
    <row r="15">
      <c r="A15" s="311" t="inlineStr">
        <is>
          <t>00000000003682 - KIT CAIXA P INST 2021 VERDE VD</t>
        </is>
      </c>
      <c r="B15" s="575" t="n">
        <v>0</v>
      </c>
      <c r="C15" s="575" t="n">
        <v>0</v>
      </c>
      <c r="D15" s="575" t="n">
        <v>4</v>
      </c>
      <c r="E15" s="575" t="n">
        <v>0</v>
      </c>
      <c r="F15" s="575" t="n">
        <v>0</v>
      </c>
      <c r="G15" s="575" t="n">
        <v>0</v>
      </c>
      <c r="H15" s="575" t="n">
        <v>0</v>
      </c>
      <c r="I15" s="575" t="n">
        <v>0</v>
      </c>
      <c r="J15" s="575" t="n">
        <v>0</v>
      </c>
      <c r="K15" s="575" t="n">
        <v>5</v>
      </c>
    </row>
    <row r="16">
      <c r="A16" s="309" t="inlineStr">
        <is>
          <t>00000000089401 - CX PRESENTE M BOTI INST/25 VDA</t>
        </is>
      </c>
      <c r="B16" s="573" t="n">
        <v>0</v>
      </c>
      <c r="C16" s="573" t="n">
        <v>0</v>
      </c>
      <c r="D16" s="573" t="n">
        <v>0</v>
      </c>
      <c r="E16" s="573" t="n">
        <v>0</v>
      </c>
      <c r="F16" s="573" t="n">
        <v>0</v>
      </c>
      <c r="G16" s="574" t="n">
        <v>45</v>
      </c>
      <c r="H16" s="573" t="n">
        <v>0</v>
      </c>
      <c r="I16" s="573" t="n">
        <v>48</v>
      </c>
      <c r="J16" s="573" t="n">
        <v>73</v>
      </c>
      <c r="K16" s="573" t="n">
        <v>0</v>
      </c>
    </row>
    <row r="17">
      <c r="A17" s="311" t="inlineStr">
        <is>
          <t>00000000003704 - KIT CAIXA G INST 2021 VERDE VD</t>
        </is>
      </c>
      <c r="B17" s="575" t="n">
        <v>0</v>
      </c>
      <c r="C17" s="575" t="n">
        <v>0</v>
      </c>
      <c r="D17" s="575" t="n">
        <v>0</v>
      </c>
      <c r="E17" s="575" t="n">
        <v>0</v>
      </c>
      <c r="F17" s="575" t="n">
        <v>0</v>
      </c>
      <c r="G17" s="574" t="n">
        <v>0</v>
      </c>
      <c r="H17" s="575" t="n">
        <v>0</v>
      </c>
      <c r="I17" s="575" t="n">
        <v>0</v>
      </c>
      <c r="J17" s="575" t="n">
        <v>0</v>
      </c>
      <c r="K17" s="575" t="n">
        <v>2</v>
      </c>
    </row>
    <row r="18">
      <c r="A18" s="309" t="inlineStr">
        <is>
          <t>00000000054572 - KIT OVERBAG BOTI PRESENTEAR ECOMMERCE M</t>
        </is>
      </c>
      <c r="B18" s="573" t="n">
        <v>0</v>
      </c>
      <c r="C18" s="573" t="n">
        <v>0</v>
      </c>
      <c r="D18" s="573" t="n">
        <v>0</v>
      </c>
      <c r="E18" s="573" t="n">
        <v>0</v>
      </c>
      <c r="F18" s="573" t="n">
        <v>0</v>
      </c>
      <c r="G18" s="574" t="n">
        <v>23</v>
      </c>
      <c r="H18" s="573" t="n">
        <v>0</v>
      </c>
      <c r="I18" s="573" t="n">
        <v>0</v>
      </c>
      <c r="J18" s="573" t="n">
        <v>8</v>
      </c>
      <c r="K18" s="573" t="n">
        <v>0</v>
      </c>
    </row>
    <row r="19">
      <c r="A19" s="311" t="inlineStr">
        <is>
          <t>00000000046885 - O.U.i SACOLA P 2021</t>
        </is>
      </c>
      <c r="B19" s="575" t="n">
        <v>0</v>
      </c>
      <c r="C19" s="575" t="n">
        <v>4</v>
      </c>
      <c r="D19" s="575" t="n">
        <v>12</v>
      </c>
      <c r="E19" s="575" t="n">
        <v>23</v>
      </c>
      <c r="F19" s="575" t="n">
        <v>0</v>
      </c>
      <c r="G19" s="574" t="n">
        <v>38</v>
      </c>
      <c r="H19" s="574" t="n">
        <v>3</v>
      </c>
      <c r="I19" s="575" t="n">
        <v>116</v>
      </c>
      <c r="J19" s="575" t="n">
        <v>0</v>
      </c>
      <c r="K19" s="575" t="n">
        <v>2</v>
      </c>
    </row>
    <row r="20">
      <c r="A20" s="309" t="inlineStr">
        <is>
          <t>00000000046886 - O.U.I SACOLA M 2021</t>
        </is>
      </c>
      <c r="B20" s="573" t="n">
        <v>0</v>
      </c>
      <c r="C20" s="573" t="n">
        <v>9</v>
      </c>
      <c r="D20" s="573" t="n">
        <v>19</v>
      </c>
      <c r="E20" s="573" t="n">
        <v>11</v>
      </c>
      <c r="F20" s="573" t="n">
        <v>0</v>
      </c>
      <c r="G20" s="574" t="n">
        <v>18</v>
      </c>
      <c r="H20" s="574" t="n">
        <v>12</v>
      </c>
      <c r="I20" s="573" t="n">
        <v>79</v>
      </c>
      <c r="J20" s="573" t="n">
        <v>0</v>
      </c>
      <c r="K20" s="573" t="n">
        <v>0</v>
      </c>
    </row>
    <row r="21">
      <c r="A21" s="311" t="inlineStr">
        <is>
          <t>00000000046887 - O.U.I SACOLA G 2021</t>
        </is>
      </c>
      <c r="B21" s="575" t="n">
        <v>0</v>
      </c>
      <c r="C21" s="575" t="n">
        <v>7</v>
      </c>
      <c r="D21" s="575" t="n">
        <v>13</v>
      </c>
      <c r="E21" s="575" t="n">
        <v>18</v>
      </c>
      <c r="F21" s="575" t="n">
        <v>0</v>
      </c>
      <c r="G21" s="574" t="n">
        <v>0</v>
      </c>
      <c r="H21" s="574" t="n">
        <v>0</v>
      </c>
      <c r="I21" s="575" t="n">
        <v>7</v>
      </c>
      <c r="J21" s="575" t="n">
        <v>0</v>
      </c>
      <c r="K21" s="575" t="n">
        <v>3</v>
      </c>
    </row>
    <row r="22">
      <c r="A22" s="309" t="inlineStr">
        <is>
          <t>00000000046888 - O.U.I KIT CAIXA P 2021</t>
        </is>
      </c>
      <c r="B22" s="573" t="n">
        <v>0</v>
      </c>
      <c r="C22" s="573" t="n">
        <v>19</v>
      </c>
      <c r="D22" s="573" t="n">
        <v>57</v>
      </c>
      <c r="E22" s="573" t="n">
        <v>16</v>
      </c>
      <c r="F22" s="573" t="n">
        <v>5</v>
      </c>
      <c r="G22" s="574" t="n">
        <v>46</v>
      </c>
      <c r="H22" s="574" t="n">
        <v>81</v>
      </c>
      <c r="I22" s="573" t="n">
        <v>39</v>
      </c>
      <c r="J22" s="573" t="n">
        <v>21</v>
      </c>
      <c r="K22" s="573" t="n">
        <v>6</v>
      </c>
    </row>
    <row r="23">
      <c r="A23" s="311" t="inlineStr">
        <is>
          <t>00000000046890 - O.U.I KIT CAIXA M 2021</t>
        </is>
      </c>
      <c r="B23" s="575" t="n">
        <v>0</v>
      </c>
      <c r="C23" s="575" t="n">
        <v>9</v>
      </c>
      <c r="D23" s="575" t="n">
        <v>32</v>
      </c>
      <c r="E23" s="575" t="n">
        <v>23</v>
      </c>
      <c r="F23" s="575" t="n">
        <v>2</v>
      </c>
      <c r="G23" s="574" t="n">
        <v>3</v>
      </c>
      <c r="H23" s="574" t="n">
        <v>86</v>
      </c>
      <c r="I23" s="575" t="n">
        <v>46</v>
      </c>
      <c r="J23" s="575" t="n">
        <v>1</v>
      </c>
      <c r="K23" s="575" t="n">
        <v>6</v>
      </c>
    </row>
    <row r="24">
      <c r="A24" s="309" t="inlineStr">
        <is>
          <t>00000000046891 - O.U.I KIT CAIXA G 2021</t>
        </is>
      </c>
      <c r="B24" s="573" t="n">
        <v>0</v>
      </c>
      <c r="C24" s="573" t="n">
        <v>15</v>
      </c>
      <c r="D24" s="573" t="n">
        <v>48</v>
      </c>
      <c r="E24" s="573" t="n">
        <v>6</v>
      </c>
      <c r="F24" s="573" t="n">
        <v>3</v>
      </c>
      <c r="G24" s="574" t="n">
        <v>44</v>
      </c>
      <c r="H24" s="574" t="n">
        <v>40</v>
      </c>
      <c r="I24" s="573" t="n">
        <v>19</v>
      </c>
      <c r="J24" s="573" t="n">
        <v>28</v>
      </c>
      <c r="K24" s="573" t="n">
        <v>9</v>
      </c>
    </row>
    <row r="25">
      <c r="A25" s="311" t="inlineStr">
        <is>
          <t>00000000047162 - OUI CAIXA M 2021</t>
        </is>
      </c>
      <c r="B25" s="575" t="n">
        <v>0</v>
      </c>
      <c r="C25" s="575" t="n">
        <v>0</v>
      </c>
      <c r="D25" s="575" t="n">
        <v>0</v>
      </c>
      <c r="E25" s="575" t="n">
        <v>0</v>
      </c>
      <c r="F25" s="575" t="n">
        <v>0</v>
      </c>
      <c r="G25" s="575" t="n">
        <v>0</v>
      </c>
      <c r="H25" s="575" t="n">
        <v>0</v>
      </c>
      <c r="I25" s="575" t="n">
        <v>0</v>
      </c>
      <c r="J25" s="575" t="n">
        <v>2</v>
      </c>
      <c r="K25" s="575" t="n">
        <v>0</v>
      </c>
    </row>
    <row r="26">
      <c r="A26" s="309" t="inlineStr">
        <is>
          <t>00000000050110 - CAIXA QDB P INSTITUCIONAL/21</t>
        </is>
      </c>
      <c r="B26" s="573" t="n">
        <v>0</v>
      </c>
      <c r="C26" s="573" t="n">
        <v>0</v>
      </c>
      <c r="D26" s="573" t="n">
        <v>0</v>
      </c>
      <c r="E26" s="573" t="n">
        <v>0</v>
      </c>
      <c r="F26" s="573" t="n">
        <v>0</v>
      </c>
      <c r="G26" s="574" t="n">
        <v>9</v>
      </c>
      <c r="H26" s="573" t="n">
        <v>0</v>
      </c>
      <c r="I26" s="573" t="n">
        <v>0</v>
      </c>
      <c r="J26" s="573" t="n">
        <v>1</v>
      </c>
      <c r="K26" s="573" t="n">
        <v>0</v>
      </c>
    </row>
    <row r="27">
      <c r="A27" s="311" t="inlineStr">
        <is>
          <t>00000000056369 - CAIXA QDB P INST 2023</t>
        </is>
      </c>
      <c r="B27" s="575" t="n">
        <v>0</v>
      </c>
      <c r="C27" s="575" t="n">
        <v>0</v>
      </c>
      <c r="D27" s="575" t="n">
        <v>0</v>
      </c>
      <c r="E27" s="575" t="n">
        <v>4</v>
      </c>
      <c r="F27" s="575" t="n">
        <v>5</v>
      </c>
      <c r="G27" s="574" t="n">
        <v>73</v>
      </c>
      <c r="H27" s="574" t="n">
        <v>18</v>
      </c>
      <c r="I27" s="575" t="n">
        <v>0</v>
      </c>
      <c r="J27" s="575" t="n">
        <v>10</v>
      </c>
      <c r="K27" s="575" t="n">
        <v>17</v>
      </c>
    </row>
    <row r="28">
      <c r="A28" s="309" t="inlineStr">
        <is>
          <t>00000000056375 - KIT QDB CAIXA P INST 2023 VD</t>
        </is>
      </c>
      <c r="B28" s="573" t="n">
        <v>0</v>
      </c>
      <c r="C28" s="573" t="n">
        <v>0</v>
      </c>
      <c r="D28" s="573" t="n">
        <v>0</v>
      </c>
      <c r="E28" s="573" t="n">
        <v>0</v>
      </c>
      <c r="F28" s="573" t="n">
        <v>0</v>
      </c>
      <c r="G28" s="574" t="n">
        <v>20</v>
      </c>
      <c r="H28" s="573" t="n">
        <v>0</v>
      </c>
      <c r="I28" s="573" t="n">
        <v>0</v>
      </c>
      <c r="J28" s="573" t="n">
        <v>0</v>
      </c>
      <c r="K28" s="573" t="n">
        <v>0</v>
      </c>
    </row>
    <row r="29">
      <c r="A29" s="311" t="inlineStr">
        <is>
          <t>00000000056376 - CAIXA QDB  G INST 2023</t>
        </is>
      </c>
      <c r="B29" s="575" t="n">
        <v>0</v>
      </c>
      <c r="C29" s="575" t="n">
        <v>0</v>
      </c>
      <c r="D29" s="575" t="n">
        <v>0</v>
      </c>
      <c r="E29" s="575" t="n">
        <v>20</v>
      </c>
      <c r="F29" s="575" t="n">
        <v>0</v>
      </c>
      <c r="G29" s="574" t="n">
        <v>94</v>
      </c>
      <c r="H29" s="574" t="n">
        <v>15</v>
      </c>
      <c r="I29" s="575" t="n">
        <v>2</v>
      </c>
      <c r="J29" s="575" t="n">
        <v>20</v>
      </c>
      <c r="K29" s="575" t="n">
        <v>0</v>
      </c>
    </row>
    <row r="30">
      <c r="A30" s="309" t="inlineStr">
        <is>
          <t>00000000056378 - KIT CAIXA QDB M INST 2023 VD</t>
        </is>
      </c>
      <c r="B30" s="573" t="n">
        <v>0</v>
      </c>
      <c r="C30" s="573" t="n">
        <v>0</v>
      </c>
      <c r="D30" s="573" t="n">
        <v>0</v>
      </c>
      <c r="E30" s="573" t="n">
        <v>10</v>
      </c>
      <c r="F30" s="573" t="n">
        <v>0</v>
      </c>
      <c r="G30" s="574" t="n">
        <v>40</v>
      </c>
      <c r="H30" s="574" t="n">
        <v>12</v>
      </c>
      <c r="I30" s="573" t="n">
        <v>22</v>
      </c>
      <c r="J30" s="573" t="n">
        <v>0</v>
      </c>
      <c r="K30" s="573" t="n">
        <v>9</v>
      </c>
    </row>
    <row r="31">
      <c r="A31" s="427" t="inlineStr">
        <is>
          <t>00000000053651 - KIT SACOLA EUDORA  INST 2022 P</t>
        </is>
      </c>
      <c r="B31" s="576" t="n">
        <v>0</v>
      </c>
      <c r="C31" s="576" t="n">
        <v>0</v>
      </c>
      <c r="D31" s="576" t="n">
        <v>0</v>
      </c>
      <c r="E31" s="576" t="n">
        <v>127</v>
      </c>
      <c r="F31" s="576" t="n">
        <v>0</v>
      </c>
      <c r="G31" s="576" t="n">
        <v>0</v>
      </c>
      <c r="H31" s="576" t="n">
        <v>0</v>
      </c>
      <c r="I31" s="575" t="n">
        <v>0</v>
      </c>
      <c r="J31" s="575" t="n">
        <v>0</v>
      </c>
      <c r="K31" s="575" t="n">
        <v>0</v>
      </c>
    </row>
    <row r="32">
      <c r="A32" s="427" t="inlineStr">
        <is>
          <t>00000000053944 - KIT SACOLA EUDORA M UNIT INST 2022</t>
        </is>
      </c>
      <c r="B32" s="576" t="n">
        <v>0</v>
      </c>
      <c r="C32" s="576" t="n">
        <v>0</v>
      </c>
      <c r="D32" s="576" t="n">
        <v>-37</v>
      </c>
      <c r="E32" s="576" t="n">
        <v>0</v>
      </c>
      <c r="F32" s="576" t="n">
        <v>0</v>
      </c>
      <c r="G32" s="576" t="n">
        <v>0</v>
      </c>
      <c r="H32" s="576" t="n">
        <v>0</v>
      </c>
      <c r="I32" s="573" t="n">
        <v>0</v>
      </c>
      <c r="J32" s="573" t="n">
        <v>0</v>
      </c>
      <c r="K32" s="573" t="n">
        <v>0</v>
      </c>
    </row>
    <row r="33">
      <c r="A33" s="311" t="inlineStr">
        <is>
          <t>00000000052276 - KIT SACOLA P INST EUD 2022 C/10 VD</t>
        </is>
      </c>
      <c r="B33" s="575" t="n">
        <v>0</v>
      </c>
      <c r="C33" s="575" t="n">
        <v>54</v>
      </c>
      <c r="D33" s="575" t="n">
        <v>16</v>
      </c>
      <c r="E33" s="575" t="n">
        <v>24</v>
      </c>
      <c r="F33" s="575" t="n">
        <v>0</v>
      </c>
      <c r="G33" s="574" t="n">
        <v>19</v>
      </c>
      <c r="H33" s="574" t="n">
        <v>36</v>
      </c>
      <c r="I33" s="575" t="n">
        <v>17</v>
      </c>
      <c r="J33" s="575" t="n">
        <v>30</v>
      </c>
      <c r="K33" s="575" t="n">
        <v>0</v>
      </c>
    </row>
    <row r="34">
      <c r="A34" s="309" t="inlineStr">
        <is>
          <t>00000000052288 - KIT SACOLA M EUD INST 2022 C/10 VD</t>
        </is>
      </c>
      <c r="B34" s="573" t="n">
        <v>0</v>
      </c>
      <c r="C34" s="573" t="n">
        <v>35</v>
      </c>
      <c r="D34" s="573" t="n">
        <v>60</v>
      </c>
      <c r="E34" s="573" t="n">
        <v>40</v>
      </c>
      <c r="F34" s="573" t="n">
        <v>0</v>
      </c>
      <c r="G34" s="574" t="n">
        <v>0</v>
      </c>
      <c r="H34" s="574" t="n">
        <v>17</v>
      </c>
      <c r="I34" s="573" t="n">
        <v>34</v>
      </c>
      <c r="J34" s="573" t="n">
        <v>15</v>
      </c>
      <c r="K34" s="573" t="n">
        <v>2</v>
      </c>
    </row>
    <row r="35">
      <c r="A35" s="311" t="inlineStr">
        <is>
          <t>00000000053653 - KIT SACOLA EUDORA G UNIT INST 2022</t>
        </is>
      </c>
      <c r="B35" s="575" t="n">
        <v>0</v>
      </c>
      <c r="C35" s="575" t="n">
        <v>44</v>
      </c>
      <c r="D35" s="575" t="n">
        <v>9</v>
      </c>
      <c r="E35" s="575" t="n">
        <v>0</v>
      </c>
      <c r="F35" s="575" t="n">
        <v>0</v>
      </c>
      <c r="G35" s="574" t="n">
        <v>0</v>
      </c>
      <c r="H35" s="574" t="n">
        <v>0</v>
      </c>
      <c r="I35" s="575" t="n">
        <v>0</v>
      </c>
      <c r="J35" s="575" t="n">
        <v>0</v>
      </c>
      <c r="K35" s="575" t="n">
        <v>0</v>
      </c>
    </row>
    <row r="36">
      <c r="A36" s="309" t="inlineStr">
        <is>
          <t>00000000053654 - KIT CAIXA P EUDORA INST 2022</t>
        </is>
      </c>
      <c r="B36" s="573" t="n">
        <v>0</v>
      </c>
      <c r="C36" s="573" t="n">
        <v>135</v>
      </c>
      <c r="D36" s="573" t="n">
        <v>118</v>
      </c>
      <c r="E36" s="573" t="n">
        <v>0</v>
      </c>
      <c r="F36" s="573" t="n">
        <v>1</v>
      </c>
      <c r="G36" s="574" t="n">
        <v>77</v>
      </c>
      <c r="H36" s="574" t="n">
        <v>29</v>
      </c>
      <c r="I36" s="573" t="n">
        <v>142</v>
      </c>
      <c r="J36" s="573" t="n">
        <v>8</v>
      </c>
      <c r="K36" s="573" t="n">
        <v>6</v>
      </c>
    </row>
    <row r="37">
      <c r="A37" s="311" t="inlineStr">
        <is>
          <t>00000000053655 - KIT CAIXA  EUDORA INST 2022 M</t>
        </is>
      </c>
      <c r="B37" s="575" t="n">
        <v>0</v>
      </c>
      <c r="C37" s="575" t="n">
        <v>66</v>
      </c>
      <c r="D37" s="575" t="n">
        <v>25</v>
      </c>
      <c r="E37" s="575" t="n">
        <v>3</v>
      </c>
      <c r="F37" s="575" t="n">
        <v>0</v>
      </c>
      <c r="G37" s="574" t="n">
        <v>27</v>
      </c>
      <c r="H37" s="574" t="n">
        <v>88</v>
      </c>
      <c r="I37" s="575" t="n">
        <v>0</v>
      </c>
      <c r="J37" s="575" t="n">
        <v>16</v>
      </c>
      <c r="K37" s="575" t="n">
        <v>0</v>
      </c>
    </row>
    <row r="38">
      <c r="A38" s="309" t="inlineStr">
        <is>
          <t>00000000053656 - KIT CAIXA G EUDORA INST 2022</t>
        </is>
      </c>
      <c r="B38" s="573" t="n">
        <v>0</v>
      </c>
      <c r="C38" s="573" t="n">
        <v>38</v>
      </c>
      <c r="D38" s="573" t="n">
        <v>0</v>
      </c>
      <c r="E38" s="573" t="n">
        <v>9</v>
      </c>
      <c r="F38" s="573" t="n">
        <v>15</v>
      </c>
      <c r="G38" s="574" t="n">
        <v>28</v>
      </c>
      <c r="H38" s="574" t="n">
        <v>23</v>
      </c>
      <c r="I38" s="573" t="n">
        <v>30</v>
      </c>
      <c r="J38" s="573" t="n">
        <v>17</v>
      </c>
      <c r="K38" s="573" t="n">
        <v>10</v>
      </c>
    </row>
    <row r="39" ht="15.75" customHeight="1" thickBot="1">
      <c r="A39" s="313" t="n"/>
      <c r="B39" s="577" t="n"/>
      <c r="C39" s="577" t="n"/>
      <c r="D39" s="577" t="n"/>
      <c r="E39" s="577" t="n"/>
      <c r="F39" s="577" t="n"/>
      <c r="G39" s="577" t="n"/>
      <c r="H39" s="577" t="n"/>
      <c r="I39" s="577" t="n"/>
      <c r="J39" s="577" t="n"/>
      <c r="K39" s="577" t="n"/>
    </row>
    <row r="40">
      <c r="A40" s="328" t="inlineStr">
        <is>
          <t>00000000094371 - SACOLA M EUDORA UNIT MAES 2026</t>
        </is>
      </c>
      <c r="B40" s="578" t="n">
        <v>0</v>
      </c>
      <c r="C40" s="578" t="n">
        <v>9</v>
      </c>
      <c r="D40" s="578" t="n">
        <v>-45</v>
      </c>
      <c r="E40" s="578" t="n">
        <v>0</v>
      </c>
      <c r="F40" s="578" t="n">
        <v>0</v>
      </c>
      <c r="G40" s="579" t="n">
        <v>0</v>
      </c>
      <c r="H40" s="579" t="n">
        <v>0</v>
      </c>
      <c r="I40" s="578" t="n">
        <v>0</v>
      </c>
      <c r="J40" s="578" t="n">
        <v>0</v>
      </c>
      <c r="K40" s="598" t="n">
        <v>32</v>
      </c>
    </row>
    <row r="41">
      <c r="A41" s="320" t="inlineStr">
        <is>
          <t>00000000095162 - KIT TAG VD REVEND EUD INSTIT 2025 C/20</t>
        </is>
      </c>
      <c r="B41" s="575" t="n">
        <v>0</v>
      </c>
      <c r="C41" s="575" t="n">
        <v>0</v>
      </c>
      <c r="D41" s="575" t="n">
        <v>0</v>
      </c>
      <c r="E41" s="575" t="n">
        <v>0</v>
      </c>
      <c r="F41" s="575" t="n">
        <v>0</v>
      </c>
      <c r="G41" s="574" t="n">
        <v>0</v>
      </c>
      <c r="H41" s="574" t="n">
        <v>0</v>
      </c>
      <c r="I41" s="575" t="n">
        <v>5</v>
      </c>
      <c r="J41" s="575" t="n">
        <v>8</v>
      </c>
      <c r="K41" s="599" t="n">
        <v>3</v>
      </c>
    </row>
    <row r="42">
      <c r="A42" s="318" t="inlineStr">
        <is>
          <t>00000000088796 - CAIXA EUDORA M INST/25 UNIT</t>
        </is>
      </c>
      <c r="B42" s="573" t="n">
        <v>0</v>
      </c>
      <c r="C42" s="573" t="n">
        <v>44</v>
      </c>
      <c r="D42" s="573" t="n">
        <v>29</v>
      </c>
      <c r="E42" s="573" t="n">
        <v>14</v>
      </c>
      <c r="F42" s="573" t="n">
        <v>0</v>
      </c>
      <c r="G42" s="574" t="n">
        <v>49</v>
      </c>
      <c r="H42" s="574" t="n">
        <v>50</v>
      </c>
      <c r="I42" s="573" t="n">
        <v>96</v>
      </c>
      <c r="J42" s="573" t="n">
        <v>40</v>
      </c>
      <c r="K42" s="600" t="n">
        <v>49</v>
      </c>
    </row>
    <row r="43" ht="15.75" customHeight="1" thickBot="1">
      <c r="A43" s="325" t="inlineStr">
        <is>
          <t>00000000088799 - ENVELOPE EUDORA P INST/25 UNIT</t>
        </is>
      </c>
      <c r="B43" s="582" t="n">
        <v>0</v>
      </c>
      <c r="C43" s="582" t="n">
        <v>114</v>
      </c>
      <c r="D43" s="582" t="n">
        <v>0</v>
      </c>
      <c r="E43" s="582" t="n">
        <v>0</v>
      </c>
      <c r="F43" s="582" t="n">
        <v>0</v>
      </c>
      <c r="G43" s="583" t="n">
        <v>142</v>
      </c>
      <c r="H43" s="583" t="n">
        <v>31</v>
      </c>
      <c r="I43" s="582" t="n">
        <v>21</v>
      </c>
      <c r="J43" s="582" t="n">
        <v>65</v>
      </c>
      <c r="K43" s="601" t="n">
        <v>49</v>
      </c>
    </row>
    <row r="44">
      <c r="A44" s="328" t="inlineStr">
        <is>
          <t>00000000096442 - SACOLA P MAES 2026 2025 BOTI UNIT</t>
        </is>
      </c>
      <c r="B44" s="578" t="n">
        <v>0</v>
      </c>
      <c r="C44" s="578" t="n">
        <v>211</v>
      </c>
      <c r="D44" s="578" t="n">
        <v>414</v>
      </c>
      <c r="E44" s="578" t="n">
        <v>80</v>
      </c>
      <c r="F44" s="578" t="n">
        <v>0</v>
      </c>
      <c r="G44" s="579" t="n">
        <v>82</v>
      </c>
      <c r="H44" s="579" t="n">
        <v>10</v>
      </c>
      <c r="I44" s="578" t="n">
        <v>0</v>
      </c>
      <c r="J44" s="578" t="n">
        <v>119</v>
      </c>
      <c r="K44" s="598" t="n">
        <v>0</v>
      </c>
    </row>
    <row r="45">
      <c r="A45" s="320" t="inlineStr">
        <is>
          <t>00000000096443 - SACOLA M MAES/26 BOTI UNIT</t>
        </is>
      </c>
      <c r="B45" s="575" t="n">
        <v>0</v>
      </c>
      <c r="C45" s="575" t="n">
        <v>424</v>
      </c>
      <c r="D45" s="575" t="n">
        <v>743</v>
      </c>
      <c r="E45" s="575" t="n">
        <v>189</v>
      </c>
      <c r="F45" s="575" t="n">
        <v>0</v>
      </c>
      <c r="G45" s="574" t="n">
        <v>10</v>
      </c>
      <c r="H45" s="574" t="n">
        <v>15</v>
      </c>
      <c r="I45" s="575" t="n">
        <v>0</v>
      </c>
      <c r="J45" s="575" t="n">
        <v>0</v>
      </c>
      <c r="K45" s="599" t="n">
        <v>0</v>
      </c>
    </row>
    <row r="46">
      <c r="A46" s="318" t="inlineStr">
        <is>
          <t>00000000096444 - SACOLA G MAES 2026 BOTI UNIT</t>
        </is>
      </c>
      <c r="B46" s="573" t="n">
        <v>0</v>
      </c>
      <c r="C46" s="573" t="n">
        <v>0</v>
      </c>
      <c r="D46" s="573" t="n">
        <v>64</v>
      </c>
      <c r="E46" s="573" t="n">
        <v>0</v>
      </c>
      <c r="F46" s="573" t="n">
        <v>0</v>
      </c>
      <c r="G46" s="574" t="n">
        <v>0</v>
      </c>
      <c r="H46" s="574" t="n">
        <v>0</v>
      </c>
      <c r="I46" s="573" t="n">
        <v>0</v>
      </c>
      <c r="J46" s="573" t="n">
        <v>0</v>
      </c>
      <c r="K46" s="600" t="n">
        <v>0</v>
      </c>
    </row>
    <row r="47">
      <c r="A47" s="320" t="inlineStr">
        <is>
          <t>00000000097241 - KIT PAPEL SEDA BOTI MAES 2026 C/20 VD</t>
        </is>
      </c>
      <c r="B47" s="575" t="n">
        <v>0</v>
      </c>
      <c r="C47" s="575" t="n">
        <v>0</v>
      </c>
      <c r="D47" s="575" t="n">
        <v>4</v>
      </c>
      <c r="E47" s="575" t="n">
        <v>0</v>
      </c>
      <c r="F47" s="575" t="n">
        <v>1</v>
      </c>
      <c r="G47" s="574" t="n">
        <v>0</v>
      </c>
      <c r="H47" s="574" t="n">
        <v>0</v>
      </c>
      <c r="I47" s="575" t="n">
        <v>0</v>
      </c>
      <c r="J47" s="575" t="n">
        <v>0</v>
      </c>
      <c r="K47" s="599" t="n">
        <v>1</v>
      </c>
    </row>
    <row r="48">
      <c r="A48" s="318" t="inlineStr">
        <is>
          <t>00000000096437 - CAIXA LACO P MAES/26 BOTI UNIT</t>
        </is>
      </c>
      <c r="B48" s="573" t="n">
        <v>0</v>
      </c>
      <c r="C48" s="573" t="n">
        <v>0</v>
      </c>
      <c r="D48" s="573" t="n">
        <v>0</v>
      </c>
      <c r="E48" s="573" t="n">
        <v>1</v>
      </c>
      <c r="F48" s="573" t="n">
        <v>3</v>
      </c>
      <c r="G48" s="574" t="n">
        <v>31</v>
      </c>
      <c r="H48" s="574" t="n">
        <v>63</v>
      </c>
      <c r="I48" s="573" t="n">
        <v>0</v>
      </c>
      <c r="J48" s="573" t="n">
        <v>77</v>
      </c>
      <c r="K48" s="600" t="n">
        <v>0</v>
      </c>
    </row>
    <row r="49">
      <c r="A49" s="320" t="inlineStr">
        <is>
          <t>00000000096438 - CAIXA LACO M MAES/26 BOTI UNIT</t>
        </is>
      </c>
      <c r="B49" s="575" t="n">
        <v>0</v>
      </c>
      <c r="C49" s="575" t="n">
        <v>0</v>
      </c>
      <c r="D49" s="575" t="n">
        <v>0</v>
      </c>
      <c r="E49" s="575" t="n">
        <v>10</v>
      </c>
      <c r="F49" s="575" t="n">
        <v>3</v>
      </c>
      <c r="G49" s="574" t="n">
        <v>0</v>
      </c>
      <c r="H49" s="574" t="n">
        <v>0</v>
      </c>
      <c r="I49" s="575" t="n">
        <v>0</v>
      </c>
      <c r="J49" s="575" t="n">
        <v>82</v>
      </c>
      <c r="K49" s="599" t="n">
        <v>13</v>
      </c>
    </row>
    <row r="50" ht="15.75" customHeight="1" thickBot="1">
      <c r="A50" s="322" t="inlineStr">
        <is>
          <t>00000000096441 - ENVELOPE M MAES 2026 BOTI UNIT</t>
        </is>
      </c>
      <c r="B50" s="585" t="n">
        <v>0</v>
      </c>
      <c r="C50" s="585" t="n">
        <v>0</v>
      </c>
      <c r="D50" s="585" t="n">
        <v>0</v>
      </c>
      <c r="E50" s="585" t="n">
        <v>0</v>
      </c>
      <c r="F50" s="585" t="n">
        <v>0</v>
      </c>
      <c r="G50" s="583" t="n">
        <v>0</v>
      </c>
      <c r="H50" s="583" t="n">
        <v>0</v>
      </c>
      <c r="I50" s="585" t="n">
        <v>0</v>
      </c>
      <c r="J50" s="585" t="n">
        <v>34</v>
      </c>
      <c r="K50" s="602" t="n">
        <v>30</v>
      </c>
    </row>
    <row r="51">
      <c r="A51" s="315" t="inlineStr">
        <is>
          <t>00000000085706 - KIT SACOLA M EUDORA UNIT NATAL 2025</t>
        </is>
      </c>
      <c r="B51" s="586" t="n">
        <v>0</v>
      </c>
      <c r="C51" s="586" t="n">
        <v>0</v>
      </c>
      <c r="D51" s="586" t="n">
        <v>0</v>
      </c>
      <c r="E51" s="586" t="n">
        <v>0</v>
      </c>
      <c r="F51" s="586" t="n">
        <v>0</v>
      </c>
      <c r="G51" s="579" t="n">
        <v>0</v>
      </c>
      <c r="H51" s="579" t="n">
        <v>0</v>
      </c>
      <c r="I51" s="586" t="n">
        <v>0</v>
      </c>
      <c r="J51" s="586" t="n">
        <v>0</v>
      </c>
      <c r="K51" s="603" t="n">
        <v>13</v>
      </c>
    </row>
    <row r="52">
      <c r="A52" s="318" t="inlineStr">
        <is>
          <t>00000000094959 - PAPEL DE SEDA EUDORA UNITARIO NATAL 25</t>
        </is>
      </c>
      <c r="B52" s="573" t="n">
        <v>0</v>
      </c>
      <c r="C52" s="573" t="n">
        <v>0</v>
      </c>
      <c r="D52" s="573" t="n">
        <v>0</v>
      </c>
      <c r="E52" s="573" t="n">
        <v>0</v>
      </c>
      <c r="F52" s="573" t="n">
        <v>0</v>
      </c>
      <c r="G52" s="574" t="n">
        <v>99</v>
      </c>
      <c r="H52" s="574" t="n">
        <v>0</v>
      </c>
      <c r="I52" s="573" t="n">
        <v>0</v>
      </c>
      <c r="J52" s="573" t="n">
        <v>136</v>
      </c>
      <c r="K52" s="600" t="n">
        <v>130</v>
      </c>
    </row>
    <row r="53">
      <c r="A53" s="320" t="inlineStr">
        <is>
          <t>00000000095150 - KIT TAG VD REVEN EUD INST 2025 MOD C/200</t>
        </is>
      </c>
      <c r="B53" s="575" t="n">
        <v>0</v>
      </c>
      <c r="C53" s="575" t="n">
        <v>0</v>
      </c>
      <c r="D53" s="575" t="n">
        <v>0</v>
      </c>
      <c r="E53" s="575" t="n">
        <v>0</v>
      </c>
      <c r="F53" s="575" t="n">
        <v>0</v>
      </c>
      <c r="G53" s="574" t="n">
        <v>5</v>
      </c>
      <c r="H53" s="574" t="n">
        <v>5</v>
      </c>
      <c r="I53" s="575" t="n">
        <v>0</v>
      </c>
      <c r="J53" s="575" t="n">
        <v>0</v>
      </c>
      <c r="K53" s="599" t="n">
        <v>0</v>
      </c>
    </row>
    <row r="54">
      <c r="A54" s="318" t="inlineStr">
        <is>
          <t>00000000085705 - KIT CAIXA M EUDORA UNIT NATAL 2025</t>
        </is>
      </c>
      <c r="B54" s="573" t="n">
        <v>0</v>
      </c>
      <c r="C54" s="573" t="n">
        <v>60</v>
      </c>
      <c r="D54" s="573" t="n">
        <v>27</v>
      </c>
      <c r="E54" s="573" t="n">
        <v>27</v>
      </c>
      <c r="F54" s="573" t="n">
        <v>10</v>
      </c>
      <c r="G54" s="574" t="n">
        <v>43</v>
      </c>
      <c r="H54" s="574" t="n">
        <v>29</v>
      </c>
      <c r="I54" s="573" t="n">
        <v>39</v>
      </c>
      <c r="J54" s="573" t="n">
        <v>105</v>
      </c>
      <c r="K54" s="600" t="n">
        <v>23</v>
      </c>
    </row>
    <row r="55" ht="15.75" customHeight="1" thickBot="1">
      <c r="A55" s="325" t="inlineStr">
        <is>
          <t>00000000085704 - ENVELOPE P EUDORA UNIT NATAL 2025</t>
        </is>
      </c>
      <c r="B55" s="582" t="n">
        <v>0</v>
      </c>
      <c r="C55" s="582" t="n">
        <v>0</v>
      </c>
      <c r="D55" s="582" t="n">
        <v>7</v>
      </c>
      <c r="E55" s="582" t="n">
        <v>0</v>
      </c>
      <c r="F55" s="582" t="n">
        <v>6</v>
      </c>
      <c r="G55" s="583" t="n">
        <v>163</v>
      </c>
      <c r="H55" s="583" t="n">
        <v>82</v>
      </c>
      <c r="I55" s="582" t="n">
        <v>75</v>
      </c>
      <c r="J55" s="582" t="n">
        <v>180</v>
      </c>
      <c r="K55" s="601" t="n">
        <v>21</v>
      </c>
    </row>
    <row r="56">
      <c r="A56" s="328" t="inlineStr">
        <is>
          <t>00000000094783 - SACOLA P NATAL 2025 BOTI UNIT</t>
        </is>
      </c>
      <c r="B56" s="578" t="n">
        <v>0</v>
      </c>
      <c r="C56" s="578" t="n">
        <v>0</v>
      </c>
      <c r="D56" s="578" t="n">
        <v>0</v>
      </c>
      <c r="E56" s="578" t="n">
        <v>0</v>
      </c>
      <c r="F56" s="578" t="n">
        <v>0</v>
      </c>
      <c r="G56" s="579" t="n">
        <v>2</v>
      </c>
      <c r="H56" s="579" t="n">
        <v>0</v>
      </c>
      <c r="I56" s="578" t="n">
        <v>0</v>
      </c>
      <c r="J56" s="578" t="n">
        <v>0</v>
      </c>
      <c r="K56" s="598" t="n">
        <v>0</v>
      </c>
    </row>
    <row r="57">
      <c r="A57" s="320" t="inlineStr">
        <is>
          <t>00000000094781 - SACOLA M NATAL 2025 BOTI UNIT</t>
        </is>
      </c>
      <c r="B57" s="575" t="n">
        <v>0</v>
      </c>
      <c r="C57" s="575" t="n">
        <v>0</v>
      </c>
      <c r="D57" s="575" t="n">
        <v>0</v>
      </c>
      <c r="E57" s="575" t="n">
        <v>0</v>
      </c>
      <c r="F57" s="575" t="n">
        <v>0</v>
      </c>
      <c r="G57" s="574" t="n">
        <v>33</v>
      </c>
      <c r="H57" s="574" t="n">
        <v>0</v>
      </c>
      <c r="I57" s="575" t="n">
        <v>0</v>
      </c>
      <c r="J57" s="575" t="n">
        <v>0</v>
      </c>
      <c r="K57" s="599" t="n">
        <v>0</v>
      </c>
    </row>
    <row r="58">
      <c r="A58" s="318" t="inlineStr">
        <is>
          <t>00000000094775 - CAIXA LACO P NATAL 2025 BOTI UNIT</t>
        </is>
      </c>
      <c r="B58" s="573" t="n">
        <v>0</v>
      </c>
      <c r="C58" s="573" t="n">
        <v>0</v>
      </c>
      <c r="D58" s="573" t="n">
        <v>0</v>
      </c>
      <c r="E58" s="573" t="n">
        <v>0</v>
      </c>
      <c r="F58" s="573" t="n">
        <v>0</v>
      </c>
      <c r="G58" s="574" t="n">
        <v>5</v>
      </c>
      <c r="H58" s="574" t="n">
        <v>26</v>
      </c>
      <c r="I58" s="573" t="n">
        <v>49</v>
      </c>
      <c r="J58" s="573" t="n">
        <v>99</v>
      </c>
      <c r="K58" s="600" t="n">
        <v>15</v>
      </c>
    </row>
    <row r="59">
      <c r="A59" s="320" t="inlineStr">
        <is>
          <t>00000000094776 - CAIXA LACO M NATAL 2025 BOTI UNIT</t>
        </is>
      </c>
      <c r="B59" s="575" t="n">
        <v>0</v>
      </c>
      <c r="C59" s="575" t="n">
        <v>0</v>
      </c>
      <c r="D59" s="575" t="n">
        <v>0</v>
      </c>
      <c r="E59" s="575" t="n">
        <v>0</v>
      </c>
      <c r="F59" s="575" t="n">
        <v>0</v>
      </c>
      <c r="G59" s="574" t="n">
        <v>0</v>
      </c>
      <c r="H59" s="574" t="n">
        <v>0</v>
      </c>
      <c r="I59" s="575" t="n">
        <v>0</v>
      </c>
      <c r="J59" s="575" t="n">
        <v>40</v>
      </c>
      <c r="K59" s="599" t="n">
        <v>22</v>
      </c>
    </row>
    <row r="60">
      <c r="A60" s="318" t="inlineStr">
        <is>
          <t>00000000094778 - ENVELOPE P NATAL 2025 BOT UNIT</t>
        </is>
      </c>
      <c r="B60" s="573" t="n">
        <v>0</v>
      </c>
      <c r="C60" s="573" t="n">
        <v>0</v>
      </c>
      <c r="D60" s="573" t="n">
        <v>0</v>
      </c>
      <c r="E60" s="573" t="n">
        <v>0</v>
      </c>
      <c r="F60" s="573" t="n">
        <v>0</v>
      </c>
      <c r="G60" s="574" t="n">
        <v>0</v>
      </c>
      <c r="H60" s="574" t="n">
        <v>0</v>
      </c>
      <c r="I60" s="573" t="n">
        <v>3</v>
      </c>
      <c r="J60" s="573" t="n">
        <v>13</v>
      </c>
      <c r="K60" s="600" t="n">
        <v>1</v>
      </c>
    </row>
    <row r="61" ht="15.75" customHeight="1" thickBot="1">
      <c r="A61" s="325" t="inlineStr">
        <is>
          <t>00000000094779 - ENVELOPE M NATAL 2025 BOTI UNIT</t>
        </is>
      </c>
      <c r="B61" s="582" t="n">
        <v>0</v>
      </c>
      <c r="C61" s="582" t="n">
        <v>0</v>
      </c>
      <c r="D61" s="582" t="n">
        <v>0</v>
      </c>
      <c r="E61" s="582" t="n">
        <v>0</v>
      </c>
      <c r="F61" s="582" t="n">
        <v>0</v>
      </c>
      <c r="G61" s="583" t="n">
        <v>0</v>
      </c>
      <c r="H61" s="583" t="n">
        <v>0</v>
      </c>
      <c r="I61" s="582" t="n">
        <v>11</v>
      </c>
      <c r="J61" s="582" t="n">
        <v>51</v>
      </c>
      <c r="K61" s="601" t="n">
        <v>30</v>
      </c>
    </row>
    <row r="62">
      <c r="A62" s="309" t="inlineStr">
        <is>
          <t>00000000053657 - EUDORA ENVELOPE INST 2022 P</t>
        </is>
      </c>
      <c r="B62" s="573" t="n">
        <v>0</v>
      </c>
      <c r="C62" s="573" t="n">
        <v>0</v>
      </c>
      <c r="D62" s="573" t="n">
        <v>0</v>
      </c>
      <c r="E62" s="573" t="n">
        <v>0</v>
      </c>
      <c r="F62" s="573" t="n">
        <v>0</v>
      </c>
      <c r="G62" s="573" t="n">
        <v>0</v>
      </c>
      <c r="H62" s="573" t="n">
        <v>1</v>
      </c>
      <c r="I62" s="573" t="n">
        <v>0</v>
      </c>
      <c r="J62" s="573" t="n">
        <v>0</v>
      </c>
      <c r="K62" s="573" t="n">
        <v>0</v>
      </c>
    </row>
    <row r="63">
      <c r="A63" s="311" t="inlineStr">
        <is>
          <t>00000000086027 - CAIXA DIVERTIDAMENTE M INFANTIL 2024</t>
        </is>
      </c>
      <c r="B63" s="575" t="n">
        <v>0</v>
      </c>
      <c r="C63" s="575" t="n">
        <v>0</v>
      </c>
      <c r="D63" s="575" t="n">
        <v>22</v>
      </c>
      <c r="E63" s="575" t="n">
        <v>0</v>
      </c>
      <c r="F63" s="575" t="n">
        <v>0</v>
      </c>
      <c r="G63" s="575" t="n">
        <v>0</v>
      </c>
      <c r="H63" s="575" t="n">
        <v>0</v>
      </c>
      <c r="I63" s="575" t="n">
        <v>0</v>
      </c>
      <c r="J63" s="575" t="n">
        <v>0</v>
      </c>
      <c r="K63" s="575" t="n">
        <v>0</v>
      </c>
    </row>
    <row r="64">
      <c r="A64" s="309" t="inlineStr">
        <is>
          <t>00000000087691 - COLECIONAV BOT NAT/24 CONE ARVORE UNIT</t>
        </is>
      </c>
      <c r="B64" s="573" t="n">
        <v>0</v>
      </c>
      <c r="C64" s="573" t="n">
        <v>0</v>
      </c>
      <c r="D64" s="573" t="n">
        <v>3</v>
      </c>
      <c r="E64" s="573" t="n">
        <v>8</v>
      </c>
      <c r="F64" s="573" t="n">
        <v>0</v>
      </c>
      <c r="G64" s="573" t="n">
        <v>0</v>
      </c>
      <c r="H64" s="573" t="n">
        <v>161</v>
      </c>
      <c r="I64" s="573" t="n">
        <v>0</v>
      </c>
      <c r="J64" s="573" t="n">
        <v>208</v>
      </c>
      <c r="K64" s="573" t="n">
        <v>6</v>
      </c>
    </row>
    <row r="65">
      <c r="A65" s="311" t="inlineStr">
        <is>
          <t>00000000087694 - COLECIONAVEIS BOT NAT/24 BOLA UNITARIA</t>
        </is>
      </c>
      <c r="B65" s="575" t="n">
        <v>0</v>
      </c>
      <c r="C65" s="575" t="n">
        <v>0</v>
      </c>
      <c r="D65" s="575" t="n">
        <v>0</v>
      </c>
      <c r="E65" s="575" t="n">
        <v>1</v>
      </c>
      <c r="F65" s="575" t="n">
        <v>0</v>
      </c>
      <c r="G65" s="575" t="n">
        <v>0</v>
      </c>
      <c r="H65" s="575" t="n">
        <v>9</v>
      </c>
      <c r="I65" s="575" t="n">
        <v>0</v>
      </c>
      <c r="J65" s="575" t="n">
        <v>36</v>
      </c>
      <c r="K65" s="575" t="n">
        <v>14</v>
      </c>
    </row>
    <row r="66">
      <c r="A66" s="309" t="inlineStr">
        <is>
          <t>00000000090451 - CINTA P/CX M QDB MSP 2025</t>
        </is>
      </c>
      <c r="B66" s="573" t="n">
        <v>0</v>
      </c>
      <c r="C66" s="573" t="n">
        <v>0</v>
      </c>
      <c r="D66" s="573" t="n">
        <v>0</v>
      </c>
      <c r="E66" s="573" t="n">
        <v>0</v>
      </c>
      <c r="F66" s="573" t="n">
        <v>0</v>
      </c>
      <c r="G66" s="573" t="n">
        <v>0</v>
      </c>
      <c r="H66" s="573" t="n">
        <v>146</v>
      </c>
      <c r="I66" s="573" t="n">
        <v>0</v>
      </c>
      <c r="J66" s="573" t="n">
        <v>146</v>
      </c>
      <c r="K66" s="573" t="n">
        <v>0</v>
      </c>
    </row>
    <row r="67">
      <c r="A67" s="311" t="inlineStr">
        <is>
          <t>00000000090452 - CARTUCHO PRESENTE QDB MSP 2025</t>
        </is>
      </c>
      <c r="B67" s="575" t="n">
        <v>0</v>
      </c>
      <c r="C67" s="575" t="n">
        <v>0</v>
      </c>
      <c r="D67" s="575" t="n">
        <v>0</v>
      </c>
      <c r="E67" s="575" t="n">
        <v>0</v>
      </c>
      <c r="F67" s="575" t="n">
        <v>0</v>
      </c>
      <c r="G67" s="575" t="n">
        <v>0</v>
      </c>
      <c r="H67" s="575" t="n">
        <v>73</v>
      </c>
      <c r="I67" s="575" t="n">
        <v>0</v>
      </c>
      <c r="J67" s="575" t="n">
        <v>1</v>
      </c>
      <c r="K67" s="575" t="n">
        <v>0</v>
      </c>
    </row>
    <row r="68">
      <c r="A68" s="309" t="inlineStr">
        <is>
          <t>00000000090763 - KIT PAPEL SEDA BOTICARIO PAIS/25 C/20 VD</t>
        </is>
      </c>
      <c r="B68" s="573" t="n">
        <v>0</v>
      </c>
      <c r="C68" s="573" t="n">
        <v>0</v>
      </c>
      <c r="D68" s="573" t="n">
        <v>0</v>
      </c>
      <c r="E68" s="573" t="n">
        <v>10</v>
      </c>
      <c r="F68" s="573" t="n">
        <v>13</v>
      </c>
      <c r="G68" s="573" t="n">
        <v>0</v>
      </c>
      <c r="H68" s="573" t="n">
        <v>0</v>
      </c>
      <c r="I68" s="573" t="n">
        <v>0</v>
      </c>
      <c r="J68" s="573" t="n">
        <v>0</v>
      </c>
      <c r="K68" s="573" t="n">
        <v>0</v>
      </c>
    </row>
    <row r="69">
      <c r="A69" s="311" t="inlineStr">
        <is>
          <t>00000000094684 - SACOLA UNIT M ARANHA 2025 BOTI</t>
        </is>
      </c>
      <c r="B69" s="575" t="n">
        <v>0</v>
      </c>
      <c r="C69" s="575" t="n">
        <v>0</v>
      </c>
      <c r="D69" s="575" t="n">
        <v>0</v>
      </c>
      <c r="E69" s="575" t="n">
        <v>0</v>
      </c>
      <c r="F69" s="575" t="n">
        <v>0</v>
      </c>
      <c r="G69" s="574" t="n">
        <v>69</v>
      </c>
      <c r="H69" s="575" t="n">
        <v>0</v>
      </c>
      <c r="I69" s="575" t="n">
        <v>0</v>
      </c>
      <c r="J69" s="575" t="n">
        <v>0</v>
      </c>
      <c r="K69" s="575" t="n">
        <v>0</v>
      </c>
    </row>
    <row r="70">
      <c r="A70" s="309" t="inlineStr">
        <is>
          <t>00000000094682 - CAIXA LACO M BOTI ARANHA 2025 UNIT</t>
        </is>
      </c>
      <c r="B70" s="573" t="n">
        <v>0</v>
      </c>
      <c r="C70" s="573" t="n">
        <v>0</v>
      </c>
      <c r="D70" s="573" t="n">
        <v>16</v>
      </c>
      <c r="E70" s="573" t="n">
        <v>0</v>
      </c>
      <c r="F70" s="573" t="n">
        <v>0</v>
      </c>
      <c r="G70" s="574" t="n">
        <v>50</v>
      </c>
      <c r="H70" s="574" t="n">
        <v>15</v>
      </c>
      <c r="I70" s="573" t="n">
        <v>0</v>
      </c>
      <c r="J70" s="573" t="n">
        <v>29</v>
      </c>
      <c r="K70" s="573" t="n">
        <v>30</v>
      </c>
    </row>
    <row r="71">
      <c r="A71" s="311" t="inlineStr">
        <is>
          <t>00000000094688 - CAR PRESENTE QDB H/POTTER 2025</t>
        </is>
      </c>
      <c r="B71" s="575" t="n">
        <v>0</v>
      </c>
      <c r="C71" s="575" t="n">
        <v>0</v>
      </c>
      <c r="D71" s="575" t="n">
        <v>22</v>
      </c>
      <c r="E71" s="575" t="n">
        <v>10</v>
      </c>
      <c r="F71" s="575" t="n">
        <v>0</v>
      </c>
      <c r="G71" s="574" t="n">
        <v>65</v>
      </c>
      <c r="H71" s="574" t="n">
        <v>32</v>
      </c>
      <c r="I71" s="575" t="n">
        <v>0</v>
      </c>
      <c r="J71" s="575" t="n">
        <v>49</v>
      </c>
      <c r="K71" s="575" t="n">
        <v>10</v>
      </c>
    </row>
    <row r="72">
      <c r="A72" s="309" t="inlineStr">
        <is>
          <t>00000000095139 - KIT PAPEL SEDA BOTI NATAL 2025 C/20 VD</t>
        </is>
      </c>
      <c r="B72" s="573" t="n">
        <v>0</v>
      </c>
      <c r="C72" s="573" t="n">
        <v>0</v>
      </c>
      <c r="D72" s="573" t="n">
        <v>0</v>
      </c>
      <c r="E72" s="573" t="n">
        <v>0</v>
      </c>
      <c r="F72" s="573" t="n">
        <v>3</v>
      </c>
      <c r="G72" s="573" t="n">
        <v>0</v>
      </c>
      <c r="H72" s="573" t="n">
        <v>0</v>
      </c>
      <c r="I72" s="573" t="n">
        <v>0</v>
      </c>
      <c r="J72" s="573" t="n">
        <v>0</v>
      </c>
      <c r="K72" s="573" t="n">
        <v>0</v>
      </c>
    </row>
    <row r="73">
      <c r="A73" s="311" t="inlineStr">
        <is>
          <t>00000000044742 - FITA DE VEDACAO VOID DEVOLUCAO</t>
        </is>
      </c>
      <c r="B73" s="575" t="n">
        <v>0</v>
      </c>
      <c r="C73" s="575" t="n">
        <v>0</v>
      </c>
      <c r="D73" s="575" t="n">
        <v>0</v>
      </c>
      <c r="E73" s="575" t="n">
        <v>0</v>
      </c>
      <c r="F73" s="575" t="n">
        <v>0</v>
      </c>
      <c r="G73" s="575" t="n">
        <v>1</v>
      </c>
      <c r="H73" s="575" t="n">
        <v>1</v>
      </c>
      <c r="I73" s="575" t="n">
        <v>1</v>
      </c>
      <c r="J73" s="575" t="n">
        <v>0</v>
      </c>
      <c r="K73" s="575" t="n">
        <v>0</v>
      </c>
    </row>
    <row r="74">
      <c r="A74" s="309" t="inlineStr">
        <is>
          <t>00000000046054 - CAIXA PAPELAO TAMPA LIGADA DEVOLUCAO PCK</t>
        </is>
      </c>
      <c r="B74" s="573" t="n">
        <v>0</v>
      </c>
      <c r="C74" s="573" t="n">
        <v>0</v>
      </c>
      <c r="D74" s="573" t="n">
        <v>0</v>
      </c>
      <c r="E74" s="573" t="n">
        <v>0</v>
      </c>
      <c r="F74" s="573" t="n">
        <v>0</v>
      </c>
      <c r="G74" s="573" t="n">
        <v>0</v>
      </c>
      <c r="H74" s="573" t="n">
        <v>0</v>
      </c>
      <c r="I74" s="573" t="n">
        <v>24</v>
      </c>
      <c r="J74" s="573" t="n">
        <v>0</v>
      </c>
      <c r="K74" s="573" t="n">
        <v>0</v>
      </c>
    </row>
    <row r="75">
      <c r="A75" s="311" t="inlineStr">
        <is>
          <t>00000000053652 - KIT SACOLA EUDORA UNIT NATAL 2022 M</t>
        </is>
      </c>
      <c r="B75" s="575" t="n">
        <v>0</v>
      </c>
      <c r="C75" s="575" t="n">
        <v>50</v>
      </c>
      <c r="D75" s="575" t="n">
        <v>0</v>
      </c>
      <c r="E75" s="575" t="n">
        <v>0</v>
      </c>
      <c r="F75" s="575" t="n">
        <v>0</v>
      </c>
      <c r="G75" s="575" t="n">
        <v>0</v>
      </c>
      <c r="H75" s="575" t="n">
        <v>0</v>
      </c>
      <c r="I75" s="575" t="n">
        <v>0</v>
      </c>
      <c r="J75" s="575" t="n">
        <v>0</v>
      </c>
      <c r="K75" s="575" t="n">
        <v>0</v>
      </c>
    </row>
    <row r="76">
      <c r="A76" s="309" t="inlineStr">
        <is>
          <t>00000000088126 - CART ADESIVA QDB NAT/24 MODULO C/300 UN</t>
        </is>
      </c>
      <c r="B76" s="573" t="n">
        <v>0</v>
      </c>
      <c r="C76" s="573" t="n">
        <v>0</v>
      </c>
      <c r="D76" s="573" t="n">
        <v>0</v>
      </c>
      <c r="E76" s="573" t="n">
        <v>1</v>
      </c>
      <c r="F76" s="573" t="n">
        <v>0</v>
      </c>
      <c r="G76" s="573" t="n">
        <v>0</v>
      </c>
      <c r="H76" s="573" t="n">
        <v>0</v>
      </c>
      <c r="I76" s="573" t="n">
        <v>0</v>
      </c>
      <c r="J76" s="573" t="n">
        <v>0</v>
      </c>
      <c r="K76" s="573" t="n">
        <v>0</v>
      </c>
    </row>
    <row r="77">
      <c r="A77" s="311" t="inlineStr">
        <is>
          <t>00000000089713 - KIT TAG BOTI NAMORADOS 25 C/10 VD</t>
        </is>
      </c>
      <c r="B77" s="575" t="n">
        <v>0</v>
      </c>
      <c r="C77" s="575" t="n">
        <v>0</v>
      </c>
      <c r="D77" s="575" t="n">
        <v>5</v>
      </c>
      <c r="E77" s="575" t="n">
        <v>0</v>
      </c>
      <c r="F77" s="575" t="n">
        <v>0</v>
      </c>
      <c r="G77" s="575" t="n">
        <v>0</v>
      </c>
      <c r="H77" s="575" t="n">
        <v>0</v>
      </c>
      <c r="I77" s="575" t="n">
        <v>0</v>
      </c>
      <c r="J77" s="575" t="n">
        <v>0</v>
      </c>
      <c r="K77" s="575" t="n">
        <v>0</v>
      </c>
    </row>
    <row r="78">
      <c r="A78" s="309" t="inlineStr">
        <is>
          <t>00000000089843 - ENVELOPE M BOTI PAIS 2025 UNIT</t>
        </is>
      </c>
      <c r="B78" s="573" t="n">
        <v>0</v>
      </c>
      <c r="C78" s="573" t="n">
        <v>0</v>
      </c>
      <c r="D78" s="573" t="n">
        <v>0</v>
      </c>
      <c r="E78" s="573" t="n">
        <v>0</v>
      </c>
      <c r="F78" s="573" t="n">
        <v>0</v>
      </c>
      <c r="G78" s="573" t="n">
        <v>9</v>
      </c>
      <c r="H78" s="573" t="n">
        <v>0</v>
      </c>
      <c r="I78" s="573" t="n">
        <v>0</v>
      </c>
      <c r="J78" s="573" t="n">
        <v>0</v>
      </c>
      <c r="K78" s="573" t="n">
        <v>0</v>
      </c>
    </row>
    <row r="79">
      <c r="A79" s="311" t="inlineStr">
        <is>
          <t>00000000096583 - ENVELOPE M AMOR 2026 BOTI UNIT</t>
        </is>
      </c>
      <c r="B79" s="575" t="n">
        <v>0</v>
      </c>
      <c r="C79" s="575" t="n">
        <v>0</v>
      </c>
      <c r="D79" s="575" t="n">
        <v>0</v>
      </c>
      <c r="E79" s="575" t="n">
        <v>0</v>
      </c>
      <c r="F79" s="575" t="n">
        <v>0</v>
      </c>
      <c r="G79" s="575" t="n">
        <v>0</v>
      </c>
      <c r="H79" s="575" t="n">
        <v>0</v>
      </c>
      <c r="I79" s="575" t="n">
        <v>50</v>
      </c>
      <c r="J79" s="575" t="n">
        <v>0</v>
      </c>
      <c r="K79" s="575" t="n">
        <v>0</v>
      </c>
    </row>
    <row r="80">
      <c r="A80" s="309" t="inlineStr">
        <is>
          <t>00000000096584 - SACOLA M AMOR 2026 2025 BOTI UNIT</t>
        </is>
      </c>
      <c r="B80" s="573" t="n">
        <v>0</v>
      </c>
      <c r="C80" s="573" t="n">
        <v>0</v>
      </c>
      <c r="D80" s="573" t="n">
        <v>0</v>
      </c>
      <c r="E80" s="573" t="n">
        <v>0</v>
      </c>
      <c r="F80" s="573" t="n">
        <v>0</v>
      </c>
      <c r="G80" s="573" t="n">
        <v>0</v>
      </c>
      <c r="H80" s="573" t="n">
        <v>0</v>
      </c>
      <c r="I80" s="573" t="n">
        <v>200</v>
      </c>
      <c r="J80" s="573" t="n">
        <v>0</v>
      </c>
      <c r="K80" s="573" t="n">
        <v>0</v>
      </c>
    </row>
    <row r="81">
      <c r="A81" s="311" t="inlineStr">
        <is>
          <t>00000000097579 - SEDA BOTI VD REVEND AMOR 2026 MOD C/20</t>
        </is>
      </c>
      <c r="B81" s="575" t="n">
        <v>0</v>
      </c>
      <c r="C81" s="575" t="n">
        <v>0</v>
      </c>
      <c r="D81" s="575" t="n">
        <v>0</v>
      </c>
      <c r="E81" s="575" t="n">
        <v>0</v>
      </c>
      <c r="F81" s="575" t="n">
        <v>0</v>
      </c>
      <c r="G81" s="575" t="n">
        <v>0</v>
      </c>
      <c r="H81" s="575" t="n">
        <v>0</v>
      </c>
      <c r="I81" s="575" t="n">
        <v>10</v>
      </c>
      <c r="J81" s="575" t="n">
        <v>0</v>
      </c>
      <c r="K81" s="575" t="n">
        <v>0</v>
      </c>
    </row>
    <row r="82">
      <c r="A82" s="309" t="inlineStr">
        <is>
          <t>00000000097622 - ADES SACOLA REV BOTI AMOR/26 MOD C/20 VD</t>
        </is>
      </c>
      <c r="B82" s="573" t="n">
        <v>0</v>
      </c>
      <c r="C82" s="573" t="n">
        <v>0</v>
      </c>
      <c r="D82" s="573" t="n">
        <v>0</v>
      </c>
      <c r="E82" s="573" t="n">
        <v>0</v>
      </c>
      <c r="F82" s="573" t="n">
        <v>0</v>
      </c>
      <c r="G82" s="573" t="n">
        <v>0</v>
      </c>
      <c r="H82" s="573" t="n">
        <v>0</v>
      </c>
      <c r="I82" s="573" t="n">
        <v>10</v>
      </c>
      <c r="J82" s="573" t="n">
        <v>0</v>
      </c>
      <c r="K82" s="573" t="n">
        <v>0</v>
      </c>
    </row>
    <row r="83">
      <c r="A83" s="331" t="inlineStr">
        <is>
          <t>Total</t>
        </is>
      </c>
      <c r="B83" s="597" t="n">
        <v>0</v>
      </c>
      <c r="C83" s="597" t="n">
        <v>1830</v>
      </c>
      <c r="D83" s="597" t="n">
        <v>2868</v>
      </c>
      <c r="E83" s="597" t="n">
        <v>1384</v>
      </c>
      <c r="F83" s="597" t="n">
        <v>515</v>
      </c>
      <c r="G83" s="597" t="n">
        <v>1971</v>
      </c>
      <c r="H83" s="597" t="n">
        <v>1453</v>
      </c>
      <c r="I83" s="597" t="n">
        <v>1442</v>
      </c>
      <c r="J83" s="597" t="n">
        <v>2578</v>
      </c>
      <c r="K83" s="597" t="n">
        <v>647</v>
      </c>
    </row>
  </sheetData>
  <pageMargins left="0.511811024" right="0.511811024" top="0.787401575" bottom="0.787401575" header="0.31496062" footer="0.31496062"/>
</worksheet>
</file>

<file path=xl/worksheets/sheet5.xml><?xml version="1.0" encoding="utf-8"?>
<worksheet xmlns="http://schemas.openxmlformats.org/spreadsheetml/2006/main">
  <sheetPr codeName="Planilha41">
    <tabColor theme="7"/>
    <outlinePr summaryBelow="1" summaryRight="1"/>
    <pageSetUpPr/>
  </sheetPr>
  <dimension ref="A1:IA49"/>
  <sheetViews>
    <sheetView showGridLines="0" topLeftCell="A4" zoomScale="80" zoomScaleNormal="80" zoomScaleSheetLayoutView="50" workbookViewId="0">
      <selection activeCell="AE37" sqref="AE37"/>
    </sheetView>
  </sheetViews>
  <sheetFormatPr baseColWidth="8" defaultColWidth="9.140625" defaultRowHeight="18.75"/>
  <cols>
    <col width="35.7109375" customWidth="1" min="1" max="1"/>
    <col width="9" customWidth="1" min="2" max="2"/>
    <col hidden="1" width="16.42578125" customWidth="1" min="3" max="3"/>
    <col width="12.28515625" customWidth="1" min="4" max="4"/>
    <col width="1.7109375" customWidth="1" min="5" max="5"/>
    <col hidden="1" width="8.28515625" customWidth="1" min="6" max="6"/>
    <col hidden="1" width="13" customWidth="1" min="7" max="7"/>
    <col hidden="1" width="13" customWidth="1" min="8" max="8"/>
    <col hidden="1" width="13" customWidth="1" min="9" max="9"/>
    <col hidden="1" width="13" customWidth="1" min="10" max="10"/>
    <col hidden="1" width="13" customWidth="1" min="11" max="11"/>
    <col hidden="1" width="13" customWidth="1" min="12" max="12"/>
    <col hidden="1" width="13" customWidth="1" min="13" max="13"/>
    <col hidden="1" width="13" customWidth="1" min="14" max="14"/>
    <col hidden="1" width="1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8.28515625" customWidth="1" min="26" max="26"/>
    <col hidden="1" width="13" customWidth="1" min="27" max="27"/>
    <col hidden="1" width="13" customWidth="1" min="28" max="28"/>
    <col width="13" customWidth="1" min="29" max="29"/>
    <col width="13" customWidth="1" min="30" max="30"/>
    <col width="9.140625" customWidth="1" min="31" max="31"/>
    <col width="1.85546875" customWidth="1" min="32" max="32"/>
    <col width="28.28515625" customWidth="1" min="33" max="33"/>
    <col width="14.28515625" customWidth="1" min="34" max="34"/>
    <col width="1.140625" customWidth="1" min="35" max="35"/>
    <col width="15" customWidth="1" min="36" max="36"/>
    <col width="1.85546875" customWidth="1" min="37" max="37"/>
    <col width="8.7109375" customWidth="1" min="38" max="38"/>
    <col width="14.42578125" customWidth="1" min="39" max="39"/>
    <col hidden="1" width="8.7109375" customWidth="1" min="40" max="40"/>
    <col hidden="1" width="14.42578125" customWidth="1" min="41" max="41"/>
    <col hidden="1" width="8.7109375" customWidth="1" min="42" max="42"/>
    <col hidden="1" width="8.7109375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3.42578125" customWidth="1" min="49" max="49"/>
    <col hidden="1" width="8.7109375" customWidth="1" min="50" max="50"/>
    <col hidden="1" width="13" customWidth="1" min="51" max="51"/>
    <col hidden="1" width="13" customWidth="1" min="52" max="52"/>
    <col width="9.140625" customWidth="1" min="53" max="53"/>
    <col width="21.85546875" customWidth="1" min="54" max="54"/>
    <col width="9.140625" customWidth="1" min="55" max="55"/>
    <col hidden="1" width="13" customWidth="1" min="56" max="56"/>
    <col hidden="1" width="13" customWidth="1" min="57" max="57"/>
    <col hidden="1" width="13" customWidth="1" min="58" max="58"/>
    <col hidden="1" width="13" customWidth="1" min="59" max="59"/>
    <col hidden="1" width="13" customWidth="1" min="60" max="60"/>
    <col hidden="1" width="9.140625" customWidth="1" min="61" max="61"/>
    <col hidden="1" width="13" customWidth="1" min="62" max="62"/>
    <col hidden="1" width="13" customWidth="1" min="63" max="63"/>
    <col width="13" customWidth="1" min="64" max="64"/>
    <col width="13" customWidth="1" min="65" max="65"/>
  </cols>
  <sheetData>
    <row r="1" ht="23.25" customHeight="1">
      <c r="A1" s="362" t="inlineStr">
        <is>
          <t>Controle de Contagem Semanal - Antilhas</t>
        </is>
      </c>
      <c r="B1" s="362" t="n"/>
      <c r="C1" s="362" t="n"/>
      <c r="D1" s="362" t="n"/>
      <c r="E1" s="362" t="n"/>
      <c r="F1" s="362" t="n"/>
      <c r="G1" s="362" t="n"/>
      <c r="H1" s="362" t="n"/>
      <c r="I1" s="362" t="n"/>
      <c r="J1" s="362" t="n"/>
      <c r="K1" s="362" t="n"/>
      <c r="L1" s="362" t="n"/>
      <c r="M1" s="362" t="n"/>
      <c r="N1" s="362" t="n"/>
      <c r="O1" s="362" t="n"/>
      <c r="P1" s="362" t="n"/>
      <c r="Q1" s="362" t="n"/>
      <c r="R1" s="362" t="n"/>
      <c r="S1" s="362" t="n"/>
      <c r="T1" s="362" t="n"/>
      <c r="U1" s="362" t="n"/>
      <c r="V1" s="362" t="n"/>
      <c r="W1" s="362" t="n"/>
      <c r="X1" s="362" t="n"/>
      <c r="Y1" s="362" t="n"/>
      <c r="Z1" s="362" t="n"/>
      <c r="AA1" s="362" t="n"/>
      <c r="AB1" s="362" t="n"/>
      <c r="AC1" s="362" t="n"/>
      <c r="AD1" s="362" t="n"/>
      <c r="AE1" s="362" t="n"/>
      <c r="AF1" s="362" t="n"/>
      <c r="AG1" s="361" t="n"/>
      <c r="AH1" s="361" t="n"/>
      <c r="AI1" s="361" t="n"/>
      <c r="AJ1" s="361" t="n"/>
      <c r="AK1" s="361" t="n"/>
      <c r="AL1" s="361" t="n"/>
      <c r="AM1" s="361" t="n"/>
      <c r="AN1" s="361" t="n"/>
      <c r="AO1" s="361" t="n"/>
      <c r="AP1" s="361" t="n"/>
      <c r="AQ1" s="361" t="n"/>
      <c r="AR1" s="361" t="n"/>
      <c r="AS1" s="361" t="n"/>
      <c r="AT1" s="361" t="n"/>
      <c r="AU1" s="361" t="n"/>
      <c r="AV1" s="361" t="n"/>
      <c r="AW1" s="361" t="n"/>
      <c r="AX1" s="361" t="n"/>
      <c r="AY1" s="361" t="n"/>
      <c r="AZ1" s="361" t="n"/>
    </row>
    <row r="2">
      <c r="A2" s="63" t="inlineStr">
        <is>
          <t>LOJA:</t>
        </is>
      </c>
      <c r="B2" s="604" t="inlineStr">
        <is>
          <t>JAÚ CENTRO</t>
        </is>
      </c>
      <c r="C2" s="605" t="n"/>
      <c r="D2" s="606" t="n"/>
      <c r="AG2" s="11" t="n"/>
      <c r="AH2" s="11" t="n"/>
    </row>
    <row r="3">
      <c r="A3" s="63" t="inlineStr">
        <is>
          <t>Responsável:</t>
        </is>
      </c>
      <c r="B3" s="607" t="inlineStr">
        <is>
          <t>ELIZA</t>
        </is>
      </c>
      <c r="C3" s="605" t="n"/>
      <c r="D3" s="606" t="n"/>
      <c r="E3" s="608" t="n"/>
      <c r="F3" s="608" t="n"/>
      <c r="G3" s="608" t="n"/>
      <c r="H3" s="608" t="n"/>
      <c r="I3" s="608" t="n"/>
      <c r="J3" s="608" t="n"/>
      <c r="K3" s="608" t="n"/>
      <c r="L3" s="608" t="n"/>
      <c r="M3" s="608" t="n"/>
      <c r="N3" s="608" t="n"/>
      <c r="O3" s="608" t="n"/>
      <c r="P3" s="608" t="n"/>
      <c r="Q3" s="608" t="n"/>
      <c r="R3" s="608" t="n"/>
      <c r="S3" s="608" t="n"/>
      <c r="T3" s="608" t="n"/>
      <c r="U3" s="608" t="n"/>
      <c r="V3" s="608" t="n"/>
      <c r="W3" s="608" t="n"/>
      <c r="X3" s="608" t="n"/>
      <c r="Y3" s="608" t="n"/>
      <c r="Z3" s="608" t="n"/>
      <c r="AA3" s="608" t="n"/>
      <c r="AB3" s="609" t="n"/>
      <c r="AC3" s="609" t="n"/>
      <c r="AD3" s="609" t="n"/>
      <c r="AE3" s="608" t="n"/>
      <c r="AF3" s="608" t="n"/>
      <c r="AG3" s="11" t="n"/>
      <c r="AH3" s="11" t="n"/>
      <c r="AI3" s="608" t="n"/>
      <c r="AK3" s="608" t="n"/>
    </row>
    <row r="4">
      <c r="AJ4" s="11" t="n"/>
      <c r="AK4" s="158" t="n"/>
      <c r="AL4" s="395" t="n"/>
      <c r="AM4" s="395" t="n"/>
      <c r="AN4" s="395" t="n"/>
      <c r="AO4" s="395" t="n"/>
      <c r="AP4" s="395" t="n"/>
      <c r="AQ4" s="395" t="n"/>
      <c r="AR4" s="395" t="n"/>
      <c r="AS4" s="395" t="n"/>
      <c r="AT4" s="395" t="n"/>
      <c r="AU4" s="395" t="n"/>
      <c r="AV4" s="395" t="n"/>
      <c r="AW4" s="395" t="n"/>
      <c r="AX4" s="395" t="n"/>
      <c r="AY4" s="395" t="n"/>
      <c r="AZ4" s="395" t="n"/>
    </row>
    <row r="5" ht="18.75" customHeight="1">
      <c r="A5" s="610" t="inlineStr">
        <is>
          <t>Descrição</t>
        </is>
      </c>
      <c r="B5" s="611" t="inlineStr">
        <is>
          <t>PCT</t>
        </is>
      </c>
      <c r="C5" s="611" t="inlineStr">
        <is>
          <t xml:space="preserve">R$ </t>
        </is>
      </c>
      <c r="D5" s="612" t="inlineStr">
        <is>
          <t>Estoque Ideal</t>
        </is>
      </c>
      <c r="F5" s="40" t="n"/>
      <c r="G5" s="40" t="n"/>
      <c r="H5" s="40" t="n"/>
      <c r="I5" s="40" t="n"/>
      <c r="J5" s="40" t="n"/>
      <c r="K5" s="40" t="n"/>
      <c r="L5" s="40" t="n"/>
      <c r="M5" s="40" t="n"/>
      <c r="N5" s="40" t="n"/>
      <c r="O5" s="40" t="n"/>
      <c r="P5" s="40" t="n"/>
      <c r="Q5" s="40" t="n"/>
      <c r="R5" s="40" t="n"/>
      <c r="S5" s="40" t="n"/>
      <c r="T5" s="40" t="n"/>
      <c r="U5" s="40" t="n"/>
      <c r="V5" s="40" t="n"/>
      <c r="W5" s="40" t="n"/>
      <c r="X5" s="40" t="n"/>
      <c r="Y5" s="40" t="n"/>
      <c r="Z5" s="40" t="n"/>
      <c r="AA5" s="40" t="n"/>
      <c r="AB5" s="40" t="n"/>
      <c r="AC5" s="40" t="n"/>
      <c r="AD5" s="40" t="n"/>
      <c r="AE5" s="40" t="n"/>
      <c r="AG5" s="29" t="inlineStr">
        <is>
          <t>Pendências</t>
        </is>
      </c>
      <c r="AH5" s="29" t="inlineStr">
        <is>
          <t>Pendências</t>
        </is>
      </c>
      <c r="AJ5" s="9" t="inlineStr">
        <is>
          <t>Novo Pedido</t>
        </is>
      </c>
      <c r="AK5" s="613" t="n">
        <v>46161.48295472527</v>
      </c>
      <c r="AL5" s="614" t="n">
        <v>46156</v>
      </c>
      <c r="AM5" s="615" t="inlineStr">
        <is>
          <t>TRANSF.</t>
        </is>
      </c>
      <c r="AN5" s="614" t="n">
        <v>46142</v>
      </c>
      <c r="AO5" s="615" t="inlineStr">
        <is>
          <t>TRANSF.</t>
        </is>
      </c>
      <c r="AP5" s="616" t="n">
        <v>46065</v>
      </c>
      <c r="AQ5" s="614" t="n">
        <v>46092</v>
      </c>
      <c r="AR5" s="614" t="n">
        <v>46077</v>
      </c>
      <c r="AS5" s="614" t="n">
        <v>46048</v>
      </c>
      <c r="AT5" s="614" t="n">
        <v>46043</v>
      </c>
      <c r="AU5" s="614" t="n">
        <v>46029</v>
      </c>
      <c r="AV5" s="614" t="n">
        <v>46024</v>
      </c>
      <c r="AW5" s="617" t="inlineStr">
        <is>
          <t>TRANSF.</t>
        </is>
      </c>
      <c r="AX5" s="614" t="n">
        <v>46007</v>
      </c>
      <c r="AY5" s="614" t="n">
        <v>46001</v>
      </c>
      <c r="AZ5" s="614" t="n">
        <v>45994</v>
      </c>
    </row>
    <row r="6" customFormat="1" s="3">
      <c r="A6" s="618" t="n"/>
      <c r="B6" s="618" t="n"/>
      <c r="C6" s="618" t="n"/>
      <c r="D6" s="618" t="n"/>
      <c r="E6" s="30" t="n"/>
      <c r="F6" s="619" t="n">
        <v>46013</v>
      </c>
      <c r="G6" s="619" t="n">
        <v>46020</v>
      </c>
      <c r="H6" s="619" t="n">
        <v>46027</v>
      </c>
      <c r="I6" s="619" t="n">
        <v>46034</v>
      </c>
      <c r="J6" s="619" t="n">
        <v>46041</v>
      </c>
      <c r="K6" s="619" t="n">
        <v>46048</v>
      </c>
      <c r="L6" s="619" t="n">
        <v>46055</v>
      </c>
      <c r="M6" s="619" t="n">
        <v>46062</v>
      </c>
      <c r="N6" s="619" t="n">
        <v>46069</v>
      </c>
      <c r="O6" s="619" t="n">
        <v>46076</v>
      </c>
      <c r="P6" s="619" t="n">
        <v>46083</v>
      </c>
      <c r="Q6" s="619" t="n">
        <v>46090</v>
      </c>
      <c r="R6" s="619" t="n">
        <v>46097</v>
      </c>
      <c r="S6" s="619" t="n">
        <v>46104</v>
      </c>
      <c r="T6" s="619" t="n">
        <v>46111</v>
      </c>
      <c r="U6" s="619" t="n">
        <v>46118</v>
      </c>
      <c r="V6" s="619" t="n">
        <v>46125</v>
      </c>
      <c r="W6" s="619" t="n">
        <v>46132</v>
      </c>
      <c r="X6" s="619" t="n">
        <v>46139</v>
      </c>
      <c r="Y6" s="619" t="n">
        <v>46146</v>
      </c>
      <c r="Z6" s="619" t="n">
        <v>46154</v>
      </c>
      <c r="AA6" s="619" t="n">
        <v>46160</v>
      </c>
      <c r="AB6" s="620" t="n">
        <v>46161.48012412037</v>
      </c>
      <c r="AC6" s="620" t="n">
        <v>46161.48079751158</v>
      </c>
      <c r="AD6" s="620" t="n">
        <v>46161.48295554756</v>
      </c>
      <c r="AE6" s="621" t="inlineStr">
        <is>
          <t>USOU</t>
        </is>
      </c>
      <c r="AF6" s="11" t="n"/>
      <c r="AG6" s="622" t="n"/>
      <c r="AH6" s="622" t="n">
        <v>46156</v>
      </c>
      <c r="AI6" s="623" t="n"/>
      <c r="AJ6" s="624" t="n"/>
      <c r="AK6" s="614" t="n"/>
      <c r="AL6" s="614" t="n"/>
      <c r="AM6" s="615" t="n">
        <v>46148</v>
      </c>
      <c r="AN6" s="614" t="n">
        <v>46153</v>
      </c>
      <c r="AO6" s="615" t="n">
        <v>46146</v>
      </c>
      <c r="AP6" s="616" t="n">
        <v>46111</v>
      </c>
      <c r="AQ6" s="614" t="n">
        <v>46099</v>
      </c>
      <c r="AR6" s="614" t="n">
        <v>46087</v>
      </c>
      <c r="AS6" s="614" t="n">
        <v>46056</v>
      </c>
      <c r="AT6" s="614" t="n">
        <v>46049</v>
      </c>
      <c r="AU6" s="614" t="n">
        <v>46037</v>
      </c>
      <c r="AV6" s="614" t="n">
        <v>46034</v>
      </c>
      <c r="AW6" s="617" t="n">
        <v>46386</v>
      </c>
      <c r="AX6" s="614" t="n">
        <v>46014</v>
      </c>
      <c r="AY6" s="614" t="n">
        <v>46010</v>
      </c>
      <c r="AZ6" s="614" t="n">
        <v>46003</v>
      </c>
      <c r="BB6" s="11" t="n"/>
      <c r="BC6" s="11" t="n"/>
      <c r="BD6" s="11" t="n"/>
      <c r="BE6" s="11" t="n"/>
      <c r="BF6" s="11" t="n"/>
      <c r="BG6" s="11" t="n"/>
      <c r="BH6" s="11" t="n"/>
      <c r="BI6" s="11" t="n"/>
      <c r="BJ6" s="11" t="n"/>
      <c r="BK6" s="11" t="n"/>
      <c r="BL6" s="11" t="n"/>
      <c r="BM6" s="11" t="n"/>
      <c r="BN6" s="11" t="n"/>
    </row>
    <row r="7" ht="21.75" customFormat="1" customHeight="1" s="3">
      <c r="A7" s="20" t="inlineStr">
        <is>
          <t xml:space="preserve">SACOLAS </t>
        </is>
      </c>
      <c r="B7" s="5" t="n"/>
      <c r="C7" s="5" t="n"/>
      <c r="D7" s="239" t="n"/>
      <c r="E7" s="11" t="n"/>
      <c r="F7" s="12" t="n"/>
      <c r="G7" s="12" t="n"/>
      <c r="H7" s="12" t="n"/>
      <c r="I7" s="12" t="n"/>
      <c r="J7" s="12" t="n"/>
      <c r="K7" s="12" t="n"/>
      <c r="L7" s="12" t="n"/>
      <c r="M7" s="12" t="n"/>
      <c r="N7" s="12" t="n"/>
      <c r="O7" s="12" t="n"/>
      <c r="P7" s="12" t="n"/>
      <c r="Q7" s="12" t="n"/>
      <c r="R7" s="12" t="n"/>
      <c r="S7" s="12" t="n"/>
      <c r="T7" s="12" t="n"/>
      <c r="U7" s="12" t="n"/>
      <c r="V7" s="12" t="n"/>
      <c r="W7" s="12" t="n"/>
      <c r="X7" s="12" t="n"/>
      <c r="Y7" s="12" t="n"/>
      <c r="Z7" s="12" t="n"/>
      <c r="AA7" s="12" t="n"/>
      <c r="AB7" s="12" t="n"/>
      <c r="AC7" s="12" t="n"/>
      <c r="AD7" s="12" t="n"/>
      <c r="AE7" s="12" t="n"/>
      <c r="AF7" s="11" t="n"/>
      <c r="AG7" s="85" t="n"/>
      <c r="AH7" s="85" t="n"/>
      <c r="AI7" s="11" t="n"/>
      <c r="AJ7" s="12" t="n"/>
      <c r="AK7" s="12" t="n"/>
      <c r="AL7" s="12" t="n"/>
      <c r="AM7" s="12" t="n"/>
      <c r="AN7" s="12" t="n"/>
      <c r="AO7" s="12" t="n"/>
      <c r="AP7" s="12" t="inlineStr">
        <is>
          <t>MÃES</t>
        </is>
      </c>
      <c r="AQ7" s="12" t="n"/>
      <c r="AR7" s="12" t="n"/>
      <c r="AS7" s="12" t="n"/>
      <c r="AT7" s="12" t="n"/>
      <c r="AU7" s="12" t="n"/>
      <c r="AV7" s="12" t="n"/>
      <c r="AW7" s="12" t="n"/>
      <c r="AX7" s="12" t="n"/>
      <c r="AY7" s="12" t="n"/>
      <c r="AZ7" s="12" t="n"/>
      <c r="BA7" s="625" t="n"/>
      <c r="BB7" s="625" t="n"/>
      <c r="BC7" s="625" t="n"/>
      <c r="BD7" s="625" t="n"/>
      <c r="BE7" s="625" t="n"/>
      <c r="BF7" s="625" t="n"/>
      <c r="BG7" s="625" t="n"/>
      <c r="BH7" s="641" t="n"/>
      <c r="BI7" s="652" t="n"/>
      <c r="BJ7" s="625" t="n"/>
      <c r="BK7" s="626" t="n"/>
      <c r="BL7" s="626" t="n"/>
      <c r="BM7" s="626" t="n"/>
      <c r="BN7" s="476" t="n"/>
    </row>
    <row r="8" ht="18" customFormat="1" customHeight="1" s="3">
      <c r="A8" s="21" t="inlineStr">
        <is>
          <t>SACOLA PP VERDE</t>
        </is>
      </c>
      <c r="B8" s="6" t="n">
        <v>300</v>
      </c>
      <c r="C8" s="627" t="n">
        <v>187.12</v>
      </c>
      <c r="D8" s="240" t="n">
        <v>300</v>
      </c>
      <c r="E8" s="11" t="n"/>
      <c r="F8" s="39" t="n">
        <v>1280</v>
      </c>
      <c r="G8" s="39" t="n">
        <v>1200</v>
      </c>
      <c r="H8" s="39" t="n">
        <v>1170</v>
      </c>
      <c r="I8" s="39" t="n">
        <v>1020</v>
      </c>
      <c r="J8" s="39" t="n">
        <v>1020</v>
      </c>
      <c r="K8" s="39" t="n">
        <v>960</v>
      </c>
      <c r="L8" s="39" t="n">
        <v>920</v>
      </c>
      <c r="M8" s="39" t="n">
        <v>920</v>
      </c>
      <c r="N8" s="39" t="n">
        <v>900</v>
      </c>
      <c r="O8" s="39" t="n">
        <v>840</v>
      </c>
      <c r="P8" s="39" t="n">
        <v>800</v>
      </c>
      <c r="Q8" s="39" t="n">
        <v>760</v>
      </c>
      <c r="R8" s="39" t="n">
        <v>760</v>
      </c>
      <c r="S8" s="39" t="n">
        <v>760</v>
      </c>
      <c r="T8" s="39" t="n">
        <v>700</v>
      </c>
      <c r="U8" s="39" t="n">
        <v>900</v>
      </c>
      <c r="V8" s="39" t="n">
        <v>600</v>
      </c>
      <c r="W8" s="39" t="n">
        <v>600</v>
      </c>
      <c r="X8" s="39" t="n">
        <v>600</v>
      </c>
      <c r="Y8" s="39">
        <f>600-300</f>
        <v/>
      </c>
      <c r="Z8" s="39" t="n">
        <v>300</v>
      </c>
      <c r="AA8" s="39" t="n"/>
      <c r="AB8" s="6" t="n"/>
      <c r="AC8" s="6" t="n"/>
      <c r="AD8" s="6" t="n"/>
      <c r="AE8" s="380">
        <f>AC8+IF(NOT(ISBLANK(OFFSET(AE8,0,6))),N(OFFSET(AE8,0,6)),N(OFFSET(AE8,0,7)))-AD8</f>
        <v/>
      </c>
      <c r="AF8" s="11" t="n"/>
      <c r="AG8" s="78" t="n"/>
      <c r="AH8" s="78" t="n"/>
      <c r="AI8" s="11" t="n"/>
      <c r="AJ8" s="32" t="n"/>
      <c r="AK8" s="628" t="n">
        <v>0</v>
      </c>
      <c r="AL8" s="19" t="n">
        <v>0</v>
      </c>
      <c r="AM8" s="260" t="inlineStr">
        <is>
          <t>300 P/ JDM</t>
        </is>
      </c>
      <c r="AN8" s="19" t="n">
        <v>0</v>
      </c>
      <c r="AO8" s="304" t="n"/>
      <c r="AP8" s="19" t="n"/>
      <c r="AQ8" s="19" t="n"/>
      <c r="AR8" s="19" t="n"/>
      <c r="AS8" s="19" t="n"/>
      <c r="AT8" s="19" t="n"/>
      <c r="AU8" s="19" t="n"/>
      <c r="AV8" s="19" t="n"/>
      <c r="AW8" s="19" t="n"/>
      <c r="AX8" s="19" t="n">
        <v>300</v>
      </c>
      <c r="AY8" s="19" t="n"/>
      <c r="AZ8" s="19" t="n">
        <v>600</v>
      </c>
      <c r="BB8" s="397" t="inlineStr">
        <is>
          <t xml:space="preserve">SACOLAS </t>
        </is>
      </c>
      <c r="BC8" s="384" t="inlineStr">
        <is>
          <t>PCT</t>
        </is>
      </c>
      <c r="BD8" s="619" t="n">
        <v>46118</v>
      </c>
      <c r="BE8" s="619" t="n">
        <v>46125</v>
      </c>
      <c r="BF8" s="619" t="n">
        <v>46132</v>
      </c>
      <c r="BG8" s="619" t="n">
        <v>46139</v>
      </c>
      <c r="BH8" s="619" t="n">
        <v>46146</v>
      </c>
      <c r="BI8" s="619" t="n">
        <v>46154</v>
      </c>
      <c r="BJ8" s="619" t="n">
        <v>46160</v>
      </c>
      <c r="BK8" s="620" t="n">
        <v>46161.48012318287</v>
      </c>
      <c r="BL8" s="620" t="n">
        <v>46161.48079710648</v>
      </c>
      <c r="BM8" s="620" t="n">
        <v>46161.48295518349</v>
      </c>
      <c r="BN8" s="621" t="inlineStr">
        <is>
          <t>USOU</t>
        </is>
      </c>
    </row>
    <row r="9" ht="18" customFormat="1" customHeight="1" s="3">
      <c r="A9" s="21" t="inlineStr">
        <is>
          <t xml:space="preserve">SACOLA P VERDE </t>
        </is>
      </c>
      <c r="B9" s="6" t="n">
        <v>200</v>
      </c>
      <c r="C9" s="627" t="n">
        <v>193.08</v>
      </c>
      <c r="D9" s="240" t="n">
        <v>500</v>
      </c>
      <c r="E9" s="11" t="n"/>
      <c r="F9" s="39" t="n">
        <v>1320</v>
      </c>
      <c r="G9" s="39">
        <f>800-200</f>
        <v/>
      </c>
      <c r="H9" s="39" t="n">
        <v>540</v>
      </c>
      <c r="I9" s="39" t="n">
        <v>200</v>
      </c>
      <c r="J9" s="39" t="n">
        <v>720</v>
      </c>
      <c r="K9" s="39" t="n">
        <v>600</v>
      </c>
      <c r="L9" s="39">
        <f>460+AP9</f>
        <v/>
      </c>
      <c r="M9" s="39" t="n">
        <v>740</v>
      </c>
      <c r="N9" s="39" t="n">
        <v>720</v>
      </c>
      <c r="O9" s="39" t="n">
        <v>600</v>
      </c>
      <c r="P9" s="39">
        <f>500+AO9</f>
        <v/>
      </c>
      <c r="Q9" s="39" t="n">
        <v>740</v>
      </c>
      <c r="R9" s="39">
        <f>540+AN9</f>
        <v/>
      </c>
      <c r="S9" s="39" t="n">
        <v>800</v>
      </c>
      <c r="T9" s="39" t="n">
        <v>700</v>
      </c>
      <c r="U9" s="39" t="n">
        <v>800</v>
      </c>
      <c r="V9" s="39" t="n">
        <v>600</v>
      </c>
      <c r="W9" s="39" t="n">
        <v>600</v>
      </c>
      <c r="X9" s="39" t="n">
        <v>600</v>
      </c>
      <c r="Y9" s="39">
        <f>600+AK9</f>
        <v/>
      </c>
      <c r="Z9" s="39" t="n">
        <v>600</v>
      </c>
      <c r="AA9" s="39" t="n"/>
      <c r="AB9" s="6" t="n"/>
      <c r="AC9" s="6" t="n"/>
      <c r="AD9" s="6" t="n"/>
      <c r="AE9" s="380">
        <f>AC9+IF(NOT(ISBLANK(OFFSET(AE9,0,6))),N(OFFSET(AE9,0,6)),N(OFFSET(AE9,0,7)))-AD9</f>
        <v/>
      </c>
      <c r="AF9" s="11" t="n"/>
      <c r="AG9" s="78" t="n"/>
      <c r="AH9" s="78" t="n"/>
      <c r="AI9" s="11" t="n"/>
      <c r="AJ9" s="32" t="n"/>
      <c r="AK9" s="629" t="n">
        <v>0</v>
      </c>
      <c r="AL9" s="304" t="n">
        <v>0</v>
      </c>
      <c r="AM9" s="304" t="n"/>
      <c r="AN9" s="304" t="n">
        <v>400</v>
      </c>
      <c r="AO9" s="304" t="n"/>
      <c r="AP9" s="119" t="n">
        <v>1400</v>
      </c>
      <c r="AQ9" s="19" t="n">
        <v>600</v>
      </c>
      <c r="AR9" s="19" t="n">
        <v>400</v>
      </c>
      <c r="AS9" s="19" t="n">
        <v>400</v>
      </c>
      <c r="AT9" s="19" t="n"/>
      <c r="AU9" s="19" t="n">
        <v>200</v>
      </c>
      <c r="AV9" s="19" t="n">
        <v>400</v>
      </c>
      <c r="AW9" s="260" t="inlineStr">
        <is>
          <t>200 P/ JDM</t>
        </is>
      </c>
      <c r="AX9" s="19" t="n">
        <v>800</v>
      </c>
      <c r="AY9" s="19" t="n">
        <v>400</v>
      </c>
      <c r="AZ9" s="19" t="n">
        <v>600</v>
      </c>
      <c r="BB9" s="372" t="inlineStr">
        <is>
          <t xml:space="preserve">SACOLA P </t>
        </is>
      </c>
      <c r="BC9" s="139" t="n">
        <v>200</v>
      </c>
      <c r="BD9" s="39">
        <f>AM9</f>
        <v/>
      </c>
      <c r="BE9" s="39" t="n">
        <v>800</v>
      </c>
      <c r="BF9" s="39" t="n">
        <v>800</v>
      </c>
      <c r="BG9" s="39" t="n">
        <v>740</v>
      </c>
      <c r="BH9" s="39" t="n">
        <v>700</v>
      </c>
      <c r="BI9" s="39" t="n">
        <v>400</v>
      </c>
      <c r="BJ9" s="39" t="n"/>
      <c r="BK9" s="6" t="n"/>
      <c r="BL9" s="6" t="n"/>
      <c r="BM9" s="6" t="n"/>
      <c r="BN9" s="26">
        <f>BL9+IF(NOT(ISBLANK(OFFSET(BN9,0,6))),N(OFFSET(BN9,0,6)),N(OFFSET(BN9,0,7)))-BM9</f>
        <v/>
      </c>
    </row>
    <row r="10" ht="18" customFormat="1" customHeight="1" s="3">
      <c r="A10" s="21" t="inlineStr">
        <is>
          <t>SACOLA M VERDE</t>
        </is>
      </c>
      <c r="B10" s="6" t="n">
        <v>200</v>
      </c>
      <c r="C10" s="627" t="n">
        <v>253.83</v>
      </c>
      <c r="D10" s="240" t="n">
        <v>200</v>
      </c>
      <c r="E10" s="11" t="n"/>
      <c r="F10" s="39" t="n">
        <v>800</v>
      </c>
      <c r="G10" s="39" t="n">
        <v>660</v>
      </c>
      <c r="H10" s="39" t="n">
        <v>660</v>
      </c>
      <c r="I10" s="39" t="n">
        <v>540</v>
      </c>
      <c r="J10" s="39" t="n">
        <v>540</v>
      </c>
      <c r="K10" s="39" t="n">
        <v>460</v>
      </c>
      <c r="L10" s="39" t="n">
        <v>420</v>
      </c>
      <c r="M10" s="39" t="n">
        <v>380</v>
      </c>
      <c r="N10" s="39" t="n">
        <v>380</v>
      </c>
      <c r="O10" s="39" t="n">
        <v>300</v>
      </c>
      <c r="P10" s="39" t="n">
        <v>300</v>
      </c>
      <c r="Q10" s="39" t="n">
        <v>260</v>
      </c>
      <c r="R10" s="39">
        <f>260+AN10</f>
        <v/>
      </c>
      <c r="S10" s="39" t="n">
        <v>460</v>
      </c>
      <c r="T10" s="39" t="n">
        <v>400</v>
      </c>
      <c r="U10" s="39" t="n">
        <v>200</v>
      </c>
      <c r="V10" s="39" t="n">
        <v>200</v>
      </c>
      <c r="W10" s="39" t="n">
        <v>200</v>
      </c>
      <c r="X10" s="39" t="n">
        <v>200</v>
      </c>
      <c r="Y10" s="39">
        <f>200+AK10</f>
        <v/>
      </c>
      <c r="Z10" s="39" t="n">
        <v>200</v>
      </c>
      <c r="AA10" s="39" t="n"/>
      <c r="AB10" s="6" t="n"/>
      <c r="AC10" s="6" t="n"/>
      <c r="AD10" s="6" t="n"/>
      <c r="AE10" s="380">
        <f>AC10+IF(NOT(ISBLANK(OFFSET(AE10,0,6))),N(OFFSET(AE10,0,6)),N(OFFSET(AE10,0,7)))-AD10</f>
        <v/>
      </c>
      <c r="AF10" s="11" t="n"/>
      <c r="AG10" s="78" t="n"/>
      <c r="AH10" s="78" t="n">
        <v>200</v>
      </c>
      <c r="AI10" s="11" t="n"/>
      <c r="AJ10" s="32" t="n"/>
      <c r="AK10" s="629" t="n">
        <v>0</v>
      </c>
      <c r="AL10" s="304" t="n">
        <v>0</v>
      </c>
      <c r="AM10" s="304" t="n"/>
      <c r="AN10" s="304" t="n">
        <v>200</v>
      </c>
      <c r="AO10" s="304" t="n"/>
      <c r="AP10" s="119" t="n">
        <v>600</v>
      </c>
      <c r="AQ10" s="19" t="n">
        <v>200</v>
      </c>
      <c r="AR10" s="19" t="n"/>
      <c r="AS10" s="19" t="n"/>
      <c r="AT10" s="19" t="n"/>
      <c r="AU10" s="19" t="n"/>
      <c r="AV10" s="19" t="n"/>
      <c r="AW10" s="19" t="n"/>
      <c r="AX10" s="19" t="n">
        <v>400</v>
      </c>
      <c r="AY10" s="19" t="n"/>
      <c r="AZ10" s="19" t="n">
        <v>200</v>
      </c>
      <c r="BB10" s="21" t="inlineStr">
        <is>
          <t xml:space="preserve">SACOLA M </t>
        </is>
      </c>
      <c r="BC10" s="6" t="n">
        <v>200</v>
      </c>
      <c r="BD10" s="39">
        <f>AM10</f>
        <v/>
      </c>
      <c r="BE10" s="39" t="n">
        <v>400</v>
      </c>
      <c r="BF10" s="39" t="n">
        <v>400</v>
      </c>
      <c r="BG10" s="39" t="n">
        <v>300</v>
      </c>
      <c r="BH10" s="39" t="n">
        <v>200</v>
      </c>
      <c r="BI10" s="39" t="n">
        <v>0</v>
      </c>
      <c r="BJ10" s="39" t="n"/>
      <c r="BK10" s="6" t="n"/>
      <c r="BL10" s="6" t="n"/>
      <c r="BM10" s="6" t="n"/>
      <c r="BN10" s="26">
        <f>BL10+IF(NOT(ISBLANK(OFFSET(BN10,0,6))),N(OFFSET(BN10,0,6)),N(OFFSET(BN10,0,7)))-BM10</f>
        <v/>
      </c>
    </row>
    <row r="11" ht="18" customFormat="1" customHeight="1" s="3">
      <c r="A11" s="22" t="inlineStr">
        <is>
          <t xml:space="preserve">SACOLA G VERDE </t>
        </is>
      </c>
      <c r="B11" s="6" t="n">
        <v>100</v>
      </c>
      <c r="C11" s="627" t="n">
        <v>184.57</v>
      </c>
      <c r="D11" s="240" t="n">
        <v>50</v>
      </c>
      <c r="E11" s="11" t="n"/>
      <c r="F11" s="39" t="n">
        <v>100</v>
      </c>
      <c r="G11" s="39" t="n">
        <v>60</v>
      </c>
      <c r="H11" s="39" t="n">
        <v>60</v>
      </c>
      <c r="I11" s="39" t="n">
        <v>40</v>
      </c>
      <c r="J11" s="39" t="n">
        <v>140</v>
      </c>
      <c r="K11" s="39" t="n">
        <v>140</v>
      </c>
      <c r="L11" s="39" t="n">
        <v>140</v>
      </c>
      <c r="M11" s="39" t="n">
        <v>140</v>
      </c>
      <c r="N11" s="39" t="n">
        <v>140</v>
      </c>
      <c r="O11" s="39" t="n">
        <v>120</v>
      </c>
      <c r="P11" s="39" t="n">
        <v>100</v>
      </c>
      <c r="Q11" s="39" t="n">
        <v>100</v>
      </c>
      <c r="R11" s="39" t="n">
        <v>100</v>
      </c>
      <c r="S11" s="39" t="n">
        <v>100</v>
      </c>
      <c r="T11" s="39" t="n">
        <v>100</v>
      </c>
      <c r="U11" s="39" t="n">
        <v>100</v>
      </c>
      <c r="V11" s="39" t="n">
        <v>100</v>
      </c>
      <c r="W11" s="39" t="n">
        <v>100</v>
      </c>
      <c r="X11" s="39" t="n">
        <v>100</v>
      </c>
      <c r="Y11" s="39">
        <f>100+AK11</f>
        <v/>
      </c>
      <c r="Z11" s="39" t="n">
        <v>50</v>
      </c>
      <c r="AA11" s="39" t="n"/>
      <c r="AB11" s="6" t="n"/>
      <c r="AC11" s="6" t="n"/>
      <c r="AD11" s="6" t="n"/>
      <c r="AE11" s="380">
        <f>AC11+IF(NOT(ISBLANK(OFFSET(AE11,0,6))),N(OFFSET(AE11,0,6)),N(OFFSET(AE11,0,7)))-AD11</f>
        <v/>
      </c>
      <c r="AF11" s="11" t="n"/>
      <c r="AG11" s="78" t="n"/>
      <c r="AH11" s="78" t="n">
        <v>100</v>
      </c>
      <c r="AI11" s="11" t="n"/>
      <c r="AJ11" s="32" t="n"/>
      <c r="AK11" s="629" t="n">
        <v>0</v>
      </c>
      <c r="AL11" s="304" t="n">
        <v>0</v>
      </c>
      <c r="AM11" s="304" t="n"/>
      <c r="AN11" s="304" t="n">
        <v>100</v>
      </c>
      <c r="AO11" s="304" t="n"/>
      <c r="AP11" s="119" t="n">
        <v>100</v>
      </c>
      <c r="AQ11" s="19" t="n"/>
      <c r="AR11" s="19" t="n"/>
      <c r="AS11" s="19" t="n"/>
      <c r="AT11" s="19" t="n"/>
      <c r="AU11" s="19" t="n"/>
      <c r="AV11" s="19" t="n">
        <v>100</v>
      </c>
      <c r="AW11" s="19" t="n"/>
      <c r="AX11" s="19" t="n"/>
      <c r="AY11" s="19" t="n">
        <v>100</v>
      </c>
      <c r="AZ11" s="19" t="n"/>
      <c r="BB11" s="22" t="inlineStr">
        <is>
          <t xml:space="preserve">SACOLA G </t>
        </is>
      </c>
      <c r="BC11" s="6" t="n">
        <v>100</v>
      </c>
      <c r="BD11" s="39">
        <f>AM11</f>
        <v/>
      </c>
      <c r="BE11" s="39" t="n">
        <v>0</v>
      </c>
      <c r="BF11" s="39" t="n">
        <v>0</v>
      </c>
      <c r="BG11" s="39" t="n">
        <v>0</v>
      </c>
      <c r="BH11" s="39" t="n">
        <v>0</v>
      </c>
      <c r="BI11" s="39" t="n">
        <v>0</v>
      </c>
      <c r="BJ11" s="39" t="n"/>
      <c r="BK11" s="6" t="n"/>
      <c r="BL11" s="6" t="n"/>
      <c r="BM11" s="6" t="n"/>
      <c r="BN11" s="26">
        <f>BL11+IF(NOT(ISBLANK(OFFSET(BN11,0,6))),N(OFFSET(BN11,0,6)),N(OFFSET(BN11,0,7)))-BM11</f>
        <v/>
      </c>
    </row>
    <row r="12" ht="12" customFormat="1" customHeight="1" s="3">
      <c r="A12" s="23" t="n"/>
      <c r="B12" s="1" t="n"/>
      <c r="C12" s="630" t="n"/>
      <c r="D12" s="277" t="n"/>
      <c r="E12" s="11" t="n"/>
      <c r="F12" s="2" t="n"/>
      <c r="G12" s="2" t="n"/>
      <c r="H12" s="2" t="n"/>
      <c r="I12" s="2" t="n"/>
      <c r="J12" s="2" t="n"/>
      <c r="K12" s="2" t="n"/>
      <c r="L12" s="2" t="n"/>
      <c r="M12" s="2" t="n"/>
      <c r="N12" s="2" t="n"/>
      <c r="O12" s="2" t="n"/>
      <c r="P12" s="2" t="n"/>
      <c r="Q12" s="2" t="n"/>
      <c r="R12" s="2" t="n"/>
      <c r="S12" s="2" t="n"/>
      <c r="T12" s="2" t="n"/>
      <c r="U12" s="2" t="n"/>
      <c r="V12" s="2" t="n"/>
      <c r="W12" s="2" t="n"/>
      <c r="X12" s="2" t="n"/>
      <c r="Y12" s="2" t="n"/>
      <c r="Z12" s="2" t="n"/>
      <c r="AA12" s="2" t="n"/>
      <c r="AB12" s="1" t="n"/>
      <c r="AC12" s="1" t="n"/>
      <c r="AD12" s="1" t="n"/>
      <c r="AE12" s="2" t="n"/>
      <c r="AF12" s="11" t="n"/>
      <c r="AG12" s="350" t="n"/>
      <c r="AH12" s="350" t="n"/>
      <c r="AI12" s="11" t="n"/>
      <c r="AJ12" s="33" t="n"/>
      <c r="AK12" s="396" t="n"/>
      <c r="AL12" s="75" t="n"/>
      <c r="AM12" s="75" t="n"/>
      <c r="AN12" s="75" t="n"/>
      <c r="AO12" s="75" t="n"/>
      <c r="AP12" s="75" t="n"/>
      <c r="AQ12" s="75" t="n"/>
      <c r="AR12" s="75" t="n"/>
      <c r="AS12" s="75" t="n"/>
      <c r="AT12" s="75" t="n"/>
      <c r="AU12" s="75" t="n"/>
      <c r="AV12" s="75" t="n"/>
      <c r="AW12" s="75" t="n"/>
      <c r="AX12" s="75" t="n"/>
      <c r="AY12" s="75" t="n"/>
      <c r="AZ12" s="75" t="n"/>
      <c r="BB12" s="23" t="n"/>
      <c r="BC12" s="1" t="n"/>
      <c r="BD12" s="2" t="n"/>
      <c r="BE12" s="2" t="n"/>
      <c r="BF12" s="2" t="n"/>
      <c r="BG12" s="2" t="n"/>
      <c r="BH12" s="2" t="n"/>
      <c r="BI12" s="2" t="n"/>
      <c r="BJ12" s="2" t="n"/>
      <c r="BK12" s="1" t="n"/>
      <c r="BL12" s="1" t="n"/>
      <c r="BM12" s="1" t="n"/>
    </row>
    <row r="13" customFormat="1" s="3">
      <c r="A13" s="548" t="inlineStr">
        <is>
          <t>DIVERSOS</t>
        </is>
      </c>
      <c r="B13" s="12" t="n"/>
      <c r="C13" s="631" t="n"/>
      <c r="D13" s="403" t="n"/>
      <c r="E13" s="608" t="n"/>
      <c r="F13" s="619" t="n">
        <v>46013</v>
      </c>
      <c r="G13" s="619" t="n">
        <v>46020</v>
      </c>
      <c r="H13" s="619" t="n">
        <v>46027</v>
      </c>
      <c r="I13" s="619" t="n">
        <v>46034</v>
      </c>
      <c r="J13" s="619" t="n">
        <v>46041</v>
      </c>
      <c r="K13" s="619" t="n">
        <v>46048</v>
      </c>
      <c r="L13" s="619" t="n">
        <v>46055</v>
      </c>
      <c r="M13" s="619" t="n">
        <v>46062</v>
      </c>
      <c r="N13" s="619" t="n">
        <v>46069</v>
      </c>
      <c r="O13" s="619" t="n">
        <v>46076</v>
      </c>
      <c r="P13" s="619" t="n">
        <v>46083</v>
      </c>
      <c r="Q13" s="619" t="n">
        <v>46090</v>
      </c>
      <c r="R13" s="619" t="n">
        <v>46097</v>
      </c>
      <c r="S13" s="619" t="n">
        <v>46104</v>
      </c>
      <c r="T13" s="619" t="n">
        <v>46111</v>
      </c>
      <c r="U13" s="619" t="n">
        <v>46118</v>
      </c>
      <c r="V13" s="619" t="n">
        <v>46125</v>
      </c>
      <c r="W13" s="619" t="n">
        <v>46132</v>
      </c>
      <c r="X13" s="619" t="n">
        <v>46139</v>
      </c>
      <c r="Y13" s="619" t="n">
        <v>46146</v>
      </c>
      <c r="Z13" s="619" t="n">
        <v>46154</v>
      </c>
      <c r="AA13" s="619" t="n">
        <v>46160</v>
      </c>
      <c r="AB13" s="620" t="n">
        <v>46161.48012412037</v>
      </c>
      <c r="AC13" s="620" t="n">
        <v>46161.48079752315</v>
      </c>
      <c r="AD13" s="620" t="n">
        <v>46161.48295554787</v>
      </c>
      <c r="AE13" s="621" t="inlineStr">
        <is>
          <t>USOU</t>
        </is>
      </c>
      <c r="AF13" s="11" t="n"/>
      <c r="AG13" s="29" t="inlineStr">
        <is>
          <t>Pendências</t>
        </is>
      </c>
      <c r="AH13" s="29" t="inlineStr">
        <is>
          <t>Pendências</t>
        </is>
      </c>
      <c r="AI13" s="11" t="n"/>
      <c r="AJ13" s="9" t="inlineStr">
        <is>
          <t>Novo Pedido</t>
        </is>
      </c>
      <c r="AK13" s="613" t="n">
        <v>46161.48295472621</v>
      </c>
      <c r="AL13" s="614" t="n">
        <v>46156</v>
      </c>
      <c r="AM13" s="615" t="n">
        <v>46148</v>
      </c>
      <c r="AN13" s="614" t="n">
        <v>46142</v>
      </c>
      <c r="AO13" s="615" t="n">
        <v>46146</v>
      </c>
      <c r="AP13" s="616" t="n">
        <v>46065</v>
      </c>
      <c r="AQ13" s="614" t="n">
        <v>46092</v>
      </c>
      <c r="AR13" s="614" t="n">
        <v>46077</v>
      </c>
      <c r="AS13" s="614" t="n">
        <v>46048</v>
      </c>
      <c r="AT13" s="614" t="n">
        <v>46043</v>
      </c>
      <c r="AU13" s="614" t="n">
        <v>46029</v>
      </c>
      <c r="AV13" s="614" t="n">
        <v>46024</v>
      </c>
      <c r="AW13" s="617" t="n">
        <v>46386</v>
      </c>
      <c r="AX13" s="614" t="n">
        <v>46007</v>
      </c>
      <c r="AY13" s="614" t="n">
        <v>46001</v>
      </c>
      <c r="AZ13" s="614" t="n">
        <v>45994</v>
      </c>
      <c r="BB13" s="397" t="inlineStr">
        <is>
          <t>DIVERSOS</t>
        </is>
      </c>
      <c r="BC13" s="384" t="inlineStr">
        <is>
          <t>PCT</t>
        </is>
      </c>
      <c r="BD13" s="619" t="n">
        <v>46118</v>
      </c>
      <c r="BE13" s="619" t="n">
        <v>46125</v>
      </c>
      <c r="BF13" s="619" t="n">
        <v>46132</v>
      </c>
      <c r="BG13" s="619" t="n">
        <v>46139</v>
      </c>
      <c r="BH13" s="619" t="n">
        <v>46146</v>
      </c>
      <c r="BI13" s="619" t="n">
        <v>46154</v>
      </c>
      <c r="BJ13" s="619" t="n">
        <v>46160</v>
      </c>
      <c r="BK13" s="620" t="n">
        <v>46161.48012318287</v>
      </c>
      <c r="BL13" s="620" t="n">
        <v>46161.48079710648</v>
      </c>
      <c r="BM13" s="620" t="n">
        <v>46161.48295518386</v>
      </c>
      <c r="BN13" s="621" t="inlineStr">
        <is>
          <t>USOU</t>
        </is>
      </c>
    </row>
    <row r="14" customFormat="1" s="3">
      <c r="A14" s="25" t="inlineStr">
        <is>
          <t>PAPEL DE SEDA 2025</t>
        </is>
      </c>
      <c r="B14" s="6" t="n">
        <v>200</v>
      </c>
      <c r="C14" s="632" t="n">
        <v>38</v>
      </c>
      <c r="D14" s="240" t="n">
        <v>6</v>
      </c>
      <c r="E14" s="608" t="n"/>
      <c r="F14" s="39" t="n">
        <v>1</v>
      </c>
      <c r="G14" s="39" t="n">
        <v>6</v>
      </c>
      <c r="H14" s="39" t="n">
        <v>5</v>
      </c>
      <c r="I14" s="39" t="n">
        <v>4</v>
      </c>
      <c r="J14" s="39" t="n">
        <v>9</v>
      </c>
      <c r="K14" s="39" t="n">
        <v>8</v>
      </c>
      <c r="L14" s="39">
        <f>8+AP14</f>
        <v/>
      </c>
      <c r="M14" s="39" t="n">
        <v>9</v>
      </c>
      <c r="N14" s="39" t="n">
        <v>8</v>
      </c>
      <c r="O14" s="39" t="n">
        <v>7</v>
      </c>
      <c r="P14" s="39">
        <f>7+AO14</f>
        <v/>
      </c>
      <c r="Q14" s="39" t="n">
        <v>6</v>
      </c>
      <c r="R14" s="39">
        <f>6+AN14</f>
        <v/>
      </c>
      <c r="S14" s="39" t="n">
        <v>9</v>
      </c>
      <c r="T14" s="39" t="n">
        <v>9</v>
      </c>
      <c r="U14" s="39" t="n">
        <v>9</v>
      </c>
      <c r="V14" s="39" t="n">
        <v>8</v>
      </c>
      <c r="W14" s="39" t="n">
        <v>8</v>
      </c>
      <c r="X14" s="39" t="n">
        <v>8</v>
      </c>
      <c r="Y14" s="39">
        <f>8+AK14</f>
        <v/>
      </c>
      <c r="Z14" s="39" t="n">
        <v>7</v>
      </c>
      <c r="AA14" s="39" t="n"/>
      <c r="AB14" s="6" t="n"/>
      <c r="AC14" s="6" t="n"/>
      <c r="AD14" s="6" t="n"/>
      <c r="AE14" s="380">
        <f>AC14+IF(NOT(ISBLANK(OFFSET(AE14,0,6))),N(OFFSET(AE14,0,6)),N(OFFSET(AE14,0,7)))-AD14</f>
        <v/>
      </c>
      <c r="AF14" s="11" t="n"/>
      <c r="AG14" s="78" t="n"/>
      <c r="AH14" s="78" t="n"/>
      <c r="AI14" s="11" t="n"/>
      <c r="AJ14" s="32" t="n"/>
      <c r="AK14" s="629" t="n">
        <v>0</v>
      </c>
      <c r="AL14" s="304" t="n">
        <v>0</v>
      </c>
      <c r="AM14" s="304" t="n"/>
      <c r="AN14" s="304" t="n">
        <v>5</v>
      </c>
      <c r="AO14" s="304" t="n"/>
      <c r="AP14" s="119" t="n">
        <v>7</v>
      </c>
      <c r="AQ14" s="19" t="n">
        <v>3</v>
      </c>
      <c r="AR14" s="19" t="n">
        <v>2</v>
      </c>
      <c r="AS14" s="19" t="n">
        <v>2</v>
      </c>
      <c r="AT14" s="19" t="n"/>
      <c r="AU14" s="19" t="n"/>
      <c r="AV14" s="19" t="n">
        <v>6</v>
      </c>
      <c r="AW14" s="19" t="n"/>
      <c r="AX14" s="19" t="n">
        <v>4</v>
      </c>
      <c r="AY14" s="19" t="n">
        <v>2</v>
      </c>
      <c r="AZ14" s="19" t="n"/>
      <c r="BB14" s="372" t="inlineStr">
        <is>
          <t>PAPEL DE SEDA</t>
        </is>
      </c>
      <c r="BC14" s="139" t="n">
        <v>200</v>
      </c>
      <c r="BD14" s="39">
        <f>AM14</f>
        <v/>
      </c>
      <c r="BE14" s="39" t="n">
        <v>5</v>
      </c>
      <c r="BF14" s="39" t="n">
        <v>3</v>
      </c>
      <c r="BG14" s="39" t="n">
        <v>3</v>
      </c>
      <c r="BH14" s="39" t="n">
        <v>2</v>
      </c>
      <c r="BI14" s="39" t="n">
        <v>0</v>
      </c>
      <c r="BJ14" s="39" t="n"/>
      <c r="BK14" s="6" t="n"/>
      <c r="BL14" s="6" t="n"/>
      <c r="BM14" s="6" t="n"/>
      <c r="BN14" s="26">
        <f>BL14+IF(NOT(ISBLANK(OFFSET(BN14,0,6))),N(OFFSET(BN14,0,6)),N(OFFSET(BN14,0,7)))-BM14</f>
        <v/>
      </c>
    </row>
    <row r="15" customFormat="1" s="3">
      <c r="A15" s="25" t="inlineStr">
        <is>
          <t>ADESIVOS 2025</t>
        </is>
      </c>
      <c r="B15" s="6" t="n">
        <v>200</v>
      </c>
      <c r="C15" s="632" t="n">
        <v>18</v>
      </c>
      <c r="D15" s="240" t="n">
        <v>10</v>
      </c>
      <c r="E15" s="608" t="n"/>
      <c r="F15" s="39" t="n">
        <v>1</v>
      </c>
      <c r="G15" s="39" t="n">
        <v>8</v>
      </c>
      <c r="H15" s="39" t="n">
        <v>6</v>
      </c>
      <c r="I15" s="39" t="n">
        <v>6</v>
      </c>
      <c r="J15" s="39" t="n">
        <v>13</v>
      </c>
      <c r="K15" s="39" t="n">
        <v>13</v>
      </c>
      <c r="L15" s="39" t="n">
        <v>13</v>
      </c>
      <c r="M15" s="39" t="n">
        <v>13</v>
      </c>
      <c r="N15" s="39" t="n">
        <v>13</v>
      </c>
      <c r="O15" s="39" t="n">
        <v>13</v>
      </c>
      <c r="P15" s="39" t="n">
        <v>12</v>
      </c>
      <c r="Q15" s="39" t="n">
        <v>11</v>
      </c>
      <c r="R15" s="39" t="n">
        <v>11</v>
      </c>
      <c r="S15" s="39" t="n">
        <v>11</v>
      </c>
      <c r="T15" s="39" t="n">
        <v>11</v>
      </c>
      <c r="U15" s="39" t="n">
        <v>11</v>
      </c>
      <c r="V15" s="39" t="n">
        <v>11</v>
      </c>
      <c r="W15" s="39" t="n">
        <v>10</v>
      </c>
      <c r="X15" s="39" t="n">
        <v>10</v>
      </c>
      <c r="Y15" s="39" t="n">
        <v>10</v>
      </c>
      <c r="Z15" s="39" t="n">
        <v>10</v>
      </c>
      <c r="AA15" s="39" t="n"/>
      <c r="AB15" s="6" t="n"/>
      <c r="AC15" s="6" t="n"/>
      <c r="AD15" s="6" t="n"/>
      <c r="AE15" s="380">
        <f>AC15+IF(NOT(ISBLANK(OFFSET(AE15,0,6))),N(OFFSET(AE15,0,6)),N(OFFSET(AE15,0,7)))-AD15</f>
        <v/>
      </c>
      <c r="AF15" s="11" t="n"/>
      <c r="AG15" s="78" t="inlineStr">
        <is>
          <t>03 P/ ERJ + 02 P/ ER SM</t>
        </is>
      </c>
      <c r="AH15" s="78" t="n"/>
      <c r="AI15" s="11" t="n"/>
      <c r="AJ15" s="32" t="n"/>
      <c r="AK15" s="629" t="n">
        <v>0</v>
      </c>
      <c r="AL15" s="304" t="n">
        <v>0</v>
      </c>
      <c r="AM15" s="304" t="n"/>
      <c r="AN15" s="304" t="n">
        <v>0</v>
      </c>
      <c r="AO15" s="304" t="n"/>
      <c r="AP15" s="119" t="n">
        <v>3</v>
      </c>
      <c r="AQ15" s="19" t="n"/>
      <c r="AR15" s="19" t="n"/>
      <c r="AS15" s="19" t="n"/>
      <c r="AT15" s="19" t="n"/>
      <c r="AU15" s="19" t="n"/>
      <c r="AV15" s="19" t="n">
        <v>5</v>
      </c>
      <c r="AW15" s="19" t="n"/>
      <c r="AX15" s="19" t="n">
        <v>4</v>
      </c>
      <c r="AY15" s="19" t="n"/>
      <c r="AZ15" s="19" t="n">
        <v>2</v>
      </c>
      <c r="BB15" s="21" t="inlineStr">
        <is>
          <t>ADESIVOS</t>
        </is>
      </c>
      <c r="BC15" s="6" t="n">
        <v>200</v>
      </c>
      <c r="BD15" s="39">
        <f>AM15</f>
        <v/>
      </c>
      <c r="BE15" s="39" t="n">
        <v>3</v>
      </c>
      <c r="BF15" s="39" t="n">
        <v>2</v>
      </c>
      <c r="BG15" s="39" t="n">
        <v>2</v>
      </c>
      <c r="BH15" s="39" t="n">
        <v>2</v>
      </c>
      <c r="BI15" s="39" t="n">
        <v>0</v>
      </c>
      <c r="BJ15" s="39" t="n"/>
      <c r="BK15" s="6" t="n"/>
      <c r="BL15" s="6" t="n"/>
      <c r="BM15" s="6" t="n"/>
      <c r="BN15" s="26">
        <f>BL15+IF(NOT(ISBLANK(OFFSET(BN15,0,6))),N(OFFSET(BN15,0,6)),N(OFFSET(BN15,0,7)))-BM15</f>
        <v/>
      </c>
    </row>
    <row r="16" customFormat="1" s="3">
      <c r="A16" s="25" t="inlineStr">
        <is>
          <t xml:space="preserve">TAGS </t>
        </is>
      </c>
      <c r="B16" s="6" t="n">
        <v>200</v>
      </c>
      <c r="C16" s="632" t="n">
        <v>10.28</v>
      </c>
      <c r="D16" s="240" t="n">
        <v>4</v>
      </c>
      <c r="E16" s="1" t="n"/>
      <c r="F16" s="39" t="n">
        <v>10</v>
      </c>
      <c r="G16" s="39" t="n">
        <v>9</v>
      </c>
      <c r="H16" s="39" t="n">
        <v>9</v>
      </c>
      <c r="I16" s="39" t="n">
        <v>8</v>
      </c>
      <c r="J16" s="39" t="n">
        <v>8</v>
      </c>
      <c r="K16" s="39" t="n">
        <v>8</v>
      </c>
      <c r="L16" s="39" t="n">
        <v>8</v>
      </c>
      <c r="M16" s="39" t="n">
        <v>8</v>
      </c>
      <c r="N16" s="39" t="n">
        <v>7</v>
      </c>
      <c r="O16" s="39" t="n">
        <v>7</v>
      </c>
      <c r="P16" s="39" t="n">
        <v>6</v>
      </c>
      <c r="Q16" s="39" t="n">
        <v>6</v>
      </c>
      <c r="R16" s="39" t="n">
        <v>5</v>
      </c>
      <c r="S16" s="39" t="n">
        <v>5</v>
      </c>
      <c r="T16" s="39" t="n">
        <v>5</v>
      </c>
      <c r="U16" s="39" t="n">
        <v>5</v>
      </c>
      <c r="V16" s="39" t="n">
        <v>4</v>
      </c>
      <c r="W16" s="39" t="n">
        <v>4</v>
      </c>
      <c r="X16" s="39" t="n">
        <v>3</v>
      </c>
      <c r="Y16" s="39">
        <f>3+AK16</f>
        <v/>
      </c>
      <c r="Z16" s="39" t="n">
        <v>3</v>
      </c>
      <c r="AA16" s="39" t="n"/>
      <c r="AB16" s="6" t="n"/>
      <c r="AC16" s="6" t="n"/>
      <c r="AD16" s="6" t="n"/>
      <c r="AE16" s="380">
        <f>AC16+IF(NOT(ISBLANK(OFFSET(AE16,0,6))),N(OFFSET(AE16,0,6)),N(OFFSET(AE16,0,7)))-AD16</f>
        <v/>
      </c>
      <c r="AF16" s="11" t="n"/>
      <c r="AG16" s="78" t="n"/>
      <c r="AH16" s="78" t="n"/>
      <c r="AI16" s="11" t="n"/>
      <c r="AJ16" s="32" t="n"/>
      <c r="AK16" s="628" t="n">
        <v>0</v>
      </c>
      <c r="AL16" s="19" t="n">
        <v>0</v>
      </c>
      <c r="AM16" s="19" t="n"/>
      <c r="AN16" s="19" t="n">
        <v>2</v>
      </c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>
        <v>3</v>
      </c>
      <c r="AY16" s="19" t="n">
        <v>4</v>
      </c>
      <c r="AZ16" s="19" t="n"/>
    </row>
    <row r="17" customFormat="1" s="3">
      <c r="A17" s="25" t="inlineStr">
        <is>
          <t>LÂMINA OLFATIVA</t>
        </is>
      </c>
      <c r="B17" s="6" t="n">
        <v>3000</v>
      </c>
      <c r="C17" s="632" t="n">
        <v>71.8</v>
      </c>
      <c r="D17" s="240" t="n">
        <v>2</v>
      </c>
      <c r="E17" s="1" t="n"/>
      <c r="F17" s="39" t="n">
        <v>4</v>
      </c>
      <c r="G17" s="39" t="n">
        <v>4</v>
      </c>
      <c r="H17" s="39" t="n">
        <v>3</v>
      </c>
      <c r="I17" s="39" t="n">
        <v>3</v>
      </c>
      <c r="J17" s="39" t="n">
        <v>4</v>
      </c>
      <c r="K17" s="39" t="n">
        <v>4</v>
      </c>
      <c r="L17" s="39" t="n">
        <v>3</v>
      </c>
      <c r="M17" s="39" t="n">
        <v>3</v>
      </c>
      <c r="N17" s="39" t="n">
        <v>3</v>
      </c>
      <c r="O17" s="39" t="n">
        <v>3</v>
      </c>
      <c r="P17" s="39" t="n">
        <v>2</v>
      </c>
      <c r="Q17" s="39" t="n">
        <v>2</v>
      </c>
      <c r="R17" s="39" t="n">
        <v>2</v>
      </c>
      <c r="S17" s="39" t="n">
        <v>2</v>
      </c>
      <c r="T17" s="39" t="n">
        <v>2</v>
      </c>
      <c r="U17" s="39" t="n">
        <v>2</v>
      </c>
      <c r="V17" s="39" t="n">
        <v>1</v>
      </c>
      <c r="W17" s="39" t="n">
        <v>1</v>
      </c>
      <c r="X17" s="39" t="n">
        <v>0</v>
      </c>
      <c r="Y17" s="39">
        <f>0+AK17+1</f>
        <v/>
      </c>
      <c r="Z17" s="39" t="n">
        <v>1</v>
      </c>
      <c r="AA17" s="39" t="n"/>
      <c r="AB17" s="6" t="n"/>
      <c r="AC17" s="6" t="n"/>
      <c r="AD17" s="6" t="n"/>
      <c r="AE17" s="380">
        <f>AC17+IF(NOT(ISBLANK(OFFSET(AE17,0,6))),N(OFFSET(AE17,0,6)),N(OFFSET(AE17,0,7)))-AD17</f>
        <v/>
      </c>
      <c r="AF17" s="11" t="n"/>
      <c r="AG17" s="78" t="n"/>
      <c r="AH17" s="78" t="n">
        <v>1</v>
      </c>
      <c r="AI17" s="11" t="n"/>
      <c r="AJ17" s="32" t="n"/>
      <c r="AK17" s="628" t="n">
        <v>0</v>
      </c>
      <c r="AL17" s="19" t="n">
        <v>0</v>
      </c>
      <c r="AM17" s="19" t="n"/>
      <c r="AN17" s="19" t="n">
        <v>2</v>
      </c>
      <c r="AO17" s="260" t="inlineStr">
        <is>
          <t>01 DE JDM</t>
        </is>
      </c>
      <c r="AP17" s="19" t="n"/>
      <c r="AQ17" s="19" t="n"/>
      <c r="AR17" s="19" t="n"/>
      <c r="AS17" s="19" t="n"/>
      <c r="AT17" s="19" t="n"/>
      <c r="AU17" s="19" t="n">
        <v>1</v>
      </c>
      <c r="AV17" s="19" t="n"/>
      <c r="AW17" s="19" t="n"/>
      <c r="AX17" s="19" t="n">
        <v>1</v>
      </c>
      <c r="AY17" s="19" t="n">
        <v>1</v>
      </c>
      <c r="AZ17" s="19" t="n">
        <v>3</v>
      </c>
    </row>
    <row r="18" ht="15" customFormat="1" customHeight="1" s="3">
      <c r="A18" s="23" t="n"/>
      <c r="C18" s="633" t="n"/>
      <c r="D18" s="277" t="n"/>
      <c r="AF18" s="11" t="n"/>
      <c r="AG18" s="398" t="n"/>
      <c r="AH18" s="398" t="n"/>
      <c r="AI18" s="11" t="n"/>
      <c r="AJ18" s="352" t="n"/>
      <c r="AK18" s="396" t="n"/>
      <c r="AL18" s="396" t="n"/>
      <c r="AM18" s="396" t="n"/>
      <c r="AN18" s="396" t="n"/>
      <c r="AO18" s="396" t="n"/>
      <c r="AP18" s="396" t="n"/>
      <c r="AQ18" s="396" t="n"/>
      <c r="AR18" s="396" t="n"/>
      <c r="AS18" s="396" t="n"/>
      <c r="AT18" s="396" t="n"/>
      <c r="AU18" s="396" t="n"/>
      <c r="AV18" s="396" t="n"/>
      <c r="AW18" s="396" t="n"/>
      <c r="AX18" s="396" t="n"/>
      <c r="AY18" s="396" t="n"/>
      <c r="AZ18" s="396" t="n"/>
    </row>
    <row r="19" ht="19.5" customFormat="1" customHeight="1" s="3">
      <c r="A19" s="548" t="inlineStr">
        <is>
          <t>CAIXAS</t>
        </is>
      </c>
      <c r="B19" s="12" t="inlineStr">
        <is>
          <t>PC</t>
        </is>
      </c>
      <c r="C19" s="631" t="inlineStr">
        <is>
          <t>R$</t>
        </is>
      </c>
      <c r="D19" s="403" t="n"/>
      <c r="E19" s="1" t="n"/>
      <c r="F19" s="619" t="n">
        <v>46013</v>
      </c>
      <c r="G19" s="619" t="n">
        <v>46020</v>
      </c>
      <c r="H19" s="619" t="n">
        <v>46027</v>
      </c>
      <c r="I19" s="619" t="n">
        <v>46034</v>
      </c>
      <c r="J19" s="619" t="n">
        <v>46041</v>
      </c>
      <c r="K19" s="619" t="n">
        <v>46048</v>
      </c>
      <c r="L19" s="619" t="n">
        <v>46055</v>
      </c>
      <c r="M19" s="619" t="n">
        <v>46062</v>
      </c>
      <c r="N19" s="619" t="n">
        <v>46069</v>
      </c>
      <c r="O19" s="619" t="n">
        <v>46076</v>
      </c>
      <c r="P19" s="619" t="n">
        <v>46083</v>
      </c>
      <c r="Q19" s="619" t="n">
        <v>46090</v>
      </c>
      <c r="R19" s="619" t="n">
        <v>46097</v>
      </c>
      <c r="S19" s="619" t="n">
        <v>46104</v>
      </c>
      <c r="T19" s="619" t="n">
        <v>46111</v>
      </c>
      <c r="U19" s="619" t="n">
        <v>46118</v>
      </c>
      <c r="V19" s="619" t="n">
        <v>46125</v>
      </c>
      <c r="W19" s="619" t="n">
        <v>46132</v>
      </c>
      <c r="X19" s="619" t="n">
        <v>46139</v>
      </c>
      <c r="Y19" s="619" t="n">
        <v>46146</v>
      </c>
      <c r="Z19" s="619" t="n">
        <v>46154</v>
      </c>
      <c r="AA19" s="619" t="n">
        <v>46160</v>
      </c>
      <c r="AB19" s="620" t="n">
        <v>46161.48012412037</v>
      </c>
      <c r="AC19" s="620" t="n">
        <v>46161.48079752315</v>
      </c>
      <c r="AD19" s="620" t="n">
        <v>46161.48295554802</v>
      </c>
      <c r="AE19" s="621" t="inlineStr">
        <is>
          <t>USOU</t>
        </is>
      </c>
      <c r="AF19" s="11" t="n"/>
      <c r="AG19" s="29" t="inlineStr">
        <is>
          <t>Pendências</t>
        </is>
      </c>
      <c r="AH19" s="29" t="inlineStr">
        <is>
          <t>Pendências</t>
        </is>
      </c>
      <c r="AI19" s="11" t="n"/>
      <c r="AJ19" s="9" t="inlineStr">
        <is>
          <t>Novo Pedido</t>
        </is>
      </c>
      <c r="AK19" s="613" t="n">
        <v>46161.48295472675</v>
      </c>
      <c r="AL19" s="614" t="n">
        <v>46156</v>
      </c>
      <c r="AM19" s="615" t="n">
        <v>46148</v>
      </c>
      <c r="AN19" s="614" t="n">
        <v>46142</v>
      </c>
      <c r="AO19" s="615" t="n">
        <v>46146</v>
      </c>
      <c r="AP19" s="616" t="n">
        <v>46065</v>
      </c>
      <c r="AQ19" s="614" t="n">
        <v>46092</v>
      </c>
      <c r="AR19" s="614" t="n">
        <v>46077</v>
      </c>
      <c r="AS19" s="614" t="n">
        <v>46048</v>
      </c>
      <c r="AT19" s="614" t="n">
        <v>46043</v>
      </c>
      <c r="AU19" s="614" t="n">
        <v>46029</v>
      </c>
      <c r="AV19" s="614" t="n">
        <v>46024</v>
      </c>
      <c r="AW19" s="617" t="n">
        <v>46386</v>
      </c>
      <c r="AX19" s="614" t="n">
        <v>46007</v>
      </c>
      <c r="AY19" s="614" t="n">
        <v>46001</v>
      </c>
      <c r="AZ19" s="614" t="n">
        <v>45994</v>
      </c>
      <c r="BB19" s="397" t="inlineStr">
        <is>
          <t>CAIXAS</t>
        </is>
      </c>
      <c r="BC19" s="384" t="inlineStr">
        <is>
          <t>PCT</t>
        </is>
      </c>
      <c r="BD19" s="619" t="n">
        <v>46118</v>
      </c>
      <c r="BE19" s="619" t="n">
        <v>46125</v>
      </c>
      <c r="BF19" s="619" t="n">
        <v>46132</v>
      </c>
      <c r="BG19" s="619" t="n">
        <v>46139</v>
      </c>
      <c r="BH19" s="619" t="n">
        <v>46146</v>
      </c>
      <c r="BI19" s="619" t="n">
        <v>46154</v>
      </c>
      <c r="BJ19" s="619" t="n">
        <v>46160</v>
      </c>
      <c r="BK19" s="620" t="n">
        <v>46161.48012318287</v>
      </c>
      <c r="BL19" s="620" t="n">
        <v>46161.48079710648</v>
      </c>
      <c r="BM19" s="620" t="n">
        <v>46161.48295518402</v>
      </c>
      <c r="BN19" s="621" t="inlineStr">
        <is>
          <t>USOU</t>
        </is>
      </c>
    </row>
    <row r="20" ht="19.5" customFormat="1" customHeight="1" s="3">
      <c r="A20" s="25" t="inlineStr">
        <is>
          <t>CAIXA P VERDE</t>
        </is>
      </c>
      <c r="B20" s="6" t="n">
        <v>150</v>
      </c>
      <c r="C20" s="627" t="n">
        <v>334.31</v>
      </c>
      <c r="D20" s="240" t="n">
        <v>120</v>
      </c>
      <c r="E20" s="1" t="n"/>
      <c r="F20" s="39" t="n">
        <v>195</v>
      </c>
      <c r="G20" s="39" t="n">
        <v>156</v>
      </c>
      <c r="H20" s="39" t="n">
        <v>142</v>
      </c>
      <c r="I20" s="39" t="n">
        <v>93</v>
      </c>
      <c r="J20" s="39" t="n">
        <v>72</v>
      </c>
      <c r="K20" s="39">
        <f>50+AQ20</f>
        <v/>
      </c>
      <c r="L20" s="39" t="n">
        <v>176</v>
      </c>
      <c r="M20" s="39" t="n">
        <v>147</v>
      </c>
      <c r="N20" s="39" t="n">
        <v>143</v>
      </c>
      <c r="O20" s="39" t="n">
        <v>138</v>
      </c>
      <c r="P20" s="39" t="n">
        <v>137</v>
      </c>
      <c r="Q20" s="39" t="n">
        <v>130</v>
      </c>
      <c r="R20" s="39" t="n">
        <v>120</v>
      </c>
      <c r="S20" s="39" t="n">
        <v>115</v>
      </c>
      <c r="T20" s="39" t="n">
        <v>112</v>
      </c>
      <c r="U20" s="39" t="n"/>
      <c r="V20" s="39" t="n"/>
      <c r="W20" s="39" t="n"/>
      <c r="X20" s="39" t="n">
        <v>83</v>
      </c>
      <c r="Y20" s="39" t="n">
        <v>76</v>
      </c>
      <c r="Z20" s="39" t="n">
        <v>60</v>
      </c>
      <c r="AA20" s="39" t="n">
        <v>46</v>
      </c>
      <c r="AB20" s="6" t="n">
        <v>46</v>
      </c>
      <c r="AC20" s="6" t="n">
        <v>46</v>
      </c>
      <c r="AD20" s="6" t="n">
        <v>46</v>
      </c>
      <c r="AE20" s="380">
        <f>AC20+IF(NOT(ISBLANK(OFFSET(AE20,0,6))),N(OFFSET(AE20,0,6)),N(OFFSET(AE20,0,7)))-AD20</f>
        <v/>
      </c>
      <c r="AF20" s="11" t="n"/>
      <c r="AG20" s="78" t="n"/>
      <c r="AH20" s="78" t="n"/>
      <c r="AI20" s="11" t="n"/>
      <c r="AJ20" s="32" t="n"/>
      <c r="AK20" s="628" t="n">
        <v>0</v>
      </c>
      <c r="AL20" s="19" t="n">
        <v>0</v>
      </c>
      <c r="AM20" s="19" t="n"/>
      <c r="AN20" s="19" t="n">
        <v>0</v>
      </c>
      <c r="AO20" s="19" t="n"/>
      <c r="AP20" s="19" t="n"/>
      <c r="AQ20" s="19" t="n"/>
      <c r="AR20" s="19" t="n"/>
      <c r="AS20" s="19" t="n"/>
      <c r="AT20" s="19" t="n">
        <v>150</v>
      </c>
      <c r="AU20" s="19" t="n"/>
      <c r="AV20" s="19" t="n"/>
      <c r="AW20" s="19" t="n"/>
      <c r="AX20" s="19" t="n"/>
      <c r="AY20" s="19" t="n"/>
      <c r="AZ20" s="19" t="n"/>
      <c r="BB20" s="372" t="inlineStr">
        <is>
          <t>CAIXA P</t>
        </is>
      </c>
      <c r="BC20" s="139" t="n">
        <v>150</v>
      </c>
      <c r="BD20" s="39" t="n">
        <v>0</v>
      </c>
      <c r="BE20" s="39" t="n">
        <v>0</v>
      </c>
      <c r="BF20" s="39" t="n">
        <v>0</v>
      </c>
      <c r="BG20" s="39" t="n">
        <v>0</v>
      </c>
      <c r="BH20" s="39" t="n">
        <v>0</v>
      </c>
      <c r="BI20" s="39" t="n">
        <v>0</v>
      </c>
      <c r="BJ20" s="39" t="n">
        <v>0</v>
      </c>
      <c r="BK20" s="6" t="n"/>
      <c r="BL20" s="6" t="n"/>
      <c r="BM20" s="6" t="n"/>
      <c r="BN20" s="26">
        <f>BL20+IF(NOT(ISBLANK(OFFSET(BN20,0,6))),N(OFFSET(BN20,0,6)),N(OFFSET(BN20,0,7)))-BM20</f>
        <v/>
      </c>
    </row>
    <row r="21" customFormat="1" s="3">
      <c r="A21" s="25" t="inlineStr">
        <is>
          <t>CAIXA M VERDE</t>
        </is>
      </c>
      <c r="B21" s="6" t="n">
        <v>100</v>
      </c>
      <c r="C21" s="634" t="n">
        <v>292.25</v>
      </c>
      <c r="D21" s="243" t="n">
        <v>120</v>
      </c>
      <c r="E21" s="1" t="n"/>
      <c r="F21" s="39" t="n">
        <v>195</v>
      </c>
      <c r="G21" s="39" t="n">
        <v>156</v>
      </c>
      <c r="H21" s="39" t="n">
        <v>148</v>
      </c>
      <c r="I21" s="39" t="n">
        <v>132</v>
      </c>
      <c r="J21" s="39" t="n">
        <v>105</v>
      </c>
      <c r="K21" s="39">
        <f>88+AQ21</f>
        <v/>
      </c>
      <c r="L21" s="39" t="n">
        <v>187</v>
      </c>
      <c r="M21" s="39" t="n">
        <v>182</v>
      </c>
      <c r="N21" s="39" t="n">
        <v>162</v>
      </c>
      <c r="O21" s="39" t="n">
        <v>148</v>
      </c>
      <c r="P21" s="39" t="n">
        <v>131</v>
      </c>
      <c r="Q21" s="39" t="n">
        <v>138</v>
      </c>
      <c r="R21" s="39" t="n">
        <v>128</v>
      </c>
      <c r="S21" s="39" t="n">
        <v>117</v>
      </c>
      <c r="T21" s="39" t="n">
        <v>112</v>
      </c>
      <c r="U21" s="39" t="n"/>
      <c r="V21" s="39" t="n"/>
      <c r="W21" s="39" t="n"/>
      <c r="X21" s="39" t="n">
        <v>79</v>
      </c>
      <c r="Y21" s="39" t="n">
        <v>79</v>
      </c>
      <c r="Z21" s="39" t="n">
        <v>72</v>
      </c>
      <c r="AA21" s="39" t="n">
        <v>67</v>
      </c>
      <c r="AB21" s="6" t="n">
        <v>67</v>
      </c>
      <c r="AC21" s="6" t="n">
        <v>67</v>
      </c>
      <c r="AD21" s="6" t="n">
        <v>67</v>
      </c>
      <c r="AE21" s="380">
        <f>AC21+IF(NOT(ISBLANK(OFFSET(AE21,0,6))),N(OFFSET(AE21,0,6)),N(OFFSET(AE21,0,7)))-AD21</f>
        <v/>
      </c>
      <c r="AF21" s="11" t="n"/>
      <c r="AG21" s="78" t="n"/>
      <c r="AH21" s="78" t="n"/>
      <c r="AI21" s="11" t="n"/>
      <c r="AJ21" s="32" t="n"/>
      <c r="AK21" s="628" t="n">
        <v>0</v>
      </c>
      <c r="AL21" s="19" t="n">
        <v>0</v>
      </c>
      <c r="AM21" s="19" t="n"/>
      <c r="AN21" s="19" t="n">
        <v>0</v>
      </c>
      <c r="AO21" s="19" t="n"/>
      <c r="AP21" s="119" t="n">
        <v>100</v>
      </c>
      <c r="AQ21" s="19" t="n"/>
      <c r="AR21" s="19" t="n"/>
      <c r="AS21" s="19" t="n"/>
      <c r="AT21" s="19" t="n">
        <v>100</v>
      </c>
      <c r="AU21" s="19" t="n"/>
      <c r="AV21" s="19" t="n"/>
      <c r="AW21" s="119" t="n"/>
      <c r="AX21" s="19" t="n"/>
      <c r="AY21" s="19" t="n"/>
      <c r="AZ21" s="19" t="n"/>
      <c r="BB21" s="21" t="inlineStr">
        <is>
          <t>CAIXA M</t>
        </is>
      </c>
      <c r="BC21" s="6" t="n">
        <v>100</v>
      </c>
      <c r="BD21" s="39">
        <f>AM21</f>
        <v/>
      </c>
      <c r="BE21" s="39" t="n"/>
      <c r="BF21" s="39" t="n"/>
      <c r="BG21" s="39" t="n">
        <v>38</v>
      </c>
      <c r="BH21" s="39" t="n">
        <v>35</v>
      </c>
      <c r="BI21" s="39" t="n">
        <v>25</v>
      </c>
      <c r="BJ21" s="39" t="n">
        <v>6</v>
      </c>
      <c r="BK21" s="6" t="n"/>
      <c r="BL21" s="6" t="n"/>
      <c r="BM21" s="6" t="n"/>
      <c r="BN21" s="26">
        <f>BL21+IF(NOT(ISBLANK(OFFSET(BN21,0,6))),N(OFFSET(BN21,0,6)),N(OFFSET(BN21,0,7)))-BM21</f>
        <v/>
      </c>
    </row>
    <row r="22" customFormat="1" s="3">
      <c r="A22" s="25" t="inlineStr">
        <is>
          <t>CAIXA G VERDE</t>
        </is>
      </c>
      <c r="B22" s="6" t="n">
        <v>75</v>
      </c>
      <c r="C22" s="632" t="n">
        <v>425.38</v>
      </c>
      <c r="D22" s="240" t="n">
        <v>25</v>
      </c>
      <c r="E22" s="608" t="n"/>
      <c r="F22" s="39" t="n">
        <v>24</v>
      </c>
      <c r="G22" s="39" t="n">
        <v>24</v>
      </c>
      <c r="H22" s="39" t="n">
        <v>24</v>
      </c>
      <c r="I22" s="39" t="n">
        <v>24</v>
      </c>
      <c r="J22" s="39" t="n">
        <v>19</v>
      </c>
      <c r="K22" s="39" t="n">
        <v>19</v>
      </c>
      <c r="L22" s="39" t="n">
        <v>19</v>
      </c>
      <c r="M22" s="39" t="n">
        <v>18</v>
      </c>
      <c r="N22" s="39" t="n">
        <v>17</v>
      </c>
      <c r="O22" s="39" t="n">
        <v>17</v>
      </c>
      <c r="P22" s="39" t="n">
        <v>17</v>
      </c>
      <c r="Q22" s="39" t="n">
        <v>17</v>
      </c>
      <c r="R22" s="39" t="n">
        <v>17</v>
      </c>
      <c r="S22" s="39" t="n">
        <v>17</v>
      </c>
      <c r="T22" s="39" t="n">
        <v>17</v>
      </c>
      <c r="U22" s="39" t="n">
        <v>17</v>
      </c>
      <c r="V22" s="39" t="n">
        <v>17</v>
      </c>
      <c r="W22" s="39" t="n">
        <v>15</v>
      </c>
      <c r="X22" s="39" t="n">
        <v>15</v>
      </c>
      <c r="Y22" s="39" t="n">
        <v>15</v>
      </c>
      <c r="Z22" s="39" t="n">
        <v>4</v>
      </c>
      <c r="AA22" s="211" t="n">
        <v>17</v>
      </c>
      <c r="AB22" s="381" t="n">
        <v>17</v>
      </c>
      <c r="AC22" s="381" t="n">
        <v>17</v>
      </c>
      <c r="AD22" s="381" t="n">
        <v>17</v>
      </c>
      <c r="AE22" s="380">
        <f>AC22+IF(NOT(ISBLANK(OFFSET(AE22,0,6))),N(OFFSET(AE22,0,6)),N(OFFSET(AE22,0,7)))-AD22</f>
        <v/>
      </c>
      <c r="AF22" s="11" t="n"/>
      <c r="AG22" s="287" t="n"/>
      <c r="AH22" s="287" t="n"/>
      <c r="AI22" s="11" t="n"/>
      <c r="AJ22" s="32" t="n"/>
      <c r="AK22" s="628" t="n">
        <v>0</v>
      </c>
      <c r="AL22" s="19" t="n">
        <v>0</v>
      </c>
      <c r="AM22" s="19" t="n"/>
      <c r="AN22" s="19" t="n">
        <v>0</v>
      </c>
      <c r="AO22" s="19" t="n"/>
      <c r="AP22" s="119" t="n">
        <v>200</v>
      </c>
      <c r="AQ22" s="19" t="n"/>
      <c r="AR22" s="19" t="n"/>
      <c r="AS22" s="19" t="n"/>
      <c r="AT22" s="19" t="n"/>
      <c r="AU22" s="19" t="n"/>
      <c r="AV22" s="19" t="n"/>
      <c r="AW22" s="119" t="n"/>
      <c r="AX22" s="19" t="n"/>
      <c r="AY22" s="19" t="n"/>
      <c r="AZ22" s="19" t="n"/>
      <c r="BB22" s="22" t="inlineStr">
        <is>
          <t>CARTUCHO P</t>
        </is>
      </c>
      <c r="BC22" s="6" t="n">
        <v>200</v>
      </c>
      <c r="BD22" s="39">
        <f>AM22</f>
        <v/>
      </c>
      <c r="BE22" s="39" t="n"/>
      <c r="BF22" s="39" t="n"/>
      <c r="BG22" s="39" t="n">
        <v>63</v>
      </c>
      <c r="BH22" s="39" t="n">
        <v>53</v>
      </c>
      <c r="BI22" s="39" t="n">
        <v>0</v>
      </c>
      <c r="BJ22" s="39" t="n">
        <v>0</v>
      </c>
      <c r="BK22" s="6" t="n"/>
      <c r="BL22" s="6" t="n"/>
      <c r="BM22" s="6" t="n"/>
      <c r="BN22" s="26">
        <f>BL22+IF(NOT(ISBLANK(OFFSET(BN22,0,6))),N(OFFSET(BN22,0,6)),N(OFFSET(BN22,0,7)))-BM22</f>
        <v/>
      </c>
    </row>
    <row r="23" customFormat="1" s="3">
      <c r="A23" s="25" t="inlineStr">
        <is>
          <t>CARTUCHO M VERDE</t>
        </is>
      </c>
      <c r="B23" s="6" t="n">
        <v>150</v>
      </c>
      <c r="C23" s="632" t="n">
        <v>427.5</v>
      </c>
      <c r="D23" s="240" t="n">
        <v>150</v>
      </c>
      <c r="E23" s="608" t="n"/>
      <c r="F23" s="2" t="n"/>
      <c r="G23" s="2" t="n"/>
      <c r="H23" s="2" t="n"/>
      <c r="I23" s="39" t="n"/>
      <c r="J23" s="39" t="n">
        <v>0</v>
      </c>
      <c r="K23" s="39" t="n">
        <v>0</v>
      </c>
      <c r="L23" s="39">
        <f>0+AP23</f>
        <v/>
      </c>
      <c r="M23" s="39" t="n">
        <v>119</v>
      </c>
      <c r="N23" s="39" t="n">
        <v>105</v>
      </c>
      <c r="O23" s="39" t="n">
        <v>104</v>
      </c>
      <c r="P23" s="39" t="n">
        <v>95</v>
      </c>
      <c r="Q23" s="39" t="n">
        <v>65</v>
      </c>
      <c r="R23" s="39">
        <f>49+AN23</f>
        <v/>
      </c>
      <c r="S23" s="39" t="n">
        <v>186</v>
      </c>
      <c r="T23" s="39" t="n">
        <v>176</v>
      </c>
      <c r="U23" s="39" t="n"/>
      <c r="V23" s="39" t="n"/>
      <c r="W23" s="39" t="n"/>
      <c r="X23" s="39" t="n">
        <v>95</v>
      </c>
      <c r="Y23" s="39" t="n">
        <v>95</v>
      </c>
      <c r="Z23" s="39">
        <f>95+17</f>
        <v/>
      </c>
      <c r="AA23" s="211" t="n">
        <v>110</v>
      </c>
      <c r="AB23" s="381" t="n">
        <v>110</v>
      </c>
      <c r="AC23" s="381" t="n">
        <v>110</v>
      </c>
      <c r="AD23" s="381" t="n">
        <v>110</v>
      </c>
      <c r="AE23" s="380">
        <f>AC23+IF(NOT(ISBLANK(OFFSET(AE23,0,6))),N(OFFSET(AE23,0,6)),N(OFFSET(AE23,0,7)))-AD23</f>
        <v/>
      </c>
      <c r="AF23" s="11" t="n"/>
      <c r="AG23" s="78" t="n"/>
      <c r="AH23" s="78" t="n"/>
      <c r="AI23" s="11" t="n"/>
      <c r="AJ23" s="32" t="n"/>
      <c r="AK23" s="628" t="n">
        <v>0</v>
      </c>
      <c r="AL23" s="19" t="n">
        <v>0</v>
      </c>
      <c r="AM23" s="19" t="n"/>
      <c r="AN23" s="19" t="n">
        <v>0</v>
      </c>
      <c r="AO23" s="19" t="n"/>
      <c r="AP23" s="119" t="n">
        <v>150</v>
      </c>
      <c r="AQ23" s="19" t="n">
        <v>150</v>
      </c>
      <c r="AR23" s="19" t="n"/>
      <c r="AS23" s="19" t="n">
        <v>150</v>
      </c>
      <c r="AT23" s="19" t="n"/>
      <c r="AU23" s="19" t="n"/>
      <c r="AV23" s="19" t="n"/>
      <c r="AW23" s="119" t="n"/>
      <c r="AX23" s="19" t="n"/>
      <c r="AY23" s="19" t="n"/>
      <c r="AZ23" s="19" t="n"/>
      <c r="BB23" s="22" t="inlineStr">
        <is>
          <t>CARTUCHO M</t>
        </is>
      </c>
      <c r="BC23" s="6" t="n">
        <v>150</v>
      </c>
      <c r="BD23" s="39">
        <f>AM23</f>
        <v/>
      </c>
      <c r="BE23" s="39" t="n"/>
      <c r="BF23" s="39" t="n"/>
      <c r="BG23" s="39" t="n">
        <v>127</v>
      </c>
      <c r="BH23" s="39" t="n">
        <v>122</v>
      </c>
      <c r="BI23" s="39" t="n">
        <v>19</v>
      </c>
      <c r="BJ23" s="39" t="n">
        <v>4</v>
      </c>
      <c r="BK23" s="6" t="n"/>
      <c r="BL23" s="6" t="n"/>
      <c r="BM23" s="6" t="n"/>
      <c r="BN23" s="26">
        <f>BL23+IF(NOT(ISBLANK(OFFSET(BN23,0,6))),N(OFFSET(BN23,0,6)),N(OFFSET(BN23,0,7)))-BM23</f>
        <v/>
      </c>
    </row>
    <row r="24">
      <c r="AK24" s="11" t="n"/>
      <c r="AL24" s="11" t="n"/>
      <c r="AM24" s="11" t="n"/>
      <c r="AN24" s="11" t="n"/>
      <c r="AO24" s="11" t="n"/>
      <c r="AP24" s="11" t="n"/>
      <c r="AQ24" s="11" t="n"/>
      <c r="AR24" s="11" t="n"/>
      <c r="AS24" s="11" t="n"/>
      <c r="AT24" s="11" t="n"/>
      <c r="AU24" s="11" t="n"/>
      <c r="AV24" s="11" t="n"/>
      <c r="AW24" s="11" t="n"/>
      <c r="AX24" s="11" t="n"/>
      <c r="AY24" s="11" t="n"/>
      <c r="AZ24" s="11" t="n"/>
    </row>
    <row r="25">
      <c r="A25" s="386" t="inlineStr">
        <is>
          <t>SOBRAS CAIXAS</t>
        </is>
      </c>
      <c r="B25" s="387" t="inlineStr">
        <is>
          <t>PCT</t>
        </is>
      </c>
      <c r="C25" s="387" t="inlineStr">
        <is>
          <t xml:space="preserve">R$ </t>
        </is>
      </c>
      <c r="D25" s="387" t="n"/>
      <c r="F25" s="619" t="n">
        <v>46013</v>
      </c>
      <c r="G25" s="619" t="n">
        <v>46020</v>
      </c>
      <c r="H25" s="619" t="n">
        <v>46027</v>
      </c>
      <c r="I25" s="619" t="n">
        <v>46034</v>
      </c>
      <c r="J25" s="619" t="n">
        <v>46041</v>
      </c>
      <c r="K25" s="619" t="n">
        <v>46048</v>
      </c>
      <c r="L25" s="619" t="n">
        <v>46055</v>
      </c>
      <c r="M25" s="619" t="n">
        <v>46062</v>
      </c>
      <c r="N25" s="619" t="n">
        <v>46069</v>
      </c>
      <c r="O25" s="619" t="n">
        <v>46076</v>
      </c>
      <c r="P25" s="619" t="n">
        <v>46083</v>
      </c>
      <c r="Q25" s="619" t="n">
        <v>46090</v>
      </c>
      <c r="R25" s="619" t="n">
        <v>46097</v>
      </c>
      <c r="S25" s="619" t="n">
        <v>46104</v>
      </c>
      <c r="T25" s="619" t="n">
        <v>46111</v>
      </c>
      <c r="U25" s="619" t="n">
        <v>46118</v>
      </c>
      <c r="V25" s="619" t="n">
        <v>46125</v>
      </c>
      <c r="W25" s="619" t="n">
        <v>46132</v>
      </c>
      <c r="X25" s="619" t="n">
        <v>46139</v>
      </c>
      <c r="Y25" s="619" t="n">
        <v>46146</v>
      </c>
      <c r="Z25" s="619" t="n">
        <v>46154</v>
      </c>
      <c r="AA25" s="619" t="n">
        <v>46160</v>
      </c>
      <c r="AB25" s="620" t="n">
        <v>46161.48012412037</v>
      </c>
      <c r="AC25" s="620" t="n">
        <v>46161.48079752315</v>
      </c>
      <c r="AD25" s="620" t="n">
        <v>46161.48295554827</v>
      </c>
      <c r="AE25" s="621" t="inlineStr">
        <is>
          <t>USOU</t>
        </is>
      </c>
      <c r="AK25" s="11" t="n"/>
      <c r="AL25" s="11" t="n"/>
      <c r="AM25" s="11" t="n"/>
      <c r="AN25" s="11" t="n"/>
      <c r="AO25" s="11" t="n"/>
      <c r="AP25" s="11" t="n"/>
      <c r="AQ25" s="11" t="n"/>
      <c r="AR25" s="11" t="n"/>
      <c r="AS25" s="11" t="n"/>
      <c r="AT25" s="11" t="n"/>
      <c r="AU25" s="11" t="n"/>
      <c r="AV25" s="11" t="n"/>
      <c r="AW25" s="11" t="n"/>
      <c r="AX25" s="11" t="n"/>
      <c r="AY25" s="11" t="n"/>
      <c r="AZ25" s="11" t="n"/>
    </row>
    <row r="26">
      <c r="A26" s="392" t="inlineStr">
        <is>
          <t>CAIXA M DIVERT./24</t>
        </is>
      </c>
      <c r="B26" s="393" t="n">
        <v>100</v>
      </c>
      <c r="C26" s="635" t="n">
        <v>790</v>
      </c>
      <c r="D26" s="404" t="n"/>
      <c r="F26" s="39" t="n">
        <v>100</v>
      </c>
      <c r="G26" s="39" t="n">
        <v>85</v>
      </c>
      <c r="H26" s="39" t="n">
        <v>59</v>
      </c>
      <c r="I26" s="39" t="n">
        <v>59</v>
      </c>
      <c r="J26" s="39" t="n">
        <v>59</v>
      </c>
      <c r="K26" s="39" t="n">
        <v>57</v>
      </c>
      <c r="L26" s="39" t="n">
        <v>43</v>
      </c>
      <c r="M26" s="39" t="n">
        <v>56</v>
      </c>
      <c r="N26" s="39" t="n">
        <v>56</v>
      </c>
      <c r="O26" s="39" t="n">
        <v>55</v>
      </c>
      <c r="P26" s="39" t="n">
        <v>55</v>
      </c>
      <c r="Q26" s="39" t="n">
        <v>55</v>
      </c>
      <c r="R26" s="39" t="n">
        <v>54</v>
      </c>
      <c r="S26" s="39" t="n">
        <v>54</v>
      </c>
      <c r="T26" s="39" t="n">
        <v>54</v>
      </c>
      <c r="U26" s="39" t="n">
        <v>54</v>
      </c>
      <c r="V26" s="39" t="n">
        <v>54</v>
      </c>
      <c r="W26" s="39" t="n">
        <v>43</v>
      </c>
      <c r="X26" s="39" t="n">
        <v>43</v>
      </c>
      <c r="Y26" s="39" t="n">
        <v>41</v>
      </c>
      <c r="Z26" s="39" t="n">
        <v>51</v>
      </c>
      <c r="AA26" s="211" t="n">
        <v>39</v>
      </c>
      <c r="AB26" s="381" t="n">
        <v>39</v>
      </c>
      <c r="AC26" s="381" t="n">
        <v>39</v>
      </c>
      <c r="AD26" s="381" t="n">
        <v>39</v>
      </c>
      <c r="AE26" s="380">
        <f>AC26+IF(NOT(ISBLANK(OFFSET(AE26,0,6))),N(OFFSET(AE26,0,6)),N(OFFSET(AE26,0,7)))-AD26</f>
        <v/>
      </c>
      <c r="AG26" s="355" t="n"/>
      <c r="AH26" s="355" t="n"/>
      <c r="AK26" s="11" t="n"/>
      <c r="AL26" s="11" t="n"/>
      <c r="AM26" s="11" t="n"/>
      <c r="AN26" s="11" t="n"/>
      <c r="AO26" s="11" t="n"/>
      <c r="AP26" s="11" t="n"/>
      <c r="AQ26" s="11" t="n"/>
      <c r="AR26" s="11" t="n"/>
      <c r="AS26" s="11" t="n"/>
      <c r="AT26" s="11" t="n"/>
      <c r="AU26" s="11" t="n"/>
      <c r="AV26" s="11" t="n"/>
      <c r="AW26" s="11" t="n"/>
      <c r="AX26" s="11" t="n"/>
      <c r="AY26" s="11" t="n"/>
      <c r="AZ26" s="11" t="n"/>
    </row>
    <row r="27" hidden="1">
      <c r="A27" s="394" t="inlineStr">
        <is>
          <t>ÁRVORE</t>
        </is>
      </c>
      <c r="B27" s="163" t="n">
        <v>100</v>
      </c>
      <c r="C27" s="636" t="n">
        <v>295</v>
      </c>
      <c r="D27" s="404" t="n"/>
      <c r="F27" s="39" t="n">
        <v>2</v>
      </c>
      <c r="G27" s="39" t="n">
        <v>2</v>
      </c>
      <c r="H27" s="39" t="n">
        <v>2</v>
      </c>
      <c r="I27" s="39" t="n">
        <v>0</v>
      </c>
      <c r="J27" s="39" t="n">
        <v>0</v>
      </c>
      <c r="K27" s="39" t="n"/>
      <c r="L27" s="39" t="n"/>
      <c r="M27" s="39" t="n"/>
      <c r="N27" s="39" t="n"/>
      <c r="O27" s="39" t="n"/>
      <c r="P27" s="39" t="n"/>
      <c r="Q27" s="39" t="n"/>
      <c r="R27" s="39" t="n"/>
      <c r="S27" s="39" t="n"/>
      <c r="T27" s="39" t="n"/>
      <c r="U27" s="39" t="n"/>
      <c r="V27" s="39" t="n"/>
      <c r="W27" s="39" t="n"/>
      <c r="X27" s="39" t="n"/>
      <c r="Y27" s="39" t="n"/>
      <c r="Z27" s="39" t="n"/>
      <c r="AA27" s="39" t="n"/>
      <c r="AB27" s="6" t="n"/>
      <c r="AC27" s="6" t="n"/>
      <c r="AD27" s="6" t="n"/>
      <c r="AE27" s="380">
        <f>AC27+IF(NOT(ISBLANK(OFFSET(AE27,0,6))),N(OFFSET(AE27,0,6)),N(OFFSET(AE27,0,7)))-AD27</f>
        <v/>
      </c>
      <c r="AG27" s="355" t="n"/>
      <c r="AH27" s="355" t="n"/>
      <c r="AK27" s="11" t="n"/>
      <c r="AL27" s="11" t="n"/>
      <c r="AM27" s="11" t="n"/>
      <c r="AN27" s="11" t="n"/>
      <c r="AO27" s="11" t="n"/>
      <c r="AP27" s="11" t="n"/>
      <c r="AQ27" s="11" t="n"/>
      <c r="AR27" s="11" t="n"/>
      <c r="AS27" s="11" t="n"/>
      <c r="AT27" s="11" t="n"/>
      <c r="AU27" s="11" t="n"/>
      <c r="AV27" s="11" t="n"/>
      <c r="AW27" s="11" t="n"/>
      <c r="AX27" s="11" t="n"/>
      <c r="AY27" s="11" t="n"/>
      <c r="AZ27" s="11" t="n"/>
    </row>
    <row r="28" hidden="1">
      <c r="A28" s="394" t="inlineStr">
        <is>
          <t>BOLA</t>
        </is>
      </c>
      <c r="B28" s="163" t="n">
        <v>100</v>
      </c>
      <c r="C28" s="636" t="n">
        <v>283</v>
      </c>
      <c r="D28" s="404" t="n"/>
      <c r="F28" s="39" t="n">
        <v>2</v>
      </c>
      <c r="G28" s="39" t="n">
        <v>2</v>
      </c>
      <c r="H28" s="39" t="n">
        <v>2</v>
      </c>
      <c r="I28" s="39" t="n">
        <v>0</v>
      </c>
      <c r="J28" s="39" t="n">
        <v>0</v>
      </c>
      <c r="K28" s="39" t="n"/>
      <c r="L28" s="39" t="n"/>
      <c r="M28" s="39" t="n"/>
      <c r="N28" s="39" t="n"/>
      <c r="O28" s="39" t="n"/>
      <c r="P28" s="39" t="n"/>
      <c r="Q28" s="39" t="n"/>
      <c r="R28" s="39" t="n"/>
      <c r="S28" s="39" t="n"/>
      <c r="T28" s="39" t="n"/>
      <c r="U28" s="39" t="n"/>
      <c r="V28" s="39" t="n"/>
      <c r="W28" s="39" t="n"/>
      <c r="X28" s="39" t="n"/>
      <c r="Y28" s="39" t="n"/>
      <c r="Z28" s="39" t="n"/>
      <c r="AA28" s="39" t="n"/>
      <c r="AB28" s="6" t="n"/>
      <c r="AC28" s="6" t="n"/>
      <c r="AD28" s="6" t="n"/>
      <c r="AE28" s="380">
        <f>AC28+IF(NOT(ISBLANK(OFFSET(AE28,0,6))),N(OFFSET(AE28,0,6)),N(OFFSET(AE28,0,7)))-AD28</f>
        <v/>
      </c>
      <c r="AG28" s="355" t="n"/>
      <c r="AH28" s="355" t="n"/>
      <c r="AK28" s="11" t="n"/>
      <c r="AL28" s="11" t="n"/>
      <c r="AM28" s="11" t="n"/>
      <c r="AN28" s="11" t="n"/>
      <c r="AO28" s="11" t="n"/>
      <c r="AP28" s="11" t="n"/>
      <c r="AQ28" s="11" t="n"/>
      <c r="AR28" s="11" t="n"/>
      <c r="AS28" s="11" t="n"/>
      <c r="AT28" s="11" t="n"/>
      <c r="AU28" s="11" t="n"/>
      <c r="AV28" s="11" t="n"/>
      <c r="AW28" s="11" t="n"/>
      <c r="AX28" s="11" t="n"/>
      <c r="AY28" s="11" t="n"/>
      <c r="AZ28" s="11" t="n"/>
    </row>
    <row r="29">
      <c r="A29" s="405" t="inlineStr">
        <is>
          <t>PIN MELHOR PAI DO MDO</t>
        </is>
      </c>
      <c r="B29" s="406" t="n">
        <v>25</v>
      </c>
      <c r="C29" s="637" t="n">
        <v>249.25</v>
      </c>
      <c r="D29" s="404" t="n"/>
      <c r="F29" s="6" t="n">
        <v>15</v>
      </c>
      <c r="G29" s="6" t="n">
        <v>15</v>
      </c>
      <c r="H29" s="6" t="n">
        <v>15</v>
      </c>
      <c r="I29" s="6" t="n">
        <v>15</v>
      </c>
      <c r="J29" s="6" t="n">
        <v>15</v>
      </c>
      <c r="K29" s="6" t="n">
        <v>15</v>
      </c>
      <c r="L29" s="6" t="n">
        <v>15</v>
      </c>
      <c r="M29" s="6" t="n">
        <v>15</v>
      </c>
      <c r="N29" s="6" t="n">
        <v>15</v>
      </c>
      <c r="O29" s="6" t="n">
        <v>15</v>
      </c>
      <c r="P29" s="6" t="n">
        <v>15</v>
      </c>
      <c r="Q29" s="6" t="n">
        <v>15</v>
      </c>
      <c r="R29" s="6" t="n">
        <v>15</v>
      </c>
      <c r="S29" s="6" t="n">
        <v>15</v>
      </c>
      <c r="T29" s="6" t="n">
        <v>15</v>
      </c>
      <c r="U29" s="6" t="n">
        <v>15</v>
      </c>
      <c r="V29" s="6" t="n">
        <v>15</v>
      </c>
      <c r="W29" s="6" t="n">
        <v>15</v>
      </c>
      <c r="X29" s="6" t="n">
        <v>15</v>
      </c>
      <c r="Y29" s="6" t="n">
        <v>15</v>
      </c>
      <c r="Z29" s="6" t="n">
        <v>15</v>
      </c>
      <c r="AA29" s="6" t="n">
        <v>15</v>
      </c>
      <c r="AB29" s="6" t="n">
        <v>15</v>
      </c>
      <c r="AC29" s="6" t="n">
        <v>15</v>
      </c>
      <c r="AD29" s="6" t="n">
        <v>15</v>
      </c>
      <c r="AE29" s="380">
        <f>AC29+IF(NOT(ISBLANK(OFFSET(AE29,0,6))),N(OFFSET(AE29,0,6)),N(OFFSET(AE29,0,7)))-AD29</f>
        <v/>
      </c>
      <c r="AG29" s="355" t="n"/>
      <c r="AH29" s="355" t="n"/>
      <c r="AK29" s="11" t="n"/>
      <c r="AL29" s="11" t="n"/>
      <c r="AM29" s="11" t="n"/>
      <c r="AN29" s="11" t="n"/>
      <c r="AO29" s="11" t="n"/>
      <c r="AP29" s="11" t="n"/>
      <c r="AQ29" s="11" t="n"/>
      <c r="AR29" s="11" t="n"/>
      <c r="AS29" s="11" t="n"/>
      <c r="AT29" s="11" t="n"/>
      <c r="AU29" s="11" t="n"/>
      <c r="AV29" s="11" t="n"/>
      <c r="AW29" s="11" t="n"/>
      <c r="AX29" s="11" t="n"/>
      <c r="AY29" s="11" t="n"/>
      <c r="AZ29" s="11" t="n"/>
    </row>
    <row r="30">
      <c r="A30" s="405" t="inlineStr">
        <is>
          <t>PIN BALÃO</t>
        </is>
      </c>
      <c r="B30" s="406" t="n">
        <v>25</v>
      </c>
      <c r="C30" s="637" t="n">
        <v>249.25</v>
      </c>
      <c r="D30" s="404" t="n"/>
      <c r="F30" s="6" t="n">
        <v>10</v>
      </c>
      <c r="G30" s="6" t="n">
        <v>10</v>
      </c>
      <c r="H30" s="6" t="n">
        <v>10</v>
      </c>
      <c r="I30" s="6" t="n">
        <v>10</v>
      </c>
      <c r="J30" s="6" t="n">
        <v>10</v>
      </c>
      <c r="K30" s="6" t="n">
        <v>10</v>
      </c>
      <c r="L30" s="6" t="n">
        <v>10</v>
      </c>
      <c r="M30" s="6" t="n">
        <v>10</v>
      </c>
      <c r="N30" s="6" t="n">
        <v>10</v>
      </c>
      <c r="O30" s="6" t="n">
        <v>10</v>
      </c>
      <c r="P30" s="6" t="n">
        <v>10</v>
      </c>
      <c r="Q30" s="6" t="n">
        <v>10</v>
      </c>
      <c r="R30" s="6" t="n">
        <v>10</v>
      </c>
      <c r="S30" s="6" t="n">
        <v>10</v>
      </c>
      <c r="T30" s="6" t="n">
        <v>10</v>
      </c>
      <c r="U30" s="6" t="n">
        <v>10</v>
      </c>
      <c r="V30" s="6" t="n">
        <v>10</v>
      </c>
      <c r="W30" s="6" t="n">
        <v>10</v>
      </c>
      <c r="X30" s="6" t="n">
        <v>10</v>
      </c>
      <c r="Y30" s="6" t="n">
        <v>10</v>
      </c>
      <c r="Z30" s="6" t="n">
        <v>10</v>
      </c>
      <c r="AA30" s="6" t="n">
        <v>10</v>
      </c>
      <c r="AB30" s="6" t="n">
        <v>10</v>
      </c>
      <c r="AC30" s="6" t="n">
        <v>10</v>
      </c>
      <c r="AD30" s="6" t="n">
        <v>10</v>
      </c>
      <c r="AE30" s="380">
        <f>AC30+IF(NOT(ISBLANK(OFFSET(AE30,0,6))),N(OFFSET(AE30,0,6)),N(OFFSET(AE30,0,7)))-AD30</f>
        <v/>
      </c>
      <c r="AG30" s="355" t="n"/>
      <c r="AH30" s="355" t="n"/>
      <c r="AK30" s="11" t="n"/>
      <c r="AL30" s="11" t="n"/>
      <c r="AM30" s="11" t="n"/>
      <c r="AN30" s="11" t="n"/>
      <c r="AO30" s="11" t="n"/>
      <c r="AP30" s="11" t="n"/>
      <c r="AQ30" s="11" t="n"/>
      <c r="AR30" s="11" t="n"/>
      <c r="AS30" s="11" t="n"/>
      <c r="AT30" s="11" t="n"/>
      <c r="AU30" s="11" t="n"/>
      <c r="AV30" s="11" t="n"/>
      <c r="AW30" s="11" t="n"/>
      <c r="AX30" s="11" t="n"/>
      <c r="AY30" s="11" t="n"/>
      <c r="AZ30" s="11" t="n"/>
    </row>
    <row r="31">
      <c r="A31" s="405" t="inlineStr">
        <is>
          <t>PIN AMOR</t>
        </is>
      </c>
      <c r="B31" s="406" t="n">
        <v>25</v>
      </c>
      <c r="C31" s="637" t="n">
        <v>249.25</v>
      </c>
      <c r="D31" s="404" t="n"/>
      <c r="F31" s="6" t="n">
        <v>13</v>
      </c>
      <c r="G31" s="6" t="n">
        <v>13</v>
      </c>
      <c r="H31" s="6" t="n">
        <v>13</v>
      </c>
      <c r="I31" s="6" t="n">
        <v>13</v>
      </c>
      <c r="J31" s="6" t="n">
        <v>13</v>
      </c>
      <c r="K31" s="6" t="n">
        <v>13</v>
      </c>
      <c r="L31" s="6" t="n">
        <v>13</v>
      </c>
      <c r="M31" s="6" t="n">
        <v>13</v>
      </c>
      <c r="N31" s="6" t="n">
        <v>13</v>
      </c>
      <c r="O31" s="6" t="n">
        <v>13</v>
      </c>
      <c r="P31" s="6" t="n">
        <v>13</v>
      </c>
      <c r="Q31" s="6" t="n">
        <v>13</v>
      </c>
      <c r="R31" s="6" t="n">
        <v>13</v>
      </c>
      <c r="S31" s="6" t="n">
        <v>13</v>
      </c>
      <c r="T31" s="6" t="n">
        <v>13</v>
      </c>
      <c r="U31" s="6" t="n">
        <v>13</v>
      </c>
      <c r="V31" s="6" t="n">
        <v>13</v>
      </c>
      <c r="W31" s="6" t="n">
        <v>13</v>
      </c>
      <c r="X31" s="6" t="n">
        <v>13</v>
      </c>
      <c r="Y31" s="6" t="n">
        <v>13</v>
      </c>
      <c r="Z31" s="6" t="n">
        <v>13</v>
      </c>
      <c r="AA31" s="6" t="n">
        <v>13</v>
      </c>
      <c r="AB31" s="6" t="n">
        <v>13</v>
      </c>
      <c r="AC31" s="6" t="n">
        <v>13</v>
      </c>
      <c r="AD31" s="6" t="n">
        <v>13</v>
      </c>
      <c r="AE31" s="380">
        <f>AC31+IF(NOT(ISBLANK(OFFSET(AE31,0,6))),N(OFFSET(AE31,0,6)),N(OFFSET(AE31,0,7)))-AD31</f>
        <v/>
      </c>
      <c r="AG31" s="355" t="n"/>
      <c r="AH31" s="355" t="n"/>
      <c r="AK31" s="11" t="n"/>
      <c r="AL31" s="11" t="n"/>
      <c r="AM31" s="11" t="n"/>
      <c r="AN31" s="11" t="n"/>
      <c r="AO31" s="11" t="n"/>
      <c r="AP31" s="11" t="n"/>
      <c r="AQ31" s="11" t="n"/>
      <c r="AR31" s="11" t="n"/>
      <c r="AS31" s="11" t="n"/>
      <c r="AT31" s="11" t="n"/>
      <c r="AU31" s="11" t="n"/>
      <c r="AV31" s="11" t="n"/>
      <c r="AW31" s="11" t="n"/>
      <c r="AX31" s="11" t="n"/>
      <c r="AY31" s="11" t="n"/>
      <c r="AZ31" s="11" t="n"/>
    </row>
    <row r="32">
      <c r="A32" s="291" t="inlineStr">
        <is>
          <t>CAIXA M HOMEM ARANHA</t>
        </is>
      </c>
      <c r="B32" s="292" t="n">
        <v>100</v>
      </c>
      <c r="C32" s="638" t="n">
        <v>1490</v>
      </c>
      <c r="D32" s="404" t="n"/>
      <c r="F32" s="6" t="n">
        <v>5</v>
      </c>
      <c r="G32" s="6" t="n">
        <v>5</v>
      </c>
      <c r="H32" s="6" t="n">
        <v>5</v>
      </c>
      <c r="I32" s="6" t="n">
        <v>1</v>
      </c>
      <c r="J32" s="6" t="n">
        <v>1</v>
      </c>
      <c r="K32" s="6" t="n">
        <v>1</v>
      </c>
      <c r="L32" s="6" t="n">
        <v>1</v>
      </c>
      <c r="M32" s="6" t="n">
        <v>1</v>
      </c>
      <c r="N32" s="6" t="n">
        <v>1</v>
      </c>
      <c r="O32" s="6" t="n">
        <v>1</v>
      </c>
      <c r="P32" s="6" t="n">
        <v>1</v>
      </c>
      <c r="Q32" s="6" t="n">
        <v>1</v>
      </c>
      <c r="R32" s="6" t="n">
        <v>1</v>
      </c>
      <c r="S32" s="6" t="n">
        <v>1</v>
      </c>
      <c r="T32" s="6" t="n">
        <v>1</v>
      </c>
      <c r="U32" s="6" t="n">
        <v>1</v>
      </c>
      <c r="V32" s="6" t="n">
        <v>1</v>
      </c>
      <c r="W32" s="6" t="n">
        <v>1</v>
      </c>
      <c r="X32" s="6" t="n">
        <v>1</v>
      </c>
      <c r="Y32" s="6" t="n">
        <v>1</v>
      </c>
      <c r="Z32" s="6" t="n">
        <v>1</v>
      </c>
      <c r="AA32" s="6" t="n">
        <v>0</v>
      </c>
      <c r="AB32" s="6" t="n">
        <v>0</v>
      </c>
      <c r="AC32" s="6" t="n">
        <v>0</v>
      </c>
      <c r="AD32" s="6" t="n">
        <v>0</v>
      </c>
      <c r="AE32" s="380">
        <f>AC32+IF(NOT(ISBLANK(OFFSET(AE32,0,6))),N(OFFSET(AE32,0,6)),N(OFFSET(AE32,0,7)))-AD32</f>
        <v/>
      </c>
      <c r="AG32" s="355" t="n"/>
      <c r="AH32" s="355" t="n"/>
      <c r="AK32" s="11" t="n"/>
      <c r="AL32" s="11" t="n"/>
      <c r="AM32" s="11" t="n"/>
      <c r="AN32" s="11" t="n"/>
      <c r="AO32" s="11" t="n"/>
      <c r="AP32" s="11" t="n"/>
      <c r="AQ32" s="11" t="n"/>
      <c r="AR32" s="11" t="n"/>
      <c r="AS32" s="11" t="n"/>
      <c r="AT32" s="11" t="n"/>
      <c r="AU32" s="11" t="n"/>
      <c r="AV32" s="11" t="n"/>
      <c r="AW32" s="11" t="n"/>
      <c r="AX32" s="11" t="n"/>
      <c r="AY32" s="11" t="n"/>
      <c r="AZ32" s="11" t="n"/>
    </row>
    <row r="33">
      <c r="A33" s="25" t="inlineStr">
        <is>
          <t>CAIXA P NATAL/25</t>
        </is>
      </c>
      <c r="B33" s="6" t="n">
        <v>150</v>
      </c>
      <c r="C33" s="639" t="n">
        <v>805.35</v>
      </c>
      <c r="D33" s="404" t="n"/>
      <c r="F33" s="6" t="n">
        <v>236</v>
      </c>
      <c r="G33" s="6" t="n">
        <v>169</v>
      </c>
      <c r="H33" s="6" t="n">
        <v>152</v>
      </c>
      <c r="I33" s="6" t="n">
        <v>95</v>
      </c>
      <c r="J33" s="6" t="n">
        <v>95</v>
      </c>
      <c r="K33" s="6" t="n">
        <v>95</v>
      </c>
      <c r="L33" s="6" t="n">
        <v>95</v>
      </c>
      <c r="M33" s="6" t="n">
        <v>95</v>
      </c>
      <c r="N33" s="6" t="n">
        <v>95</v>
      </c>
      <c r="O33" s="6" t="n">
        <v>95</v>
      </c>
      <c r="P33" s="6" t="n">
        <v>95</v>
      </c>
      <c r="Q33" s="6" t="n">
        <v>93</v>
      </c>
      <c r="R33" s="6" t="n">
        <v>93</v>
      </c>
      <c r="S33" s="6" t="n">
        <v>93</v>
      </c>
      <c r="T33" s="6" t="n">
        <v>93</v>
      </c>
      <c r="U33" s="6" t="n">
        <v>93</v>
      </c>
      <c r="V33" s="6" t="n">
        <v>93</v>
      </c>
      <c r="W33" s="6" t="n">
        <v>93</v>
      </c>
      <c r="X33" s="6" t="n">
        <v>93</v>
      </c>
      <c r="Y33" s="6" t="n">
        <v>87</v>
      </c>
      <c r="Z33" s="6" t="n">
        <v>84</v>
      </c>
      <c r="AA33" s="381" t="n">
        <v>90</v>
      </c>
      <c r="AB33" s="381" t="n">
        <v>90</v>
      </c>
      <c r="AC33" s="381" t="n">
        <v>90</v>
      </c>
      <c r="AD33" s="381" t="n">
        <v>90</v>
      </c>
      <c r="AE33" s="380">
        <f>AC33+IF(NOT(ISBLANK(OFFSET(AE33,0,6))),N(OFFSET(AE33,0,6)),N(OFFSET(AE33,0,7)))-AD33</f>
        <v/>
      </c>
      <c r="AG33" s="355" t="n"/>
      <c r="AH33" s="355" t="n"/>
      <c r="AK33" s="11" t="n"/>
      <c r="AL33" s="11" t="n"/>
      <c r="AM33" s="11" t="n"/>
      <c r="AN33" s="11" t="n"/>
      <c r="AO33" s="11" t="n"/>
      <c r="AP33" s="11" t="n"/>
      <c r="AQ33" s="11" t="n"/>
      <c r="AR33" s="11" t="n"/>
      <c r="AS33" s="11" t="n"/>
      <c r="AT33" s="11" t="n"/>
      <c r="AU33" s="11" t="n"/>
      <c r="AV33" s="11" t="n"/>
      <c r="AW33" s="11" t="n"/>
      <c r="AX33" s="11" t="n"/>
      <c r="AY33" s="11" t="n"/>
      <c r="AZ33" s="11" t="n"/>
    </row>
    <row r="34">
      <c r="A34" s="25" t="inlineStr">
        <is>
          <t>CAIXA M NATAL/25</t>
        </is>
      </c>
      <c r="B34" s="6" t="n">
        <v>100</v>
      </c>
      <c r="C34" s="639" t="n">
        <v>792.2</v>
      </c>
      <c r="D34" s="404" t="n"/>
      <c r="F34" s="6" t="n">
        <v>232</v>
      </c>
      <c r="G34" s="6" t="n">
        <v>184</v>
      </c>
      <c r="H34" s="6" t="n">
        <v>177</v>
      </c>
      <c r="I34" s="6" t="n">
        <v>179</v>
      </c>
      <c r="J34" s="6" t="n">
        <v>179</v>
      </c>
      <c r="K34" s="6" t="n">
        <v>179</v>
      </c>
      <c r="L34" s="6" t="n">
        <v>178</v>
      </c>
      <c r="M34" s="6" t="n">
        <v>175</v>
      </c>
      <c r="N34" s="6" t="n">
        <v>175</v>
      </c>
      <c r="O34" s="6" t="n">
        <v>174</v>
      </c>
      <c r="P34" s="6" t="n">
        <v>174</v>
      </c>
      <c r="Q34" s="6" t="n">
        <v>174</v>
      </c>
      <c r="R34" s="6" t="n">
        <v>174</v>
      </c>
      <c r="S34" s="6" t="n">
        <v>174</v>
      </c>
      <c r="T34" s="6" t="n">
        <v>174</v>
      </c>
      <c r="U34" s="6" t="n">
        <v>174</v>
      </c>
      <c r="V34" s="6" t="n">
        <v>174</v>
      </c>
      <c r="W34" s="6" t="n">
        <v>174</v>
      </c>
      <c r="X34" s="6" t="n">
        <v>166</v>
      </c>
      <c r="Y34" s="6" t="n">
        <v>159</v>
      </c>
      <c r="Z34" s="6" t="n">
        <v>148</v>
      </c>
      <c r="AA34" s="381" t="n">
        <v>162</v>
      </c>
      <c r="AB34" s="381" t="n">
        <v>162</v>
      </c>
      <c r="AC34" s="381" t="n">
        <v>162</v>
      </c>
      <c r="AD34" s="381" t="n">
        <v>162</v>
      </c>
      <c r="AE34" s="380">
        <f>AC34+IF(NOT(ISBLANK(OFFSET(AE34,0,6))),N(OFFSET(AE34,0,6)),N(OFFSET(AE34,0,7)))-AD34</f>
        <v/>
      </c>
      <c r="AG34" s="355" t="n"/>
      <c r="AH34" s="355" t="n"/>
      <c r="AK34" s="11" t="n"/>
      <c r="AL34" s="11" t="n"/>
      <c r="AM34" s="11" t="n"/>
      <c r="AN34" s="11" t="n"/>
      <c r="AO34" s="11" t="n"/>
      <c r="AP34" s="11" t="n"/>
      <c r="AQ34" s="11" t="n"/>
      <c r="AR34" s="11" t="n"/>
      <c r="AS34" s="11" t="n"/>
      <c r="AT34" s="11" t="n"/>
      <c r="AU34" s="11" t="n"/>
      <c r="AV34" s="11" t="n"/>
      <c r="AW34" s="11" t="n"/>
      <c r="AX34" s="11" t="n"/>
      <c r="AY34" s="11" t="n"/>
      <c r="AZ34" s="11" t="n"/>
    </row>
    <row r="35" hidden="1">
      <c r="A35" s="25" t="inlineStr">
        <is>
          <t>CARTUCHO P NATAL/25</t>
        </is>
      </c>
      <c r="B35" s="6" t="n">
        <v>200</v>
      </c>
      <c r="C35" s="639" t="n">
        <v>487.2</v>
      </c>
      <c r="D35" s="404" t="n"/>
      <c r="F35" s="6" t="n">
        <v>-3</v>
      </c>
      <c r="G35" s="6" t="n">
        <v>-3</v>
      </c>
      <c r="H35" s="6" t="n">
        <v>0</v>
      </c>
      <c r="I35" s="6" t="n">
        <v>0</v>
      </c>
      <c r="J35" s="6" t="n">
        <v>0</v>
      </c>
      <c r="K35" s="6" t="n">
        <v>0</v>
      </c>
      <c r="L35" s="6" t="n">
        <v>0</v>
      </c>
      <c r="M35" s="6" t="n">
        <v>0</v>
      </c>
      <c r="N35" s="6" t="n">
        <v>0</v>
      </c>
      <c r="O35" s="6" t="n">
        <v>0</v>
      </c>
      <c r="P35" s="6" t="n">
        <v>0</v>
      </c>
      <c r="Q35" s="6" t="n">
        <v>0</v>
      </c>
      <c r="R35" s="6" t="n">
        <v>0</v>
      </c>
      <c r="S35" s="6" t="n">
        <v>0</v>
      </c>
      <c r="T35" s="6" t="n">
        <v>0</v>
      </c>
      <c r="U35" s="6" t="n"/>
      <c r="V35" s="6" t="n"/>
      <c r="W35" s="6" t="n"/>
      <c r="X35" s="6" t="n"/>
      <c r="Y35" s="6" t="n"/>
      <c r="Z35" s="6" t="n"/>
      <c r="AA35" s="6" t="n"/>
      <c r="AB35" s="6" t="n"/>
      <c r="AC35" s="6" t="n"/>
      <c r="AD35" s="6" t="n"/>
      <c r="AE35" s="380">
        <f>AC35+IF(NOT(ISBLANK(OFFSET(AE35,0,6))),N(OFFSET(AE35,0,6)),N(OFFSET(AE35,0,7)))-AD35</f>
        <v/>
      </c>
      <c r="AG35" s="355" t="n"/>
      <c r="AH35" s="355" t="n"/>
      <c r="AK35" s="11" t="n"/>
      <c r="AL35" s="11" t="n"/>
      <c r="AM35" s="11" t="n"/>
      <c r="AN35" s="11" t="n"/>
      <c r="AO35" s="11" t="n"/>
      <c r="AP35" s="11" t="n"/>
      <c r="AQ35" s="11" t="n"/>
      <c r="AR35" s="11" t="n"/>
      <c r="AS35" s="11" t="n"/>
      <c r="AT35" s="11" t="n"/>
      <c r="AU35" s="11" t="n"/>
      <c r="AV35" s="11" t="n"/>
      <c r="AW35" s="11" t="n"/>
      <c r="AX35" s="11" t="n"/>
      <c r="AY35" s="11" t="n"/>
      <c r="AZ35" s="11" t="n"/>
    </row>
    <row r="36" hidden="1">
      <c r="A36" s="25" t="inlineStr">
        <is>
          <t>CARTUCHO M NATAL/25</t>
        </is>
      </c>
      <c r="B36" s="6" t="n">
        <v>150</v>
      </c>
      <c r="C36" s="639" t="n">
        <v>460.35</v>
      </c>
      <c r="D36" s="404" t="n"/>
      <c r="F36" s="6" t="n">
        <v>22</v>
      </c>
      <c r="G36" s="6" t="n">
        <v>-2</v>
      </c>
      <c r="H36" s="6" t="n">
        <v>0</v>
      </c>
      <c r="I36" s="6" t="n">
        <v>0</v>
      </c>
      <c r="J36" s="6" t="n">
        <v>-1</v>
      </c>
      <c r="K36" s="6" t="n">
        <v>-1</v>
      </c>
      <c r="L36" s="6" t="n">
        <v>0</v>
      </c>
      <c r="M36" s="6" t="n">
        <v>0</v>
      </c>
      <c r="N36" s="6" t="n">
        <v>0</v>
      </c>
      <c r="O36" s="6" t="n">
        <v>0</v>
      </c>
      <c r="P36" s="6" t="n">
        <v>0</v>
      </c>
      <c r="Q36" s="6" t="n">
        <v>0</v>
      </c>
      <c r="R36" s="6" t="n">
        <v>0</v>
      </c>
      <c r="S36" s="6" t="n">
        <v>0</v>
      </c>
      <c r="T36" s="6" t="n">
        <v>0</v>
      </c>
      <c r="U36" s="6" t="n"/>
      <c r="V36" s="6" t="n"/>
      <c r="W36" s="6" t="n"/>
      <c r="X36" s="6" t="n"/>
      <c r="Y36" s="6" t="n"/>
      <c r="Z36" s="6" t="n"/>
      <c r="AA36" s="6" t="n"/>
      <c r="AB36" s="6" t="n"/>
      <c r="AC36" s="6" t="n"/>
      <c r="AD36" s="6" t="n"/>
      <c r="AE36" s="380">
        <f>AC36+IF(NOT(ISBLANK(OFFSET(AE36,0,6))),N(OFFSET(AE36,0,6)),N(OFFSET(AE36,0,7)))-AD36</f>
        <v/>
      </c>
      <c r="AG36" s="355" t="n"/>
      <c r="AH36" s="355" t="n"/>
      <c r="AK36" s="11" t="n"/>
      <c r="AL36" s="11" t="n"/>
      <c r="AM36" s="11" t="n"/>
      <c r="AN36" s="11" t="n"/>
      <c r="AO36" s="11" t="n"/>
      <c r="AP36" s="11" t="n"/>
      <c r="AQ36" s="11" t="n"/>
      <c r="AR36" s="11" t="n"/>
      <c r="AS36" s="11" t="n"/>
      <c r="AT36" s="11" t="n"/>
      <c r="AU36" s="11" t="n"/>
      <c r="AV36" s="11" t="n"/>
      <c r="AW36" s="409" t="n"/>
      <c r="AX36" s="11" t="n"/>
      <c r="AY36" s="11" t="n"/>
      <c r="AZ36" s="11" t="n"/>
    </row>
    <row r="37">
      <c r="A37" s="25" t="inlineStr">
        <is>
          <t>PIN NATAL/25</t>
        </is>
      </c>
      <c r="B37" s="6" t="n">
        <v>10</v>
      </c>
      <c r="C37" s="639" t="n">
        <v>120</v>
      </c>
      <c r="D37" s="404" t="n"/>
      <c r="F37" s="6" t="n">
        <v>9</v>
      </c>
      <c r="G37" s="6" t="n">
        <v>-1</v>
      </c>
      <c r="H37" s="6" t="n">
        <v>1</v>
      </c>
      <c r="I37" s="6" t="n">
        <v>1</v>
      </c>
      <c r="J37" s="6" t="n">
        <v>1</v>
      </c>
      <c r="K37" s="6" t="n">
        <v>1</v>
      </c>
      <c r="L37" s="6" t="n">
        <v>1</v>
      </c>
      <c r="M37" s="6" t="n">
        <v>1</v>
      </c>
      <c r="N37" s="6" t="n">
        <v>1</v>
      </c>
      <c r="O37" s="6" t="n">
        <v>1</v>
      </c>
      <c r="P37" s="6" t="n">
        <v>1</v>
      </c>
      <c r="Q37" s="6" t="n">
        <v>1</v>
      </c>
      <c r="R37" s="6" t="n">
        <v>1</v>
      </c>
      <c r="S37" s="6" t="n">
        <v>1</v>
      </c>
      <c r="T37" s="6" t="n">
        <v>1</v>
      </c>
      <c r="U37" s="6" t="n">
        <v>1</v>
      </c>
      <c r="V37" s="6" t="n">
        <v>1</v>
      </c>
      <c r="W37" s="6" t="n">
        <v>1</v>
      </c>
      <c r="X37" s="6" t="n">
        <v>1</v>
      </c>
      <c r="Y37" s="6" t="n">
        <v>1</v>
      </c>
      <c r="Z37" s="6" t="n">
        <v>1</v>
      </c>
      <c r="AA37" s="6" t="n">
        <v>1</v>
      </c>
      <c r="AB37" s="6" t="n">
        <v>1</v>
      </c>
      <c r="AC37" s="6" t="n">
        <v>1</v>
      </c>
      <c r="AD37" s="6" t="n">
        <v>1</v>
      </c>
      <c r="AE37" s="380">
        <f>AC37+IF(NOT(ISBLANK(OFFSET(AE37,0,6))),N(OFFSET(AE37,0,6)),N(OFFSET(AE37,0,7)))-AD37</f>
        <v/>
      </c>
      <c r="AG37" s="355" t="n"/>
      <c r="AH37" s="355" t="n"/>
      <c r="AK37" s="11" t="n"/>
      <c r="AL37" s="11" t="n"/>
      <c r="AM37" s="11" t="n"/>
      <c r="AN37" s="11" t="n"/>
      <c r="AO37" s="11" t="n"/>
      <c r="AP37" s="11" t="n"/>
      <c r="AQ37" s="11" t="n"/>
      <c r="AR37" s="11" t="n"/>
      <c r="AS37" s="11" t="n"/>
      <c r="AT37" s="11" t="n"/>
      <c r="AU37" s="11" t="n"/>
      <c r="AV37" s="11" t="n"/>
      <c r="AW37" s="409" t="n"/>
      <c r="AX37" s="11" t="n"/>
      <c r="AY37" s="11" t="n"/>
      <c r="AZ37" s="11" t="n"/>
    </row>
    <row r="38">
      <c r="AG38" s="355" t="n"/>
      <c r="AH38" s="355" t="n"/>
      <c r="AK38" s="11" t="n"/>
      <c r="AL38" s="11" t="n"/>
      <c r="AM38" s="11" t="n"/>
      <c r="AN38" s="11" t="n"/>
      <c r="AO38" s="11" t="n"/>
      <c r="AP38" s="11" t="n"/>
      <c r="AQ38" s="11" t="n"/>
      <c r="AR38" s="11" t="n"/>
      <c r="AS38" s="11" t="n"/>
      <c r="AT38" s="11" t="n"/>
      <c r="AU38" s="11" t="n"/>
      <c r="AV38" s="11" t="n"/>
      <c r="AW38" s="41" t="n"/>
      <c r="AX38" s="11" t="n"/>
      <c r="AY38" s="11" t="n"/>
      <c r="AZ38" s="11" t="n"/>
    </row>
    <row r="39" ht="21" customHeight="1">
      <c r="A39" s="402" t="inlineStr">
        <is>
          <t>SOBRAS DATAS COMEMORATIVAS</t>
        </is>
      </c>
      <c r="B39" s="402" t="n"/>
      <c r="C39" s="402" t="n"/>
      <c r="AI39" s="370" t="n"/>
      <c r="AK39" s="11" t="n"/>
      <c r="AL39" s="11" t="n"/>
      <c r="AM39" s="409" t="n"/>
      <c r="AN39" s="409" t="n"/>
      <c r="AO39" s="409" t="n"/>
      <c r="AP39" s="409" t="n"/>
      <c r="AQ39" s="409" t="n"/>
      <c r="AR39" s="409" t="n"/>
      <c r="AS39" s="409" t="n"/>
      <c r="AT39" s="409" t="n"/>
      <c r="AU39" s="409" t="n"/>
      <c r="AV39" s="409" t="n"/>
      <c r="AW39" s="41" t="n"/>
      <c r="AX39" s="409" t="n"/>
      <c r="AY39" s="409" t="n"/>
      <c r="AZ39" s="409" t="n"/>
    </row>
    <row r="40" ht="20.25" customHeight="1">
      <c r="A40" s="369" t="inlineStr">
        <is>
          <t>ITENS</t>
        </is>
      </c>
      <c r="B40" s="369" t="n"/>
      <c r="C40" s="369" t="inlineStr">
        <is>
          <t>ESTOQUE</t>
        </is>
      </c>
      <c r="E40" s="41" t="n"/>
      <c r="F40" s="41" t="n"/>
      <c r="G40" s="41" t="n"/>
      <c r="H40" s="41" t="n"/>
      <c r="I40" s="41" t="n"/>
      <c r="J40" s="41" t="n"/>
      <c r="K40" s="41" t="n"/>
      <c r="L40" s="41" t="n"/>
      <c r="M40" s="41" t="n"/>
      <c r="N40" s="41" t="n"/>
      <c r="O40" s="41" t="n"/>
      <c r="P40" s="41" t="n"/>
      <c r="Q40" s="41" t="n"/>
      <c r="R40" s="41" t="n"/>
      <c r="S40" s="41" t="n"/>
      <c r="T40" s="41" t="n"/>
      <c r="U40" s="41" t="n"/>
      <c r="V40" s="41" t="n"/>
      <c r="W40" s="41" t="n"/>
      <c r="X40" s="41" t="n"/>
      <c r="Y40" s="41" t="n"/>
      <c r="Z40" s="41" t="n"/>
      <c r="AA40" s="41" t="n"/>
      <c r="AB40" s="41" t="n"/>
      <c r="AC40" s="41" t="n"/>
      <c r="AD40" s="41" t="n"/>
      <c r="AE40" s="41" t="n"/>
      <c r="AI40" s="41" t="n"/>
      <c r="AK40" s="409" t="n"/>
      <c r="AL40" s="409" t="n"/>
      <c r="AM40" s="409" t="n"/>
      <c r="AN40" s="409" t="n"/>
      <c r="AO40" s="409" t="n"/>
      <c r="AP40" s="409" t="n"/>
      <c r="AQ40" s="409" t="n"/>
      <c r="AR40" s="409" t="n"/>
      <c r="AS40" s="409" t="n"/>
      <c r="AT40" s="409" t="n"/>
      <c r="AU40" s="409" t="n"/>
      <c r="AV40" s="409" t="n"/>
      <c r="AW40" s="41" t="n"/>
      <c r="AX40" s="409" t="n"/>
      <c r="AY40" s="409" t="n"/>
      <c r="AZ40" s="409" t="n"/>
    </row>
    <row r="41">
      <c r="A41" s="294" t="n"/>
      <c r="B41" s="378" t="n"/>
      <c r="C41" s="365" t="n"/>
      <c r="E41" s="41" t="n"/>
      <c r="F41" s="41" t="n"/>
      <c r="G41" s="41" t="n"/>
      <c r="H41" s="41" t="n"/>
      <c r="I41" s="41" t="n"/>
      <c r="J41" s="41" t="n"/>
      <c r="K41" s="41" t="n"/>
      <c r="L41" s="41" t="n"/>
      <c r="M41" s="41" t="n"/>
      <c r="N41" s="41" t="n"/>
      <c r="O41" s="41" t="n"/>
      <c r="P41" s="41" t="n"/>
      <c r="Q41" s="41" t="n"/>
      <c r="R41" s="41" t="n"/>
      <c r="S41" s="41" t="n"/>
      <c r="T41" s="41" t="n"/>
      <c r="U41" s="41" t="n"/>
      <c r="V41" s="41" t="n"/>
      <c r="W41" s="41" t="n"/>
      <c r="X41" s="41" t="n"/>
      <c r="Y41" s="41" t="n"/>
      <c r="Z41" s="41" t="n"/>
      <c r="AA41" s="41" t="n"/>
      <c r="AB41" s="41" t="n"/>
      <c r="AC41" s="41" t="n"/>
      <c r="AD41" s="41" t="n"/>
      <c r="AE41" s="41" t="n"/>
      <c r="AF41" s="41" t="n"/>
      <c r="AG41" s="41" t="n"/>
      <c r="AH41" s="41" t="n"/>
      <c r="AI41" s="41" t="n"/>
      <c r="AJ41" s="41" t="n"/>
      <c r="AK41" s="409" t="n"/>
      <c r="AL41" s="409" t="n"/>
      <c r="AM41" s="41" t="n"/>
      <c r="AN41" s="41" t="n"/>
      <c r="AO41" s="41" t="n"/>
      <c r="AP41" s="41" t="n"/>
      <c r="AQ41" s="41" t="n"/>
      <c r="AR41" s="41" t="n"/>
      <c r="AS41" s="41" t="n"/>
      <c r="AT41" s="41" t="n"/>
      <c r="AU41" s="41" t="n"/>
      <c r="AV41" s="41" t="n"/>
      <c r="AW41" s="41" t="n"/>
      <c r="AX41" s="41" t="n"/>
      <c r="AY41" s="41" t="n"/>
      <c r="AZ41" s="41" t="n"/>
      <c r="BA41" s="41" t="n"/>
      <c r="BB41" s="41" t="n"/>
      <c r="BC41" s="41" t="n"/>
      <c r="BD41" s="41" t="n"/>
      <c r="BE41" s="41" t="n"/>
      <c r="BF41" s="41" t="n"/>
      <c r="BG41" s="41" t="n"/>
      <c r="BH41" s="41" t="n"/>
      <c r="BI41" s="41" t="n"/>
      <c r="BJ41" s="41" t="n"/>
      <c r="BK41" s="41" t="n"/>
      <c r="BL41" s="41" t="n"/>
      <c r="BM41" s="41" t="n"/>
      <c r="BN41" s="41" t="n"/>
      <c r="BO41" s="41" t="n"/>
      <c r="BP41" s="41" t="n"/>
      <c r="BQ41" s="41" t="n"/>
      <c r="BR41" s="41" t="n"/>
      <c r="BS41" s="41" t="n"/>
      <c r="BT41" s="41" t="n"/>
      <c r="BU41" s="41" t="n"/>
      <c r="BV41" s="41" t="n"/>
      <c r="BW41" s="41" t="n"/>
      <c r="BX41" s="41" t="n"/>
      <c r="BY41" s="41" t="n"/>
      <c r="BZ41" s="41" t="n"/>
      <c r="CA41" s="41" t="n"/>
      <c r="CB41" s="41" t="n"/>
      <c r="CC41" s="41" t="n"/>
      <c r="CD41" s="41" t="n"/>
      <c r="CE41" s="41" t="n"/>
      <c r="CF41" s="41" t="n"/>
      <c r="CG41" s="41" t="n"/>
      <c r="CH41" s="41" t="n"/>
      <c r="CI41" s="41" t="n"/>
      <c r="CJ41" s="41" t="n"/>
      <c r="CK41" s="1" t="n"/>
      <c r="CL41" s="41" t="n"/>
      <c r="CM41" s="34" t="n"/>
      <c r="CN41" s="34" t="n"/>
      <c r="CO41" s="34" t="n"/>
      <c r="CP41" s="34" t="n"/>
      <c r="CQ41" s="34" t="n"/>
      <c r="CR41" s="34" t="n"/>
      <c r="CS41" s="34" t="n"/>
      <c r="CT41" s="34" t="n"/>
      <c r="CU41" s="34" t="n"/>
      <c r="CV41" s="34" t="n"/>
      <c r="CW41" s="34" t="n"/>
      <c r="CX41" s="34" t="n"/>
      <c r="CY41" s="34" t="n"/>
      <c r="CZ41" s="34" t="n"/>
      <c r="DA41" s="34" t="n"/>
      <c r="DB41" s="34" t="n"/>
      <c r="DC41" s="34" t="n"/>
      <c r="DD41" s="34" t="n"/>
      <c r="DE41" s="34" t="n"/>
      <c r="DF41" s="34" t="n"/>
      <c r="DG41" s="34" t="n"/>
      <c r="DH41" s="34" t="n"/>
      <c r="DI41" s="34" t="n"/>
      <c r="DJ41" s="34" t="n"/>
      <c r="DK41" s="34" t="n"/>
      <c r="DL41" s="34" t="n"/>
      <c r="DM41" s="34" t="n"/>
      <c r="DN41" s="34" t="n"/>
      <c r="DO41" s="34" t="n"/>
      <c r="DP41" s="34" t="n"/>
      <c r="DQ41" s="34" t="n"/>
      <c r="DR41" s="34" t="n"/>
      <c r="DS41" s="34" t="n"/>
      <c r="DT41" s="34" t="n"/>
      <c r="DU41" s="34" t="n"/>
      <c r="DV41" s="34" t="n"/>
      <c r="DW41" s="34" t="n"/>
      <c r="DX41" s="34" t="n"/>
      <c r="DY41" s="34" t="n"/>
      <c r="DZ41" s="34" t="n"/>
      <c r="EA41" s="34" t="n"/>
      <c r="EB41" s="34" t="n"/>
      <c r="EC41" s="34" t="n"/>
      <c r="ED41" s="34" t="n"/>
      <c r="EE41" s="34" t="n"/>
      <c r="EF41" s="34" t="n"/>
      <c r="EG41" s="34" t="n"/>
      <c r="EH41" s="34" t="n"/>
      <c r="EI41" s="34" t="n"/>
      <c r="EJ41" s="34" t="n"/>
      <c r="EK41" s="34" t="n"/>
      <c r="EL41" s="34" t="n"/>
      <c r="EM41" s="34" t="n"/>
      <c r="EN41" s="34" t="n"/>
      <c r="EO41" s="34" t="n"/>
      <c r="EP41" s="34" t="n"/>
      <c r="EQ41" s="34" t="n"/>
      <c r="ER41" s="34" t="n"/>
      <c r="ES41" s="34" t="n"/>
      <c r="ET41" s="34" t="n"/>
      <c r="EU41" s="370" t="n"/>
      <c r="EV41" s="41" t="n"/>
      <c r="EW41" s="34" t="n"/>
      <c r="EX41" s="41" t="n"/>
      <c r="EY41" s="154" t="n"/>
      <c r="EZ41" s="154" t="n"/>
      <c r="FA41" s="34" t="n"/>
      <c r="FB41" s="154" t="n"/>
      <c r="FC41" s="34" t="n"/>
      <c r="FD41" s="34" t="n"/>
      <c r="FE41" s="154" t="n"/>
      <c r="FF41" s="154" t="n"/>
      <c r="FG41" s="34" t="n"/>
      <c r="FH41" s="34" t="n"/>
      <c r="FI41" s="34" t="n"/>
      <c r="FJ41" s="154" t="n"/>
      <c r="FK41" s="34" t="n"/>
      <c r="FL41" s="154" t="n"/>
      <c r="FM41" s="154" t="n"/>
      <c r="FN41" s="154" t="n"/>
      <c r="FO41" s="34" t="n"/>
      <c r="FP41" s="154" t="n"/>
      <c r="FQ41" s="34" t="n"/>
      <c r="FR41" s="154" t="n"/>
      <c r="FS41" s="154" t="n"/>
      <c r="FT41" s="154" t="n"/>
      <c r="FU41" s="154" t="n"/>
      <c r="FV41" s="154" t="n"/>
      <c r="FW41" s="358" t="n"/>
      <c r="FX41" s="154" t="n"/>
      <c r="FY41" s="154" t="n"/>
      <c r="FZ41" s="154" t="n"/>
      <c r="GA41" s="154" t="n"/>
      <c r="GB41" s="154" t="n"/>
      <c r="GC41" s="154" t="n"/>
      <c r="GD41" s="154" t="n"/>
      <c r="GE41" s="154" t="n"/>
      <c r="GF41" s="154" t="n"/>
      <c r="GG41" s="154" t="n"/>
      <c r="GH41" s="154" t="n"/>
      <c r="GI41" s="154" t="n"/>
      <c r="GJ41" s="154" t="n"/>
      <c r="GK41" s="154" t="n"/>
      <c r="GL41" s="154" t="n"/>
      <c r="GM41" s="154" t="n"/>
      <c r="GN41" s="154" t="n"/>
      <c r="GO41" s="154" t="n"/>
      <c r="GP41" s="154" t="n"/>
      <c r="GQ41" s="154" t="n"/>
      <c r="GR41" s="154" t="n"/>
      <c r="GS41" s="34" t="n"/>
      <c r="GT41" s="154" t="n"/>
      <c r="GU41" s="154" t="n"/>
      <c r="GV41" s="154" t="n"/>
      <c r="GW41" s="154" t="n"/>
      <c r="GX41" s="154" t="n"/>
      <c r="GY41" s="154" t="n"/>
      <c r="GZ41" s="154" t="n"/>
      <c r="HA41" s="154" t="n"/>
      <c r="HB41" s="154" t="n"/>
      <c r="HC41" s="154" t="n"/>
      <c r="HD41" s="154" t="n"/>
      <c r="HE41" s="154" t="n"/>
      <c r="HF41" s="154" t="n"/>
      <c r="HG41" s="154" t="n"/>
      <c r="HH41" s="154" t="n"/>
      <c r="HI41" s="154" t="n"/>
      <c r="HJ41" s="154" t="n"/>
      <c r="HK41" s="154" t="n"/>
      <c r="HL41" s="154" t="n"/>
      <c r="HM41" s="154" t="n"/>
      <c r="HN41" s="154" t="n"/>
      <c r="HO41" s="154" t="n"/>
      <c r="HP41" s="154" t="n"/>
      <c r="HQ41" s="154" t="n"/>
      <c r="HR41" s="154" t="n"/>
      <c r="HS41" s="154" t="n"/>
      <c r="HT41" s="154" t="n"/>
      <c r="HU41" s="154" t="n"/>
      <c r="HV41" s="154" t="n"/>
      <c r="HW41" s="154" t="n"/>
      <c r="HX41" s="154" t="n"/>
      <c r="HY41" s="154" t="n"/>
      <c r="HZ41" s="154" t="n"/>
      <c r="IA41" s="154" t="n"/>
    </row>
    <row r="42">
      <c r="A42" s="365" t="n"/>
      <c r="B42" s="605" t="n"/>
      <c r="C42" s="606" t="n"/>
      <c r="E42" s="41" t="n"/>
      <c r="F42" s="41" t="n"/>
      <c r="G42" s="41" t="n"/>
      <c r="H42" s="41" t="n"/>
      <c r="I42" s="41" t="n"/>
      <c r="J42" s="41" t="n"/>
      <c r="K42" s="41" t="n"/>
      <c r="L42" s="41" t="n"/>
      <c r="M42" s="41" t="n"/>
      <c r="N42" s="41" t="n"/>
      <c r="O42" s="41" t="n"/>
      <c r="P42" s="41" t="n"/>
      <c r="Q42" s="41" t="n"/>
      <c r="R42" s="41" t="n"/>
      <c r="S42" s="41" t="n"/>
      <c r="T42" s="41" t="n"/>
      <c r="U42" s="41" t="n"/>
      <c r="V42" s="41" t="n"/>
      <c r="W42" s="41" t="n"/>
      <c r="X42" s="41" t="n"/>
      <c r="Y42" s="41" t="n"/>
      <c r="Z42" s="41" t="n"/>
      <c r="AA42" s="41" t="n"/>
      <c r="AB42" s="41" t="n"/>
      <c r="AC42" s="41" t="n"/>
      <c r="AD42" s="41" t="n"/>
      <c r="AE42" s="41" t="n"/>
      <c r="AF42" s="41" t="n"/>
      <c r="AG42" s="41" t="n"/>
      <c r="AH42" s="41" t="n"/>
      <c r="AI42" s="41" t="n"/>
      <c r="AJ42" s="41" t="n"/>
      <c r="AK42" s="41" t="n"/>
      <c r="AL42" s="41" t="n"/>
      <c r="AM42" s="41" t="n"/>
      <c r="AN42" s="41" t="n"/>
      <c r="AO42" s="41" t="n"/>
      <c r="AP42" s="41" t="n"/>
      <c r="AQ42" s="41" t="n"/>
      <c r="AR42" s="41" t="n"/>
      <c r="AS42" s="41" t="n"/>
      <c r="AT42" s="41" t="n"/>
      <c r="AU42" s="41" t="n"/>
      <c r="AV42" s="41" t="n"/>
      <c r="AW42" s="41" t="n"/>
      <c r="AX42" s="41" t="n"/>
      <c r="AY42" s="41" t="n"/>
      <c r="AZ42" s="41" t="n"/>
      <c r="BA42" s="41" t="n"/>
      <c r="BB42" s="41" t="n"/>
      <c r="BC42" s="41" t="n"/>
      <c r="BD42" s="41" t="n"/>
      <c r="BE42" s="41" t="n"/>
      <c r="BF42" s="41" t="n"/>
      <c r="BG42" s="41" t="n"/>
      <c r="BH42" s="41" t="n"/>
      <c r="BI42" s="41" t="n"/>
      <c r="BJ42" s="41" t="n"/>
      <c r="BK42" s="41" t="n"/>
      <c r="BL42" s="41" t="n"/>
      <c r="BM42" s="41" t="n"/>
      <c r="BN42" s="41" t="n"/>
      <c r="BO42" s="41" t="n"/>
      <c r="BP42" s="41" t="n"/>
      <c r="BQ42" s="41" t="n"/>
      <c r="BR42" s="41" t="n"/>
      <c r="BS42" s="41" t="n"/>
      <c r="BT42" s="41" t="n"/>
      <c r="BU42" s="41" t="n"/>
      <c r="BV42" s="41" t="n"/>
      <c r="BW42" s="41" t="n"/>
      <c r="BX42" s="41" t="n"/>
      <c r="BY42" s="41" t="n"/>
      <c r="BZ42" s="41" t="n"/>
      <c r="CA42" s="41" t="n"/>
      <c r="CB42" s="41" t="n"/>
      <c r="CC42" s="41" t="n"/>
      <c r="CD42" s="41" t="n"/>
      <c r="CE42" s="41" t="n"/>
      <c r="CF42" s="41" t="n"/>
      <c r="CG42" s="41" t="n"/>
      <c r="CH42" s="41" t="n"/>
      <c r="CI42" s="41" t="n"/>
      <c r="CJ42" s="41" t="n"/>
      <c r="CK42" s="1" t="n"/>
      <c r="CL42" s="41" t="n"/>
      <c r="CM42" s="34" t="n"/>
      <c r="CN42" s="34" t="n"/>
      <c r="CO42" s="34" t="n"/>
      <c r="CP42" s="34" t="n"/>
      <c r="CQ42" s="34" t="n"/>
      <c r="CR42" s="34" t="n"/>
      <c r="CS42" s="34" t="n"/>
      <c r="CT42" s="34" t="n"/>
      <c r="CU42" s="34" t="n"/>
      <c r="CV42" s="34" t="n"/>
      <c r="CW42" s="34" t="n"/>
      <c r="CX42" s="34" t="n"/>
      <c r="CY42" s="34" t="n"/>
      <c r="CZ42" s="34" t="n"/>
      <c r="DA42" s="34" t="n"/>
      <c r="DB42" s="34" t="n"/>
      <c r="DC42" s="34" t="n"/>
      <c r="DD42" s="34" t="n"/>
      <c r="DE42" s="34" t="n"/>
      <c r="DF42" s="34" t="n"/>
      <c r="DG42" s="34" t="n"/>
      <c r="DH42" s="34" t="n"/>
      <c r="DI42" s="34" t="n"/>
      <c r="DJ42" s="34" t="n"/>
      <c r="DK42" s="34" t="n"/>
      <c r="DL42" s="34" t="n"/>
      <c r="DM42" s="34" t="n"/>
      <c r="DN42" s="34" t="n"/>
      <c r="DO42" s="34" t="n"/>
      <c r="DP42" s="34" t="n"/>
      <c r="DQ42" s="34" t="n"/>
      <c r="DR42" s="34" t="n"/>
      <c r="DS42" s="34" t="n"/>
      <c r="DT42" s="34" t="n"/>
      <c r="DU42" s="34" t="n"/>
      <c r="DV42" s="34" t="n"/>
      <c r="DW42" s="34" t="n"/>
      <c r="DX42" s="34" t="n"/>
      <c r="DY42" s="34" t="n"/>
      <c r="DZ42" s="34" t="n"/>
      <c r="EA42" s="34" t="n"/>
      <c r="EB42" s="34" t="n"/>
      <c r="EC42" s="34" t="n"/>
      <c r="ED42" s="34" t="n"/>
      <c r="EE42" s="34" t="n"/>
      <c r="EF42" s="34" t="n"/>
      <c r="EG42" s="34" t="n"/>
      <c r="EH42" s="34" t="n"/>
      <c r="EI42" s="34" t="n"/>
      <c r="EJ42" s="34" t="n"/>
      <c r="EK42" s="34" t="n"/>
      <c r="EL42" s="34" t="n"/>
      <c r="EM42" s="34" t="n"/>
      <c r="EN42" s="34" t="n"/>
      <c r="EO42" s="34" t="n"/>
      <c r="EP42" s="34" t="n"/>
      <c r="EQ42" s="34" t="n"/>
      <c r="ER42" s="34" t="n"/>
      <c r="ES42" s="34" t="n"/>
      <c r="ET42" s="34" t="n"/>
      <c r="EU42" s="370" t="n"/>
      <c r="EV42" s="41" t="n"/>
      <c r="EW42" s="34" t="n"/>
      <c r="EX42" s="41" t="n"/>
      <c r="EY42" s="154" t="n"/>
      <c r="EZ42" s="154" t="n"/>
      <c r="FA42" s="34" t="n"/>
      <c r="FB42" s="154" t="n"/>
      <c r="FC42" s="34" t="n"/>
      <c r="FD42" s="34" t="n"/>
      <c r="FE42" s="154" t="n"/>
      <c r="FF42" s="154" t="n"/>
      <c r="FG42" s="34" t="n"/>
      <c r="FH42" s="34" t="n"/>
      <c r="FI42" s="34" t="n"/>
      <c r="FJ42" s="154" t="n"/>
      <c r="FK42" s="34" t="n"/>
      <c r="FL42" s="154" t="n"/>
      <c r="FM42" s="154" t="n"/>
      <c r="FN42" s="154" t="n"/>
      <c r="FO42" s="34" t="n"/>
      <c r="FP42" s="154" t="n"/>
      <c r="FQ42" s="34" t="n"/>
      <c r="FR42" s="154" t="n"/>
      <c r="FS42" s="154" t="n"/>
      <c r="FT42" s="154" t="n"/>
      <c r="FU42" s="154" t="n"/>
      <c r="FV42" s="154" t="n"/>
      <c r="FW42" s="373" t="n"/>
      <c r="FX42" s="154" t="n"/>
      <c r="FY42" s="154" t="n"/>
      <c r="FZ42" s="154" t="n"/>
      <c r="GA42" s="154" t="n"/>
      <c r="GB42" s="154" t="n"/>
      <c r="GC42" s="154" t="n"/>
      <c r="GD42" s="154" t="n"/>
      <c r="GE42" s="154" t="n"/>
      <c r="GF42" s="154" t="n"/>
      <c r="GG42" s="154" t="n"/>
      <c r="GH42" s="154" t="n"/>
      <c r="GI42" s="154" t="n"/>
      <c r="GJ42" s="154" t="n"/>
      <c r="GK42" s="154" t="n"/>
      <c r="GL42" s="154" t="n"/>
      <c r="GM42" s="154" t="n"/>
      <c r="GN42" s="154" t="n"/>
      <c r="GO42" s="154" t="n"/>
      <c r="GP42" s="154" t="n"/>
      <c r="GQ42" s="154" t="n"/>
      <c r="GR42" s="154" t="n"/>
      <c r="GS42" s="640" t="n">
        <v>45008</v>
      </c>
      <c r="GT42" s="154" t="n"/>
      <c r="GU42" s="154" t="n"/>
      <c r="GV42" s="154" t="n"/>
      <c r="GW42" s="154" t="n"/>
      <c r="GX42" s="154" t="n"/>
      <c r="GY42" s="154" t="n"/>
      <c r="GZ42" s="154" t="n"/>
      <c r="HA42" s="154" t="n"/>
      <c r="HB42" s="154" t="n"/>
      <c r="HC42" s="154" t="n"/>
      <c r="HD42" s="154" t="n"/>
      <c r="HE42" s="154" t="n"/>
      <c r="HF42" s="154" t="n"/>
      <c r="HG42" s="154" t="n"/>
      <c r="HH42" s="154" t="n"/>
      <c r="HI42" s="154" t="n"/>
      <c r="HJ42" s="154" t="n"/>
      <c r="HK42" s="154" t="n"/>
      <c r="HL42" s="154" t="n"/>
      <c r="HM42" s="154" t="n"/>
      <c r="HN42" s="154" t="n"/>
      <c r="HO42" s="154" t="n"/>
      <c r="HP42" s="154" t="n"/>
      <c r="HQ42" s="154" t="n"/>
      <c r="HR42" s="154" t="n"/>
      <c r="HS42" s="154" t="n"/>
      <c r="HT42" s="154" t="n"/>
      <c r="HU42" s="154" t="n"/>
      <c r="HV42" s="154" t="n"/>
      <c r="HW42" s="154" t="n"/>
      <c r="HX42" s="154" t="n"/>
      <c r="HY42" s="154" t="n"/>
      <c r="HZ42" s="154" t="n"/>
      <c r="IA42" s="154" t="n"/>
    </row>
    <row r="43">
      <c r="A43" s="294" t="n"/>
      <c r="B43" s="378" t="n"/>
      <c r="C43" s="365" t="n"/>
      <c r="E43" s="41" t="n"/>
      <c r="F43" s="41" t="n"/>
      <c r="G43" s="41" t="n"/>
      <c r="H43" s="41" t="n"/>
      <c r="I43" s="41" t="n"/>
      <c r="J43" s="41" t="n"/>
      <c r="K43" s="41" t="n"/>
      <c r="L43" s="41" t="n"/>
      <c r="M43" s="41" t="n"/>
      <c r="N43" s="41" t="n"/>
      <c r="O43" s="41" t="n"/>
      <c r="P43" s="41" t="n"/>
      <c r="Q43" s="41" t="n"/>
      <c r="R43" s="41" t="n"/>
      <c r="S43" s="41" t="n"/>
      <c r="T43" s="41" t="n"/>
      <c r="U43" s="41" t="n"/>
      <c r="V43" s="41" t="n"/>
      <c r="W43" s="41" t="n"/>
      <c r="X43" s="41" t="n"/>
      <c r="Y43" s="41" t="n"/>
      <c r="Z43" s="41" t="n"/>
      <c r="AA43" s="41" t="n"/>
      <c r="AB43" s="41" t="n"/>
      <c r="AC43" s="41" t="n"/>
      <c r="AD43" s="41" t="n"/>
      <c r="AE43" s="41" t="n"/>
      <c r="AF43" s="41" t="n"/>
      <c r="AG43" s="41" t="n"/>
      <c r="AH43" s="41" t="n"/>
      <c r="AI43" s="41" t="n"/>
      <c r="AJ43" s="41" t="n"/>
      <c r="AK43" s="41" t="n"/>
      <c r="AL43" s="41" t="n"/>
      <c r="AM43" s="41" t="n"/>
      <c r="AN43" s="41" t="n"/>
      <c r="AO43" s="41" t="n"/>
      <c r="AP43" s="41" t="n"/>
      <c r="AQ43" s="41" t="n"/>
      <c r="AR43" s="41" t="n"/>
      <c r="AS43" s="41" t="n"/>
      <c r="AT43" s="41" t="n"/>
      <c r="AU43" s="41" t="n"/>
      <c r="AV43" s="41" t="n"/>
      <c r="AX43" s="41" t="n"/>
      <c r="AY43" s="41" t="n"/>
      <c r="AZ43" s="41" t="n"/>
      <c r="BA43" s="41" t="n"/>
      <c r="BB43" s="41" t="n"/>
      <c r="BC43" s="41" t="n"/>
      <c r="BD43" s="41" t="n"/>
      <c r="BE43" s="41" t="n"/>
      <c r="BF43" s="41" t="n"/>
      <c r="BG43" s="41" t="n"/>
      <c r="BH43" s="41" t="n"/>
      <c r="BI43" s="41" t="n"/>
      <c r="BJ43" s="41" t="n"/>
      <c r="BK43" s="41" t="n"/>
      <c r="BL43" s="41" t="n"/>
      <c r="BM43" s="41" t="n"/>
      <c r="BN43" s="41" t="n"/>
      <c r="BO43" s="41" t="n"/>
      <c r="BP43" s="41" t="n"/>
      <c r="BQ43" s="41" t="n"/>
      <c r="BR43" s="41" t="n"/>
      <c r="BS43" s="41" t="n"/>
      <c r="BT43" s="41" t="n"/>
      <c r="BU43" s="41" t="n"/>
      <c r="BV43" s="41" t="n"/>
      <c r="BW43" s="41" t="n"/>
      <c r="BX43" s="41" t="n"/>
      <c r="BY43" s="41" t="n"/>
      <c r="BZ43" s="41" t="n"/>
      <c r="CA43" s="41" t="n"/>
      <c r="CB43" s="41" t="n"/>
      <c r="CC43" s="41" t="n"/>
      <c r="CD43" s="41" t="n"/>
      <c r="CE43" s="41" t="n"/>
      <c r="CF43" s="41" t="n"/>
      <c r="CG43" s="41" t="n"/>
      <c r="CH43" s="41" t="n"/>
      <c r="CI43" s="41" t="n"/>
      <c r="CJ43" s="41" t="n"/>
      <c r="CK43" s="1" t="n"/>
      <c r="CL43" s="41" t="n"/>
      <c r="CM43" s="34" t="n"/>
      <c r="CN43" s="34" t="n"/>
      <c r="CO43" s="34" t="n"/>
      <c r="CP43" s="34" t="n"/>
      <c r="CQ43" s="34" t="n"/>
      <c r="CR43" s="34" t="n"/>
      <c r="CS43" s="34" t="n"/>
      <c r="CT43" s="34" t="n"/>
      <c r="CU43" s="34" t="n"/>
      <c r="CV43" s="34" t="n"/>
      <c r="CW43" s="34" t="n"/>
      <c r="CX43" s="34" t="n"/>
      <c r="CY43" s="34" t="n"/>
      <c r="CZ43" s="34" t="n"/>
      <c r="DA43" s="34" t="n"/>
      <c r="DB43" s="34" t="n"/>
      <c r="DC43" s="34" t="n"/>
      <c r="DD43" s="34" t="n"/>
      <c r="DE43" s="34" t="n"/>
      <c r="DF43" s="34" t="n"/>
      <c r="DG43" s="34" t="n"/>
      <c r="DH43" s="34" t="n"/>
      <c r="DI43" s="34" t="n"/>
      <c r="DJ43" s="34" t="n"/>
      <c r="DK43" s="34" t="n"/>
      <c r="DL43" s="34" t="n"/>
      <c r="DM43" s="34" t="n"/>
      <c r="DN43" s="34" t="n"/>
      <c r="DO43" s="34" t="n"/>
      <c r="DP43" s="34" t="n"/>
      <c r="DQ43" s="34" t="n"/>
      <c r="DR43" s="34" t="n"/>
      <c r="DS43" s="34" t="n"/>
      <c r="DT43" s="34" t="n"/>
      <c r="DU43" s="34" t="n"/>
      <c r="DV43" s="34" t="n"/>
      <c r="DW43" s="34" t="n"/>
      <c r="DX43" s="34" t="n"/>
      <c r="DY43" s="34" t="n"/>
      <c r="DZ43" s="34" t="n"/>
      <c r="EA43" s="34" t="n"/>
      <c r="EB43" s="34" t="n"/>
      <c r="EC43" s="34" t="n"/>
      <c r="ED43" s="34" t="n"/>
      <c r="EE43" s="34" t="n"/>
      <c r="EF43" s="34" t="n"/>
      <c r="EG43" s="34" t="n"/>
      <c r="EH43" s="34" t="n"/>
      <c r="EI43" s="34" t="n"/>
      <c r="EJ43" s="34" t="n"/>
      <c r="EK43" s="34" t="n"/>
      <c r="EL43" s="34" t="n"/>
      <c r="EM43" s="34" t="n"/>
      <c r="EN43" s="34" t="n"/>
      <c r="EO43" s="34" t="n"/>
      <c r="EP43" s="34" t="n"/>
      <c r="EQ43" s="34" t="n"/>
      <c r="ER43" s="34" t="n"/>
      <c r="ES43" s="34" t="n"/>
      <c r="ET43" s="34" t="n"/>
      <c r="EU43" s="370" t="n"/>
      <c r="EV43" s="41" t="n"/>
      <c r="EW43" s="34" t="n"/>
      <c r="EX43" s="41" t="n"/>
      <c r="EY43" s="154" t="n"/>
      <c r="EZ43" s="154" t="n"/>
      <c r="FA43" s="34" t="n"/>
      <c r="FB43" s="154" t="n"/>
      <c r="FC43" s="34" t="n"/>
      <c r="FD43" s="34" t="n"/>
      <c r="FE43" s="154" t="n"/>
      <c r="FF43" s="154" t="n"/>
      <c r="FG43" s="34" t="n"/>
      <c r="FH43" s="34" t="n"/>
      <c r="FI43" s="34" t="n"/>
      <c r="FJ43" s="154" t="n"/>
      <c r="FK43" s="34" t="n"/>
      <c r="FL43" s="154" t="n"/>
      <c r="FM43" s="154" t="n"/>
      <c r="FN43" s="154" t="n"/>
      <c r="FO43" s="34" t="n"/>
      <c r="FP43" s="154" t="n"/>
      <c r="FQ43" s="34" t="n"/>
      <c r="FR43" s="154" t="n"/>
      <c r="FS43" s="154" t="n"/>
      <c r="FT43" s="154" t="n"/>
      <c r="FU43" s="154" t="n"/>
      <c r="FV43" s="154" t="n"/>
      <c r="FW43" s="373" t="n"/>
      <c r="FX43" s="154" t="n"/>
      <c r="FY43" s="154" t="n"/>
      <c r="FZ43" s="154" t="n"/>
      <c r="GA43" s="154" t="n"/>
      <c r="GB43" s="154" t="n"/>
      <c r="GC43" s="154" t="n"/>
      <c r="GD43" s="154" t="n"/>
      <c r="GE43" s="154" t="n"/>
      <c r="GF43" s="154" t="n"/>
      <c r="GG43" s="154" t="n"/>
      <c r="GH43" s="154" t="n"/>
      <c r="GI43" s="154" t="n"/>
      <c r="GJ43" s="154" t="n"/>
      <c r="GK43" s="154" t="n"/>
      <c r="GL43" s="154" t="n"/>
      <c r="GM43" s="154" t="n"/>
      <c r="GN43" s="154" t="n"/>
      <c r="GO43" s="154" t="n"/>
      <c r="GP43" s="154" t="n"/>
      <c r="GQ43" s="154" t="n"/>
      <c r="GR43" s="154" t="n"/>
      <c r="GS43" s="75" t="n"/>
      <c r="GT43" s="154" t="n"/>
      <c r="GU43" s="154" t="n"/>
      <c r="GV43" s="154" t="n"/>
      <c r="GW43" s="154" t="n"/>
      <c r="GX43" s="154" t="n"/>
      <c r="GY43" s="154" t="n"/>
      <c r="GZ43" s="154" t="n"/>
      <c r="HA43" s="154" t="n"/>
      <c r="HB43" s="154" t="n"/>
      <c r="HC43" s="154" t="n"/>
      <c r="HD43" s="154" t="n"/>
      <c r="HE43" s="154" t="n"/>
      <c r="HF43" s="154" t="n"/>
      <c r="HG43" s="154" t="n"/>
      <c r="HH43" s="154" t="n"/>
      <c r="HI43" s="154" t="n"/>
      <c r="HJ43" s="154" t="n"/>
      <c r="HK43" s="154" t="n"/>
      <c r="HL43" s="154" t="n"/>
      <c r="HM43" s="154" t="n"/>
      <c r="HN43" s="154" t="n"/>
      <c r="HO43" s="154" t="n"/>
      <c r="HP43" s="154" t="n"/>
      <c r="HQ43" s="154" t="n"/>
      <c r="HR43" s="154" t="n"/>
      <c r="HS43" s="154" t="n"/>
      <c r="HT43" s="154" t="n"/>
      <c r="HU43" s="154" t="n"/>
      <c r="HV43" s="154" t="n"/>
      <c r="HW43" s="154" t="n"/>
      <c r="HX43" s="154" t="n"/>
      <c r="HY43" s="154" t="n"/>
      <c r="HZ43" s="154" t="n"/>
      <c r="IA43" s="154" t="n"/>
    </row>
    <row r="44" customFormat="1" s="34">
      <c r="A44" s="294" t="n"/>
      <c r="B44" s="378" t="n"/>
      <c r="C44" s="365" t="n"/>
      <c r="E44" s="41" t="n"/>
      <c r="F44" s="41" t="n"/>
      <c r="G44" s="41" t="n"/>
      <c r="H44" s="41" t="n"/>
      <c r="I44" s="41" t="n"/>
      <c r="J44" s="41" t="n"/>
      <c r="K44" s="41" t="n"/>
      <c r="L44" s="41" t="n"/>
      <c r="M44" s="41" t="n"/>
      <c r="N44" s="41" t="n"/>
      <c r="O44" s="41" t="n"/>
      <c r="P44" s="41" t="n"/>
      <c r="Q44" s="41" t="n"/>
      <c r="R44" s="41" t="n"/>
      <c r="S44" s="41" t="n"/>
      <c r="T44" s="41" t="n"/>
      <c r="U44" s="41" t="n"/>
      <c r="V44" s="41" t="n"/>
      <c r="W44" s="41" t="n"/>
      <c r="X44" s="41" t="n"/>
      <c r="Y44" s="41" t="n"/>
      <c r="Z44" s="41" t="n"/>
      <c r="AA44" s="41" t="n"/>
      <c r="AB44" s="41" t="n"/>
      <c r="AC44" s="41" t="n"/>
      <c r="AD44" s="41" t="n"/>
      <c r="AE44" s="41" t="n"/>
      <c r="AF44" s="41" t="n"/>
      <c r="AG44" s="41" t="n"/>
      <c r="AH44" s="41" t="n"/>
      <c r="AI44" s="41" t="n"/>
      <c r="AJ44" s="41" t="n"/>
      <c r="AK44" s="41" t="n"/>
      <c r="AL44" s="41" t="n"/>
      <c r="AM44" s="41" t="n"/>
      <c r="AN44" s="41" t="n"/>
      <c r="AO44" s="41" t="n"/>
      <c r="AP44" s="41" t="n"/>
      <c r="AQ44" s="41" t="n"/>
      <c r="AR44" s="41" t="n"/>
      <c r="AS44" s="41" t="n"/>
      <c r="AT44" s="41" t="n"/>
      <c r="AU44" s="41" t="n"/>
      <c r="AV44" s="41" t="n"/>
      <c r="AX44" s="41" t="n"/>
      <c r="AY44" s="41" t="n"/>
      <c r="AZ44" s="41" t="n"/>
      <c r="BA44" s="41" t="n"/>
      <c r="BB44" s="41" t="n"/>
      <c r="BC44" s="41" t="n"/>
      <c r="BD44" s="41" t="n"/>
      <c r="BE44" s="41" t="n"/>
      <c r="BF44" s="41" t="n"/>
      <c r="BG44" s="41" t="n"/>
      <c r="BH44" s="41" t="n"/>
      <c r="BI44" s="41" t="n"/>
      <c r="BJ44" s="41" t="n"/>
      <c r="BK44" s="41" t="n"/>
      <c r="BL44" s="41" t="n"/>
      <c r="BM44" s="41" t="n"/>
      <c r="BN44" s="41" t="n"/>
      <c r="BO44" s="41" t="n"/>
      <c r="BP44" s="41" t="n"/>
      <c r="BQ44" s="41" t="n"/>
      <c r="BR44" s="41" t="n"/>
      <c r="BS44" s="41" t="n"/>
      <c r="BT44" s="41" t="n"/>
      <c r="BU44" s="41" t="n"/>
      <c r="BV44" s="41" t="n"/>
      <c r="BW44" s="41" t="n"/>
      <c r="BX44" s="41" t="n"/>
      <c r="BY44" s="41" t="n"/>
      <c r="BZ44" s="41" t="n"/>
      <c r="CA44" s="41" t="n"/>
      <c r="CB44" s="41" t="n"/>
      <c r="CC44" s="41" t="n"/>
      <c r="CD44" s="41" t="n"/>
      <c r="CE44" s="41" t="n"/>
      <c r="CF44" s="41" t="n"/>
      <c r="CG44" s="41" t="n"/>
      <c r="CH44" s="41" t="n"/>
      <c r="CI44" s="41" t="n"/>
      <c r="CJ44" s="41" t="n"/>
      <c r="CK44" s="1" t="n"/>
      <c r="CL44" s="41" t="n"/>
      <c r="DP44" s="370" t="n"/>
      <c r="DQ44" s="370" t="n"/>
      <c r="DR44" s="370" t="n"/>
      <c r="DS44" s="370" t="n"/>
      <c r="DT44" s="370" t="n"/>
      <c r="DU44" s="370" t="n"/>
      <c r="DV44" s="370" t="n"/>
      <c r="DW44" s="370" t="n"/>
      <c r="DX44" s="370" t="n"/>
      <c r="DY44" s="370" t="n"/>
      <c r="DZ44" s="370" t="n"/>
      <c r="EA44" s="370" t="n"/>
      <c r="EB44" s="370" t="n"/>
      <c r="EC44" s="370" t="n"/>
      <c r="ED44" s="370" t="n"/>
      <c r="EE44" s="370" t="n"/>
      <c r="EF44" s="370" t="n"/>
      <c r="EG44" s="370" t="n"/>
      <c r="EH44" s="370" t="n"/>
      <c r="EI44" s="370" t="n"/>
      <c r="EJ44" s="370" t="n"/>
      <c r="EK44" s="370" t="n"/>
      <c r="EL44" s="370" t="n"/>
      <c r="EM44" s="370" t="n"/>
      <c r="EN44" s="370" t="n"/>
      <c r="EO44" s="370" t="n"/>
      <c r="EP44" s="370" t="n"/>
      <c r="EQ44" s="370" t="n"/>
      <c r="ER44" s="370" t="n"/>
      <c r="ES44" s="370" t="n"/>
      <c r="ET44" s="370" t="n"/>
      <c r="EV44" s="41" t="n"/>
      <c r="EX44" s="41" t="n"/>
      <c r="EY44" s="71" t="n"/>
      <c r="EZ44" s="71" t="n"/>
      <c r="FA44" s="11" t="n"/>
      <c r="FB44" s="71" t="n"/>
      <c r="FD44" s="11" t="n"/>
      <c r="FE44" s="71" t="n"/>
      <c r="FF44" s="71" t="n"/>
      <c r="FG44" s="11" t="n"/>
      <c r="FH44" s="11" t="n"/>
      <c r="FI44" s="11" t="n"/>
      <c r="FJ44" s="71" t="n"/>
      <c r="FK44" s="11" t="n"/>
      <c r="FL44" s="71" t="n"/>
      <c r="FM44" s="71" t="n"/>
      <c r="FN44" s="71" t="n"/>
      <c r="FO44" s="11" t="n"/>
      <c r="FP44" s="71" t="n"/>
      <c r="FQ44" s="11" t="n"/>
      <c r="FR44" s="71" t="n"/>
      <c r="FS44" s="71" t="n"/>
      <c r="FT44" s="71" t="n"/>
      <c r="FU44" s="71" t="n"/>
      <c r="FV44" s="71" t="n"/>
      <c r="FX44" s="71" t="n"/>
      <c r="FY44" s="71" t="n"/>
      <c r="FZ44" s="71" t="n"/>
      <c r="GA44" s="71" t="n"/>
      <c r="GB44" s="71" t="n"/>
      <c r="GC44" s="71" t="n"/>
      <c r="GD44" s="71" t="n"/>
      <c r="GE44" s="71" t="n"/>
      <c r="GF44" s="71" t="n"/>
      <c r="GG44" s="71" t="n"/>
      <c r="GH44" s="71" t="n"/>
      <c r="GI44" s="71" t="n"/>
      <c r="GJ44" s="71" t="n"/>
      <c r="GK44" s="71" t="n"/>
      <c r="GL44" s="71" t="n"/>
      <c r="GM44" s="71" t="n"/>
      <c r="GN44" s="71" t="n"/>
      <c r="GO44" s="71" t="n"/>
      <c r="GP44" s="71" t="n"/>
      <c r="GQ44" s="71" t="n"/>
      <c r="GR44" s="71" t="n"/>
      <c r="GS44" s="349" t="n"/>
      <c r="GT44" s="71" t="n"/>
      <c r="GU44" s="71" t="n"/>
      <c r="GV44" s="71" t="n"/>
      <c r="GW44" s="71" t="n"/>
      <c r="GX44" s="71" t="n"/>
      <c r="GY44" s="71" t="n"/>
      <c r="GZ44" s="71" t="n"/>
      <c r="HA44" s="71" t="n"/>
      <c r="HB44" s="71" t="n"/>
      <c r="HC44" s="71" t="n"/>
      <c r="HD44" s="71" t="n"/>
      <c r="HE44" s="71" t="n"/>
      <c r="HF44" s="71" t="n"/>
      <c r="HG44" s="71" t="n"/>
      <c r="HH44" s="71" t="n"/>
      <c r="HI44" s="71" t="n"/>
      <c r="HJ44" s="71" t="n"/>
      <c r="HK44" s="71" t="n"/>
      <c r="HL44" s="71" t="n"/>
      <c r="HM44" s="71" t="n"/>
      <c r="HN44" s="71" t="n"/>
      <c r="HO44" s="71" t="n"/>
      <c r="HP44" s="71" t="n"/>
      <c r="HQ44" s="71" t="n"/>
      <c r="HR44" s="71" t="n"/>
      <c r="HS44" s="71" t="n"/>
      <c r="HT44" s="71" t="n"/>
      <c r="HU44" s="71" t="n"/>
      <c r="HV44" s="71" t="n"/>
      <c r="HW44" s="71" t="n"/>
      <c r="HX44" s="71" t="n"/>
      <c r="HY44" s="71" t="n"/>
      <c r="HZ44" s="71" t="n"/>
      <c r="IA44" s="71" t="n"/>
    </row>
    <row r="45">
      <c r="A45" s="406" t="n"/>
      <c r="B45" s="625" t="n"/>
      <c r="C45" s="641" t="n"/>
      <c r="AG45" s="355" t="n"/>
      <c r="AH45" s="355" t="n"/>
      <c r="AK45" s="41" t="n"/>
      <c r="AL45" s="41" t="n"/>
      <c r="AW45" s="71" t="n"/>
    </row>
    <row r="46">
      <c r="A46" s="182" t="n"/>
      <c r="C46" s="183" t="n"/>
      <c r="D46" s="183" t="n"/>
      <c r="AG46" s="355" t="n"/>
      <c r="AH46" s="355" t="n"/>
      <c r="AW46" s="71" t="n"/>
    </row>
    <row r="47">
      <c r="A47" s="642" t="inlineStr">
        <is>
          <t>FLACONETES</t>
        </is>
      </c>
      <c r="B47" s="625" t="n"/>
      <c r="C47" s="625" t="n"/>
      <c r="D47" s="641" t="n"/>
      <c r="F47" s="643" t="n">
        <v>46013</v>
      </c>
      <c r="G47" s="643" t="n">
        <v>46020</v>
      </c>
      <c r="H47" s="643" t="n">
        <v>46027</v>
      </c>
      <c r="I47" s="643" t="n">
        <v>46034</v>
      </c>
      <c r="J47" s="643" t="n">
        <v>46041</v>
      </c>
      <c r="K47" s="643" t="n">
        <v>46048</v>
      </c>
      <c r="L47" s="643" t="n">
        <v>46055</v>
      </c>
      <c r="M47" s="643" t="n">
        <v>46062</v>
      </c>
      <c r="N47" s="643" t="n">
        <v>46069</v>
      </c>
      <c r="O47" s="643" t="n">
        <v>46076</v>
      </c>
      <c r="P47" s="643" t="n">
        <v>46083</v>
      </c>
      <c r="Q47" s="643" t="n">
        <v>46090</v>
      </c>
      <c r="R47" s="643" t="n">
        <v>46097</v>
      </c>
      <c r="S47" s="643" t="n">
        <v>46104</v>
      </c>
      <c r="T47" s="643" t="n">
        <v>46111</v>
      </c>
      <c r="U47" s="643" t="n">
        <v>46118</v>
      </c>
      <c r="V47" s="643" t="n">
        <v>46125</v>
      </c>
      <c r="W47" s="643" t="n">
        <v>46132</v>
      </c>
      <c r="X47" s="643" t="n">
        <v>46139</v>
      </c>
      <c r="Y47" s="643" t="n">
        <v>46146</v>
      </c>
      <c r="Z47" s="643" t="n">
        <v>46154</v>
      </c>
      <c r="AA47" s="643" t="n">
        <v>46160</v>
      </c>
      <c r="AB47" s="644" t="n">
        <v>46161.48012412037</v>
      </c>
      <c r="AC47" s="644" t="n">
        <v>46161.48079752315</v>
      </c>
      <c r="AD47" s="644" t="n">
        <v>46161.48295554867</v>
      </c>
      <c r="AM47" s="11" t="n"/>
      <c r="AN47" s="11" t="n"/>
      <c r="AO47" s="11" t="n"/>
      <c r="AP47" s="11" t="n"/>
      <c r="AQ47" s="11" t="n"/>
      <c r="AR47" s="11" t="n"/>
      <c r="AS47" s="11" t="n"/>
      <c r="AT47" s="11" t="n"/>
      <c r="AU47" s="11" t="n"/>
      <c r="AV47" s="11" t="n"/>
      <c r="AX47" s="11" t="n"/>
      <c r="AY47" s="11" t="n"/>
      <c r="AZ47" s="11" t="n"/>
    </row>
    <row r="48">
      <c r="A48" s="645" t="inlineStr">
        <is>
          <t>EGEO DOLCE ILUSION</t>
        </is>
      </c>
      <c r="B48" s="625" t="n"/>
      <c r="C48" s="625" t="n"/>
      <c r="D48" s="641" t="n"/>
      <c r="F48" s="366" t="n">
        <v>29</v>
      </c>
      <c r="G48" s="366" t="n">
        <v>28</v>
      </c>
      <c r="H48" s="366" t="n">
        <v>28</v>
      </c>
      <c r="I48" s="366" t="n">
        <v>16</v>
      </c>
      <c r="J48" s="366" t="n">
        <v>14</v>
      </c>
      <c r="K48" s="366" t="n">
        <v>0</v>
      </c>
      <c r="L48" s="366" t="n">
        <v>0</v>
      </c>
      <c r="M48" s="366" t="n">
        <v>0</v>
      </c>
      <c r="N48" s="366" t="n">
        <v>0</v>
      </c>
      <c r="O48" s="366" t="n">
        <v>0</v>
      </c>
      <c r="P48" s="366" t="n">
        <v>0</v>
      </c>
      <c r="Q48" s="366" t="n">
        <v>0</v>
      </c>
      <c r="R48" s="366" t="n">
        <v>0</v>
      </c>
      <c r="S48" s="366" t="n">
        <v>0</v>
      </c>
      <c r="T48" s="366" t="n">
        <v>0</v>
      </c>
      <c r="U48" s="366" t="n">
        <v>0</v>
      </c>
      <c r="V48" s="366" t="n">
        <v>0</v>
      </c>
      <c r="W48" s="366" t="n">
        <v>0</v>
      </c>
      <c r="X48" s="366" t="n">
        <v>0</v>
      </c>
      <c r="Y48" s="366" t="n">
        <v>0</v>
      </c>
      <c r="Z48" s="366" t="n">
        <v>0</v>
      </c>
      <c r="AA48" s="366" t="n"/>
      <c r="AB48" s="646" t="n"/>
      <c r="AC48" s="646" t="n"/>
      <c r="AD48" s="646" t="n"/>
      <c r="AK48" s="11" t="n"/>
      <c r="AL48" s="11" t="n"/>
    </row>
    <row r="49">
      <c r="A49" s="645" t="inlineStr">
        <is>
          <t>HADYA</t>
        </is>
      </c>
      <c r="B49" s="625" t="n"/>
      <c r="C49" s="625" t="n"/>
      <c r="D49" s="641" t="n"/>
      <c r="F49" s="366" t="n">
        <v>0</v>
      </c>
      <c r="G49" s="366" t="n">
        <v>0</v>
      </c>
      <c r="H49" s="366" t="n">
        <v>0</v>
      </c>
      <c r="I49" s="366" t="n">
        <v>0</v>
      </c>
      <c r="J49" s="366" t="n">
        <v>0</v>
      </c>
      <c r="K49" s="366" t="n">
        <v>0</v>
      </c>
      <c r="L49" s="366" t="n">
        <v>0</v>
      </c>
      <c r="M49" s="366" t="n">
        <v>0</v>
      </c>
      <c r="N49" s="366" t="n">
        <v>0</v>
      </c>
      <c r="O49" s="366" t="n">
        <v>0</v>
      </c>
      <c r="P49" s="366" t="n">
        <v>0</v>
      </c>
      <c r="Q49" s="366" t="n">
        <v>0</v>
      </c>
      <c r="R49" s="366" t="n">
        <v>0</v>
      </c>
      <c r="S49" s="366" t="n">
        <v>0</v>
      </c>
      <c r="T49" s="366" t="n">
        <v>0</v>
      </c>
      <c r="U49" s="366" t="n">
        <v>0</v>
      </c>
      <c r="V49" s="366" t="n">
        <v>0</v>
      </c>
      <c r="W49" s="366" t="n">
        <v>0</v>
      </c>
      <c r="X49" s="366" t="n">
        <v>0</v>
      </c>
      <c r="Y49" s="366" t="n">
        <v>0</v>
      </c>
      <c r="Z49" s="366" t="n">
        <v>0</v>
      </c>
      <c r="AA49" s="366" t="n"/>
      <c r="AB49" s="646" t="n"/>
      <c r="AC49" s="646" t="n"/>
      <c r="AD49" s="646" t="n"/>
    </row>
  </sheetData>
  <mergeCells count="12">
    <mergeCell ref="A5:A6"/>
    <mergeCell ref="A42:C42"/>
    <mergeCell ref="B3:D3"/>
    <mergeCell ref="AY7:BG7"/>
    <mergeCell ref="A45:C45"/>
    <mergeCell ref="A48:D48"/>
    <mergeCell ref="C5:C6"/>
    <mergeCell ref="A49:D49"/>
    <mergeCell ref="A47:D47"/>
    <mergeCell ref="B5:B6"/>
    <mergeCell ref="B2:D2"/>
    <mergeCell ref="D5:D6"/>
  </mergeCells>
  <printOptions horizontalCentered="1" verticalCentered="1"/>
  <pageMargins left="0.1574803149606299" right="0.2362204724409449" top="0.7480314960629921" bottom="0.7480314960629921" header="0.3149606299212598" footer="0.3149606299212598"/>
  <pageSetup orientation="landscape" paperSize="9" scale="61" fitToHeight="0" horizontalDpi="300" verticalDpi="300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Planilha55">
    <tabColor theme="9"/>
    <outlinePr summaryBelow="1" summaryRight="1"/>
    <pageSetUpPr/>
  </sheetPr>
  <dimension ref="A1:HS49"/>
  <sheetViews>
    <sheetView showGridLines="0" topLeftCell="A4" zoomScale="80" zoomScaleNormal="80" zoomScaleSheetLayoutView="50" workbookViewId="0">
      <selection activeCell="AA14" activeCellId="1" sqref="AA8:AA11 AA14:AA17"/>
    </sheetView>
  </sheetViews>
  <sheetFormatPr baseColWidth="8" defaultColWidth="9.140625" defaultRowHeight="18.75"/>
  <cols>
    <col width="35.7109375" customWidth="1" style="62" min="1" max="1"/>
    <col width="9" customWidth="1" style="11" min="2" max="2"/>
    <col width="16.42578125" customWidth="1" style="11" min="3" max="3"/>
    <col width="12.28515625" customWidth="1" style="11" min="4" max="4"/>
    <col width="1.7109375" customWidth="1" style="11" min="5" max="5"/>
    <col hidden="1" width="8.28515625" customWidth="1" style="11" min="6" max="24"/>
    <col width="8.28515625" customWidth="1" style="11" min="25" max="26"/>
    <col width="9.140625" customWidth="1" style="11" min="27" max="27"/>
    <col width="1.85546875" customWidth="1" style="11" min="28" max="28"/>
    <col width="28.28515625" bestFit="1" customWidth="1" style="34" min="29" max="29"/>
    <col width="14.28515625" customWidth="1" style="34" min="30" max="30"/>
    <col width="1.140625" customWidth="1" style="11" min="31" max="31"/>
    <col width="15" customWidth="1" style="34" min="32" max="32"/>
    <col width="1.85546875" customWidth="1" style="11" min="33" max="33"/>
    <col width="8.7109375" customWidth="1" style="71" min="34" max="34"/>
    <col width="14.42578125" bestFit="1" customWidth="1" style="71" min="35" max="35"/>
    <col width="8.7109375" customWidth="1" style="71" min="36" max="36"/>
    <col width="14.42578125" bestFit="1" customWidth="1" style="71" min="37" max="37"/>
    <col width="8.7109375" customWidth="1" style="71" min="38" max="40"/>
    <col hidden="1" width="8.7109375" customWidth="1" style="71" min="41" max="44"/>
    <col hidden="1" width="13.42578125" customWidth="1" style="71" min="45" max="45"/>
    <col hidden="1" width="8.7109375" customWidth="1" style="71" min="46" max="48"/>
    <col width="9.140625" customWidth="1" style="11" min="49" max="49"/>
    <col width="21.85546875" bestFit="1" customWidth="1" style="11" min="50" max="50"/>
    <col width="9.140625" customWidth="1" style="11" min="51" max="51"/>
    <col hidden="1" width="13" customWidth="1" style="11" min="52" max="55"/>
    <col width="9.140625" customWidth="1" style="11" min="56" max="16384"/>
  </cols>
  <sheetData>
    <row r="1" ht="23.25" customHeight="1">
      <c r="A1" s="362" t="inlineStr">
        <is>
          <t>Controle de Contagem Semanal - Antilhas</t>
        </is>
      </c>
      <c r="B1" s="362" t="n"/>
      <c r="C1" s="362" t="n"/>
      <c r="D1" s="362" t="n"/>
      <c r="E1" s="362" t="n"/>
      <c r="F1" s="362" t="n"/>
      <c r="G1" s="362" t="n"/>
      <c r="H1" s="362" t="n"/>
      <c r="I1" s="362" t="n"/>
      <c r="J1" s="362" t="n"/>
      <c r="K1" s="362" t="n"/>
      <c r="L1" s="362" t="n"/>
      <c r="M1" s="362" t="n"/>
      <c r="N1" s="362" t="n"/>
      <c r="O1" s="362" t="n"/>
      <c r="P1" s="362" t="n"/>
      <c r="Q1" s="362" t="n"/>
      <c r="R1" s="362" t="n"/>
      <c r="S1" s="362" t="n"/>
      <c r="T1" s="362" t="n"/>
      <c r="U1" s="362" t="n"/>
      <c r="V1" s="362" t="n"/>
      <c r="W1" s="362" t="n"/>
      <c r="X1" s="362" t="n"/>
      <c r="Y1" s="362" t="n"/>
      <c r="Z1" s="362" t="n"/>
      <c r="AA1" s="362" t="n"/>
      <c r="AB1" s="362" t="n"/>
      <c r="AC1" s="361" t="n"/>
      <c r="AD1" s="361" t="n"/>
      <c r="AE1" s="361" t="n"/>
      <c r="AF1" s="361" t="n"/>
      <c r="AG1" s="361" t="n"/>
      <c r="AH1" s="361" t="n"/>
      <c r="AI1" s="361" t="n"/>
      <c r="AJ1" s="361" t="n"/>
      <c r="AK1" s="361" t="n"/>
      <c r="AL1" s="361" t="n"/>
      <c r="AM1" s="361" t="n"/>
      <c r="AN1" s="361" t="n"/>
      <c r="AO1" s="361" t="n"/>
      <c r="AP1" s="361" t="n"/>
      <c r="AQ1" s="361" t="n"/>
      <c r="AR1" s="361" t="n"/>
      <c r="AS1" s="361" t="n"/>
      <c r="AT1" s="361" t="n"/>
      <c r="AU1" s="361" t="n"/>
      <c r="AV1" s="361" t="n"/>
    </row>
    <row r="2">
      <c r="A2" s="63" t="inlineStr">
        <is>
          <t>LOJA:</t>
        </is>
      </c>
      <c r="B2" s="604" t="inlineStr">
        <is>
          <t>JAÚ CENTRO</t>
        </is>
      </c>
      <c r="C2" s="605" t="n"/>
      <c r="D2" s="606" t="n"/>
      <c r="AC2" s="11" t="n"/>
      <c r="AD2" s="11" t="n"/>
    </row>
    <row r="3">
      <c r="A3" s="63" t="inlineStr">
        <is>
          <t>Responsável:</t>
        </is>
      </c>
      <c r="B3" s="607" t="inlineStr">
        <is>
          <t>ELIZA</t>
        </is>
      </c>
      <c r="C3" s="605" t="n"/>
      <c r="D3" s="606" t="n"/>
      <c r="E3" s="608" t="n"/>
      <c r="F3" s="608" t="n"/>
      <c r="G3" s="608" t="n"/>
      <c r="H3" s="608" t="n"/>
      <c r="I3" s="608" t="n"/>
      <c r="J3" s="608" t="n"/>
      <c r="K3" s="608" t="n"/>
      <c r="L3" s="608" t="n"/>
      <c r="M3" s="608" t="n"/>
      <c r="N3" s="608" t="n"/>
      <c r="O3" s="608" t="n"/>
      <c r="P3" s="608" t="n"/>
      <c r="Q3" s="608" t="n"/>
      <c r="R3" s="608" t="n"/>
      <c r="S3" s="608" t="n"/>
      <c r="T3" s="608" t="n"/>
      <c r="U3" s="608" t="n"/>
      <c r="V3" s="608" t="n"/>
      <c r="W3" s="608" t="n"/>
      <c r="X3" s="608" t="n"/>
      <c r="Y3" s="608" t="n"/>
      <c r="Z3" s="608" t="n"/>
      <c r="AA3" s="608" t="n"/>
      <c r="AB3" s="608" t="n"/>
      <c r="AC3" s="11" t="n"/>
      <c r="AD3" s="11" t="n"/>
      <c r="AE3" s="608" t="n"/>
      <c r="AG3" s="608" t="n"/>
    </row>
    <row r="4">
      <c r="AF4" s="11" t="n"/>
      <c r="AH4" s="395" t="n"/>
      <c r="AI4" s="395" t="n"/>
      <c r="AJ4" s="395" t="n"/>
      <c r="AK4" s="395" t="n"/>
      <c r="AL4" s="395" t="n"/>
      <c r="AM4" s="395" t="n"/>
      <c r="AN4" s="395" t="n"/>
      <c r="AO4" s="395" t="n"/>
      <c r="AP4" s="395" t="n"/>
      <c r="AQ4" s="395" t="n"/>
      <c r="AR4" s="395" t="n"/>
      <c r="AS4" s="395" t="n"/>
      <c r="AT4" s="395" t="n"/>
      <c r="AU4" s="395" t="n"/>
      <c r="AV4" s="395" t="n"/>
    </row>
    <row r="5" ht="18.75" customHeight="1">
      <c r="A5" s="610" t="inlineStr">
        <is>
          <t>Descrição</t>
        </is>
      </c>
      <c r="B5" s="611" t="inlineStr">
        <is>
          <t>PCT</t>
        </is>
      </c>
      <c r="C5" s="611" t="inlineStr">
        <is>
          <t xml:space="preserve">R$ </t>
        </is>
      </c>
      <c r="D5" s="612" t="inlineStr">
        <is>
          <t>Estoque Ideal</t>
        </is>
      </c>
      <c r="F5" s="40" t="n"/>
      <c r="G5" s="40" t="n"/>
      <c r="H5" s="40" t="n"/>
      <c r="I5" s="40" t="n"/>
      <c r="J5" s="40" t="n"/>
      <c r="K5" s="40" t="n"/>
      <c r="L5" s="40" t="n"/>
      <c r="M5" s="40" t="n"/>
      <c r="N5" s="40" t="n"/>
      <c r="O5" s="40" t="n"/>
      <c r="P5" s="40" t="n"/>
      <c r="Q5" s="40" t="n"/>
      <c r="R5" s="40" t="n"/>
      <c r="S5" s="40" t="n"/>
      <c r="T5" s="40" t="n"/>
      <c r="U5" s="40" t="n"/>
      <c r="V5" s="40" t="n"/>
      <c r="W5" s="40" t="n"/>
      <c r="X5" s="40" t="n"/>
      <c r="Y5" s="40" t="n"/>
      <c r="Z5" s="40" t="n"/>
      <c r="AA5" s="40" t="n"/>
      <c r="AC5" s="29" t="inlineStr">
        <is>
          <t>Pendências</t>
        </is>
      </c>
      <c r="AD5" s="29" t="inlineStr">
        <is>
          <t>Pendências</t>
        </is>
      </c>
      <c r="AF5" s="9" t="inlineStr">
        <is>
          <t>Novo Pedido</t>
        </is>
      </c>
      <c r="AH5" s="614" t="n"/>
      <c r="AI5" s="615" t="inlineStr">
        <is>
          <t>TRANSF.</t>
        </is>
      </c>
      <c r="AJ5" s="614" t="n">
        <v>46142</v>
      </c>
      <c r="AK5" s="615" t="inlineStr">
        <is>
          <t>TRANSF.</t>
        </is>
      </c>
      <c r="AL5" s="616" t="n">
        <v>46065</v>
      </c>
      <c r="AM5" s="614" t="n">
        <v>46092</v>
      </c>
      <c r="AN5" s="614" t="n">
        <v>46077</v>
      </c>
      <c r="AO5" s="614" t="n">
        <v>46048</v>
      </c>
      <c r="AP5" s="614" t="n">
        <v>46043</v>
      </c>
      <c r="AQ5" s="614" t="n">
        <v>46029</v>
      </c>
      <c r="AR5" s="614" t="n">
        <v>46024</v>
      </c>
      <c r="AS5" s="617" t="inlineStr">
        <is>
          <t>TRANSF.</t>
        </is>
      </c>
      <c r="AT5" s="614" t="n">
        <v>46007</v>
      </c>
      <c r="AU5" s="614" t="n">
        <v>46001</v>
      </c>
      <c r="AV5" s="614" t="n">
        <v>45994</v>
      </c>
    </row>
    <row r="6" customFormat="1" s="3">
      <c r="A6" s="618" t="n"/>
      <c r="B6" s="618" t="n"/>
      <c r="C6" s="618" t="n"/>
      <c r="D6" s="618" t="n"/>
      <c r="E6" s="30" t="n"/>
      <c r="F6" s="619" t="n">
        <v>46013</v>
      </c>
      <c r="G6" s="619" t="n">
        <v>46020</v>
      </c>
      <c r="H6" s="619" t="n">
        <v>46027</v>
      </c>
      <c r="I6" s="619" t="n">
        <v>46034</v>
      </c>
      <c r="J6" s="619" t="n">
        <v>46041</v>
      </c>
      <c r="K6" s="619" t="n">
        <v>46048</v>
      </c>
      <c r="L6" s="619" t="n">
        <v>46055</v>
      </c>
      <c r="M6" s="619" t="n">
        <v>46062</v>
      </c>
      <c r="N6" s="619" t="n">
        <v>46069</v>
      </c>
      <c r="O6" s="619" t="n">
        <v>46076</v>
      </c>
      <c r="P6" s="619" t="n">
        <v>46083</v>
      </c>
      <c r="Q6" s="619" t="n">
        <v>46090</v>
      </c>
      <c r="R6" s="619" t="n">
        <v>46097</v>
      </c>
      <c r="S6" s="619" t="n">
        <v>46104</v>
      </c>
      <c r="T6" s="619" t="n">
        <v>46111</v>
      </c>
      <c r="U6" s="619" t="n">
        <v>46118</v>
      </c>
      <c r="V6" s="619" t="n">
        <v>46125</v>
      </c>
      <c r="W6" s="619" t="n">
        <v>46132</v>
      </c>
      <c r="X6" s="619" t="n">
        <v>46139</v>
      </c>
      <c r="Y6" s="619" t="n">
        <v>46146</v>
      </c>
      <c r="Z6" s="619" t="n">
        <v>46154</v>
      </c>
      <c r="AA6" s="621" t="inlineStr">
        <is>
          <t>USOU</t>
        </is>
      </c>
      <c r="AB6" s="11" t="n"/>
      <c r="AC6" s="622" t="n"/>
      <c r="AD6" s="622" t="n"/>
      <c r="AE6" s="623" t="n"/>
      <c r="AF6" s="624" t="n">
        <v>46155</v>
      </c>
      <c r="AG6" s="623" t="n"/>
      <c r="AH6" s="614" t="n"/>
      <c r="AI6" s="615" t="n">
        <v>46148</v>
      </c>
      <c r="AJ6" s="614" t="n">
        <v>46153</v>
      </c>
      <c r="AK6" s="615" t="n">
        <v>46146</v>
      </c>
      <c r="AL6" s="616" t="n">
        <v>46111</v>
      </c>
      <c r="AM6" s="614" t="n">
        <v>46099</v>
      </c>
      <c r="AN6" s="614" t="n">
        <v>46087</v>
      </c>
      <c r="AO6" s="614" t="n">
        <v>46056</v>
      </c>
      <c r="AP6" s="614" t="n">
        <v>46049</v>
      </c>
      <c r="AQ6" s="614" t="n">
        <v>46037</v>
      </c>
      <c r="AR6" s="614" t="n">
        <v>46034</v>
      </c>
      <c r="AS6" s="617" t="n">
        <v>46386</v>
      </c>
      <c r="AT6" s="614" t="n">
        <v>46014</v>
      </c>
      <c r="AU6" s="614" t="n">
        <v>46010</v>
      </c>
      <c r="AV6" s="614" t="n">
        <v>46003</v>
      </c>
      <c r="AX6" s="11" t="n"/>
      <c r="AY6" s="11" t="n"/>
      <c r="AZ6" s="11" t="n"/>
      <c r="BA6" s="11" t="n"/>
      <c r="BB6" s="11" t="n"/>
      <c r="BC6" s="11" t="n"/>
      <c r="BD6" s="11" t="n"/>
      <c r="BE6" s="11" t="n"/>
      <c r="BF6" s="11" t="n"/>
    </row>
    <row r="7" ht="21.75" customFormat="1" customHeight="1" s="3">
      <c r="A7" s="20" t="inlineStr">
        <is>
          <t xml:space="preserve">SACOLAS </t>
        </is>
      </c>
      <c r="B7" s="5" t="n"/>
      <c r="C7" s="5" t="n"/>
      <c r="D7" s="239" t="n"/>
      <c r="E7" s="11" t="n"/>
      <c r="F7" s="12" t="n"/>
      <c r="G7" s="12" t="n"/>
      <c r="H7" s="12" t="n"/>
      <c r="I7" s="12" t="n"/>
      <c r="J7" s="12" t="n"/>
      <c r="K7" s="12" t="n"/>
      <c r="L7" s="12" t="n"/>
      <c r="M7" s="12" t="n"/>
      <c r="N7" s="12" t="n"/>
      <c r="O7" s="12" t="n"/>
      <c r="P7" s="12" t="n"/>
      <c r="Q7" s="12" t="n"/>
      <c r="R7" s="12" t="n"/>
      <c r="S7" s="12" t="n"/>
      <c r="T7" s="12" t="n"/>
      <c r="U7" s="12" t="n"/>
      <c r="V7" s="12" t="n"/>
      <c r="W7" s="12" t="n"/>
      <c r="X7" s="12" t="n"/>
      <c r="Y7" s="12" t="n"/>
      <c r="Z7" s="12" t="n"/>
      <c r="AA7" s="12" t="n"/>
      <c r="AB7" s="11" t="n"/>
      <c r="AC7" s="85" t="n"/>
      <c r="AD7" s="85" t="n"/>
      <c r="AE7" s="11" t="n"/>
      <c r="AF7" s="12" t="n"/>
      <c r="AG7" s="11" t="n"/>
      <c r="AH7" s="12" t="n"/>
      <c r="AI7" s="12" t="n"/>
      <c r="AJ7" s="12" t="n"/>
      <c r="AK7" s="12" t="n"/>
      <c r="AL7" s="12" t="inlineStr">
        <is>
          <t>MÃES</t>
        </is>
      </c>
      <c r="AM7" s="12" t="n"/>
      <c r="AN7" s="12" t="n"/>
      <c r="AO7" s="12" t="n"/>
      <c r="AP7" s="12" t="n"/>
      <c r="AQ7" s="12" t="n"/>
      <c r="AR7" s="12" t="n"/>
      <c r="AS7" s="12" t="n"/>
      <c r="AT7" s="12" t="n"/>
      <c r="AU7" s="12" t="n"/>
      <c r="AV7" s="12" t="n"/>
      <c r="AX7" s="384" t="inlineStr">
        <is>
          <t>MÃES 2026</t>
        </is>
      </c>
      <c r="AY7" s="625" t="n"/>
      <c r="AZ7" s="625" t="n"/>
      <c r="BA7" s="625" t="n"/>
      <c r="BB7" s="625" t="n"/>
      <c r="BC7" s="625" t="n"/>
      <c r="BD7" s="625" t="n"/>
      <c r="BE7" s="625" t="n"/>
      <c r="BF7" s="641" t="n"/>
    </row>
    <row r="8" ht="18" customFormat="1" customHeight="1" s="3">
      <c r="A8" s="21" t="inlineStr">
        <is>
          <t>SACOLA PP VERDE</t>
        </is>
      </c>
      <c r="B8" s="6" t="n">
        <v>300</v>
      </c>
      <c r="C8" s="627" t="n">
        <v>187.12</v>
      </c>
      <c r="D8" s="240" t="n">
        <v>300</v>
      </c>
      <c r="E8" s="11" t="n"/>
      <c r="F8" s="39" t="n">
        <v>1280</v>
      </c>
      <c r="G8" s="39" t="n">
        <v>1200</v>
      </c>
      <c r="H8" s="39" t="n">
        <v>1170</v>
      </c>
      <c r="I8" s="39" t="n">
        <v>1020</v>
      </c>
      <c r="J8" s="39" t="n">
        <v>1020</v>
      </c>
      <c r="K8" s="39" t="n">
        <v>960</v>
      </c>
      <c r="L8" s="39" t="n">
        <v>920</v>
      </c>
      <c r="M8" s="39" t="n">
        <v>920</v>
      </c>
      <c r="N8" s="39" t="n">
        <v>900</v>
      </c>
      <c r="O8" s="39" t="n">
        <v>840</v>
      </c>
      <c r="P8" s="39" t="n">
        <v>800</v>
      </c>
      <c r="Q8" s="39" t="n">
        <v>760</v>
      </c>
      <c r="R8" s="39" t="n">
        <v>760</v>
      </c>
      <c r="S8" s="39" t="n">
        <v>760</v>
      </c>
      <c r="T8" s="39" t="n">
        <v>700</v>
      </c>
      <c r="U8" s="39" t="n">
        <v>900</v>
      </c>
      <c r="V8" s="39" t="n">
        <v>600</v>
      </c>
      <c r="W8" s="39" t="n">
        <v>600</v>
      </c>
      <c r="X8" s="39" t="n">
        <v>600</v>
      </c>
      <c r="Y8" s="39">
        <f>600-300</f>
        <v/>
      </c>
      <c r="Z8" s="39" t="n">
        <v>300</v>
      </c>
      <c r="AA8" s="380">
        <f>Y8+IF(NOT(ISBLANK(OFFSET(AA8,0,6))),N(OFFSET(AA8,0,6)),N(OFFSET(AA8,0,7)))-Z8</f>
        <v/>
      </c>
      <c r="AB8" s="11" t="n"/>
      <c r="AC8" s="78" t="n"/>
      <c r="AD8" s="78" t="n"/>
      <c r="AE8" s="11" t="n"/>
      <c r="AF8" s="32" t="n"/>
      <c r="AG8" s="11" t="n"/>
      <c r="AH8" s="19" t="n">
        <v>0</v>
      </c>
      <c r="AI8" s="260" t="inlineStr">
        <is>
          <t>300 P/ JDM</t>
        </is>
      </c>
      <c r="AJ8" s="19" t="n">
        <v>0</v>
      </c>
      <c r="AK8" s="304" t="n"/>
      <c r="AL8" s="19" t="n"/>
      <c r="AM8" s="19" t="n"/>
      <c r="AN8" s="19" t="n"/>
      <c r="AO8" s="19" t="n"/>
      <c r="AP8" s="19" t="n"/>
      <c r="AQ8" s="19" t="n"/>
      <c r="AR8" s="19" t="n"/>
      <c r="AS8" s="19" t="n"/>
      <c r="AT8" s="19" t="n">
        <v>300</v>
      </c>
      <c r="AU8" s="19" t="n"/>
      <c r="AV8" s="19" t="n">
        <v>600</v>
      </c>
      <c r="AX8" s="397" t="inlineStr">
        <is>
          <t xml:space="preserve">SACOLAS </t>
        </is>
      </c>
      <c r="AY8" s="384" t="inlineStr">
        <is>
          <t>PCT</t>
        </is>
      </c>
      <c r="AZ8" s="619" t="n">
        <v>46118</v>
      </c>
      <c r="BA8" s="619" t="n">
        <v>46125</v>
      </c>
      <c r="BB8" s="619" t="n">
        <v>46132</v>
      </c>
      <c r="BC8" s="619" t="n">
        <v>46139</v>
      </c>
      <c r="BD8" s="619" t="n">
        <v>46146</v>
      </c>
      <c r="BE8" s="619" t="n">
        <v>46154</v>
      </c>
      <c r="BF8" s="621" t="inlineStr">
        <is>
          <t>USOU</t>
        </is>
      </c>
    </row>
    <row r="9" ht="18" customFormat="1" customHeight="1" s="3">
      <c r="A9" s="21" t="inlineStr">
        <is>
          <t xml:space="preserve">SACOLA P VERDE </t>
        </is>
      </c>
      <c r="B9" s="6" t="n">
        <v>200</v>
      </c>
      <c r="C9" s="627" t="n">
        <v>193.08</v>
      </c>
      <c r="D9" s="240" t="n">
        <v>500</v>
      </c>
      <c r="E9" s="11" t="n"/>
      <c r="F9" s="39" t="n">
        <v>1320</v>
      </c>
      <c r="G9" s="39">
        <f>800-200</f>
        <v/>
      </c>
      <c r="H9" s="39" t="n">
        <v>540</v>
      </c>
      <c r="I9" s="39" t="n">
        <v>200</v>
      </c>
      <c r="J9" s="39" t="n">
        <v>720</v>
      </c>
      <c r="K9" s="39" t="n">
        <v>600</v>
      </c>
      <c r="L9" s="39">
        <f>460+AO9</f>
        <v/>
      </c>
      <c r="M9" s="39" t="n">
        <v>740</v>
      </c>
      <c r="N9" s="39" t="n">
        <v>720</v>
      </c>
      <c r="O9" s="39" t="n">
        <v>600</v>
      </c>
      <c r="P9" s="39">
        <f>500+AN9</f>
        <v/>
      </c>
      <c r="Q9" s="39" t="n">
        <v>740</v>
      </c>
      <c r="R9" s="39">
        <f>540+AM9</f>
        <v/>
      </c>
      <c r="S9" s="39" t="n">
        <v>800</v>
      </c>
      <c r="T9" s="39" t="n">
        <v>700</v>
      </c>
      <c r="U9" s="39" t="n">
        <v>800</v>
      </c>
      <c r="V9" s="39" t="n">
        <v>600</v>
      </c>
      <c r="W9" s="39" t="n">
        <v>600</v>
      </c>
      <c r="X9" s="39" t="n">
        <v>600</v>
      </c>
      <c r="Y9" s="39">
        <f>600+AJ9</f>
        <v/>
      </c>
      <c r="Z9" s="39" t="n">
        <v>600</v>
      </c>
      <c r="AA9" s="380">
        <f>Y9+IF(NOT(ISBLANK(OFFSET(AA9,0,6))),N(OFFSET(AA9,0,6)),N(OFFSET(AA9,0,7)))-Z9</f>
        <v/>
      </c>
      <c r="AB9" s="11" t="n"/>
      <c r="AC9" s="78" t="n"/>
      <c r="AD9" s="78" t="n"/>
      <c r="AE9" s="11" t="n"/>
      <c r="AF9" s="32" t="n"/>
      <c r="AG9" s="11" t="n"/>
      <c r="AH9" s="304" t="n">
        <v>0</v>
      </c>
      <c r="AI9" s="304" t="n"/>
      <c r="AJ9" s="304" t="n">
        <v>400</v>
      </c>
      <c r="AK9" s="304" t="n"/>
      <c r="AL9" s="119" t="n">
        <v>1400</v>
      </c>
      <c r="AM9" s="19" t="n">
        <v>600</v>
      </c>
      <c r="AN9" s="19" t="n">
        <v>400</v>
      </c>
      <c r="AO9" s="19" t="n">
        <v>400</v>
      </c>
      <c r="AP9" s="19" t="n"/>
      <c r="AQ9" s="19" t="n">
        <v>200</v>
      </c>
      <c r="AR9" s="19" t="n">
        <v>400</v>
      </c>
      <c r="AS9" s="260" t="inlineStr">
        <is>
          <t>200 P/ JDM</t>
        </is>
      </c>
      <c r="AT9" s="19" t="n">
        <v>800</v>
      </c>
      <c r="AU9" s="19" t="n">
        <v>400</v>
      </c>
      <c r="AV9" s="19" t="n">
        <v>600</v>
      </c>
      <c r="AX9" s="372" t="inlineStr">
        <is>
          <t xml:space="preserve">SACOLA P </t>
        </is>
      </c>
      <c r="AY9" s="139" t="n">
        <v>200</v>
      </c>
      <c r="AZ9" s="39">
        <f>AL9</f>
        <v/>
      </c>
      <c r="BA9" s="39" t="n">
        <v>800</v>
      </c>
      <c r="BB9" s="39" t="n">
        <v>800</v>
      </c>
      <c r="BC9" s="39" t="n">
        <v>740</v>
      </c>
      <c r="BD9" s="39" t="n">
        <v>700</v>
      </c>
      <c r="BE9" s="39" t="n">
        <v>400</v>
      </c>
      <c r="BF9" s="26">
        <f>BD9+IF(NOT(ISBLANK(OFFSET(BF9,0,6))),N(OFFSET(BF9,0,6)),N(OFFSET(BF9,0,7)))-BE9</f>
        <v/>
      </c>
    </row>
    <row r="10" ht="18" customFormat="1" customHeight="1" s="3">
      <c r="A10" s="21" t="inlineStr">
        <is>
          <t>SACOLA M VERDE</t>
        </is>
      </c>
      <c r="B10" s="6" t="n">
        <v>200</v>
      </c>
      <c r="C10" s="627" t="n">
        <v>253.83</v>
      </c>
      <c r="D10" s="240" t="n">
        <v>200</v>
      </c>
      <c r="E10" s="11" t="n"/>
      <c r="F10" s="39" t="n">
        <v>800</v>
      </c>
      <c r="G10" s="39" t="n">
        <v>660</v>
      </c>
      <c r="H10" s="39" t="n">
        <v>660</v>
      </c>
      <c r="I10" s="39" t="n">
        <v>540</v>
      </c>
      <c r="J10" s="39" t="n">
        <v>540</v>
      </c>
      <c r="K10" s="39" t="n">
        <v>460</v>
      </c>
      <c r="L10" s="39" t="n">
        <v>420</v>
      </c>
      <c r="M10" s="39" t="n">
        <v>380</v>
      </c>
      <c r="N10" s="39" t="n">
        <v>380</v>
      </c>
      <c r="O10" s="39" t="n">
        <v>300</v>
      </c>
      <c r="P10" s="39" t="n">
        <v>300</v>
      </c>
      <c r="Q10" s="39" t="n">
        <v>260</v>
      </c>
      <c r="R10" s="39">
        <f>260+AM10</f>
        <v/>
      </c>
      <c r="S10" s="39" t="n">
        <v>460</v>
      </c>
      <c r="T10" s="39" t="n">
        <v>400</v>
      </c>
      <c r="U10" s="39" t="n">
        <v>200</v>
      </c>
      <c r="V10" s="39" t="n">
        <v>200</v>
      </c>
      <c r="W10" s="39" t="n">
        <v>200</v>
      </c>
      <c r="X10" s="39" t="n">
        <v>200</v>
      </c>
      <c r="Y10" s="39">
        <f>200+AJ10</f>
        <v/>
      </c>
      <c r="Z10" s="39" t="n">
        <v>200</v>
      </c>
      <c r="AA10" s="380">
        <f>Y10+IF(NOT(ISBLANK(OFFSET(AA10,0,6))),N(OFFSET(AA10,0,6)),N(OFFSET(AA10,0,7)))-Z10</f>
        <v/>
      </c>
      <c r="AB10" s="11" t="n"/>
      <c r="AC10" s="78" t="n"/>
      <c r="AD10" s="78" t="n"/>
      <c r="AE10" s="11" t="n"/>
      <c r="AF10" s="32" t="n">
        <v>200</v>
      </c>
      <c r="AG10" s="11" t="n"/>
      <c r="AH10" s="304" t="n">
        <v>0</v>
      </c>
      <c r="AI10" s="304" t="n"/>
      <c r="AJ10" s="304" t="n">
        <v>200</v>
      </c>
      <c r="AK10" s="304" t="n"/>
      <c r="AL10" s="119" t="n">
        <v>600</v>
      </c>
      <c r="AM10" s="19" t="n">
        <v>200</v>
      </c>
      <c r="AN10" s="19" t="n"/>
      <c r="AO10" s="19" t="n"/>
      <c r="AP10" s="19" t="n"/>
      <c r="AQ10" s="19" t="n"/>
      <c r="AR10" s="19" t="n"/>
      <c r="AS10" s="19" t="n"/>
      <c r="AT10" s="19" t="n">
        <v>400</v>
      </c>
      <c r="AU10" s="19" t="n"/>
      <c r="AV10" s="19" t="n">
        <v>200</v>
      </c>
      <c r="AX10" s="21" t="inlineStr">
        <is>
          <t xml:space="preserve">SACOLA M </t>
        </is>
      </c>
      <c r="AY10" s="6" t="n">
        <v>200</v>
      </c>
      <c r="AZ10" s="39">
        <f>AL10</f>
        <v/>
      </c>
      <c r="BA10" s="39" t="n">
        <v>400</v>
      </c>
      <c r="BB10" s="39" t="n">
        <v>400</v>
      </c>
      <c r="BC10" s="39" t="n">
        <v>300</v>
      </c>
      <c r="BD10" s="39" t="n">
        <v>200</v>
      </c>
      <c r="BE10" s="39" t="n">
        <v>0</v>
      </c>
      <c r="BF10" s="26">
        <f>BD10+IF(NOT(ISBLANK(OFFSET(BF10,0,6))),N(OFFSET(BF10,0,6)),N(OFFSET(BF10,0,7)))-BE10</f>
        <v/>
      </c>
    </row>
    <row r="11" ht="18" customFormat="1" customHeight="1" s="3">
      <c r="A11" s="22" t="inlineStr">
        <is>
          <t xml:space="preserve">SACOLA G VERDE </t>
        </is>
      </c>
      <c r="B11" s="6" t="n">
        <v>100</v>
      </c>
      <c r="C11" s="627" t="n">
        <v>184.57</v>
      </c>
      <c r="D11" s="240" t="n">
        <v>50</v>
      </c>
      <c r="E11" s="11" t="n"/>
      <c r="F11" s="39" t="n">
        <v>100</v>
      </c>
      <c r="G11" s="39" t="n">
        <v>60</v>
      </c>
      <c r="H11" s="39" t="n">
        <v>60</v>
      </c>
      <c r="I11" s="39" t="n">
        <v>40</v>
      </c>
      <c r="J11" s="39" t="n">
        <v>140</v>
      </c>
      <c r="K11" s="39" t="n">
        <v>140</v>
      </c>
      <c r="L11" s="39" t="n">
        <v>140</v>
      </c>
      <c r="M11" s="39" t="n">
        <v>140</v>
      </c>
      <c r="N11" s="39" t="n">
        <v>140</v>
      </c>
      <c r="O11" s="39" t="n">
        <v>120</v>
      </c>
      <c r="P11" s="39" t="n">
        <v>100</v>
      </c>
      <c r="Q11" s="39" t="n">
        <v>100</v>
      </c>
      <c r="R11" s="39" t="n">
        <v>100</v>
      </c>
      <c r="S11" s="39" t="n">
        <v>100</v>
      </c>
      <c r="T11" s="39" t="n">
        <v>100</v>
      </c>
      <c r="U11" s="39" t="n">
        <v>100</v>
      </c>
      <c r="V11" s="39" t="n">
        <v>100</v>
      </c>
      <c r="W11" s="39" t="n">
        <v>100</v>
      </c>
      <c r="X11" s="39" t="n">
        <v>100</v>
      </c>
      <c r="Y11" s="39">
        <f>100+AJ11</f>
        <v/>
      </c>
      <c r="Z11" s="39" t="n">
        <v>50</v>
      </c>
      <c r="AA11" s="380">
        <f>Y11+IF(NOT(ISBLANK(OFFSET(AA11,0,6))),N(OFFSET(AA11,0,6)),N(OFFSET(AA11,0,7)))-Z11</f>
        <v/>
      </c>
      <c r="AB11" s="11" t="n"/>
      <c r="AC11" s="78" t="n"/>
      <c r="AD11" s="78" t="n"/>
      <c r="AE11" s="11" t="n"/>
      <c r="AF11" s="32" t="n">
        <v>100</v>
      </c>
      <c r="AG11" s="11" t="n"/>
      <c r="AH11" s="304" t="n">
        <v>0</v>
      </c>
      <c r="AI11" s="304" t="n"/>
      <c r="AJ11" s="304" t="n">
        <v>100</v>
      </c>
      <c r="AK11" s="304" t="n"/>
      <c r="AL11" s="119" t="n">
        <v>100</v>
      </c>
      <c r="AM11" s="19" t="n"/>
      <c r="AN11" s="19" t="n"/>
      <c r="AO11" s="19" t="n"/>
      <c r="AP11" s="19" t="n"/>
      <c r="AQ11" s="19" t="n"/>
      <c r="AR11" s="19" t="n">
        <v>100</v>
      </c>
      <c r="AS11" s="19" t="n"/>
      <c r="AT11" s="19" t="n"/>
      <c r="AU11" s="19" t="n">
        <v>100</v>
      </c>
      <c r="AV11" s="19" t="n"/>
      <c r="AX11" s="22" t="inlineStr">
        <is>
          <t xml:space="preserve">SACOLA G </t>
        </is>
      </c>
      <c r="AY11" s="6" t="n">
        <v>100</v>
      </c>
      <c r="AZ11" s="39">
        <f>AL11</f>
        <v/>
      </c>
      <c r="BA11" s="39" t="n">
        <v>0</v>
      </c>
      <c r="BB11" s="39" t="n">
        <v>0</v>
      </c>
      <c r="BC11" s="39" t="n">
        <v>0</v>
      </c>
      <c r="BD11" s="39" t="n">
        <v>0</v>
      </c>
      <c r="BE11" s="39" t="n">
        <v>0</v>
      </c>
      <c r="BF11" s="26">
        <f>BD11+IF(NOT(ISBLANK(OFFSET(BF11,0,6))),N(OFFSET(BF11,0,6)),N(OFFSET(BF11,0,7)))-BE11</f>
        <v/>
      </c>
    </row>
    <row r="12" ht="12" customFormat="1" customHeight="1" s="3">
      <c r="A12" s="23" t="n"/>
      <c r="B12" s="1" t="n"/>
      <c r="C12" s="630" t="n"/>
      <c r="D12" s="277" t="n"/>
      <c r="E12" s="11" t="n"/>
      <c r="F12" s="2" t="n"/>
      <c r="G12" s="2" t="n"/>
      <c r="H12" s="2" t="n"/>
      <c r="I12" s="2" t="n"/>
      <c r="J12" s="2" t="n"/>
      <c r="K12" s="2" t="n"/>
      <c r="L12" s="2" t="n"/>
      <c r="M12" s="2" t="n"/>
      <c r="N12" s="2" t="n"/>
      <c r="O12" s="2" t="n"/>
      <c r="P12" s="2" t="n"/>
      <c r="Q12" s="2" t="n"/>
      <c r="R12" s="2" t="n"/>
      <c r="S12" s="2" t="n"/>
      <c r="T12" s="2" t="n"/>
      <c r="U12" s="2" t="n"/>
      <c r="V12" s="2" t="n"/>
      <c r="W12" s="2" t="n"/>
      <c r="X12" s="2" t="n"/>
      <c r="Y12" s="2" t="n"/>
      <c r="Z12" s="2" t="n"/>
      <c r="AA12" s="2" t="n"/>
      <c r="AB12" s="11" t="n"/>
      <c r="AC12" s="350" t="n"/>
      <c r="AD12" s="350" t="n"/>
      <c r="AE12" s="11" t="n"/>
      <c r="AF12" s="33" t="n"/>
      <c r="AG12" s="11" t="n"/>
      <c r="AH12" s="75" t="n"/>
      <c r="AI12" s="75" t="n"/>
      <c r="AJ12" s="75" t="n"/>
      <c r="AK12" s="75" t="n"/>
      <c r="AL12" s="75" t="n"/>
      <c r="AM12" s="75" t="n"/>
      <c r="AN12" s="75" t="n"/>
      <c r="AO12" s="75" t="n"/>
      <c r="AP12" s="75" t="n"/>
      <c r="AQ12" s="75" t="n"/>
      <c r="AR12" s="75" t="n"/>
      <c r="AS12" s="75" t="n"/>
      <c r="AT12" s="75" t="n"/>
      <c r="AU12" s="75" t="n"/>
      <c r="AV12" s="75" t="n"/>
      <c r="AX12" s="23" t="n"/>
      <c r="AY12" s="1" t="n"/>
      <c r="AZ12" s="2" t="n"/>
      <c r="BA12" s="2" t="n"/>
      <c r="BB12" s="2" t="n"/>
      <c r="BC12" s="2" t="n"/>
      <c r="BD12" s="2" t="n"/>
      <c r="BE12" s="2" t="n"/>
    </row>
    <row r="13" customFormat="1" s="3">
      <c r="A13" s="548" t="inlineStr">
        <is>
          <t>DIVERSOS</t>
        </is>
      </c>
      <c r="B13" s="12" t="n"/>
      <c r="C13" s="631" t="n"/>
      <c r="D13" s="403" t="n"/>
      <c r="E13" s="608" t="n"/>
      <c r="F13" s="619" t="n">
        <v>46013</v>
      </c>
      <c r="G13" s="619" t="n">
        <v>46020</v>
      </c>
      <c r="H13" s="619" t="n">
        <v>46027</v>
      </c>
      <c r="I13" s="619" t="n">
        <v>46034</v>
      </c>
      <c r="J13" s="619" t="n">
        <v>46041</v>
      </c>
      <c r="K13" s="619" t="n">
        <v>46048</v>
      </c>
      <c r="L13" s="619" t="n">
        <v>46055</v>
      </c>
      <c r="M13" s="619" t="n">
        <v>46062</v>
      </c>
      <c r="N13" s="619" t="n">
        <v>46069</v>
      </c>
      <c r="O13" s="619" t="n">
        <v>46076</v>
      </c>
      <c r="P13" s="619" t="n">
        <v>46083</v>
      </c>
      <c r="Q13" s="619" t="n">
        <v>46090</v>
      </c>
      <c r="R13" s="619" t="n">
        <v>46097</v>
      </c>
      <c r="S13" s="619" t="n">
        <v>46104</v>
      </c>
      <c r="T13" s="619" t="n">
        <v>46111</v>
      </c>
      <c r="U13" s="619" t="n">
        <v>46118</v>
      </c>
      <c r="V13" s="619" t="n">
        <v>46125</v>
      </c>
      <c r="W13" s="619" t="n">
        <v>46132</v>
      </c>
      <c r="X13" s="619" t="n">
        <v>46139</v>
      </c>
      <c r="Y13" s="619" t="n">
        <v>46146</v>
      </c>
      <c r="Z13" s="619" t="n">
        <v>46154</v>
      </c>
      <c r="AA13" s="621" t="inlineStr">
        <is>
          <t>USOU</t>
        </is>
      </c>
      <c r="AB13" s="11" t="n"/>
      <c r="AC13" s="29" t="inlineStr">
        <is>
          <t>Pendências</t>
        </is>
      </c>
      <c r="AD13" s="29" t="inlineStr">
        <is>
          <t>Pendências</t>
        </is>
      </c>
      <c r="AE13" s="11" t="n"/>
      <c r="AF13" s="9" t="inlineStr">
        <is>
          <t>Novo Pedido</t>
        </is>
      </c>
      <c r="AG13" s="11" t="n"/>
      <c r="AH13" s="614" t="n"/>
      <c r="AI13" s="615" t="n">
        <v>46148</v>
      </c>
      <c r="AJ13" s="614" t="n">
        <v>46142</v>
      </c>
      <c r="AK13" s="615" t="n">
        <v>46146</v>
      </c>
      <c r="AL13" s="616" t="n">
        <v>46065</v>
      </c>
      <c r="AM13" s="614" t="n">
        <v>46092</v>
      </c>
      <c r="AN13" s="614" t="n">
        <v>46077</v>
      </c>
      <c r="AO13" s="614" t="n">
        <v>46048</v>
      </c>
      <c r="AP13" s="614" t="n">
        <v>46043</v>
      </c>
      <c r="AQ13" s="614" t="n">
        <v>46029</v>
      </c>
      <c r="AR13" s="614" t="n">
        <v>46024</v>
      </c>
      <c r="AS13" s="617" t="n">
        <v>46386</v>
      </c>
      <c r="AT13" s="614" t="n">
        <v>46007</v>
      </c>
      <c r="AU13" s="614" t="n">
        <v>46001</v>
      </c>
      <c r="AV13" s="614" t="n">
        <v>45994</v>
      </c>
      <c r="AX13" s="397" t="inlineStr">
        <is>
          <t>DIVERSOS</t>
        </is>
      </c>
      <c r="AY13" s="384" t="inlineStr">
        <is>
          <t>PCT</t>
        </is>
      </c>
      <c r="AZ13" s="619" t="n">
        <v>46118</v>
      </c>
      <c r="BA13" s="619" t="n">
        <v>46125</v>
      </c>
      <c r="BB13" s="619" t="n">
        <v>46132</v>
      </c>
      <c r="BC13" s="619" t="n">
        <v>46139</v>
      </c>
      <c r="BD13" s="619" t="n">
        <v>46146</v>
      </c>
      <c r="BE13" s="619" t="n">
        <v>46154</v>
      </c>
      <c r="BF13" s="621" t="inlineStr">
        <is>
          <t>USOU</t>
        </is>
      </c>
    </row>
    <row r="14" customFormat="1" s="3">
      <c r="A14" s="25" t="inlineStr">
        <is>
          <t>PAPEL DE SEDA 2025</t>
        </is>
      </c>
      <c r="B14" s="6" t="n">
        <v>200</v>
      </c>
      <c r="C14" s="632" t="n">
        <v>38</v>
      </c>
      <c r="D14" s="240" t="n">
        <v>6</v>
      </c>
      <c r="E14" s="608" t="n"/>
      <c r="F14" s="39" t="n">
        <v>1</v>
      </c>
      <c r="G14" s="39" t="n">
        <v>6</v>
      </c>
      <c r="H14" s="39" t="n">
        <v>5</v>
      </c>
      <c r="I14" s="39" t="n">
        <v>4</v>
      </c>
      <c r="J14" s="39" t="n">
        <v>9</v>
      </c>
      <c r="K14" s="39" t="n">
        <v>8</v>
      </c>
      <c r="L14" s="39">
        <f>8+AO14</f>
        <v/>
      </c>
      <c r="M14" s="39" t="n">
        <v>9</v>
      </c>
      <c r="N14" s="39" t="n">
        <v>8</v>
      </c>
      <c r="O14" s="39" t="n">
        <v>7</v>
      </c>
      <c r="P14" s="39">
        <f>7+AN14</f>
        <v/>
      </c>
      <c r="Q14" s="39" t="n">
        <v>6</v>
      </c>
      <c r="R14" s="39">
        <f>6+AM14</f>
        <v/>
      </c>
      <c r="S14" s="39" t="n">
        <v>9</v>
      </c>
      <c r="T14" s="39" t="n">
        <v>9</v>
      </c>
      <c r="U14" s="39" t="n">
        <v>9</v>
      </c>
      <c r="V14" s="39" t="n">
        <v>8</v>
      </c>
      <c r="W14" s="39" t="n">
        <v>8</v>
      </c>
      <c r="X14" s="39" t="n">
        <v>8</v>
      </c>
      <c r="Y14" s="39">
        <f>8+AJ14</f>
        <v/>
      </c>
      <c r="Z14" s="39" t="n">
        <v>7</v>
      </c>
      <c r="AA14" s="380">
        <f>Y14+IF(NOT(ISBLANK(OFFSET(AA14,0,6))),N(OFFSET(AA14,0,6)),N(OFFSET(AA14,0,7)))-Z14</f>
        <v/>
      </c>
      <c r="AB14" s="11" t="n"/>
      <c r="AC14" s="78" t="n"/>
      <c r="AD14" s="78" t="n"/>
      <c r="AE14" s="11" t="n"/>
      <c r="AF14" s="32" t="n"/>
      <c r="AG14" s="11" t="n"/>
      <c r="AH14" s="304" t="n">
        <v>0</v>
      </c>
      <c r="AI14" s="304" t="n"/>
      <c r="AJ14" s="304" t="n">
        <v>5</v>
      </c>
      <c r="AK14" s="304" t="n"/>
      <c r="AL14" s="119" t="n">
        <v>7</v>
      </c>
      <c r="AM14" s="19" t="n">
        <v>3</v>
      </c>
      <c r="AN14" s="19" t="n">
        <v>2</v>
      </c>
      <c r="AO14" s="19" t="n">
        <v>2</v>
      </c>
      <c r="AP14" s="19" t="n"/>
      <c r="AQ14" s="19" t="n"/>
      <c r="AR14" s="19" t="n">
        <v>6</v>
      </c>
      <c r="AS14" s="19" t="n"/>
      <c r="AT14" s="19" t="n">
        <v>4</v>
      </c>
      <c r="AU14" s="19" t="n">
        <v>2</v>
      </c>
      <c r="AV14" s="19" t="n"/>
      <c r="AX14" s="372" t="inlineStr">
        <is>
          <t>PAPEL DE SEDA</t>
        </is>
      </c>
      <c r="AY14" s="139" t="n">
        <v>200</v>
      </c>
      <c r="AZ14" s="39">
        <f>AL14</f>
        <v/>
      </c>
      <c r="BA14" s="39" t="n">
        <v>5</v>
      </c>
      <c r="BB14" s="39" t="n">
        <v>3</v>
      </c>
      <c r="BC14" s="39" t="n">
        <v>3</v>
      </c>
      <c r="BD14" s="39" t="n">
        <v>2</v>
      </c>
      <c r="BE14" s="39" t="n">
        <v>0</v>
      </c>
      <c r="BF14" s="26">
        <f>BD14+IF(NOT(ISBLANK(OFFSET(BF14,0,6))),N(OFFSET(BF14,0,6)),N(OFFSET(BF14,0,7)))-BE14</f>
        <v/>
      </c>
    </row>
    <row r="15" customFormat="1" s="3">
      <c r="A15" s="25" t="inlineStr">
        <is>
          <t>ADESIVOS 2025</t>
        </is>
      </c>
      <c r="B15" s="6" t="n">
        <v>200</v>
      </c>
      <c r="C15" s="632" t="n">
        <v>18</v>
      </c>
      <c r="D15" s="240" t="n">
        <v>10</v>
      </c>
      <c r="E15" s="608" t="n"/>
      <c r="F15" s="39" t="n">
        <v>1</v>
      </c>
      <c r="G15" s="39" t="n">
        <v>8</v>
      </c>
      <c r="H15" s="39" t="n">
        <v>6</v>
      </c>
      <c r="I15" s="39" t="n">
        <v>6</v>
      </c>
      <c r="J15" s="39" t="n">
        <v>13</v>
      </c>
      <c r="K15" s="39" t="n">
        <v>13</v>
      </c>
      <c r="L15" s="39" t="n">
        <v>13</v>
      </c>
      <c r="M15" s="39" t="n">
        <v>13</v>
      </c>
      <c r="N15" s="39" t="n">
        <v>13</v>
      </c>
      <c r="O15" s="39" t="n">
        <v>13</v>
      </c>
      <c r="P15" s="39" t="n">
        <v>12</v>
      </c>
      <c r="Q15" s="39" t="n">
        <v>11</v>
      </c>
      <c r="R15" s="39" t="n">
        <v>11</v>
      </c>
      <c r="S15" s="39" t="n">
        <v>11</v>
      </c>
      <c r="T15" s="39" t="n">
        <v>11</v>
      </c>
      <c r="U15" s="39" t="n">
        <v>11</v>
      </c>
      <c r="V15" s="39" t="n">
        <v>11</v>
      </c>
      <c r="W15" s="39" t="n">
        <v>10</v>
      </c>
      <c r="X15" s="39" t="n">
        <v>10</v>
      </c>
      <c r="Y15" s="39" t="n">
        <v>10</v>
      </c>
      <c r="Z15" s="39" t="n">
        <v>10</v>
      </c>
      <c r="AA15" s="380">
        <f>Y15+IF(NOT(ISBLANK(OFFSET(AA15,0,6))),N(OFFSET(AA15,0,6)),N(OFFSET(AA15,0,7)))-Z15</f>
        <v/>
      </c>
      <c r="AB15" s="11" t="n"/>
      <c r="AC15" s="78" t="inlineStr">
        <is>
          <t>03 P/ ERJ + 02 P/ ER SM</t>
        </is>
      </c>
      <c r="AD15" s="78" t="n"/>
      <c r="AE15" s="11" t="n"/>
      <c r="AF15" s="32" t="n"/>
      <c r="AG15" s="11" t="n"/>
      <c r="AH15" s="304" t="n">
        <v>0</v>
      </c>
      <c r="AI15" s="304" t="n"/>
      <c r="AJ15" s="304" t="n">
        <v>0</v>
      </c>
      <c r="AK15" s="304" t="n"/>
      <c r="AL15" s="119" t="n">
        <v>3</v>
      </c>
      <c r="AM15" s="19" t="n"/>
      <c r="AN15" s="19" t="n"/>
      <c r="AO15" s="19" t="n"/>
      <c r="AP15" s="19" t="n"/>
      <c r="AQ15" s="19" t="n"/>
      <c r="AR15" s="19" t="n">
        <v>5</v>
      </c>
      <c r="AS15" s="19" t="n"/>
      <c r="AT15" s="19" t="n">
        <v>4</v>
      </c>
      <c r="AU15" s="19" t="n"/>
      <c r="AV15" s="19" t="n">
        <v>2</v>
      </c>
      <c r="AX15" s="21" t="inlineStr">
        <is>
          <t>ADESIVOS</t>
        </is>
      </c>
      <c r="AY15" s="6" t="n">
        <v>200</v>
      </c>
      <c r="AZ15" s="39">
        <f>AL15</f>
        <v/>
      </c>
      <c r="BA15" s="39" t="n">
        <v>3</v>
      </c>
      <c r="BB15" s="39" t="n">
        <v>2</v>
      </c>
      <c r="BC15" s="39" t="n">
        <v>2</v>
      </c>
      <c r="BD15" s="39" t="n">
        <v>2</v>
      </c>
      <c r="BE15" s="39" t="n">
        <v>0</v>
      </c>
      <c r="BF15" s="26">
        <f>BD15+IF(NOT(ISBLANK(OFFSET(BF15,0,6))),N(OFFSET(BF15,0,6)),N(OFFSET(BF15,0,7)))-BE15</f>
        <v/>
      </c>
    </row>
    <row r="16" customFormat="1" s="3">
      <c r="A16" s="25" t="inlineStr">
        <is>
          <t xml:space="preserve">TAGS </t>
        </is>
      </c>
      <c r="B16" s="6" t="n">
        <v>200</v>
      </c>
      <c r="C16" s="632" t="n">
        <v>10.28</v>
      </c>
      <c r="D16" s="240" t="n">
        <v>4</v>
      </c>
      <c r="E16" s="1" t="n"/>
      <c r="F16" s="39" t="n">
        <v>10</v>
      </c>
      <c r="G16" s="39" t="n">
        <v>9</v>
      </c>
      <c r="H16" s="39" t="n">
        <v>9</v>
      </c>
      <c r="I16" s="39" t="n">
        <v>8</v>
      </c>
      <c r="J16" s="39" t="n">
        <v>8</v>
      </c>
      <c r="K16" s="39" t="n">
        <v>8</v>
      </c>
      <c r="L16" s="39" t="n">
        <v>8</v>
      </c>
      <c r="M16" s="39" t="n">
        <v>8</v>
      </c>
      <c r="N16" s="39" t="n">
        <v>7</v>
      </c>
      <c r="O16" s="39" t="n">
        <v>7</v>
      </c>
      <c r="P16" s="39" t="n">
        <v>6</v>
      </c>
      <c r="Q16" s="39" t="n">
        <v>6</v>
      </c>
      <c r="R16" s="39" t="n">
        <v>5</v>
      </c>
      <c r="S16" s="39" t="n">
        <v>5</v>
      </c>
      <c r="T16" s="39" t="n">
        <v>5</v>
      </c>
      <c r="U16" s="39" t="n">
        <v>5</v>
      </c>
      <c r="V16" s="39" t="n">
        <v>4</v>
      </c>
      <c r="W16" s="39" t="n">
        <v>4</v>
      </c>
      <c r="X16" s="39" t="n">
        <v>3</v>
      </c>
      <c r="Y16" s="39">
        <f>3+AJ16</f>
        <v/>
      </c>
      <c r="Z16" s="39" t="n">
        <v>3</v>
      </c>
      <c r="AA16" s="380">
        <f>Y16+IF(NOT(ISBLANK(OFFSET(AA16,0,6))),N(OFFSET(AA16,0,6)),N(OFFSET(AA16,0,7)))-Z16</f>
        <v/>
      </c>
      <c r="AB16" s="11" t="n"/>
      <c r="AC16" s="78" t="n"/>
      <c r="AD16" s="78" t="n"/>
      <c r="AE16" s="11" t="n"/>
      <c r="AF16" s="32" t="n"/>
      <c r="AG16" s="11" t="n"/>
      <c r="AH16" s="19" t="n">
        <v>0</v>
      </c>
      <c r="AI16" s="19" t="n"/>
      <c r="AJ16" s="19" t="n">
        <v>2</v>
      </c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>
        <v>3</v>
      </c>
      <c r="AU16" s="19" t="n">
        <v>4</v>
      </c>
      <c r="AV16" s="19" t="n"/>
    </row>
    <row r="17" customFormat="1" s="3">
      <c r="A17" s="25" t="inlineStr">
        <is>
          <t>LÂMINA OLFATIVA</t>
        </is>
      </c>
      <c r="B17" s="6" t="n">
        <v>3000</v>
      </c>
      <c r="C17" s="632" t="n">
        <v>71.8</v>
      </c>
      <c r="D17" s="240" t="n">
        <v>2</v>
      </c>
      <c r="E17" s="1" t="n"/>
      <c r="F17" s="39" t="n">
        <v>4</v>
      </c>
      <c r="G17" s="39" t="n">
        <v>4</v>
      </c>
      <c r="H17" s="39" t="n">
        <v>3</v>
      </c>
      <c r="I17" s="39" t="n">
        <v>3</v>
      </c>
      <c r="J17" s="39" t="n">
        <v>4</v>
      </c>
      <c r="K17" s="39" t="n">
        <v>4</v>
      </c>
      <c r="L17" s="39" t="n">
        <v>3</v>
      </c>
      <c r="M17" s="39" t="n">
        <v>3</v>
      </c>
      <c r="N17" s="39" t="n">
        <v>3</v>
      </c>
      <c r="O17" s="39" t="n">
        <v>3</v>
      </c>
      <c r="P17" s="39" t="n">
        <v>2</v>
      </c>
      <c r="Q17" s="39" t="n">
        <v>2</v>
      </c>
      <c r="R17" s="39" t="n">
        <v>2</v>
      </c>
      <c r="S17" s="39" t="n">
        <v>2</v>
      </c>
      <c r="T17" s="39" t="n">
        <v>2</v>
      </c>
      <c r="U17" s="39" t="n">
        <v>2</v>
      </c>
      <c r="V17" s="39" t="n">
        <v>1</v>
      </c>
      <c r="W17" s="39" t="n">
        <v>1</v>
      </c>
      <c r="X17" s="39" t="n">
        <v>0</v>
      </c>
      <c r="Y17" s="39">
        <f>0+AJ17+1</f>
        <v/>
      </c>
      <c r="Z17" s="39" t="n">
        <v>1</v>
      </c>
      <c r="AA17" s="380">
        <f>Y17+IF(NOT(ISBLANK(OFFSET(AA17,0,6))),N(OFFSET(AA17,0,6)),N(OFFSET(AA17,0,7)))-Z17</f>
        <v/>
      </c>
      <c r="AB17" s="11" t="n"/>
      <c r="AC17" s="78" t="n"/>
      <c r="AD17" s="78" t="n"/>
      <c r="AE17" s="11" t="n"/>
      <c r="AF17" s="32" t="n">
        <v>1</v>
      </c>
      <c r="AG17" s="11" t="n"/>
      <c r="AH17" s="19" t="n">
        <v>0</v>
      </c>
      <c r="AI17" s="19" t="n"/>
      <c r="AJ17" s="19" t="n">
        <v>2</v>
      </c>
      <c r="AK17" s="260" t="inlineStr">
        <is>
          <t>01 DE JDM</t>
        </is>
      </c>
      <c r="AL17" s="19" t="n"/>
      <c r="AM17" s="19" t="n"/>
      <c r="AN17" s="19" t="n"/>
      <c r="AO17" s="19" t="n"/>
      <c r="AP17" s="19" t="n"/>
      <c r="AQ17" s="19" t="n">
        <v>1</v>
      </c>
      <c r="AR17" s="19" t="n"/>
      <c r="AS17" s="19" t="n"/>
      <c r="AT17" s="19" t="n">
        <v>1</v>
      </c>
      <c r="AU17" s="19" t="n">
        <v>1</v>
      </c>
      <c r="AV17" s="19" t="n">
        <v>3</v>
      </c>
    </row>
    <row r="18" ht="15" customFormat="1" customHeight="1" s="3">
      <c r="A18" s="23" t="n"/>
      <c r="C18" s="633" t="n"/>
      <c r="D18" s="277" t="n"/>
      <c r="AB18" s="11" t="n"/>
      <c r="AC18" s="398" t="n"/>
      <c r="AD18" s="398" t="n"/>
      <c r="AE18" s="11" t="n"/>
      <c r="AF18" s="352" t="n"/>
      <c r="AG18" s="396" t="n"/>
      <c r="AH18" s="396" t="n"/>
      <c r="AI18" s="396" t="n"/>
      <c r="AJ18" s="396" t="n"/>
      <c r="AK18" s="396" t="n"/>
      <c r="AL18" s="396" t="n"/>
      <c r="AM18" s="396" t="n"/>
      <c r="AN18" s="396" t="n"/>
      <c r="AO18" s="396" t="n"/>
      <c r="AP18" s="396" t="n"/>
      <c r="AQ18" s="396" t="n"/>
      <c r="AR18" s="396" t="n"/>
      <c r="AS18" s="396" t="n"/>
      <c r="AT18" s="396" t="n"/>
      <c r="AU18" s="396" t="n"/>
      <c r="AV18" s="396" t="n"/>
    </row>
    <row r="19" ht="19.5" customFormat="1" customHeight="1" s="3">
      <c r="A19" s="548" t="inlineStr">
        <is>
          <t>CAIXAS</t>
        </is>
      </c>
      <c r="B19" s="12" t="inlineStr">
        <is>
          <t>PC</t>
        </is>
      </c>
      <c r="C19" s="631" t="inlineStr">
        <is>
          <t>R$</t>
        </is>
      </c>
      <c r="D19" s="403" t="n"/>
      <c r="E19" s="1" t="n"/>
      <c r="F19" s="619" t="n">
        <v>46013</v>
      </c>
      <c r="G19" s="619" t="n">
        <v>46020</v>
      </c>
      <c r="H19" s="619" t="n">
        <v>46027</v>
      </c>
      <c r="I19" s="619" t="n">
        <v>46034</v>
      </c>
      <c r="J19" s="619" t="n">
        <v>46041</v>
      </c>
      <c r="K19" s="619" t="n">
        <v>46048</v>
      </c>
      <c r="L19" s="619" t="n">
        <v>46055</v>
      </c>
      <c r="M19" s="619" t="n">
        <v>46062</v>
      </c>
      <c r="N19" s="619" t="n">
        <v>46069</v>
      </c>
      <c r="O19" s="619" t="n">
        <v>46076</v>
      </c>
      <c r="P19" s="619" t="n">
        <v>46083</v>
      </c>
      <c r="Q19" s="619" t="n">
        <v>46090</v>
      </c>
      <c r="R19" s="619" t="n">
        <v>46097</v>
      </c>
      <c r="S19" s="619" t="n">
        <v>46104</v>
      </c>
      <c r="T19" s="619" t="n">
        <v>46111</v>
      </c>
      <c r="U19" s="619" t="n">
        <v>46118</v>
      </c>
      <c r="V19" s="619" t="n">
        <v>46125</v>
      </c>
      <c r="W19" s="619" t="n">
        <v>46132</v>
      </c>
      <c r="X19" s="619" t="n">
        <v>46139</v>
      </c>
      <c r="Y19" s="619" t="n">
        <v>46146</v>
      </c>
      <c r="Z19" s="619" t="n">
        <v>46154</v>
      </c>
      <c r="AA19" s="621" t="inlineStr">
        <is>
          <t>USOU</t>
        </is>
      </c>
      <c r="AB19" s="11" t="n"/>
      <c r="AC19" s="29" t="inlineStr">
        <is>
          <t>Pendências</t>
        </is>
      </c>
      <c r="AD19" s="29" t="inlineStr">
        <is>
          <t>Pendências</t>
        </is>
      </c>
      <c r="AE19" s="11" t="n"/>
      <c r="AF19" s="9" t="inlineStr">
        <is>
          <t>Novo Pedido</t>
        </is>
      </c>
      <c r="AG19" s="11" t="n"/>
      <c r="AH19" s="614" t="n"/>
      <c r="AI19" s="615" t="n">
        <v>46148</v>
      </c>
      <c r="AJ19" s="614" t="n">
        <v>46142</v>
      </c>
      <c r="AK19" s="615" t="n">
        <v>46146</v>
      </c>
      <c r="AL19" s="616" t="n">
        <v>46065</v>
      </c>
      <c r="AM19" s="614" t="n">
        <v>46092</v>
      </c>
      <c r="AN19" s="614" t="n">
        <v>46077</v>
      </c>
      <c r="AO19" s="614" t="n">
        <v>46048</v>
      </c>
      <c r="AP19" s="614" t="n">
        <v>46043</v>
      </c>
      <c r="AQ19" s="614" t="n">
        <v>46029</v>
      </c>
      <c r="AR19" s="614" t="n">
        <v>46024</v>
      </c>
      <c r="AS19" s="617" t="n">
        <v>46386</v>
      </c>
      <c r="AT19" s="614" t="n">
        <v>46007</v>
      </c>
      <c r="AU19" s="614" t="n">
        <v>46001</v>
      </c>
      <c r="AV19" s="614" t="n">
        <v>45994</v>
      </c>
      <c r="AX19" s="397" t="inlineStr">
        <is>
          <t>CAIXAS</t>
        </is>
      </c>
      <c r="AY19" s="384" t="inlineStr">
        <is>
          <t>PCT</t>
        </is>
      </c>
      <c r="AZ19" s="619" t="n">
        <v>46118</v>
      </c>
      <c r="BA19" s="619" t="n">
        <v>46125</v>
      </c>
      <c r="BB19" s="619" t="n">
        <v>46132</v>
      </c>
      <c r="BC19" s="619" t="n">
        <v>46139</v>
      </c>
      <c r="BD19" s="619" t="n">
        <v>46146</v>
      </c>
      <c r="BE19" s="619" t="n">
        <v>46154</v>
      </c>
      <c r="BF19" s="621" t="inlineStr">
        <is>
          <t>USOU</t>
        </is>
      </c>
    </row>
    <row r="20" ht="19.5" customFormat="1" customHeight="1" s="3">
      <c r="A20" s="25" t="inlineStr">
        <is>
          <t>CAIXA P VERDE</t>
        </is>
      </c>
      <c r="B20" s="6" t="n">
        <v>150</v>
      </c>
      <c r="C20" s="627" t="n">
        <v>334.31</v>
      </c>
      <c r="D20" s="240" t="n">
        <v>120</v>
      </c>
      <c r="E20" s="1" t="n"/>
      <c r="F20" s="39" t="n">
        <v>195</v>
      </c>
      <c r="G20" s="39" t="n">
        <v>156</v>
      </c>
      <c r="H20" s="39" t="n">
        <v>142</v>
      </c>
      <c r="I20" s="39" t="n">
        <v>93</v>
      </c>
      <c r="J20" s="39" t="n">
        <v>72</v>
      </c>
      <c r="K20" s="39">
        <f>50+AP20</f>
        <v/>
      </c>
      <c r="L20" s="39" t="n">
        <v>176</v>
      </c>
      <c r="M20" s="39" t="n">
        <v>147</v>
      </c>
      <c r="N20" s="39" t="n">
        <v>143</v>
      </c>
      <c r="O20" s="39" t="n">
        <v>138</v>
      </c>
      <c r="P20" s="39" t="n">
        <v>137</v>
      </c>
      <c r="Q20" s="39" t="n">
        <v>130</v>
      </c>
      <c r="R20" s="39" t="n">
        <v>120</v>
      </c>
      <c r="S20" s="39" t="n">
        <v>115</v>
      </c>
      <c r="T20" s="39" t="n">
        <v>112</v>
      </c>
      <c r="U20" s="39" t="n"/>
      <c r="V20" s="39" t="n"/>
      <c r="W20" s="39" t="n"/>
      <c r="X20" s="39" t="n">
        <v>83</v>
      </c>
      <c r="Y20" s="39" t="n">
        <v>76</v>
      </c>
      <c r="Z20" s="39" t="n">
        <v>60</v>
      </c>
      <c r="AA20" s="380">
        <f>Y20+IF(NOT(ISBLANK(OFFSET(AA20,0,6))),N(OFFSET(AA20,0,6)),N(OFFSET(AA20,0,7)))-Z20</f>
        <v/>
      </c>
      <c r="AB20" s="11" t="n"/>
      <c r="AC20" s="78" t="n"/>
      <c r="AD20" s="78" t="n"/>
      <c r="AE20" s="11" t="n"/>
      <c r="AF20" s="32" t="n"/>
      <c r="AG20" s="11" t="n"/>
      <c r="AH20" s="19" t="n">
        <v>0</v>
      </c>
      <c r="AI20" s="19" t="n"/>
      <c r="AJ20" s="19" t="n">
        <v>0</v>
      </c>
      <c r="AK20" s="19" t="n"/>
      <c r="AL20" s="19" t="n"/>
      <c r="AM20" s="19" t="n"/>
      <c r="AN20" s="19" t="n"/>
      <c r="AO20" s="19" t="n"/>
      <c r="AP20" s="19" t="n">
        <v>150</v>
      </c>
      <c r="AQ20" s="19" t="n"/>
      <c r="AR20" s="19" t="n"/>
      <c r="AS20" s="19" t="n"/>
      <c r="AT20" s="19" t="n"/>
      <c r="AU20" s="19" t="n"/>
      <c r="AV20" s="19" t="n"/>
      <c r="AX20" s="372" t="inlineStr">
        <is>
          <t>CAIXA P</t>
        </is>
      </c>
      <c r="AY20" s="139" t="n">
        <v>150</v>
      </c>
      <c r="AZ20" s="39" t="n">
        <v>0</v>
      </c>
      <c r="BA20" s="39" t="n">
        <v>0</v>
      </c>
      <c r="BB20" s="39" t="n">
        <v>0</v>
      </c>
      <c r="BC20" s="39" t="n">
        <v>0</v>
      </c>
      <c r="BD20" s="39" t="n">
        <v>0</v>
      </c>
      <c r="BE20" s="39" t="n">
        <v>0</v>
      </c>
      <c r="BF20" s="26">
        <f>BD20+IF(NOT(ISBLANK(OFFSET(BF20,0,6))),N(OFFSET(BF20,0,6)),N(OFFSET(BF20,0,7)))-BE20</f>
        <v/>
      </c>
    </row>
    <row r="21" customFormat="1" s="3">
      <c r="A21" s="25" t="inlineStr">
        <is>
          <t>CAIXA M VERDE</t>
        </is>
      </c>
      <c r="B21" s="6" t="n">
        <v>100</v>
      </c>
      <c r="C21" s="634" t="n">
        <v>292.25</v>
      </c>
      <c r="D21" s="243" t="n">
        <v>120</v>
      </c>
      <c r="E21" s="1" t="n"/>
      <c r="F21" s="39" t="n">
        <v>195</v>
      </c>
      <c r="G21" s="39" t="n">
        <v>156</v>
      </c>
      <c r="H21" s="39" t="n">
        <v>148</v>
      </c>
      <c r="I21" s="39" t="n">
        <v>132</v>
      </c>
      <c r="J21" s="39" t="n">
        <v>105</v>
      </c>
      <c r="K21" s="39">
        <f>88+AP21</f>
        <v/>
      </c>
      <c r="L21" s="39" t="n">
        <v>187</v>
      </c>
      <c r="M21" s="39" t="n">
        <v>182</v>
      </c>
      <c r="N21" s="39" t="n">
        <v>162</v>
      </c>
      <c r="O21" s="39" t="n">
        <v>148</v>
      </c>
      <c r="P21" s="39" t="n">
        <v>131</v>
      </c>
      <c r="Q21" s="39" t="n">
        <v>138</v>
      </c>
      <c r="R21" s="39" t="n">
        <v>128</v>
      </c>
      <c r="S21" s="39" t="n">
        <v>117</v>
      </c>
      <c r="T21" s="39" t="n">
        <v>112</v>
      </c>
      <c r="U21" s="39" t="n"/>
      <c r="V21" s="39" t="n"/>
      <c r="W21" s="39" t="n"/>
      <c r="X21" s="39" t="n">
        <v>79</v>
      </c>
      <c r="Y21" s="39" t="n">
        <v>79</v>
      </c>
      <c r="Z21" s="39" t="n">
        <v>72</v>
      </c>
      <c r="AA21" s="380">
        <f>Y21+IF(NOT(ISBLANK(OFFSET(AA21,0,6))),N(OFFSET(AA21,0,6)),N(OFFSET(AA21,0,7)))-Z21</f>
        <v/>
      </c>
      <c r="AB21" s="11" t="n"/>
      <c r="AC21" s="78" t="n"/>
      <c r="AD21" s="78" t="n"/>
      <c r="AE21" s="11" t="n"/>
      <c r="AF21" s="32" t="n"/>
      <c r="AG21" s="11" t="n"/>
      <c r="AH21" s="19" t="n">
        <v>0</v>
      </c>
      <c r="AI21" s="19" t="n"/>
      <c r="AJ21" s="19" t="n">
        <v>0</v>
      </c>
      <c r="AK21" s="19" t="n"/>
      <c r="AL21" s="119" t="n">
        <v>100</v>
      </c>
      <c r="AM21" s="19" t="n"/>
      <c r="AN21" s="19" t="n"/>
      <c r="AO21" s="19" t="n"/>
      <c r="AP21" s="19" t="n">
        <v>100</v>
      </c>
      <c r="AQ21" s="19" t="n"/>
      <c r="AR21" s="19" t="n"/>
      <c r="AS21" s="119" t="n"/>
      <c r="AT21" s="19" t="n"/>
      <c r="AU21" s="19" t="n"/>
      <c r="AV21" s="19" t="n"/>
      <c r="AX21" s="21" t="inlineStr">
        <is>
          <t>CAIXA M</t>
        </is>
      </c>
      <c r="AY21" s="6" t="n">
        <v>100</v>
      </c>
      <c r="AZ21" s="39">
        <f>AL21</f>
        <v/>
      </c>
      <c r="BA21" s="39" t="n"/>
      <c r="BB21" s="39" t="n"/>
      <c r="BC21" s="39" t="n">
        <v>38</v>
      </c>
      <c r="BD21" s="39" t="n">
        <v>35</v>
      </c>
      <c r="BE21" s="39" t="n">
        <v>25</v>
      </c>
      <c r="BF21" s="26">
        <f>BD21+IF(NOT(ISBLANK(OFFSET(BF21,0,6))),N(OFFSET(BF21,0,6)),N(OFFSET(BF21,0,7)))-BE21</f>
        <v/>
      </c>
    </row>
    <row r="22" customFormat="1" s="3">
      <c r="A22" s="25" t="inlineStr">
        <is>
          <t>CAIXA G VERDE</t>
        </is>
      </c>
      <c r="B22" s="6" t="n">
        <v>75</v>
      </c>
      <c r="C22" s="632" t="n">
        <v>425.38</v>
      </c>
      <c r="D22" s="240" t="n">
        <v>25</v>
      </c>
      <c r="E22" s="608" t="n"/>
      <c r="F22" s="39" t="n">
        <v>24</v>
      </c>
      <c r="G22" s="39" t="n">
        <v>24</v>
      </c>
      <c r="H22" s="39" t="n">
        <v>24</v>
      </c>
      <c r="I22" s="39" t="n">
        <v>24</v>
      </c>
      <c r="J22" s="39" t="n">
        <v>19</v>
      </c>
      <c r="K22" s="39" t="n">
        <v>19</v>
      </c>
      <c r="L22" s="39" t="n">
        <v>19</v>
      </c>
      <c r="M22" s="39" t="n">
        <v>18</v>
      </c>
      <c r="N22" s="39" t="n">
        <v>17</v>
      </c>
      <c r="O22" s="39" t="n">
        <v>17</v>
      </c>
      <c r="P22" s="39" t="n">
        <v>17</v>
      </c>
      <c r="Q22" s="39" t="n">
        <v>17</v>
      </c>
      <c r="R22" s="39" t="n">
        <v>17</v>
      </c>
      <c r="S22" s="39" t="n">
        <v>17</v>
      </c>
      <c r="T22" s="39" t="n">
        <v>17</v>
      </c>
      <c r="U22" s="39" t="n">
        <v>17</v>
      </c>
      <c r="V22" s="39" t="n">
        <v>17</v>
      </c>
      <c r="W22" s="39" t="n">
        <v>15</v>
      </c>
      <c r="X22" s="39" t="n">
        <v>15</v>
      </c>
      <c r="Y22" s="39" t="n">
        <v>15</v>
      </c>
      <c r="Z22" s="39" t="n">
        <v>4</v>
      </c>
      <c r="AA22" s="380">
        <f>Y22+IF(NOT(ISBLANK(OFFSET(AA22,0,6))),N(OFFSET(AA22,0,6)),N(OFFSET(AA22,0,7)))-Z22</f>
        <v/>
      </c>
      <c r="AB22" s="11" t="n"/>
      <c r="AC22" s="287" t="n"/>
      <c r="AD22" s="287" t="n"/>
      <c r="AE22" s="11" t="n"/>
      <c r="AF22" s="32" t="n"/>
      <c r="AG22" s="11" t="n"/>
      <c r="AH22" s="19" t="n">
        <v>0</v>
      </c>
      <c r="AI22" s="19" t="n"/>
      <c r="AJ22" s="19" t="n">
        <v>0</v>
      </c>
      <c r="AK22" s="19" t="n"/>
      <c r="AL22" s="119" t="n">
        <v>200</v>
      </c>
      <c r="AM22" s="19" t="n"/>
      <c r="AN22" s="19" t="n"/>
      <c r="AO22" s="19" t="n"/>
      <c r="AP22" s="19" t="n"/>
      <c r="AQ22" s="19" t="n"/>
      <c r="AR22" s="19" t="n"/>
      <c r="AS22" s="119" t="n"/>
      <c r="AT22" s="19" t="n"/>
      <c r="AU22" s="19" t="n"/>
      <c r="AV22" s="19" t="n"/>
      <c r="AX22" s="22" t="inlineStr">
        <is>
          <t>CARTUCHO P</t>
        </is>
      </c>
      <c r="AY22" s="6" t="n">
        <v>200</v>
      </c>
      <c r="AZ22" s="39">
        <f>AL22</f>
        <v/>
      </c>
      <c r="BA22" s="39" t="n"/>
      <c r="BB22" s="39" t="n"/>
      <c r="BC22" s="39" t="n">
        <v>63</v>
      </c>
      <c r="BD22" s="39" t="n">
        <v>53</v>
      </c>
      <c r="BE22" s="39" t="n">
        <v>0</v>
      </c>
      <c r="BF22" s="26">
        <f>BD22+IF(NOT(ISBLANK(OFFSET(BF22,0,6))),N(OFFSET(BF22,0,6)),N(OFFSET(BF22,0,7)))-BE22</f>
        <v/>
      </c>
    </row>
    <row r="23" customFormat="1" s="3">
      <c r="A23" s="25" t="inlineStr">
        <is>
          <t>CARTUCHO M VERDE</t>
        </is>
      </c>
      <c r="B23" s="6" t="n">
        <v>150</v>
      </c>
      <c r="C23" s="632" t="n">
        <v>427.5</v>
      </c>
      <c r="D23" s="240" t="n">
        <v>150</v>
      </c>
      <c r="E23" s="608" t="n"/>
      <c r="F23" s="2" t="n"/>
      <c r="G23" s="2" t="n"/>
      <c r="H23" s="2" t="n"/>
      <c r="I23" s="39" t="n"/>
      <c r="J23" s="39" t="n">
        <v>0</v>
      </c>
      <c r="K23" s="39" t="n">
        <v>0</v>
      </c>
      <c r="L23" s="39">
        <f>0+AO23</f>
        <v/>
      </c>
      <c r="M23" s="39" t="n">
        <v>119</v>
      </c>
      <c r="N23" s="39" t="n">
        <v>105</v>
      </c>
      <c r="O23" s="39" t="n">
        <v>104</v>
      </c>
      <c r="P23" s="39" t="n">
        <v>95</v>
      </c>
      <c r="Q23" s="39" t="n">
        <v>65</v>
      </c>
      <c r="R23" s="39">
        <f>49+AM23</f>
        <v/>
      </c>
      <c r="S23" s="39" t="n">
        <v>186</v>
      </c>
      <c r="T23" s="39" t="n">
        <v>176</v>
      </c>
      <c r="U23" s="39" t="n"/>
      <c r="V23" s="39" t="n"/>
      <c r="W23" s="39" t="n"/>
      <c r="X23" s="39" t="n">
        <v>95</v>
      </c>
      <c r="Y23" s="39" t="n">
        <v>95</v>
      </c>
      <c r="Z23" s="39" t="n">
        <v>95</v>
      </c>
      <c r="AA23" s="380">
        <f>Y23+IF(NOT(ISBLANK(OFFSET(AA23,0,6))),N(OFFSET(AA23,0,6)),N(OFFSET(AA23,0,7)))-Z23</f>
        <v/>
      </c>
      <c r="AB23" s="11" t="n"/>
      <c r="AC23" s="78" t="n"/>
      <c r="AD23" s="78" t="n"/>
      <c r="AE23" s="11" t="n"/>
      <c r="AF23" s="32" t="n"/>
      <c r="AG23" s="11" t="n"/>
      <c r="AH23" s="19" t="n">
        <v>0</v>
      </c>
      <c r="AI23" s="19" t="n"/>
      <c r="AJ23" s="19" t="n">
        <v>0</v>
      </c>
      <c r="AK23" s="19" t="n"/>
      <c r="AL23" s="119" t="n">
        <v>150</v>
      </c>
      <c r="AM23" s="19" t="n">
        <v>150</v>
      </c>
      <c r="AN23" s="19" t="n"/>
      <c r="AO23" s="19" t="n">
        <v>150</v>
      </c>
      <c r="AP23" s="19" t="n"/>
      <c r="AQ23" s="19" t="n"/>
      <c r="AR23" s="19" t="n"/>
      <c r="AS23" s="119" t="n"/>
      <c r="AT23" s="19" t="n"/>
      <c r="AU23" s="19" t="n"/>
      <c r="AV23" s="19" t="n"/>
      <c r="AX23" s="22" t="inlineStr">
        <is>
          <t>CARTUCHO M</t>
        </is>
      </c>
      <c r="AY23" s="6" t="n">
        <v>150</v>
      </c>
      <c r="AZ23" s="39">
        <f>AL23</f>
        <v/>
      </c>
      <c r="BA23" s="39" t="n"/>
      <c r="BB23" s="39" t="n"/>
      <c r="BC23" s="39" t="n">
        <v>127</v>
      </c>
      <c r="BD23" s="39" t="n">
        <v>122</v>
      </c>
      <c r="BE23" s="39" t="n">
        <v>19</v>
      </c>
      <c r="BF23" s="26">
        <f>BD23+IF(NOT(ISBLANK(OFFSET(BF23,0,6))),N(OFFSET(BF23,0,6)),N(OFFSET(BF23,0,7)))-BE23</f>
        <v/>
      </c>
    </row>
    <row r="24">
      <c r="AH24" s="11" t="n"/>
      <c r="AI24" s="11" t="n"/>
      <c r="AJ24" s="11" t="n"/>
      <c r="AK24" s="11" t="n"/>
      <c r="AL24" s="11" t="n"/>
      <c r="AM24" s="11" t="n"/>
      <c r="AN24" s="11" t="n"/>
      <c r="AO24" s="11" t="n"/>
      <c r="AP24" s="11" t="n"/>
      <c r="AQ24" s="11" t="n"/>
      <c r="AR24" s="11" t="n"/>
      <c r="AS24" s="11" t="n"/>
      <c r="AT24" s="11" t="n"/>
      <c r="AU24" s="11" t="n"/>
      <c r="AV24" s="11" t="n"/>
    </row>
    <row r="25">
      <c r="A25" s="386" t="inlineStr">
        <is>
          <t>SOBRAS CAIXAS</t>
        </is>
      </c>
      <c r="B25" s="387" t="inlineStr">
        <is>
          <t>PCT</t>
        </is>
      </c>
      <c r="C25" s="387" t="inlineStr">
        <is>
          <t xml:space="preserve">R$ </t>
        </is>
      </c>
      <c r="D25" s="387" t="n"/>
      <c r="F25" s="619" t="n">
        <v>46013</v>
      </c>
      <c r="G25" s="619" t="n">
        <v>46020</v>
      </c>
      <c r="H25" s="619" t="n">
        <v>46027</v>
      </c>
      <c r="I25" s="619" t="n">
        <v>46034</v>
      </c>
      <c r="J25" s="619" t="n">
        <v>46041</v>
      </c>
      <c r="K25" s="619" t="n">
        <v>46048</v>
      </c>
      <c r="L25" s="619" t="n">
        <v>46055</v>
      </c>
      <c r="M25" s="619" t="n">
        <v>46062</v>
      </c>
      <c r="N25" s="619" t="n">
        <v>46069</v>
      </c>
      <c r="O25" s="619" t="n">
        <v>46076</v>
      </c>
      <c r="P25" s="619" t="n">
        <v>46083</v>
      </c>
      <c r="Q25" s="619" t="n">
        <v>46090</v>
      </c>
      <c r="R25" s="619" t="n">
        <v>46097</v>
      </c>
      <c r="S25" s="619" t="n">
        <v>46104</v>
      </c>
      <c r="T25" s="619" t="n">
        <v>46111</v>
      </c>
      <c r="U25" s="619" t="n">
        <v>46118</v>
      </c>
      <c r="V25" s="619" t="n">
        <v>46125</v>
      </c>
      <c r="W25" s="619" t="n">
        <v>46132</v>
      </c>
      <c r="X25" s="619" t="n">
        <v>46139</v>
      </c>
      <c r="Y25" s="619" t="n">
        <v>46146</v>
      </c>
      <c r="Z25" s="619" t="n">
        <v>46154</v>
      </c>
      <c r="AA25" s="621" t="inlineStr">
        <is>
          <t>USOU</t>
        </is>
      </c>
      <c r="AH25" s="11" t="n"/>
      <c r="AI25" s="11" t="n"/>
      <c r="AJ25" s="11" t="n"/>
      <c r="AK25" s="11" t="n"/>
      <c r="AL25" s="11" t="n"/>
      <c r="AM25" s="11" t="n"/>
      <c r="AN25" s="11" t="n"/>
      <c r="AO25" s="11" t="n"/>
      <c r="AP25" s="11" t="n"/>
      <c r="AQ25" s="11" t="n"/>
      <c r="AR25" s="11" t="n"/>
      <c r="AS25" s="11" t="n"/>
      <c r="AT25" s="11" t="n"/>
      <c r="AU25" s="11" t="n"/>
      <c r="AV25" s="11" t="n"/>
    </row>
    <row r="26">
      <c r="A26" s="392" t="inlineStr">
        <is>
          <t>CAIXA M DIVERT./24</t>
        </is>
      </c>
      <c r="B26" s="393" t="n">
        <v>100</v>
      </c>
      <c r="C26" s="635" t="n">
        <v>790</v>
      </c>
      <c r="D26" s="404" t="n"/>
      <c r="F26" s="39" t="n">
        <v>100</v>
      </c>
      <c r="G26" s="39" t="n">
        <v>85</v>
      </c>
      <c r="H26" s="39" t="n">
        <v>59</v>
      </c>
      <c r="I26" s="39" t="n">
        <v>59</v>
      </c>
      <c r="J26" s="39" t="n">
        <v>59</v>
      </c>
      <c r="K26" s="39" t="n">
        <v>57</v>
      </c>
      <c r="L26" s="39" t="n">
        <v>43</v>
      </c>
      <c r="M26" s="39" t="n">
        <v>56</v>
      </c>
      <c r="N26" s="39" t="n">
        <v>56</v>
      </c>
      <c r="O26" s="39" t="n">
        <v>55</v>
      </c>
      <c r="P26" s="39" t="n">
        <v>55</v>
      </c>
      <c r="Q26" s="39" t="n">
        <v>55</v>
      </c>
      <c r="R26" s="39" t="n">
        <v>54</v>
      </c>
      <c r="S26" s="39" t="n">
        <v>54</v>
      </c>
      <c r="T26" s="39" t="n">
        <v>54</v>
      </c>
      <c r="U26" s="39" t="n">
        <v>54</v>
      </c>
      <c r="V26" s="39" t="n">
        <v>54</v>
      </c>
      <c r="W26" s="39" t="n">
        <v>43</v>
      </c>
      <c r="X26" s="39" t="n">
        <v>43</v>
      </c>
      <c r="Y26" s="39" t="n">
        <v>41</v>
      </c>
      <c r="Z26" s="39" t="n">
        <v>51</v>
      </c>
      <c r="AA26" s="380">
        <f>Y26+IF(NOT(ISBLANK(OFFSET(AA26,0,6))),N(OFFSET(AA26,0,6)),N(OFFSET(AA26,0,7)))-Z26</f>
        <v/>
      </c>
      <c r="AC26" s="355" t="n"/>
      <c r="AD26" s="355" t="n"/>
      <c r="AH26" s="11" t="n"/>
      <c r="AI26" s="11" t="n"/>
      <c r="AJ26" s="11" t="n"/>
      <c r="AK26" s="11" t="n"/>
      <c r="AL26" s="11" t="n"/>
      <c r="AM26" s="11" t="n"/>
      <c r="AN26" s="11" t="n"/>
      <c r="AO26" s="11" t="n"/>
      <c r="AP26" s="11" t="n"/>
      <c r="AQ26" s="11" t="n"/>
      <c r="AR26" s="11" t="n"/>
      <c r="AS26" s="11" t="n"/>
      <c r="AT26" s="11" t="n"/>
      <c r="AU26" s="11" t="n"/>
      <c r="AV26" s="11" t="n"/>
    </row>
    <row r="27" hidden="1">
      <c r="A27" s="394" t="inlineStr">
        <is>
          <t>ÁRVORE</t>
        </is>
      </c>
      <c r="B27" s="163" t="n">
        <v>100</v>
      </c>
      <c r="C27" s="636" t="n">
        <v>295</v>
      </c>
      <c r="D27" s="404" t="n"/>
      <c r="F27" s="39" t="n">
        <v>2</v>
      </c>
      <c r="G27" s="39" t="n">
        <v>2</v>
      </c>
      <c r="H27" s="39" t="n">
        <v>2</v>
      </c>
      <c r="I27" s="39" t="n">
        <v>0</v>
      </c>
      <c r="J27" s="39" t="n">
        <v>0</v>
      </c>
      <c r="K27" s="39" t="n"/>
      <c r="L27" s="39" t="n"/>
      <c r="M27" s="39" t="n"/>
      <c r="N27" s="39" t="n"/>
      <c r="O27" s="39" t="n"/>
      <c r="P27" s="39" t="n"/>
      <c r="Q27" s="39" t="n"/>
      <c r="R27" s="39" t="n"/>
      <c r="S27" s="39" t="n"/>
      <c r="T27" s="39" t="n"/>
      <c r="U27" s="39" t="n"/>
      <c r="V27" s="39" t="n"/>
      <c r="W27" s="39" t="n"/>
      <c r="X27" s="39" t="n"/>
      <c r="Y27" s="39" t="n"/>
      <c r="Z27" s="39" t="n"/>
      <c r="AA27" s="380">
        <f>Y27+IF(NOT(ISBLANK(OFFSET(AA27,0,6))),N(OFFSET(AA27,0,6)),N(OFFSET(AA27,0,7)))-Z27</f>
        <v/>
      </c>
      <c r="AC27" s="355" t="n"/>
      <c r="AD27" s="355" t="n"/>
      <c r="AH27" s="11" t="n"/>
      <c r="AI27" s="11" t="n"/>
      <c r="AJ27" s="11" t="n"/>
      <c r="AK27" s="11" t="n"/>
      <c r="AL27" s="11" t="n"/>
      <c r="AM27" s="11" t="n"/>
      <c r="AN27" s="11" t="n"/>
      <c r="AO27" s="11" t="n"/>
      <c r="AP27" s="11" t="n"/>
      <c r="AQ27" s="11" t="n"/>
      <c r="AR27" s="11" t="n"/>
      <c r="AS27" s="11" t="n"/>
      <c r="AT27" s="11" t="n"/>
      <c r="AU27" s="11" t="n"/>
      <c r="AV27" s="11" t="n"/>
    </row>
    <row r="28" hidden="1">
      <c r="A28" s="394" t="inlineStr">
        <is>
          <t>BOLA</t>
        </is>
      </c>
      <c r="B28" s="163" t="n">
        <v>100</v>
      </c>
      <c r="C28" s="636" t="n">
        <v>283</v>
      </c>
      <c r="D28" s="404" t="n"/>
      <c r="F28" s="39" t="n">
        <v>2</v>
      </c>
      <c r="G28" s="39" t="n">
        <v>2</v>
      </c>
      <c r="H28" s="39" t="n">
        <v>2</v>
      </c>
      <c r="I28" s="39" t="n">
        <v>0</v>
      </c>
      <c r="J28" s="39" t="n">
        <v>0</v>
      </c>
      <c r="K28" s="39" t="n"/>
      <c r="L28" s="39" t="n"/>
      <c r="M28" s="39" t="n"/>
      <c r="N28" s="39" t="n"/>
      <c r="O28" s="39" t="n"/>
      <c r="P28" s="39" t="n"/>
      <c r="Q28" s="39" t="n"/>
      <c r="R28" s="39" t="n"/>
      <c r="S28" s="39" t="n"/>
      <c r="T28" s="39" t="n"/>
      <c r="U28" s="39" t="n"/>
      <c r="V28" s="39" t="n"/>
      <c r="W28" s="39" t="n"/>
      <c r="X28" s="39" t="n"/>
      <c r="Y28" s="39" t="n"/>
      <c r="Z28" s="39" t="n"/>
      <c r="AA28" s="380">
        <f>Y28+IF(NOT(ISBLANK(OFFSET(AA28,0,6))),N(OFFSET(AA28,0,6)),N(OFFSET(AA28,0,7)))-Z28</f>
        <v/>
      </c>
      <c r="AC28" s="355" t="n"/>
      <c r="AD28" s="355" t="n"/>
      <c r="AH28" s="11" t="n"/>
      <c r="AI28" s="11" t="n"/>
      <c r="AJ28" s="11" t="n"/>
      <c r="AK28" s="11" t="n"/>
      <c r="AL28" s="11" t="n"/>
      <c r="AM28" s="11" t="n"/>
      <c r="AN28" s="11" t="n"/>
      <c r="AO28" s="11" t="n"/>
      <c r="AP28" s="11" t="n"/>
      <c r="AQ28" s="11" t="n"/>
      <c r="AR28" s="11" t="n"/>
      <c r="AS28" s="11" t="n"/>
      <c r="AT28" s="11" t="n"/>
      <c r="AU28" s="11" t="n"/>
      <c r="AV28" s="11" t="n"/>
    </row>
    <row r="29">
      <c r="A29" s="405" t="inlineStr">
        <is>
          <t>PIN MELHOR PAI DO MDO</t>
        </is>
      </c>
      <c r="B29" s="406" t="n">
        <v>25</v>
      </c>
      <c r="C29" s="637" t="n">
        <v>249.25</v>
      </c>
      <c r="D29" s="404" t="n"/>
      <c r="F29" s="6" t="n">
        <v>15</v>
      </c>
      <c r="G29" s="6" t="n">
        <v>15</v>
      </c>
      <c r="H29" s="6" t="n">
        <v>15</v>
      </c>
      <c r="I29" s="6" t="n">
        <v>15</v>
      </c>
      <c r="J29" s="6" t="n">
        <v>15</v>
      </c>
      <c r="K29" s="6" t="n">
        <v>15</v>
      </c>
      <c r="L29" s="6" t="n">
        <v>15</v>
      </c>
      <c r="M29" s="6" t="n">
        <v>15</v>
      </c>
      <c r="N29" s="6" t="n">
        <v>15</v>
      </c>
      <c r="O29" s="6" t="n">
        <v>15</v>
      </c>
      <c r="P29" s="6" t="n">
        <v>15</v>
      </c>
      <c r="Q29" s="6" t="n">
        <v>15</v>
      </c>
      <c r="R29" s="6" t="n">
        <v>15</v>
      </c>
      <c r="S29" s="6" t="n">
        <v>15</v>
      </c>
      <c r="T29" s="6" t="n">
        <v>15</v>
      </c>
      <c r="U29" s="6" t="n">
        <v>15</v>
      </c>
      <c r="V29" s="6" t="n">
        <v>15</v>
      </c>
      <c r="W29" s="6" t="n">
        <v>15</v>
      </c>
      <c r="X29" s="6" t="n">
        <v>15</v>
      </c>
      <c r="Y29" s="6" t="n">
        <v>15</v>
      </c>
      <c r="Z29" s="6" t="n">
        <v>15</v>
      </c>
      <c r="AA29" s="380">
        <f>Y29+IF(NOT(ISBLANK(OFFSET(AA29,0,6))),N(OFFSET(AA29,0,6)),N(OFFSET(AA29,0,7)))-Z29</f>
        <v/>
      </c>
      <c r="AC29" s="355" t="n"/>
      <c r="AD29" s="355" t="n"/>
      <c r="AH29" s="11" t="n"/>
      <c r="AI29" s="11" t="n"/>
      <c r="AJ29" s="11" t="n"/>
      <c r="AK29" s="11" t="n"/>
      <c r="AL29" s="11" t="n"/>
      <c r="AM29" s="11" t="n"/>
      <c r="AN29" s="11" t="n"/>
      <c r="AO29" s="11" t="n"/>
      <c r="AP29" s="11" t="n"/>
      <c r="AQ29" s="11" t="n"/>
      <c r="AR29" s="11" t="n"/>
      <c r="AS29" s="11" t="n"/>
      <c r="AT29" s="11" t="n"/>
      <c r="AU29" s="11" t="n"/>
      <c r="AV29" s="11" t="n"/>
    </row>
    <row r="30">
      <c r="A30" s="405" t="inlineStr">
        <is>
          <t>PIN BALÃO</t>
        </is>
      </c>
      <c r="B30" s="406" t="n">
        <v>25</v>
      </c>
      <c r="C30" s="637" t="n">
        <v>249.25</v>
      </c>
      <c r="D30" s="404" t="n"/>
      <c r="F30" s="6" t="n">
        <v>10</v>
      </c>
      <c r="G30" s="6" t="n">
        <v>10</v>
      </c>
      <c r="H30" s="6" t="n">
        <v>10</v>
      </c>
      <c r="I30" s="6" t="n">
        <v>10</v>
      </c>
      <c r="J30" s="6" t="n">
        <v>10</v>
      </c>
      <c r="K30" s="6" t="n">
        <v>10</v>
      </c>
      <c r="L30" s="6" t="n">
        <v>10</v>
      </c>
      <c r="M30" s="6" t="n">
        <v>10</v>
      </c>
      <c r="N30" s="6" t="n">
        <v>10</v>
      </c>
      <c r="O30" s="6" t="n">
        <v>10</v>
      </c>
      <c r="P30" s="6" t="n">
        <v>10</v>
      </c>
      <c r="Q30" s="6" t="n">
        <v>10</v>
      </c>
      <c r="R30" s="6" t="n">
        <v>10</v>
      </c>
      <c r="S30" s="6" t="n">
        <v>10</v>
      </c>
      <c r="T30" s="6" t="n">
        <v>10</v>
      </c>
      <c r="U30" s="6" t="n">
        <v>10</v>
      </c>
      <c r="V30" s="6" t="n">
        <v>10</v>
      </c>
      <c r="W30" s="6" t="n">
        <v>10</v>
      </c>
      <c r="X30" s="6" t="n">
        <v>10</v>
      </c>
      <c r="Y30" s="6" t="n">
        <v>10</v>
      </c>
      <c r="Z30" s="6" t="n">
        <v>10</v>
      </c>
      <c r="AA30" s="380">
        <f>Y30+IF(NOT(ISBLANK(OFFSET(AA30,0,6))),N(OFFSET(AA30,0,6)),N(OFFSET(AA30,0,7)))-Z30</f>
        <v/>
      </c>
      <c r="AC30" s="355" t="n"/>
      <c r="AD30" s="355" t="n"/>
      <c r="AH30" s="11" t="n"/>
      <c r="AI30" s="11" t="n"/>
      <c r="AJ30" s="11" t="n"/>
      <c r="AK30" s="11" t="n"/>
      <c r="AL30" s="11" t="n"/>
      <c r="AM30" s="11" t="n"/>
      <c r="AN30" s="11" t="n"/>
      <c r="AO30" s="11" t="n"/>
      <c r="AP30" s="11" t="n"/>
      <c r="AQ30" s="11" t="n"/>
      <c r="AR30" s="11" t="n"/>
      <c r="AS30" s="11" t="n"/>
      <c r="AT30" s="11" t="n"/>
      <c r="AU30" s="11" t="n"/>
      <c r="AV30" s="11" t="n"/>
    </row>
    <row r="31">
      <c r="A31" s="405" t="inlineStr">
        <is>
          <t>PIN AMOR</t>
        </is>
      </c>
      <c r="B31" s="406" t="n">
        <v>25</v>
      </c>
      <c r="C31" s="637" t="n">
        <v>249.25</v>
      </c>
      <c r="D31" s="404" t="n"/>
      <c r="F31" s="6" t="n">
        <v>13</v>
      </c>
      <c r="G31" s="6" t="n">
        <v>13</v>
      </c>
      <c r="H31" s="6" t="n">
        <v>13</v>
      </c>
      <c r="I31" s="6" t="n">
        <v>13</v>
      </c>
      <c r="J31" s="6" t="n">
        <v>13</v>
      </c>
      <c r="K31" s="6" t="n">
        <v>13</v>
      </c>
      <c r="L31" s="6" t="n">
        <v>13</v>
      </c>
      <c r="M31" s="6" t="n">
        <v>13</v>
      </c>
      <c r="N31" s="6" t="n">
        <v>13</v>
      </c>
      <c r="O31" s="6" t="n">
        <v>13</v>
      </c>
      <c r="P31" s="6" t="n">
        <v>13</v>
      </c>
      <c r="Q31" s="6" t="n">
        <v>13</v>
      </c>
      <c r="R31" s="6" t="n">
        <v>13</v>
      </c>
      <c r="S31" s="6" t="n">
        <v>13</v>
      </c>
      <c r="T31" s="6" t="n">
        <v>13</v>
      </c>
      <c r="U31" s="6" t="n">
        <v>13</v>
      </c>
      <c r="V31" s="6" t="n">
        <v>13</v>
      </c>
      <c r="W31" s="6" t="n">
        <v>13</v>
      </c>
      <c r="X31" s="6" t="n">
        <v>13</v>
      </c>
      <c r="Y31" s="6" t="n">
        <v>13</v>
      </c>
      <c r="Z31" s="6" t="n">
        <v>13</v>
      </c>
      <c r="AA31" s="380">
        <f>Y31+IF(NOT(ISBLANK(OFFSET(AA31,0,6))),N(OFFSET(AA31,0,6)),N(OFFSET(AA31,0,7)))-Z31</f>
        <v/>
      </c>
      <c r="AC31" s="355" t="n"/>
      <c r="AD31" s="355" t="n"/>
      <c r="AH31" s="11" t="n"/>
      <c r="AI31" s="11" t="n"/>
      <c r="AJ31" s="11" t="n"/>
      <c r="AK31" s="11" t="n"/>
      <c r="AL31" s="11" t="n"/>
      <c r="AM31" s="11" t="n"/>
      <c r="AN31" s="11" t="n"/>
      <c r="AO31" s="11" t="n"/>
      <c r="AP31" s="11" t="n"/>
      <c r="AQ31" s="11" t="n"/>
      <c r="AR31" s="11" t="n"/>
      <c r="AS31" s="11" t="n"/>
      <c r="AT31" s="11" t="n"/>
      <c r="AU31" s="11" t="n"/>
      <c r="AV31" s="11" t="n"/>
    </row>
    <row r="32">
      <c r="A32" s="291" t="inlineStr">
        <is>
          <t>CAIXA M HOMEM ARANHA</t>
        </is>
      </c>
      <c r="B32" s="292" t="n">
        <v>100</v>
      </c>
      <c r="C32" s="638" t="n">
        <v>1490</v>
      </c>
      <c r="D32" s="404" t="n"/>
      <c r="F32" s="6" t="n">
        <v>5</v>
      </c>
      <c r="G32" s="6" t="n">
        <v>5</v>
      </c>
      <c r="H32" s="6" t="n">
        <v>5</v>
      </c>
      <c r="I32" s="6" t="n">
        <v>1</v>
      </c>
      <c r="J32" s="6" t="n">
        <v>1</v>
      </c>
      <c r="K32" s="6" t="n">
        <v>1</v>
      </c>
      <c r="L32" s="6" t="n">
        <v>1</v>
      </c>
      <c r="M32" s="6" t="n">
        <v>1</v>
      </c>
      <c r="N32" s="6" t="n">
        <v>1</v>
      </c>
      <c r="O32" s="6" t="n">
        <v>1</v>
      </c>
      <c r="P32" s="6" t="n">
        <v>1</v>
      </c>
      <c r="Q32" s="6" t="n">
        <v>1</v>
      </c>
      <c r="R32" s="6" t="n">
        <v>1</v>
      </c>
      <c r="S32" s="6" t="n">
        <v>1</v>
      </c>
      <c r="T32" s="6" t="n">
        <v>1</v>
      </c>
      <c r="U32" s="6" t="n">
        <v>1</v>
      </c>
      <c r="V32" s="6" t="n">
        <v>1</v>
      </c>
      <c r="W32" s="6" t="n">
        <v>1</v>
      </c>
      <c r="X32" s="6" t="n">
        <v>1</v>
      </c>
      <c r="Y32" s="6" t="n">
        <v>1</v>
      </c>
      <c r="Z32" s="6" t="n">
        <v>1</v>
      </c>
      <c r="AA32" s="380">
        <f>Y32+IF(NOT(ISBLANK(OFFSET(AA32,0,6))),N(OFFSET(AA32,0,6)),N(OFFSET(AA32,0,7)))-Z32</f>
        <v/>
      </c>
      <c r="AC32" s="355" t="n"/>
      <c r="AD32" s="355" t="n"/>
      <c r="AH32" s="11" t="n"/>
      <c r="AI32" s="11" t="n"/>
      <c r="AJ32" s="11" t="n"/>
      <c r="AK32" s="11" t="n"/>
      <c r="AL32" s="11" t="n"/>
      <c r="AM32" s="11" t="n"/>
      <c r="AN32" s="11" t="n"/>
      <c r="AO32" s="11" t="n"/>
      <c r="AP32" s="11" t="n"/>
      <c r="AQ32" s="11" t="n"/>
      <c r="AR32" s="11" t="n"/>
      <c r="AS32" s="11" t="n"/>
      <c r="AT32" s="11" t="n"/>
      <c r="AU32" s="11" t="n"/>
      <c r="AV32" s="11" t="n"/>
    </row>
    <row r="33">
      <c r="A33" s="25" t="inlineStr">
        <is>
          <t>CAIXA P NATAL/25</t>
        </is>
      </c>
      <c r="B33" s="6" t="n">
        <v>150</v>
      </c>
      <c r="C33" s="639" t="n">
        <v>805.35</v>
      </c>
      <c r="D33" s="404" t="n"/>
      <c r="F33" s="6" t="n">
        <v>236</v>
      </c>
      <c r="G33" s="6" t="n">
        <v>169</v>
      </c>
      <c r="H33" s="6" t="n">
        <v>152</v>
      </c>
      <c r="I33" s="6" t="n">
        <v>95</v>
      </c>
      <c r="J33" s="6" t="n">
        <v>95</v>
      </c>
      <c r="K33" s="6" t="n">
        <v>95</v>
      </c>
      <c r="L33" s="6" t="n">
        <v>95</v>
      </c>
      <c r="M33" s="6" t="n">
        <v>95</v>
      </c>
      <c r="N33" s="6" t="n">
        <v>95</v>
      </c>
      <c r="O33" s="6" t="n">
        <v>95</v>
      </c>
      <c r="P33" s="6" t="n">
        <v>95</v>
      </c>
      <c r="Q33" s="6" t="n">
        <v>93</v>
      </c>
      <c r="R33" s="6" t="n">
        <v>93</v>
      </c>
      <c r="S33" s="6" t="n">
        <v>93</v>
      </c>
      <c r="T33" s="6" t="n">
        <v>93</v>
      </c>
      <c r="U33" s="6" t="n">
        <v>93</v>
      </c>
      <c r="V33" s="6" t="n">
        <v>93</v>
      </c>
      <c r="W33" s="6" t="n">
        <v>93</v>
      </c>
      <c r="X33" s="6" t="n">
        <v>93</v>
      </c>
      <c r="Y33" s="6" t="n">
        <v>87</v>
      </c>
      <c r="Z33" s="6" t="n">
        <v>84</v>
      </c>
      <c r="AA33" s="380">
        <f>Y33+IF(NOT(ISBLANK(OFFSET(AA33,0,6))),N(OFFSET(AA33,0,6)),N(OFFSET(AA33,0,7)))-Z33</f>
        <v/>
      </c>
      <c r="AC33" s="355" t="n"/>
      <c r="AD33" s="355" t="n"/>
      <c r="AH33" s="11" t="n"/>
      <c r="AI33" s="11" t="n"/>
      <c r="AJ33" s="11" t="n"/>
      <c r="AK33" s="11" t="n"/>
      <c r="AL33" s="11" t="n"/>
      <c r="AM33" s="11" t="n"/>
      <c r="AN33" s="11" t="n"/>
      <c r="AO33" s="11" t="n"/>
      <c r="AP33" s="11" t="n"/>
      <c r="AQ33" s="11" t="n"/>
      <c r="AR33" s="11" t="n"/>
      <c r="AS33" s="11" t="n"/>
      <c r="AT33" s="11" t="n"/>
      <c r="AU33" s="11" t="n"/>
      <c r="AV33" s="11" t="n"/>
    </row>
    <row r="34">
      <c r="A34" s="25" t="inlineStr">
        <is>
          <t>CAIXA M NATAL/25</t>
        </is>
      </c>
      <c r="B34" s="6" t="n">
        <v>100</v>
      </c>
      <c r="C34" s="639" t="n">
        <v>792.2</v>
      </c>
      <c r="D34" s="404" t="n"/>
      <c r="F34" s="6" t="n">
        <v>232</v>
      </c>
      <c r="G34" s="6" t="n">
        <v>184</v>
      </c>
      <c r="H34" s="6" t="n">
        <v>177</v>
      </c>
      <c r="I34" s="6" t="n">
        <v>179</v>
      </c>
      <c r="J34" s="6" t="n">
        <v>179</v>
      </c>
      <c r="K34" s="6" t="n">
        <v>179</v>
      </c>
      <c r="L34" s="6" t="n">
        <v>178</v>
      </c>
      <c r="M34" s="6" t="n">
        <v>175</v>
      </c>
      <c r="N34" s="6" t="n">
        <v>175</v>
      </c>
      <c r="O34" s="6" t="n">
        <v>174</v>
      </c>
      <c r="P34" s="6" t="n">
        <v>174</v>
      </c>
      <c r="Q34" s="6" t="n">
        <v>174</v>
      </c>
      <c r="R34" s="6" t="n">
        <v>174</v>
      </c>
      <c r="S34" s="6" t="n">
        <v>174</v>
      </c>
      <c r="T34" s="6" t="n">
        <v>174</v>
      </c>
      <c r="U34" s="6" t="n">
        <v>174</v>
      </c>
      <c r="V34" s="6" t="n">
        <v>174</v>
      </c>
      <c r="W34" s="6" t="n">
        <v>174</v>
      </c>
      <c r="X34" s="6" t="n">
        <v>166</v>
      </c>
      <c r="Y34" s="6" t="n">
        <v>159</v>
      </c>
      <c r="Z34" s="6" t="n">
        <v>148</v>
      </c>
      <c r="AA34" s="380">
        <f>Y34+IF(NOT(ISBLANK(OFFSET(AA34,0,6))),N(OFFSET(AA34,0,6)),N(OFFSET(AA34,0,7)))-Z34</f>
        <v/>
      </c>
      <c r="AC34" s="355" t="n"/>
      <c r="AD34" s="355" t="n"/>
      <c r="AH34" s="11" t="n"/>
      <c r="AI34" s="11" t="n"/>
      <c r="AJ34" s="11" t="n"/>
      <c r="AK34" s="11" t="n"/>
      <c r="AL34" s="11" t="n"/>
      <c r="AM34" s="11" t="n"/>
      <c r="AN34" s="11" t="n"/>
      <c r="AO34" s="11" t="n"/>
      <c r="AP34" s="11" t="n"/>
      <c r="AQ34" s="11" t="n"/>
      <c r="AR34" s="11" t="n"/>
      <c r="AS34" s="11" t="n"/>
      <c r="AT34" s="11" t="n"/>
      <c r="AU34" s="11" t="n"/>
      <c r="AV34" s="11" t="n"/>
    </row>
    <row r="35" hidden="1">
      <c r="A35" s="25" t="inlineStr">
        <is>
          <t>CARTUCHO P NATAL/25</t>
        </is>
      </c>
      <c r="B35" s="6" t="n">
        <v>200</v>
      </c>
      <c r="C35" s="639" t="n">
        <v>487.2</v>
      </c>
      <c r="D35" s="404" t="n"/>
      <c r="F35" s="6" t="n">
        <v>-3</v>
      </c>
      <c r="G35" s="6" t="n">
        <v>-3</v>
      </c>
      <c r="H35" s="6" t="n">
        <v>0</v>
      </c>
      <c r="I35" s="6" t="n">
        <v>0</v>
      </c>
      <c r="J35" s="6" t="n">
        <v>0</v>
      </c>
      <c r="K35" s="6" t="n">
        <v>0</v>
      </c>
      <c r="L35" s="6" t="n">
        <v>0</v>
      </c>
      <c r="M35" s="6" t="n">
        <v>0</v>
      </c>
      <c r="N35" s="6" t="n">
        <v>0</v>
      </c>
      <c r="O35" s="6" t="n">
        <v>0</v>
      </c>
      <c r="P35" s="6" t="n">
        <v>0</v>
      </c>
      <c r="Q35" s="6" t="n">
        <v>0</v>
      </c>
      <c r="R35" s="6" t="n">
        <v>0</v>
      </c>
      <c r="S35" s="6" t="n">
        <v>0</v>
      </c>
      <c r="T35" s="6" t="n">
        <v>0</v>
      </c>
      <c r="U35" s="6" t="n"/>
      <c r="V35" s="6" t="n"/>
      <c r="W35" s="6" t="n"/>
      <c r="X35" s="6" t="n"/>
      <c r="Y35" s="6" t="n"/>
      <c r="Z35" s="6" t="n"/>
      <c r="AA35" s="380">
        <f>Y35+IF(NOT(ISBLANK(OFFSET(AA35,0,6))),N(OFFSET(AA35,0,6)),N(OFFSET(AA35,0,7)))-Z35</f>
        <v/>
      </c>
      <c r="AC35" s="355" t="n"/>
      <c r="AD35" s="355" t="n"/>
      <c r="AH35" s="11" t="n"/>
      <c r="AI35" s="11" t="n"/>
      <c r="AJ35" s="11" t="n"/>
      <c r="AK35" s="11" t="n"/>
      <c r="AL35" s="11" t="n"/>
      <c r="AM35" s="11" t="n"/>
      <c r="AN35" s="11" t="n"/>
      <c r="AO35" s="11" t="n"/>
      <c r="AP35" s="11" t="n"/>
      <c r="AQ35" s="11" t="n"/>
      <c r="AR35" s="11" t="n"/>
      <c r="AS35" s="11" t="n"/>
      <c r="AT35" s="11" t="n"/>
      <c r="AU35" s="11" t="n"/>
      <c r="AV35" s="11" t="n"/>
    </row>
    <row r="36" hidden="1">
      <c r="A36" s="25" t="inlineStr">
        <is>
          <t>CARTUCHO M NATAL/25</t>
        </is>
      </c>
      <c r="B36" s="6" t="n">
        <v>150</v>
      </c>
      <c r="C36" s="639" t="n">
        <v>460.35</v>
      </c>
      <c r="D36" s="404" t="n"/>
      <c r="F36" s="6" t="n">
        <v>22</v>
      </c>
      <c r="G36" s="6" t="n">
        <v>-2</v>
      </c>
      <c r="H36" s="6" t="n">
        <v>0</v>
      </c>
      <c r="I36" s="6" t="n">
        <v>0</v>
      </c>
      <c r="J36" s="6" t="n">
        <v>-1</v>
      </c>
      <c r="K36" s="6" t="n">
        <v>-1</v>
      </c>
      <c r="L36" s="6" t="n">
        <v>0</v>
      </c>
      <c r="M36" s="6" t="n">
        <v>0</v>
      </c>
      <c r="N36" s="6" t="n">
        <v>0</v>
      </c>
      <c r="O36" s="6" t="n">
        <v>0</v>
      </c>
      <c r="P36" s="6" t="n">
        <v>0</v>
      </c>
      <c r="Q36" s="6" t="n">
        <v>0</v>
      </c>
      <c r="R36" s="6" t="n">
        <v>0</v>
      </c>
      <c r="S36" s="6" t="n">
        <v>0</v>
      </c>
      <c r="T36" s="6" t="n">
        <v>0</v>
      </c>
      <c r="U36" s="6" t="n"/>
      <c r="V36" s="6" t="n"/>
      <c r="W36" s="6" t="n"/>
      <c r="X36" s="6" t="n"/>
      <c r="Y36" s="6" t="n"/>
      <c r="Z36" s="6" t="n"/>
      <c r="AA36" s="380">
        <f>Y36+IF(NOT(ISBLANK(OFFSET(AA36,0,6))),N(OFFSET(AA36,0,6)),N(OFFSET(AA36,0,7)))-Z36</f>
        <v/>
      </c>
      <c r="AC36" s="355" t="n"/>
      <c r="AD36" s="355" t="n"/>
      <c r="AH36" s="11" t="n"/>
      <c r="AI36" s="11" t="n"/>
      <c r="AJ36" s="11" t="n"/>
      <c r="AK36" s="11" t="n"/>
      <c r="AL36" s="11" t="n"/>
      <c r="AM36" s="11" t="n"/>
      <c r="AN36" s="11" t="n"/>
      <c r="AO36" s="11" t="n"/>
      <c r="AP36" s="11" t="n"/>
      <c r="AQ36" s="11" t="n"/>
      <c r="AR36" s="11" t="n"/>
      <c r="AS36" s="409" t="n"/>
      <c r="AT36" s="11" t="n"/>
      <c r="AU36" s="11" t="n"/>
      <c r="AV36" s="11" t="n"/>
    </row>
    <row r="37">
      <c r="A37" s="25" t="inlineStr">
        <is>
          <t>PIN NATAL/25</t>
        </is>
      </c>
      <c r="B37" s="6" t="n">
        <v>10</v>
      </c>
      <c r="C37" s="639" t="n">
        <v>120</v>
      </c>
      <c r="D37" s="404" t="n"/>
      <c r="F37" s="6" t="n">
        <v>9</v>
      </c>
      <c r="G37" s="6" t="n">
        <v>-1</v>
      </c>
      <c r="H37" s="6" t="n">
        <v>1</v>
      </c>
      <c r="I37" s="6" t="n">
        <v>1</v>
      </c>
      <c r="J37" s="6" t="n">
        <v>1</v>
      </c>
      <c r="K37" s="6" t="n">
        <v>1</v>
      </c>
      <c r="L37" s="6" t="n">
        <v>1</v>
      </c>
      <c r="M37" s="6" t="n">
        <v>1</v>
      </c>
      <c r="N37" s="6" t="n">
        <v>1</v>
      </c>
      <c r="O37" s="6" t="n">
        <v>1</v>
      </c>
      <c r="P37" s="6" t="n">
        <v>1</v>
      </c>
      <c r="Q37" s="6" t="n">
        <v>1</v>
      </c>
      <c r="R37" s="6" t="n">
        <v>1</v>
      </c>
      <c r="S37" s="6" t="n">
        <v>1</v>
      </c>
      <c r="T37" s="6" t="n">
        <v>1</v>
      </c>
      <c r="U37" s="6" t="n">
        <v>1</v>
      </c>
      <c r="V37" s="6" t="n">
        <v>1</v>
      </c>
      <c r="W37" s="6" t="n">
        <v>1</v>
      </c>
      <c r="X37" s="6" t="n">
        <v>1</v>
      </c>
      <c r="Y37" s="6" t="n">
        <v>1</v>
      </c>
      <c r="Z37" s="6" t="n">
        <v>1</v>
      </c>
      <c r="AA37" s="380">
        <f>Y37+IF(NOT(ISBLANK(OFFSET(AA37,0,6))),N(OFFSET(AA37,0,6)),N(OFFSET(AA37,0,7)))-Z37</f>
        <v/>
      </c>
      <c r="AC37" s="355" t="n"/>
      <c r="AD37" s="355" t="n"/>
      <c r="AH37" s="11" t="n"/>
      <c r="AI37" s="11" t="n"/>
      <c r="AJ37" s="11" t="n"/>
      <c r="AK37" s="11" t="n"/>
      <c r="AL37" s="11" t="n"/>
      <c r="AM37" s="11" t="n"/>
      <c r="AN37" s="11" t="n"/>
      <c r="AO37" s="11" t="n"/>
      <c r="AP37" s="11" t="n"/>
      <c r="AQ37" s="11" t="n"/>
      <c r="AR37" s="11" t="n"/>
      <c r="AS37" s="409" t="n"/>
      <c r="AT37" s="11" t="n"/>
      <c r="AU37" s="11" t="n"/>
      <c r="AV37" s="11" t="n"/>
    </row>
    <row r="38">
      <c r="AC38" s="355" t="n"/>
      <c r="AD38" s="355" t="n"/>
      <c r="AH38" s="11" t="n"/>
      <c r="AI38" s="11" t="n"/>
      <c r="AJ38" s="11" t="n"/>
      <c r="AK38" s="11" t="n"/>
      <c r="AL38" s="11" t="n"/>
      <c r="AM38" s="11" t="n"/>
      <c r="AN38" s="11" t="n"/>
      <c r="AO38" s="11" t="n"/>
      <c r="AP38" s="11" t="n"/>
      <c r="AQ38" s="11" t="n"/>
      <c r="AR38" s="11" t="n"/>
      <c r="AS38" s="41" t="n"/>
      <c r="AT38" s="11" t="n"/>
      <c r="AU38" s="11" t="n"/>
      <c r="AV38" s="11" t="n"/>
    </row>
    <row r="39" ht="21" customHeight="1">
      <c r="A39" s="402" t="inlineStr">
        <is>
          <t>SOBRAS DATAS COMEMORATIVAS</t>
        </is>
      </c>
      <c r="B39" s="402" t="n"/>
      <c r="C39" s="402" t="n"/>
      <c r="AE39" s="370" t="n"/>
      <c r="AH39" s="11" t="n"/>
      <c r="AI39" s="409" t="n"/>
      <c r="AJ39" s="409" t="n"/>
      <c r="AK39" s="409" t="n"/>
      <c r="AL39" s="409" t="n"/>
      <c r="AM39" s="409" t="n"/>
      <c r="AN39" s="409" t="n"/>
      <c r="AO39" s="409" t="n"/>
      <c r="AP39" s="409" t="n"/>
      <c r="AQ39" s="409" t="n"/>
      <c r="AR39" s="409" t="n"/>
      <c r="AS39" s="41" t="n"/>
      <c r="AT39" s="409" t="n"/>
      <c r="AU39" s="409" t="n"/>
      <c r="AV39" s="409" t="n"/>
    </row>
    <row r="40" ht="20.25" customHeight="1">
      <c r="A40" s="369" t="inlineStr">
        <is>
          <t>ITENS</t>
        </is>
      </c>
      <c r="B40" s="369" t="n"/>
      <c r="C40" s="369" t="inlineStr">
        <is>
          <t>ESTOQUE</t>
        </is>
      </c>
      <c r="E40" s="41" t="n"/>
      <c r="F40" s="41" t="n"/>
      <c r="G40" s="41" t="n"/>
      <c r="H40" s="41" t="n"/>
      <c r="I40" s="41" t="n"/>
      <c r="J40" s="41" t="n"/>
      <c r="K40" s="41" t="n"/>
      <c r="L40" s="41" t="n"/>
      <c r="M40" s="41" t="n"/>
      <c r="N40" s="41" t="n"/>
      <c r="O40" s="41" t="n"/>
      <c r="P40" s="41" t="n"/>
      <c r="Q40" s="41" t="n"/>
      <c r="R40" s="41" t="n"/>
      <c r="S40" s="41" t="n"/>
      <c r="T40" s="41" t="n"/>
      <c r="U40" s="41" t="n"/>
      <c r="V40" s="41" t="n"/>
      <c r="W40" s="41" t="n"/>
      <c r="X40" s="41" t="n"/>
      <c r="Y40" s="41" t="n"/>
      <c r="Z40" s="41" t="n"/>
      <c r="AA40" s="41" t="n"/>
      <c r="AE40" s="41" t="n"/>
      <c r="AG40" s="41" t="n"/>
      <c r="AH40" s="409" t="n"/>
      <c r="AI40" s="409" t="n"/>
      <c r="AJ40" s="409" t="n"/>
      <c r="AK40" s="409" t="n"/>
      <c r="AL40" s="409" t="n"/>
      <c r="AM40" s="409" t="n"/>
      <c r="AN40" s="409" t="n"/>
      <c r="AO40" s="409" t="n"/>
      <c r="AP40" s="409" t="n"/>
      <c r="AQ40" s="409" t="n"/>
      <c r="AR40" s="409" t="n"/>
      <c r="AS40" s="41" t="n"/>
      <c r="AT40" s="409" t="n"/>
      <c r="AU40" s="409" t="n"/>
      <c r="AV40" s="409" t="n"/>
    </row>
    <row r="41">
      <c r="A41" s="294" t="n"/>
      <c r="B41" s="378" t="n"/>
      <c r="C41" s="365" t="n"/>
      <c r="E41" s="41" t="n"/>
      <c r="F41" s="41" t="n"/>
      <c r="G41" s="41" t="n"/>
      <c r="H41" s="41" t="n"/>
      <c r="I41" s="41" t="n"/>
      <c r="J41" s="41" t="n"/>
      <c r="K41" s="41" t="n"/>
      <c r="L41" s="41" t="n"/>
      <c r="M41" s="41" t="n"/>
      <c r="N41" s="41" t="n"/>
      <c r="O41" s="41" t="n"/>
      <c r="P41" s="41" t="n"/>
      <c r="Q41" s="41" t="n"/>
      <c r="R41" s="41" t="n"/>
      <c r="S41" s="41" t="n"/>
      <c r="T41" s="41" t="n"/>
      <c r="U41" s="41" t="n"/>
      <c r="V41" s="41" t="n"/>
      <c r="W41" s="41" t="n"/>
      <c r="X41" s="41" t="n"/>
      <c r="Y41" s="41" t="n"/>
      <c r="Z41" s="41" t="n"/>
      <c r="AA41" s="41" t="n"/>
      <c r="AB41" s="41" t="n"/>
      <c r="AC41" s="41" t="n"/>
      <c r="AD41" s="41" t="n"/>
      <c r="AE41" s="41" t="n"/>
      <c r="AF41" s="41" t="n"/>
      <c r="AG41" s="41" t="n"/>
      <c r="AH41" s="409" t="n"/>
      <c r="AI41" s="41" t="n"/>
      <c r="AJ41" s="41" t="n"/>
      <c r="AK41" s="41" t="n"/>
      <c r="AL41" s="41" t="n"/>
      <c r="AM41" s="41" t="n"/>
      <c r="AN41" s="41" t="n"/>
      <c r="AO41" s="41" t="n"/>
      <c r="AP41" s="41" t="n"/>
      <c r="AQ41" s="41" t="n"/>
      <c r="AR41" s="41" t="n"/>
      <c r="AS41" s="41" t="n"/>
      <c r="AT41" s="41" t="n"/>
      <c r="AU41" s="41" t="n"/>
      <c r="AV41" s="41" t="n"/>
      <c r="AW41" s="41" t="n"/>
      <c r="AX41" s="41" t="n"/>
      <c r="AY41" s="41" t="n"/>
      <c r="AZ41" s="41" t="n"/>
      <c r="BA41" s="41" t="n"/>
      <c r="BB41" s="41" t="n"/>
      <c r="BC41" s="41" t="n"/>
      <c r="BD41" s="41" t="n"/>
      <c r="BE41" s="41" t="n"/>
      <c r="BF41" s="41" t="n"/>
      <c r="BG41" s="41" t="n"/>
      <c r="BH41" s="41" t="n"/>
      <c r="BI41" s="41" t="n"/>
      <c r="BJ41" s="41" t="n"/>
      <c r="BK41" s="41" t="n"/>
      <c r="BL41" s="41" t="n"/>
      <c r="BM41" s="41" t="n"/>
      <c r="BN41" s="41" t="n"/>
      <c r="BO41" s="41" t="n"/>
      <c r="BP41" s="41" t="n"/>
      <c r="BQ41" s="41" t="n"/>
      <c r="BR41" s="41" t="n"/>
      <c r="BS41" s="41" t="n"/>
      <c r="BT41" s="41" t="n"/>
      <c r="BU41" s="41" t="n"/>
      <c r="BV41" s="41" t="n"/>
      <c r="BW41" s="41" t="n"/>
      <c r="BX41" s="41" t="n"/>
      <c r="BY41" s="41" t="n"/>
      <c r="BZ41" s="41" t="n"/>
      <c r="CA41" s="41" t="n"/>
      <c r="CB41" s="41" t="n"/>
      <c r="CC41" s="1" t="n"/>
      <c r="CD41" s="41" t="n"/>
      <c r="CE41" s="34" t="n"/>
      <c r="CF41" s="34" t="n"/>
      <c r="CG41" s="34" t="n"/>
      <c r="CH41" s="34" t="n"/>
      <c r="CI41" s="34" t="n"/>
      <c r="CJ41" s="34" t="n"/>
      <c r="CK41" s="34" t="n"/>
      <c r="CL41" s="34" t="n"/>
      <c r="CM41" s="34" t="n"/>
      <c r="CN41" s="34" t="n"/>
      <c r="CO41" s="34" t="n"/>
      <c r="CP41" s="34" t="n"/>
      <c r="CQ41" s="34" t="n"/>
      <c r="CR41" s="34" t="n"/>
      <c r="CS41" s="34" t="n"/>
      <c r="CT41" s="34" t="n"/>
      <c r="CU41" s="34" t="n"/>
      <c r="CV41" s="34" t="n"/>
      <c r="CW41" s="34" t="n"/>
      <c r="CX41" s="34" t="n"/>
      <c r="CY41" s="34" t="n"/>
      <c r="CZ41" s="34" t="n"/>
      <c r="DA41" s="34" t="n"/>
      <c r="DB41" s="34" t="n"/>
      <c r="DC41" s="34" t="n"/>
      <c r="DD41" s="34" t="n"/>
      <c r="DE41" s="34" t="n"/>
      <c r="DF41" s="34" t="n"/>
      <c r="DG41" s="34" t="n"/>
      <c r="DH41" s="34" t="n"/>
      <c r="DI41" s="34" t="n"/>
      <c r="DJ41" s="34" t="n"/>
      <c r="DK41" s="34" t="n"/>
      <c r="DL41" s="34" t="n"/>
      <c r="DM41" s="34" t="n"/>
      <c r="DN41" s="34" t="n"/>
      <c r="DO41" s="34" t="n"/>
      <c r="DP41" s="34" t="n"/>
      <c r="DQ41" s="34" t="n"/>
      <c r="DR41" s="34" t="n"/>
      <c r="DS41" s="34" t="n"/>
      <c r="DT41" s="34" t="n"/>
      <c r="DU41" s="34" t="n"/>
      <c r="DV41" s="34" t="n"/>
      <c r="DW41" s="34" t="n"/>
      <c r="DX41" s="34" t="n"/>
      <c r="DY41" s="34" t="n"/>
      <c r="DZ41" s="34" t="n"/>
      <c r="EA41" s="34" t="n"/>
      <c r="EB41" s="34" t="n"/>
      <c r="EC41" s="34" t="n"/>
      <c r="ED41" s="34" t="n"/>
      <c r="EE41" s="34" t="n"/>
      <c r="EF41" s="34" t="n"/>
      <c r="EG41" s="34" t="n"/>
      <c r="EH41" s="34" t="n"/>
      <c r="EI41" s="34" t="n"/>
      <c r="EJ41" s="34" t="n"/>
      <c r="EK41" s="34" t="n"/>
      <c r="EL41" s="34" t="n"/>
      <c r="EM41" s="370" t="n"/>
      <c r="EN41" s="41" t="n"/>
      <c r="EO41" s="34" t="n"/>
      <c r="EP41" s="41" t="n"/>
      <c r="EQ41" s="154" t="n"/>
      <c r="ER41" s="154" t="n"/>
      <c r="ES41" s="34" t="n"/>
      <c r="ET41" s="154" t="n"/>
      <c r="EU41" s="34" t="n"/>
      <c r="EV41" s="34" t="n"/>
      <c r="EW41" s="154" t="n"/>
      <c r="EX41" s="154" t="n"/>
      <c r="EY41" s="34" t="n"/>
      <c r="EZ41" s="34" t="n"/>
      <c r="FA41" s="34" t="n"/>
      <c r="FB41" s="154" t="n"/>
      <c r="FC41" s="34" t="n"/>
      <c r="FD41" s="154" t="n"/>
      <c r="FE41" s="154" t="n"/>
      <c r="FF41" s="154" t="n"/>
      <c r="FG41" s="34" t="n"/>
      <c r="FH41" s="154" t="n"/>
      <c r="FI41" s="34" t="n"/>
      <c r="FJ41" s="154" t="n"/>
      <c r="FK41" s="154" t="n"/>
      <c r="FL41" s="154" t="n"/>
      <c r="FM41" s="154" t="n"/>
      <c r="FN41" s="154" t="n"/>
      <c r="FO41" s="358" t="n"/>
      <c r="FP41" s="154" t="n"/>
      <c r="FQ41" s="154" t="n"/>
      <c r="FR41" s="154" t="n"/>
      <c r="FS41" s="154" t="n"/>
      <c r="FT41" s="154" t="n"/>
      <c r="FU41" s="154" t="n"/>
      <c r="FV41" s="154" t="n"/>
      <c r="FW41" s="154" t="n"/>
      <c r="FX41" s="154" t="n"/>
      <c r="FY41" s="154" t="n"/>
      <c r="FZ41" s="154" t="n"/>
      <c r="GA41" s="154" t="n"/>
      <c r="GB41" s="154" t="n"/>
      <c r="GC41" s="154" t="n"/>
      <c r="GD41" s="154" t="n"/>
      <c r="GE41" s="154" t="n"/>
      <c r="GF41" s="154" t="n"/>
      <c r="GG41" s="154" t="n"/>
      <c r="GH41" s="154" t="n"/>
      <c r="GI41" s="154" t="n"/>
      <c r="GJ41" s="154" t="n"/>
      <c r="GK41" s="34" t="n"/>
      <c r="GL41" s="154" t="n"/>
      <c r="GM41" s="154" t="n"/>
      <c r="GN41" s="154" t="n"/>
      <c r="GO41" s="154" t="n"/>
      <c r="GP41" s="154" t="n"/>
      <c r="GQ41" s="154" t="n"/>
      <c r="GR41" s="154" t="n"/>
      <c r="GS41" s="154" t="n"/>
      <c r="GT41" s="154" t="n"/>
      <c r="GU41" s="154" t="n"/>
      <c r="GV41" s="154" t="n"/>
      <c r="GW41" s="154" t="n"/>
      <c r="GX41" s="154" t="n"/>
      <c r="GY41" s="154" t="n"/>
      <c r="GZ41" s="154" t="n"/>
      <c r="HA41" s="154" t="n"/>
      <c r="HB41" s="154" t="n"/>
      <c r="HC41" s="154" t="n"/>
      <c r="HD41" s="154" t="n"/>
      <c r="HE41" s="154" t="n"/>
      <c r="HF41" s="154" t="n"/>
      <c r="HG41" s="154" t="n"/>
      <c r="HH41" s="154" t="n"/>
      <c r="HI41" s="154" t="n"/>
      <c r="HJ41" s="154" t="n"/>
      <c r="HK41" s="154" t="n"/>
      <c r="HL41" s="154" t="n"/>
      <c r="HM41" s="154" t="n"/>
      <c r="HN41" s="154" t="n"/>
      <c r="HO41" s="154" t="n"/>
      <c r="HP41" s="154" t="n"/>
      <c r="HQ41" s="154" t="n"/>
      <c r="HR41" s="154" t="n"/>
      <c r="HS41" s="154" t="n"/>
    </row>
    <row r="42">
      <c r="A42" s="365" t="n"/>
      <c r="B42" s="605" t="n"/>
      <c r="C42" s="606" t="n"/>
      <c r="E42" s="41" t="n"/>
      <c r="F42" s="41" t="n"/>
      <c r="G42" s="41" t="n"/>
      <c r="H42" s="41" t="n"/>
      <c r="I42" s="41" t="n"/>
      <c r="J42" s="41" t="n"/>
      <c r="K42" s="41" t="n"/>
      <c r="L42" s="41" t="n"/>
      <c r="M42" s="41" t="n"/>
      <c r="N42" s="41" t="n"/>
      <c r="O42" s="41" t="n"/>
      <c r="P42" s="41" t="n"/>
      <c r="Q42" s="41" t="n"/>
      <c r="R42" s="41" t="n"/>
      <c r="S42" s="41" t="n"/>
      <c r="T42" s="41" t="n"/>
      <c r="U42" s="41" t="n"/>
      <c r="V42" s="41" t="n"/>
      <c r="W42" s="41" t="n"/>
      <c r="X42" s="41" t="n"/>
      <c r="Y42" s="41" t="n"/>
      <c r="Z42" s="41" t="n"/>
      <c r="AA42" s="41" t="n"/>
      <c r="AB42" s="41" t="n"/>
      <c r="AC42" s="41" t="n"/>
      <c r="AD42" s="41" t="n"/>
      <c r="AE42" s="41" t="n"/>
      <c r="AF42" s="41" t="n"/>
      <c r="AG42" s="41" t="n"/>
      <c r="AH42" s="41" t="n"/>
      <c r="AI42" s="41" t="n"/>
      <c r="AJ42" s="41" t="n"/>
      <c r="AK42" s="41" t="n"/>
      <c r="AL42" s="41" t="n"/>
      <c r="AM42" s="41" t="n"/>
      <c r="AN42" s="41" t="n"/>
      <c r="AO42" s="41" t="n"/>
      <c r="AP42" s="41" t="n"/>
      <c r="AQ42" s="41" t="n"/>
      <c r="AR42" s="41" t="n"/>
      <c r="AS42" s="41" t="n"/>
      <c r="AT42" s="41" t="n"/>
      <c r="AU42" s="41" t="n"/>
      <c r="AV42" s="41" t="n"/>
      <c r="AW42" s="41" t="n"/>
      <c r="AX42" s="41" t="n"/>
      <c r="AY42" s="41" t="n"/>
      <c r="AZ42" s="41" t="n"/>
      <c r="BA42" s="41" t="n"/>
      <c r="BB42" s="41" t="n"/>
      <c r="BC42" s="41" t="n"/>
      <c r="BD42" s="41" t="n"/>
      <c r="BE42" s="41" t="n"/>
      <c r="BF42" s="41" t="n"/>
      <c r="BG42" s="41" t="n"/>
      <c r="BH42" s="41" t="n"/>
      <c r="BI42" s="41" t="n"/>
      <c r="BJ42" s="41" t="n"/>
      <c r="BK42" s="41" t="n"/>
      <c r="BL42" s="41" t="n"/>
      <c r="BM42" s="41" t="n"/>
      <c r="BN42" s="41" t="n"/>
      <c r="BO42" s="41" t="n"/>
      <c r="BP42" s="41" t="n"/>
      <c r="BQ42" s="41" t="n"/>
      <c r="BR42" s="41" t="n"/>
      <c r="BS42" s="41" t="n"/>
      <c r="BT42" s="41" t="n"/>
      <c r="BU42" s="41" t="n"/>
      <c r="BV42" s="41" t="n"/>
      <c r="BW42" s="41" t="n"/>
      <c r="BX42" s="41" t="n"/>
      <c r="BY42" s="41" t="n"/>
      <c r="BZ42" s="41" t="n"/>
      <c r="CA42" s="41" t="n"/>
      <c r="CB42" s="41" t="n"/>
      <c r="CC42" s="1" t="n"/>
      <c r="CD42" s="41" t="n"/>
      <c r="CE42" s="34" t="n"/>
      <c r="CF42" s="34" t="n"/>
      <c r="CG42" s="34" t="n"/>
      <c r="CH42" s="34" t="n"/>
      <c r="CI42" s="34" t="n"/>
      <c r="CJ42" s="34" t="n"/>
      <c r="CK42" s="34" t="n"/>
      <c r="CL42" s="34" t="n"/>
      <c r="CM42" s="34" t="n"/>
      <c r="CN42" s="34" t="n"/>
      <c r="CO42" s="34" t="n"/>
      <c r="CP42" s="34" t="n"/>
      <c r="CQ42" s="34" t="n"/>
      <c r="CR42" s="34" t="n"/>
      <c r="CS42" s="34" t="n"/>
      <c r="CT42" s="34" t="n"/>
      <c r="CU42" s="34" t="n"/>
      <c r="CV42" s="34" t="n"/>
      <c r="CW42" s="34" t="n"/>
      <c r="CX42" s="34" t="n"/>
      <c r="CY42" s="34" t="n"/>
      <c r="CZ42" s="34" t="n"/>
      <c r="DA42" s="34" t="n"/>
      <c r="DB42" s="34" t="n"/>
      <c r="DC42" s="34" t="n"/>
      <c r="DD42" s="34" t="n"/>
      <c r="DE42" s="34" t="n"/>
      <c r="DF42" s="34" t="n"/>
      <c r="DG42" s="34" t="n"/>
      <c r="DH42" s="34" t="n"/>
      <c r="DI42" s="34" t="n"/>
      <c r="DJ42" s="34" t="n"/>
      <c r="DK42" s="34" t="n"/>
      <c r="DL42" s="34" t="n"/>
      <c r="DM42" s="34" t="n"/>
      <c r="DN42" s="34" t="n"/>
      <c r="DO42" s="34" t="n"/>
      <c r="DP42" s="34" t="n"/>
      <c r="DQ42" s="34" t="n"/>
      <c r="DR42" s="34" t="n"/>
      <c r="DS42" s="34" t="n"/>
      <c r="DT42" s="34" t="n"/>
      <c r="DU42" s="34" t="n"/>
      <c r="DV42" s="34" t="n"/>
      <c r="DW42" s="34" t="n"/>
      <c r="DX42" s="34" t="n"/>
      <c r="DY42" s="34" t="n"/>
      <c r="DZ42" s="34" t="n"/>
      <c r="EA42" s="34" t="n"/>
      <c r="EB42" s="34" t="n"/>
      <c r="EC42" s="34" t="n"/>
      <c r="ED42" s="34" t="n"/>
      <c r="EE42" s="34" t="n"/>
      <c r="EF42" s="34" t="n"/>
      <c r="EG42" s="34" t="n"/>
      <c r="EH42" s="34" t="n"/>
      <c r="EI42" s="34" t="n"/>
      <c r="EJ42" s="34" t="n"/>
      <c r="EK42" s="34" t="n"/>
      <c r="EL42" s="34" t="n"/>
      <c r="EM42" s="370" t="n"/>
      <c r="EN42" s="41" t="n"/>
      <c r="EO42" s="34" t="n"/>
      <c r="EP42" s="41" t="n"/>
      <c r="EQ42" s="154" t="n"/>
      <c r="ER42" s="154" t="n"/>
      <c r="ES42" s="34" t="n"/>
      <c r="ET42" s="154" t="n"/>
      <c r="EU42" s="34" t="n"/>
      <c r="EV42" s="34" t="n"/>
      <c r="EW42" s="154" t="n"/>
      <c r="EX42" s="154" t="n"/>
      <c r="EY42" s="34" t="n"/>
      <c r="EZ42" s="34" t="n"/>
      <c r="FA42" s="34" t="n"/>
      <c r="FB42" s="154" t="n"/>
      <c r="FC42" s="34" t="n"/>
      <c r="FD42" s="154" t="n"/>
      <c r="FE42" s="154" t="n"/>
      <c r="FF42" s="154" t="n"/>
      <c r="FG42" s="34" t="n"/>
      <c r="FH42" s="154" t="n"/>
      <c r="FI42" s="34" t="n"/>
      <c r="FJ42" s="154" t="n"/>
      <c r="FK42" s="154" t="n"/>
      <c r="FL42" s="154" t="n"/>
      <c r="FM42" s="154" t="n"/>
      <c r="FN42" s="154" t="n"/>
      <c r="FO42" s="373" t="n"/>
      <c r="FP42" s="154" t="n"/>
      <c r="FQ42" s="154" t="n"/>
      <c r="FR42" s="154" t="n"/>
      <c r="FS42" s="154" t="n"/>
      <c r="FT42" s="154" t="n"/>
      <c r="FU42" s="154" t="n"/>
      <c r="FV42" s="154" t="n"/>
      <c r="FW42" s="154" t="n"/>
      <c r="FX42" s="154" t="n"/>
      <c r="FY42" s="154" t="n"/>
      <c r="FZ42" s="154" t="n"/>
      <c r="GA42" s="154" t="n"/>
      <c r="GB42" s="154" t="n"/>
      <c r="GC42" s="154" t="n"/>
      <c r="GD42" s="154" t="n"/>
      <c r="GE42" s="154" t="n"/>
      <c r="GF42" s="154" t="n"/>
      <c r="GG42" s="154" t="n"/>
      <c r="GH42" s="154" t="n"/>
      <c r="GI42" s="154" t="n"/>
      <c r="GJ42" s="154" t="n"/>
      <c r="GK42" s="640" t="n">
        <v>45008</v>
      </c>
      <c r="GL42" s="154" t="n"/>
      <c r="GM42" s="154" t="n"/>
      <c r="GN42" s="154" t="n"/>
      <c r="GO42" s="154" t="n"/>
      <c r="GP42" s="154" t="n"/>
      <c r="GQ42" s="154" t="n"/>
      <c r="GR42" s="154" t="n"/>
      <c r="GS42" s="154" t="n"/>
      <c r="GT42" s="154" t="n"/>
      <c r="GU42" s="154" t="n"/>
      <c r="GV42" s="154" t="n"/>
      <c r="GW42" s="154" t="n"/>
      <c r="GX42" s="154" t="n"/>
      <c r="GY42" s="154" t="n"/>
      <c r="GZ42" s="154" t="n"/>
      <c r="HA42" s="154" t="n"/>
      <c r="HB42" s="154" t="n"/>
      <c r="HC42" s="154" t="n"/>
      <c r="HD42" s="154" t="n"/>
      <c r="HE42" s="154" t="n"/>
      <c r="HF42" s="154" t="n"/>
      <c r="HG42" s="154" t="n"/>
      <c r="HH42" s="154" t="n"/>
      <c r="HI42" s="154" t="n"/>
      <c r="HJ42" s="154" t="n"/>
      <c r="HK42" s="154" t="n"/>
      <c r="HL42" s="154" t="n"/>
      <c r="HM42" s="154" t="n"/>
      <c r="HN42" s="154" t="n"/>
      <c r="HO42" s="154" t="n"/>
      <c r="HP42" s="154" t="n"/>
      <c r="HQ42" s="154" t="n"/>
      <c r="HR42" s="154" t="n"/>
      <c r="HS42" s="154" t="n"/>
    </row>
    <row r="43">
      <c r="A43" s="294" t="n"/>
      <c r="B43" s="378" t="n"/>
      <c r="C43" s="365" t="n"/>
      <c r="E43" s="41" t="n"/>
      <c r="F43" s="41" t="n"/>
      <c r="G43" s="41" t="n"/>
      <c r="H43" s="41" t="n"/>
      <c r="I43" s="41" t="n"/>
      <c r="J43" s="41" t="n"/>
      <c r="K43" s="41" t="n"/>
      <c r="L43" s="41" t="n"/>
      <c r="M43" s="41" t="n"/>
      <c r="N43" s="41" t="n"/>
      <c r="O43" s="41" t="n"/>
      <c r="P43" s="41" t="n"/>
      <c r="Q43" s="41" t="n"/>
      <c r="R43" s="41" t="n"/>
      <c r="S43" s="41" t="n"/>
      <c r="T43" s="41" t="n"/>
      <c r="U43" s="41" t="n"/>
      <c r="V43" s="41" t="n"/>
      <c r="W43" s="41" t="n"/>
      <c r="X43" s="41" t="n"/>
      <c r="Y43" s="41" t="n"/>
      <c r="Z43" s="41" t="n"/>
      <c r="AA43" s="41" t="n"/>
      <c r="AB43" s="41" t="n"/>
      <c r="AC43" s="41" t="n"/>
      <c r="AD43" s="41" t="n"/>
      <c r="AE43" s="41" t="n"/>
      <c r="AF43" s="41" t="n"/>
      <c r="AG43" s="41" t="n"/>
      <c r="AH43" s="41" t="n"/>
      <c r="AI43" s="41" t="n"/>
      <c r="AJ43" s="41" t="n"/>
      <c r="AK43" s="41" t="n"/>
      <c r="AL43" s="41" t="n"/>
      <c r="AM43" s="41" t="n"/>
      <c r="AN43" s="41" t="n"/>
      <c r="AO43" s="41" t="n"/>
      <c r="AP43" s="41" t="n"/>
      <c r="AQ43" s="41" t="n"/>
      <c r="AR43" s="41" t="n"/>
      <c r="AT43" s="41" t="n"/>
      <c r="AU43" s="41" t="n"/>
      <c r="AV43" s="41" t="n"/>
      <c r="AW43" s="41" t="n"/>
      <c r="AX43" s="41" t="n"/>
      <c r="AY43" s="41" t="n"/>
      <c r="AZ43" s="41" t="n"/>
      <c r="BA43" s="41" t="n"/>
      <c r="BB43" s="41" t="n"/>
      <c r="BC43" s="41" t="n"/>
      <c r="BD43" s="41" t="n"/>
      <c r="BE43" s="41" t="n"/>
      <c r="BF43" s="41" t="n"/>
      <c r="BG43" s="41" t="n"/>
      <c r="BH43" s="41" t="n"/>
      <c r="BI43" s="41" t="n"/>
      <c r="BJ43" s="41" t="n"/>
      <c r="BK43" s="41" t="n"/>
      <c r="BL43" s="41" t="n"/>
      <c r="BM43" s="41" t="n"/>
      <c r="BN43" s="41" t="n"/>
      <c r="BO43" s="41" t="n"/>
      <c r="BP43" s="41" t="n"/>
      <c r="BQ43" s="41" t="n"/>
      <c r="BR43" s="41" t="n"/>
      <c r="BS43" s="41" t="n"/>
      <c r="BT43" s="41" t="n"/>
      <c r="BU43" s="41" t="n"/>
      <c r="BV43" s="41" t="n"/>
      <c r="BW43" s="41" t="n"/>
      <c r="BX43" s="41" t="n"/>
      <c r="BY43" s="41" t="n"/>
      <c r="BZ43" s="41" t="n"/>
      <c r="CA43" s="41" t="n"/>
      <c r="CB43" s="41" t="n"/>
      <c r="CC43" s="1" t="n"/>
      <c r="CD43" s="41" t="n"/>
      <c r="CE43" s="34" t="n"/>
      <c r="CF43" s="34" t="n"/>
      <c r="CG43" s="34" t="n"/>
      <c r="CH43" s="34" t="n"/>
      <c r="CI43" s="34" t="n"/>
      <c r="CJ43" s="34" t="n"/>
      <c r="CK43" s="34" t="n"/>
      <c r="CL43" s="34" t="n"/>
      <c r="CM43" s="34" t="n"/>
      <c r="CN43" s="34" t="n"/>
      <c r="CO43" s="34" t="n"/>
      <c r="CP43" s="34" t="n"/>
      <c r="CQ43" s="34" t="n"/>
      <c r="CR43" s="34" t="n"/>
      <c r="CS43" s="34" t="n"/>
      <c r="CT43" s="34" t="n"/>
      <c r="CU43" s="34" t="n"/>
      <c r="CV43" s="34" t="n"/>
      <c r="CW43" s="34" t="n"/>
      <c r="CX43" s="34" t="n"/>
      <c r="CY43" s="34" t="n"/>
      <c r="CZ43" s="34" t="n"/>
      <c r="DA43" s="34" t="n"/>
      <c r="DB43" s="34" t="n"/>
      <c r="DC43" s="34" t="n"/>
      <c r="DD43" s="34" t="n"/>
      <c r="DE43" s="34" t="n"/>
      <c r="DF43" s="34" t="n"/>
      <c r="DG43" s="34" t="n"/>
      <c r="DH43" s="34" t="n"/>
      <c r="DI43" s="34" t="n"/>
      <c r="DJ43" s="34" t="n"/>
      <c r="DK43" s="34" t="n"/>
      <c r="DL43" s="34" t="n"/>
      <c r="DM43" s="34" t="n"/>
      <c r="DN43" s="34" t="n"/>
      <c r="DO43" s="34" t="n"/>
      <c r="DP43" s="34" t="n"/>
      <c r="DQ43" s="34" t="n"/>
      <c r="DR43" s="34" t="n"/>
      <c r="DS43" s="34" t="n"/>
      <c r="DT43" s="34" t="n"/>
      <c r="DU43" s="34" t="n"/>
      <c r="DV43" s="34" t="n"/>
      <c r="DW43" s="34" t="n"/>
      <c r="DX43" s="34" t="n"/>
      <c r="DY43" s="34" t="n"/>
      <c r="DZ43" s="34" t="n"/>
      <c r="EA43" s="34" t="n"/>
      <c r="EB43" s="34" t="n"/>
      <c r="EC43" s="34" t="n"/>
      <c r="ED43" s="34" t="n"/>
      <c r="EE43" s="34" t="n"/>
      <c r="EF43" s="34" t="n"/>
      <c r="EG43" s="34" t="n"/>
      <c r="EH43" s="34" t="n"/>
      <c r="EI43" s="34" t="n"/>
      <c r="EJ43" s="34" t="n"/>
      <c r="EK43" s="34" t="n"/>
      <c r="EL43" s="34" t="n"/>
      <c r="EM43" s="370" t="n"/>
      <c r="EN43" s="41" t="n"/>
      <c r="EO43" s="34" t="n"/>
      <c r="EP43" s="41" t="n"/>
      <c r="EQ43" s="154" t="n"/>
      <c r="ER43" s="154" t="n"/>
      <c r="ES43" s="34" t="n"/>
      <c r="ET43" s="154" t="n"/>
      <c r="EU43" s="34" t="n"/>
      <c r="EV43" s="34" t="n"/>
      <c r="EW43" s="154" t="n"/>
      <c r="EX43" s="154" t="n"/>
      <c r="EY43" s="34" t="n"/>
      <c r="EZ43" s="34" t="n"/>
      <c r="FA43" s="34" t="n"/>
      <c r="FB43" s="154" t="n"/>
      <c r="FC43" s="34" t="n"/>
      <c r="FD43" s="154" t="n"/>
      <c r="FE43" s="154" t="n"/>
      <c r="FF43" s="154" t="n"/>
      <c r="FG43" s="34" t="n"/>
      <c r="FH43" s="154" t="n"/>
      <c r="FI43" s="34" t="n"/>
      <c r="FJ43" s="154" t="n"/>
      <c r="FK43" s="154" t="n"/>
      <c r="FL43" s="154" t="n"/>
      <c r="FM43" s="154" t="n"/>
      <c r="FN43" s="154" t="n"/>
      <c r="FO43" s="373" t="n"/>
      <c r="FP43" s="154" t="n"/>
      <c r="FQ43" s="154" t="n"/>
      <c r="FR43" s="154" t="n"/>
      <c r="FS43" s="154" t="n"/>
      <c r="FT43" s="154" t="n"/>
      <c r="FU43" s="154" t="n"/>
      <c r="FV43" s="154" t="n"/>
      <c r="FW43" s="154" t="n"/>
      <c r="FX43" s="154" t="n"/>
      <c r="FY43" s="154" t="n"/>
      <c r="FZ43" s="154" t="n"/>
      <c r="GA43" s="154" t="n"/>
      <c r="GB43" s="154" t="n"/>
      <c r="GC43" s="154" t="n"/>
      <c r="GD43" s="154" t="n"/>
      <c r="GE43" s="154" t="n"/>
      <c r="GF43" s="154" t="n"/>
      <c r="GG43" s="154" t="n"/>
      <c r="GH43" s="154" t="n"/>
      <c r="GI43" s="154" t="n"/>
      <c r="GJ43" s="154" t="n"/>
      <c r="GK43" s="75" t="n"/>
      <c r="GL43" s="154" t="n"/>
      <c r="GM43" s="154" t="n"/>
      <c r="GN43" s="154" t="n"/>
      <c r="GO43" s="154" t="n"/>
      <c r="GP43" s="154" t="n"/>
      <c r="GQ43" s="154" t="n"/>
      <c r="GR43" s="154" t="n"/>
      <c r="GS43" s="154" t="n"/>
      <c r="GT43" s="154" t="n"/>
      <c r="GU43" s="154" t="n"/>
      <c r="GV43" s="154" t="n"/>
      <c r="GW43" s="154" t="n"/>
      <c r="GX43" s="154" t="n"/>
      <c r="GY43" s="154" t="n"/>
      <c r="GZ43" s="154" t="n"/>
      <c r="HA43" s="154" t="n"/>
      <c r="HB43" s="154" t="n"/>
      <c r="HC43" s="154" t="n"/>
      <c r="HD43" s="154" t="n"/>
      <c r="HE43" s="154" t="n"/>
      <c r="HF43" s="154" t="n"/>
      <c r="HG43" s="154" t="n"/>
      <c r="HH43" s="154" t="n"/>
      <c r="HI43" s="154" t="n"/>
      <c r="HJ43" s="154" t="n"/>
      <c r="HK43" s="154" t="n"/>
      <c r="HL43" s="154" t="n"/>
      <c r="HM43" s="154" t="n"/>
      <c r="HN43" s="154" t="n"/>
      <c r="HO43" s="154" t="n"/>
      <c r="HP43" s="154" t="n"/>
      <c r="HQ43" s="154" t="n"/>
      <c r="HR43" s="154" t="n"/>
      <c r="HS43" s="154" t="n"/>
    </row>
    <row r="44" customFormat="1" s="34">
      <c r="A44" s="294" t="n"/>
      <c r="B44" s="378" t="n"/>
      <c r="C44" s="365" t="n"/>
      <c r="E44" s="41" t="n"/>
      <c r="F44" s="41" t="n"/>
      <c r="G44" s="41" t="n"/>
      <c r="H44" s="41" t="n"/>
      <c r="I44" s="41" t="n"/>
      <c r="J44" s="41" t="n"/>
      <c r="K44" s="41" t="n"/>
      <c r="L44" s="41" t="n"/>
      <c r="M44" s="41" t="n"/>
      <c r="N44" s="41" t="n"/>
      <c r="O44" s="41" t="n"/>
      <c r="P44" s="41" t="n"/>
      <c r="Q44" s="41" t="n"/>
      <c r="R44" s="41" t="n"/>
      <c r="S44" s="41" t="n"/>
      <c r="T44" s="41" t="n"/>
      <c r="U44" s="41" t="n"/>
      <c r="V44" s="41" t="n"/>
      <c r="W44" s="41" t="n"/>
      <c r="X44" s="41" t="n"/>
      <c r="Y44" s="41" t="n"/>
      <c r="Z44" s="41" t="n"/>
      <c r="AA44" s="41" t="n"/>
      <c r="AB44" s="41" t="n"/>
      <c r="AC44" s="41" t="n"/>
      <c r="AD44" s="41" t="n"/>
      <c r="AE44" s="41" t="n"/>
      <c r="AF44" s="41" t="n"/>
      <c r="AG44" s="41" t="n"/>
      <c r="AH44" s="41" t="n"/>
      <c r="AI44" s="41" t="n"/>
      <c r="AJ44" s="41" t="n"/>
      <c r="AK44" s="41" t="n"/>
      <c r="AL44" s="41" t="n"/>
      <c r="AM44" s="41" t="n"/>
      <c r="AN44" s="41" t="n"/>
      <c r="AO44" s="41" t="n"/>
      <c r="AP44" s="41" t="n"/>
      <c r="AQ44" s="41" t="n"/>
      <c r="AR44" s="41" t="n"/>
      <c r="AT44" s="41" t="n"/>
      <c r="AU44" s="41" t="n"/>
      <c r="AV44" s="41" t="n"/>
      <c r="AW44" s="41" t="n"/>
      <c r="AX44" s="41" t="n"/>
      <c r="AY44" s="41" t="n"/>
      <c r="AZ44" s="41" t="n"/>
      <c r="BA44" s="41" t="n"/>
      <c r="BB44" s="41" t="n"/>
      <c r="BC44" s="41" t="n"/>
      <c r="BD44" s="41" t="n"/>
      <c r="BE44" s="41" t="n"/>
      <c r="BF44" s="41" t="n"/>
      <c r="BG44" s="41" t="n"/>
      <c r="BH44" s="41" t="n"/>
      <c r="BI44" s="41" t="n"/>
      <c r="BJ44" s="41" t="n"/>
      <c r="BK44" s="41" t="n"/>
      <c r="BL44" s="41" t="n"/>
      <c r="BM44" s="41" t="n"/>
      <c r="BN44" s="41" t="n"/>
      <c r="BO44" s="41" t="n"/>
      <c r="BP44" s="41" t="n"/>
      <c r="BQ44" s="41" t="n"/>
      <c r="BR44" s="41" t="n"/>
      <c r="BS44" s="41" t="n"/>
      <c r="BT44" s="41" t="n"/>
      <c r="BU44" s="41" t="n"/>
      <c r="BV44" s="41" t="n"/>
      <c r="BW44" s="41" t="n"/>
      <c r="BX44" s="41" t="n"/>
      <c r="BY44" s="41" t="n"/>
      <c r="BZ44" s="41" t="n"/>
      <c r="CA44" s="41" t="n"/>
      <c r="CB44" s="41" t="n"/>
      <c r="CC44" s="1" t="n"/>
      <c r="CD44" s="41" t="n"/>
      <c r="DH44" s="370" t="n"/>
      <c r="DI44" s="370" t="n"/>
      <c r="DJ44" s="370" t="n"/>
      <c r="DK44" s="370" t="n"/>
      <c r="DL44" s="370" t="n"/>
      <c r="DM44" s="370" t="n"/>
      <c r="DN44" s="370" t="n"/>
      <c r="DO44" s="370" t="n"/>
      <c r="DP44" s="370" t="n"/>
      <c r="DQ44" s="370" t="n"/>
      <c r="DR44" s="370" t="n"/>
      <c r="DS44" s="370" t="n"/>
      <c r="DT44" s="370" t="n"/>
      <c r="DU44" s="370" t="n"/>
      <c r="DV44" s="370" t="n"/>
      <c r="DW44" s="370" t="n"/>
      <c r="DX44" s="370" t="n"/>
      <c r="DY44" s="370" t="n"/>
      <c r="DZ44" s="370" t="n"/>
      <c r="EA44" s="370" t="n"/>
      <c r="EB44" s="370" t="n"/>
      <c r="EC44" s="370" t="n"/>
      <c r="ED44" s="370" t="n"/>
      <c r="EE44" s="370" t="n"/>
      <c r="EF44" s="370" t="n"/>
      <c r="EG44" s="370" t="n"/>
      <c r="EH44" s="370" t="n"/>
      <c r="EI44" s="370" t="n"/>
      <c r="EJ44" s="370" t="n"/>
      <c r="EK44" s="370" t="n"/>
      <c r="EL44" s="370" t="n"/>
      <c r="EN44" s="41" t="n"/>
      <c r="EP44" s="41" t="n"/>
      <c r="EQ44" s="71" t="n"/>
      <c r="ER44" s="71" t="n"/>
      <c r="ES44" s="11" t="n"/>
      <c r="ET44" s="71" t="n"/>
      <c r="EV44" s="11" t="n"/>
      <c r="EW44" s="71" t="n"/>
      <c r="EX44" s="71" t="n"/>
      <c r="EY44" s="11" t="n"/>
      <c r="EZ44" s="11" t="n"/>
      <c r="FA44" s="11" t="n"/>
      <c r="FB44" s="71" t="n"/>
      <c r="FC44" s="11" t="n"/>
      <c r="FD44" s="71" t="n"/>
      <c r="FE44" s="71" t="n"/>
      <c r="FF44" s="71" t="n"/>
      <c r="FG44" s="11" t="n"/>
      <c r="FH44" s="71" t="n"/>
      <c r="FI44" s="11" t="n"/>
      <c r="FJ44" s="71" t="n"/>
      <c r="FK44" s="71" t="n"/>
      <c r="FL44" s="71" t="n"/>
      <c r="FM44" s="71" t="n"/>
      <c r="FN44" s="71" t="n"/>
      <c r="FP44" s="71" t="n"/>
      <c r="FQ44" s="71" t="n"/>
      <c r="FR44" s="71" t="n"/>
      <c r="FS44" s="71" t="n"/>
      <c r="FT44" s="71" t="n"/>
      <c r="FU44" s="71" t="n"/>
      <c r="FV44" s="71" t="n"/>
      <c r="FW44" s="71" t="n"/>
      <c r="FX44" s="71" t="n"/>
      <c r="FY44" s="71" t="n"/>
      <c r="FZ44" s="71" t="n"/>
      <c r="GA44" s="71" t="n"/>
      <c r="GB44" s="71" t="n"/>
      <c r="GC44" s="71" t="n"/>
      <c r="GD44" s="71" t="n"/>
      <c r="GE44" s="71" t="n"/>
      <c r="GF44" s="71" t="n"/>
      <c r="GG44" s="71" t="n"/>
      <c r="GH44" s="71" t="n"/>
      <c r="GI44" s="71" t="n"/>
      <c r="GJ44" s="71" t="n"/>
      <c r="GK44" s="349" t="n"/>
      <c r="GL44" s="71" t="n"/>
      <c r="GM44" s="71" t="n"/>
      <c r="GN44" s="71" t="n"/>
      <c r="GO44" s="71" t="n"/>
      <c r="GP44" s="71" t="n"/>
      <c r="GQ44" s="71" t="n"/>
      <c r="GR44" s="71" t="n"/>
      <c r="GS44" s="71" t="n"/>
      <c r="GT44" s="71" t="n"/>
      <c r="GU44" s="71" t="n"/>
      <c r="GV44" s="71" t="n"/>
      <c r="GW44" s="71" t="n"/>
      <c r="GX44" s="71" t="n"/>
      <c r="GY44" s="71" t="n"/>
      <c r="GZ44" s="71" t="n"/>
      <c r="HA44" s="71" t="n"/>
      <c r="HB44" s="71" t="n"/>
      <c r="HC44" s="71" t="n"/>
      <c r="HD44" s="71" t="n"/>
      <c r="HE44" s="71" t="n"/>
      <c r="HF44" s="71" t="n"/>
      <c r="HG44" s="71" t="n"/>
      <c r="HH44" s="71" t="n"/>
      <c r="HI44" s="71" t="n"/>
      <c r="HJ44" s="71" t="n"/>
      <c r="HK44" s="71" t="n"/>
      <c r="HL44" s="71" t="n"/>
      <c r="HM44" s="71" t="n"/>
      <c r="HN44" s="71" t="n"/>
      <c r="HO44" s="71" t="n"/>
      <c r="HP44" s="71" t="n"/>
      <c r="HQ44" s="71" t="n"/>
      <c r="HR44" s="71" t="n"/>
      <c r="HS44" s="71" t="n"/>
    </row>
    <row r="45">
      <c r="A45" s="406" t="n"/>
      <c r="B45" s="625" t="n"/>
      <c r="C45" s="641" t="n"/>
      <c r="AC45" s="355" t="n"/>
      <c r="AD45" s="355" t="n"/>
      <c r="AH45" s="41" t="n"/>
      <c r="AS45" s="71" t="n"/>
    </row>
    <row r="46">
      <c r="A46" s="182" t="n"/>
      <c r="C46" s="183" t="n"/>
      <c r="D46" s="183" t="n"/>
      <c r="AC46" s="355" t="n"/>
      <c r="AD46" s="355" t="n"/>
      <c r="AS46" s="71" t="n"/>
    </row>
    <row r="47">
      <c r="A47" s="642" t="inlineStr">
        <is>
          <t>FLACONETES</t>
        </is>
      </c>
      <c r="B47" s="625" t="n"/>
      <c r="C47" s="625" t="n"/>
      <c r="D47" s="641" t="n"/>
      <c r="F47" s="643" t="n">
        <v>46013</v>
      </c>
      <c r="G47" s="643" t="n">
        <v>46020</v>
      </c>
      <c r="H47" s="643" t="n">
        <v>46027</v>
      </c>
      <c r="I47" s="643" t="n">
        <v>46034</v>
      </c>
      <c r="J47" s="643" t="n">
        <v>46041</v>
      </c>
      <c r="K47" s="643" t="n">
        <v>46048</v>
      </c>
      <c r="L47" s="643" t="n">
        <v>46055</v>
      </c>
      <c r="M47" s="643" t="n">
        <v>46062</v>
      </c>
      <c r="N47" s="643" t="n">
        <v>46069</v>
      </c>
      <c r="O47" s="643" t="n">
        <v>46076</v>
      </c>
      <c r="P47" s="643" t="n">
        <v>46083</v>
      </c>
      <c r="Q47" s="643" t="n">
        <v>46090</v>
      </c>
      <c r="R47" s="643" t="n">
        <v>46097</v>
      </c>
      <c r="S47" s="643" t="n">
        <v>46104</v>
      </c>
      <c r="T47" s="643" t="n">
        <v>46111</v>
      </c>
      <c r="U47" s="643" t="n">
        <v>46118</v>
      </c>
      <c r="V47" s="643" t="n">
        <v>46125</v>
      </c>
      <c r="W47" s="643" t="n">
        <v>46132</v>
      </c>
      <c r="X47" s="643" t="n">
        <v>46139</v>
      </c>
      <c r="Y47" s="643" t="n">
        <v>46146</v>
      </c>
      <c r="Z47" s="643" t="n">
        <v>46154</v>
      </c>
      <c r="AI47" s="11" t="n"/>
      <c r="AJ47" s="11" t="n"/>
      <c r="AK47" s="11" t="n"/>
      <c r="AL47" s="11" t="n"/>
      <c r="AM47" s="11" t="n"/>
      <c r="AN47" s="11" t="n"/>
      <c r="AO47" s="11" t="n"/>
      <c r="AP47" s="11" t="n"/>
      <c r="AQ47" s="11" t="n"/>
      <c r="AR47" s="11" t="n"/>
      <c r="AT47" s="11" t="n"/>
      <c r="AU47" s="11" t="n"/>
      <c r="AV47" s="11" t="n"/>
    </row>
    <row r="48">
      <c r="A48" s="645" t="inlineStr">
        <is>
          <t>EGEO DOLCE ILUSION</t>
        </is>
      </c>
      <c r="B48" s="625" t="n"/>
      <c r="C48" s="625" t="n"/>
      <c r="D48" s="641" t="n"/>
      <c r="F48" s="366" t="n">
        <v>29</v>
      </c>
      <c r="G48" s="366" t="n">
        <v>28</v>
      </c>
      <c r="H48" s="366" t="n">
        <v>28</v>
      </c>
      <c r="I48" s="366" t="n">
        <v>16</v>
      </c>
      <c r="J48" s="366" t="n">
        <v>14</v>
      </c>
      <c r="K48" s="366" t="n">
        <v>0</v>
      </c>
      <c r="L48" s="366" t="n">
        <v>0</v>
      </c>
      <c r="M48" s="366" t="n">
        <v>0</v>
      </c>
      <c r="N48" s="366" t="n">
        <v>0</v>
      </c>
      <c r="O48" s="366" t="n">
        <v>0</v>
      </c>
      <c r="P48" s="366" t="n">
        <v>0</v>
      </c>
      <c r="Q48" s="366" t="n">
        <v>0</v>
      </c>
      <c r="R48" s="366" t="n">
        <v>0</v>
      </c>
      <c r="S48" s="366" t="n">
        <v>0</v>
      </c>
      <c r="T48" s="366" t="n">
        <v>0</v>
      </c>
      <c r="U48" s="366" t="n">
        <v>0</v>
      </c>
      <c r="V48" s="366" t="n">
        <v>0</v>
      </c>
      <c r="W48" s="366" t="n">
        <v>0</v>
      </c>
      <c r="X48" s="366" t="n">
        <v>0</v>
      </c>
      <c r="Y48" s="366" t="n">
        <v>0</v>
      </c>
      <c r="Z48" s="366" t="n">
        <v>0</v>
      </c>
      <c r="AH48" s="11" t="n"/>
    </row>
    <row r="49">
      <c r="A49" s="645" t="inlineStr">
        <is>
          <t>HADYA</t>
        </is>
      </c>
      <c r="B49" s="625" t="n"/>
      <c r="C49" s="625" t="n"/>
      <c r="D49" s="641" t="n"/>
      <c r="F49" s="366" t="n">
        <v>0</v>
      </c>
      <c r="G49" s="366" t="n">
        <v>0</v>
      </c>
      <c r="H49" s="366" t="n">
        <v>0</v>
      </c>
      <c r="I49" s="366" t="n">
        <v>0</v>
      </c>
      <c r="J49" s="366" t="n">
        <v>0</v>
      </c>
      <c r="K49" s="366" t="n">
        <v>0</v>
      </c>
      <c r="L49" s="366" t="n">
        <v>0</v>
      </c>
      <c r="M49" s="366" t="n">
        <v>0</v>
      </c>
      <c r="N49" s="366" t="n">
        <v>0</v>
      </c>
      <c r="O49" s="366" t="n">
        <v>0</v>
      </c>
      <c r="P49" s="366" t="n">
        <v>0</v>
      </c>
      <c r="Q49" s="366" t="n">
        <v>0</v>
      </c>
      <c r="R49" s="366" t="n">
        <v>0</v>
      </c>
      <c r="S49" s="366" t="n">
        <v>0</v>
      </c>
      <c r="T49" s="366" t="n">
        <v>0</v>
      </c>
      <c r="U49" s="366" t="n">
        <v>0</v>
      </c>
      <c r="V49" s="366" t="n">
        <v>0</v>
      </c>
      <c r="W49" s="366" t="n">
        <v>0</v>
      </c>
      <c r="X49" s="366" t="n">
        <v>0</v>
      </c>
      <c r="Y49" s="366" t="n">
        <v>0</v>
      </c>
      <c r="Z49" s="366" t="n">
        <v>0</v>
      </c>
    </row>
  </sheetData>
  <mergeCells count="12">
    <mergeCell ref="A5:A6"/>
    <mergeCell ref="A42:C42"/>
    <mergeCell ref="AX7:BF7"/>
    <mergeCell ref="B3:D3"/>
    <mergeCell ref="A45:C45"/>
    <mergeCell ref="A48:D48"/>
    <mergeCell ref="C5:C6"/>
    <mergeCell ref="A49:D49"/>
    <mergeCell ref="A47:D47"/>
    <mergeCell ref="B5:B6"/>
    <mergeCell ref="B2:D2"/>
    <mergeCell ref="D5:D6"/>
  </mergeCells>
  <printOptions horizontalCentered="1" verticalCentered="1"/>
  <pageMargins left="0.1574803149606299" right="0.2362204724409449" top="0.7480314960629921" bottom="0.7480314960629921" header="0.3149606299212598" footer="0.3149606299212598"/>
  <pageSetup orientation="landscape" paperSize="9" scale="61" fitToHeight="0" horizontalDpi="300" verticalDpi="300"/>
</worksheet>
</file>

<file path=xl/worksheets/sheet7.xml><?xml version="1.0" encoding="utf-8"?>
<worksheet xmlns="http://schemas.openxmlformats.org/spreadsheetml/2006/main">
  <sheetPr codeName="Planilha42">
    <tabColor theme="9"/>
    <outlinePr summaryBelow="1" summaryRight="1"/>
    <pageSetUpPr/>
  </sheetPr>
  <dimension ref="A1:GU64"/>
  <sheetViews>
    <sheetView showGridLines="0" topLeftCell="A4" zoomScale="80" zoomScaleNormal="80" zoomScaleSheetLayoutView="50" workbookViewId="0">
      <selection activeCell="AF17" sqref="AF17"/>
    </sheetView>
  </sheetViews>
  <sheetFormatPr baseColWidth="8" defaultColWidth="9.140625" defaultRowHeight="18.75"/>
  <cols>
    <col width="28.28515625" customWidth="1" min="1" max="1"/>
    <col width="9" customWidth="1" min="2" max="2"/>
    <col width="15.140625" customWidth="1" min="3" max="3"/>
    <col width="14.42578125" customWidth="1" min="4" max="4"/>
    <col width="2" customWidth="1" min="5" max="5"/>
    <col hidden="1" width="8.28515625" customWidth="1" min="6" max="6"/>
    <col hidden="1" width="13" customWidth="1" min="7" max="7"/>
    <col hidden="1" width="13" customWidth="1" min="8" max="8"/>
    <col hidden="1" width="13" customWidth="1" min="9" max="9"/>
    <col hidden="1" width="13" customWidth="1" min="10" max="10"/>
    <col hidden="1" width="13" customWidth="1" min="11" max="11"/>
    <col hidden="1" width="13" customWidth="1" min="12" max="12"/>
    <col hidden="1" width="13" customWidth="1" min="13" max="13"/>
    <col hidden="1" width="13" customWidth="1" min="14" max="14"/>
    <col hidden="1" width="1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8.28515625" customWidth="1" min="26" max="26"/>
    <col hidden="1" width="13" customWidth="1" min="27" max="27"/>
    <col hidden="1" width="13" customWidth="1" min="28" max="28"/>
    <col width="13" customWidth="1" min="29" max="29"/>
    <col width="13" customWidth="1" min="30" max="30"/>
    <col width="9.28515625" customWidth="1" min="31" max="31"/>
    <col width="1.28515625" customWidth="1" min="32" max="32"/>
    <col width="22.7109375" customWidth="1" min="33" max="33"/>
    <col width="1.28515625" customWidth="1" min="34" max="34"/>
    <col width="15.5703125" customWidth="1" min="35" max="35"/>
    <col width="1.140625" customWidth="1" min="36" max="36"/>
    <col width="8.7109375" customWidth="1" min="37" max="37"/>
    <col width="14.42578125" customWidth="1" min="38" max="38"/>
    <col hidden="1" width="8.7109375" customWidth="1" min="39" max="39"/>
    <col hidden="1" width="14.42578125" customWidth="1" min="40" max="40"/>
    <col hidden="1" width="8.7109375" customWidth="1" min="41" max="41"/>
    <col hidden="1" width="13" customWidth="1" min="42" max="42"/>
    <col hidden="1" width="13" customWidth="1" min="43" max="43"/>
    <col hidden="1" width="8.7109375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12.85546875" customWidth="1" min="50" max="50"/>
    <col hidden="1" width="8.7109375" customWidth="1" min="51" max="51"/>
    <col hidden="1" width="12.85546875" customWidth="1" min="52" max="52"/>
    <col hidden="1" width="8.7109375" customWidth="1" min="53" max="53"/>
    <col hidden="1" width="13" customWidth="1" min="54" max="54"/>
    <col hidden="1" width="13" customWidth="1" min="55" max="55"/>
    <col width="9.140625" customWidth="1" min="56" max="56"/>
    <col width="21.85546875" customWidth="1" min="57" max="57"/>
    <col width="9.140625" customWidth="1" min="58" max="58"/>
    <col hidden="1" width="13" customWidth="1" min="59" max="59"/>
    <col hidden="1" width="13" customWidth="1" min="60" max="60"/>
    <col hidden="1" width="13" customWidth="1" min="61" max="61"/>
    <col hidden="1" width="13" customWidth="1" min="62" max="62"/>
    <col hidden="1" width="13" customWidth="1" min="63" max="63"/>
    <col hidden="1" width="9.140625" customWidth="1" min="64" max="64"/>
    <col hidden="1" width="13" customWidth="1" min="65" max="65"/>
    <col hidden="1" width="13" customWidth="1" min="66" max="66"/>
    <col width="13" customWidth="1" min="67" max="67"/>
    <col width="13" customWidth="1" min="68" max="68"/>
  </cols>
  <sheetData>
    <row r="1" ht="23.25" customHeight="1">
      <c r="A1" s="477" t="inlineStr">
        <is>
          <t>Controle de Contagem Semanal - Antilhas</t>
        </is>
      </c>
      <c r="AF1" s="477" t="n"/>
      <c r="AG1" s="361" t="n"/>
      <c r="AH1" s="361" t="n"/>
      <c r="AI1" s="361" t="n"/>
      <c r="AJ1" s="361" t="n"/>
      <c r="AK1" s="361" t="n"/>
      <c r="AL1" s="361" t="n"/>
      <c r="AM1" s="361" t="n"/>
      <c r="AN1" s="361" t="n"/>
      <c r="AO1" s="361" t="n"/>
      <c r="AP1" s="361" t="n"/>
      <c r="AQ1" s="361" t="n"/>
      <c r="AR1" s="361" t="n"/>
      <c r="AS1" s="361" t="n"/>
      <c r="AT1" s="361" t="n"/>
      <c r="AU1" s="361" t="n"/>
      <c r="AV1" s="361" t="n"/>
      <c r="AW1" s="361" t="n"/>
      <c r="AX1" s="361" t="n"/>
      <c r="AY1" s="361" t="n"/>
      <c r="AZ1" s="361" t="n"/>
      <c r="BA1" s="361" t="n"/>
      <c r="BB1" s="361" t="n"/>
      <c r="BC1" s="361" t="n"/>
    </row>
    <row r="2">
      <c r="A2" s="28" t="inlineStr">
        <is>
          <t>LOJA:</t>
        </is>
      </c>
      <c r="B2" s="604" t="inlineStr">
        <is>
          <t>JARDIM</t>
        </is>
      </c>
      <c r="C2" s="605" t="n"/>
      <c r="D2" s="606" t="n"/>
      <c r="AF2" s="11" t="n"/>
      <c r="AG2" s="11" t="n"/>
    </row>
    <row r="3">
      <c r="A3" s="28" t="inlineStr">
        <is>
          <t>Responsável:</t>
        </is>
      </c>
      <c r="B3" s="607" t="inlineStr">
        <is>
          <t>TAMIRIS</t>
        </is>
      </c>
      <c r="C3" s="605" t="n"/>
      <c r="D3" s="606" t="n"/>
      <c r="E3" s="608" t="n"/>
      <c r="F3" s="608" t="n"/>
      <c r="G3" s="608" t="n"/>
      <c r="H3" s="608" t="n"/>
      <c r="I3" s="608" t="n"/>
      <c r="J3" s="608" t="n"/>
      <c r="K3" s="608" t="n"/>
      <c r="L3" s="608" t="n"/>
      <c r="M3" s="608" t="n"/>
      <c r="N3" s="608" t="n"/>
      <c r="O3" s="608" t="n"/>
      <c r="P3" s="608" t="n"/>
      <c r="Q3" s="608" t="n"/>
      <c r="R3" s="608" t="n"/>
      <c r="S3" s="608" t="n"/>
      <c r="T3" s="608" t="n"/>
      <c r="U3" s="608" t="n"/>
      <c r="V3" s="608" t="n"/>
      <c r="W3" s="608" t="n"/>
      <c r="X3" s="608" t="n"/>
      <c r="Y3" s="608" t="n"/>
      <c r="Z3" s="608" t="n"/>
      <c r="AA3" s="608" t="n"/>
      <c r="AB3" s="609" t="n"/>
      <c r="AC3" s="609" t="n"/>
      <c r="AD3" s="609" t="n"/>
      <c r="AE3" s="608" t="n"/>
      <c r="AF3" s="608" t="n"/>
      <c r="AG3" s="11" t="n"/>
      <c r="AH3" s="608" t="n"/>
    </row>
    <row r="4">
      <c r="AF4" s="74" t="n"/>
      <c r="AJ4" s="158" t="n"/>
      <c r="AK4" s="395" t="n"/>
      <c r="AL4" s="395" t="n"/>
      <c r="AM4" s="395" t="n"/>
      <c r="AN4" s="395" t="n"/>
      <c r="AO4" s="395" t="n"/>
      <c r="AP4" s="395" t="n"/>
      <c r="AQ4" s="395" t="n"/>
      <c r="AR4" s="395" t="n"/>
      <c r="AS4" s="395" t="n"/>
      <c r="AT4" s="395" t="n"/>
      <c r="AU4" s="395" t="n"/>
      <c r="AV4" s="395" t="n"/>
      <c r="AW4" s="395" t="n"/>
      <c r="AX4" s="395" t="n"/>
      <c r="AY4" s="395" t="n"/>
      <c r="AZ4" s="395" t="n"/>
      <c r="BA4" s="395" t="n"/>
      <c r="BB4" s="395" t="n"/>
      <c r="BC4" s="395" t="n"/>
    </row>
    <row r="5" ht="21.75" customHeight="1">
      <c r="A5" s="647" t="inlineStr">
        <is>
          <t>Descrição</t>
        </is>
      </c>
      <c r="B5" s="611" t="inlineStr">
        <is>
          <t>PCT</t>
        </is>
      </c>
      <c r="C5" s="611" t="inlineStr">
        <is>
          <t xml:space="preserve">R$ </t>
        </is>
      </c>
      <c r="D5" s="612" t="inlineStr">
        <is>
          <t>Estoque Ideal</t>
        </is>
      </c>
      <c r="F5" s="40" t="n"/>
      <c r="G5" s="40" t="n"/>
      <c r="H5" s="40" t="n"/>
      <c r="I5" s="40" t="n"/>
      <c r="J5" s="40" t="n"/>
      <c r="K5" s="40" t="n"/>
      <c r="L5" s="40" t="n"/>
      <c r="M5" s="40" t="n"/>
      <c r="N5" s="40" t="n"/>
      <c r="O5" s="40" t="n"/>
      <c r="P5" s="40" t="n"/>
      <c r="Q5" s="40" t="n"/>
      <c r="R5" s="40" t="n"/>
      <c r="S5" s="40" t="n"/>
      <c r="T5" s="40" t="n"/>
      <c r="U5" s="40" t="n"/>
      <c r="V5" s="40" t="n"/>
      <c r="W5" s="40" t="n"/>
      <c r="X5" s="40" t="n"/>
      <c r="Y5" s="40" t="n"/>
      <c r="Z5" s="40" t="n"/>
      <c r="AA5" s="40" t="n"/>
      <c r="AB5" s="40" t="n"/>
      <c r="AC5" s="40" t="n"/>
      <c r="AD5" s="40" t="n"/>
      <c r="AE5" s="40" t="n"/>
      <c r="AF5" s="648" t="n"/>
      <c r="AG5" s="29" t="inlineStr">
        <is>
          <t>Pendências</t>
        </is>
      </c>
      <c r="AI5" s="9" t="inlineStr">
        <is>
          <t>Novo Pedido</t>
        </is>
      </c>
      <c r="AJ5" s="613" t="n">
        <v>46161.48295582204</v>
      </c>
      <c r="AK5" s="614" t="n">
        <v>46156</v>
      </c>
      <c r="AL5" s="615" t="inlineStr">
        <is>
          <t>TRANSF.</t>
        </is>
      </c>
      <c r="AM5" s="614" t="n">
        <v>46142</v>
      </c>
      <c r="AN5" s="615" t="inlineStr">
        <is>
          <t>TRANSF.</t>
        </is>
      </c>
      <c r="AO5" s="614" t="n">
        <v>46114</v>
      </c>
      <c r="AP5" s="616" t="n">
        <v>46065</v>
      </c>
      <c r="AQ5" s="614" t="n">
        <v>46092</v>
      </c>
      <c r="AR5" s="614" t="n">
        <v>46056</v>
      </c>
      <c r="AS5" s="614" t="n">
        <v>46048</v>
      </c>
      <c r="AT5" s="614" t="n">
        <v>46043</v>
      </c>
      <c r="AU5" s="614" t="n">
        <v>46035</v>
      </c>
      <c r="AV5" s="614" t="n">
        <v>46024</v>
      </c>
      <c r="AW5" s="614" t="n">
        <v>46017</v>
      </c>
      <c r="AX5" s="617" t="inlineStr">
        <is>
          <t>TRANSF.</t>
        </is>
      </c>
      <c r="AY5" s="614" t="n">
        <v>46007</v>
      </c>
      <c r="AZ5" s="617" t="inlineStr">
        <is>
          <t>TRANSF.</t>
        </is>
      </c>
      <c r="BA5" s="614" t="n">
        <v>46001</v>
      </c>
      <c r="BB5" s="614" t="n">
        <v>45994</v>
      </c>
      <c r="BC5" s="614" t="n">
        <v>45986</v>
      </c>
    </row>
    <row r="6" customFormat="1" s="3">
      <c r="A6" s="618" t="n"/>
      <c r="B6" s="618" t="n"/>
      <c r="C6" s="618" t="n"/>
      <c r="D6" s="618" t="n"/>
      <c r="E6" s="30" t="n"/>
      <c r="F6" s="619" t="n">
        <v>46013</v>
      </c>
      <c r="G6" s="619" t="n">
        <v>46020</v>
      </c>
      <c r="H6" s="619" t="n">
        <v>46027</v>
      </c>
      <c r="I6" s="619" t="n">
        <v>46034</v>
      </c>
      <c r="J6" s="619" t="n">
        <v>46041</v>
      </c>
      <c r="K6" s="619" t="n">
        <v>46048</v>
      </c>
      <c r="L6" s="619" t="n">
        <v>46055</v>
      </c>
      <c r="M6" s="619" t="n">
        <v>46062</v>
      </c>
      <c r="N6" s="619" t="n">
        <v>46069</v>
      </c>
      <c r="O6" s="619" t="n">
        <v>46076</v>
      </c>
      <c r="P6" s="619" t="n">
        <v>46083</v>
      </c>
      <c r="Q6" s="619" t="n">
        <v>46090</v>
      </c>
      <c r="R6" s="619" t="n">
        <v>46097</v>
      </c>
      <c r="S6" s="619" t="n">
        <v>46104</v>
      </c>
      <c r="T6" s="619" t="n">
        <v>46111</v>
      </c>
      <c r="U6" s="619" t="n">
        <v>46118</v>
      </c>
      <c r="V6" s="619" t="n">
        <v>46125</v>
      </c>
      <c r="W6" s="619" t="n">
        <v>46132</v>
      </c>
      <c r="X6" s="619" t="n">
        <v>46139</v>
      </c>
      <c r="Y6" s="619" t="n">
        <v>46146</v>
      </c>
      <c r="Z6" s="619" t="n">
        <v>46154</v>
      </c>
      <c r="AA6" s="619" t="n">
        <v>46160</v>
      </c>
      <c r="AB6" s="620" t="n">
        <v>46161.48012530093</v>
      </c>
      <c r="AC6" s="620" t="n">
        <v>46161.48079888889</v>
      </c>
      <c r="AD6" s="620" t="n">
        <v>46161.48295664525</v>
      </c>
      <c r="AE6" s="621" t="inlineStr">
        <is>
          <t>USOU</t>
        </is>
      </c>
      <c r="AF6" s="648" t="n"/>
      <c r="AG6" s="622" t="n">
        <v>46156</v>
      </c>
      <c r="AH6" s="623" t="n"/>
      <c r="AI6" s="624" t="n"/>
      <c r="AJ6" s="614" t="n"/>
      <c r="AK6" s="614" t="n"/>
      <c r="AL6" s="615" t="n">
        <v>46148</v>
      </c>
      <c r="AM6" s="614" t="n">
        <v>46153</v>
      </c>
      <c r="AN6" s="615" t="n">
        <v>46146</v>
      </c>
      <c r="AO6" s="614" t="n">
        <v>46125</v>
      </c>
      <c r="AP6" s="616" t="n">
        <v>46112</v>
      </c>
      <c r="AQ6" s="614" t="n">
        <v>46100</v>
      </c>
      <c r="AR6" s="614" t="n">
        <v>46062</v>
      </c>
      <c r="AS6" s="614" t="n">
        <v>46056</v>
      </c>
      <c r="AT6" s="614" t="n">
        <v>46048</v>
      </c>
      <c r="AU6" s="614" t="n">
        <v>46041</v>
      </c>
      <c r="AV6" s="614" t="n">
        <v>46037</v>
      </c>
      <c r="AW6" s="614" t="n">
        <v>46028</v>
      </c>
      <c r="AX6" s="617" t="n">
        <v>46386</v>
      </c>
      <c r="AY6" s="614" t="n">
        <v>46014</v>
      </c>
      <c r="AZ6" s="617" t="n">
        <v>46014</v>
      </c>
      <c r="BA6" s="614" t="n">
        <v>46009</v>
      </c>
      <c r="BB6" s="614" t="n">
        <v>46003</v>
      </c>
      <c r="BC6" s="614" t="n">
        <v>45994</v>
      </c>
      <c r="BE6" s="11" t="n"/>
      <c r="BF6" s="11" t="n"/>
      <c r="BG6" s="11" t="n"/>
      <c r="BH6" s="11" t="n"/>
      <c r="BI6" s="11" t="n"/>
      <c r="BJ6" s="11" t="n"/>
      <c r="BK6" s="11" t="n"/>
      <c r="BL6" s="11" t="n"/>
      <c r="BM6" s="11" t="n"/>
      <c r="BN6" s="11" t="n"/>
      <c r="BO6" s="11" t="n"/>
      <c r="BP6" s="11" t="n"/>
      <c r="BQ6" s="11" t="n"/>
    </row>
    <row r="7" ht="21.75" customFormat="1" customHeight="1" s="3">
      <c r="A7" s="4" t="inlineStr">
        <is>
          <t xml:space="preserve">SACOLAS </t>
        </is>
      </c>
      <c r="B7" s="4" t="n"/>
      <c r="C7" s="5" t="n"/>
      <c r="D7" s="239" t="n"/>
      <c r="E7" s="11" t="n"/>
      <c r="F7" s="12" t="n"/>
      <c r="G7" s="12" t="n"/>
      <c r="H7" s="12" t="n"/>
      <c r="I7" s="12" t="n"/>
      <c r="J7" s="12" t="n"/>
      <c r="K7" s="12" t="n"/>
      <c r="L7" s="12" t="n"/>
      <c r="M7" s="12" t="n"/>
      <c r="N7" s="12" t="n"/>
      <c r="O7" s="12" t="n"/>
      <c r="P7" s="12" t="n"/>
      <c r="Q7" s="12" t="n"/>
      <c r="R7" s="12" t="n"/>
      <c r="S7" s="12" t="n"/>
      <c r="T7" s="12" t="n"/>
      <c r="U7" s="12" t="n"/>
      <c r="V7" s="12" t="n"/>
      <c r="W7" s="12" t="n"/>
      <c r="X7" s="12" t="n"/>
      <c r="Y7" s="12" t="n"/>
      <c r="Z7" s="12" t="n"/>
      <c r="AA7" s="12" t="n"/>
      <c r="AB7" s="12" t="n"/>
      <c r="AC7" s="12" t="n"/>
      <c r="AD7" s="12" t="n"/>
      <c r="AE7" s="12" t="n"/>
      <c r="AF7" s="124" t="n"/>
      <c r="AG7" s="85" t="n"/>
      <c r="AH7" s="11" t="n"/>
      <c r="AI7" s="113" t="n"/>
      <c r="AJ7" s="12" t="n"/>
      <c r="AK7" s="12" t="n"/>
      <c r="AL7" s="12" t="n"/>
      <c r="AM7" s="12" t="n"/>
      <c r="AN7" s="12" t="n"/>
      <c r="AO7" s="12" t="n"/>
      <c r="AP7" s="12" t="inlineStr">
        <is>
          <t>MÃES</t>
        </is>
      </c>
      <c r="AQ7" s="12" t="n"/>
      <c r="AR7" s="12" t="n"/>
      <c r="AS7" s="12" t="n"/>
      <c r="AT7" s="12" t="n"/>
      <c r="AU7" s="12" t="n"/>
      <c r="AV7" s="12" t="n"/>
      <c r="AW7" s="12" t="n"/>
      <c r="AX7" s="12" t="n"/>
      <c r="AY7" s="12" t="n"/>
      <c r="AZ7" s="12" t="n"/>
      <c r="BA7" s="12" t="n"/>
      <c r="BB7" s="12" t="n"/>
      <c r="BC7" s="12" t="n"/>
      <c r="BD7" s="625" t="n"/>
      <c r="BE7" s="625" t="n"/>
      <c r="BF7" s="625" t="n"/>
      <c r="BG7" s="625" t="n"/>
      <c r="BH7" s="625" t="n"/>
      <c r="BI7" s="625" t="n"/>
      <c r="BJ7" s="625" t="n"/>
      <c r="BK7" s="641" t="n"/>
      <c r="BL7" s="652" t="n"/>
      <c r="BM7" s="625" t="n"/>
      <c r="BN7" s="626" t="n"/>
      <c r="BO7" s="626" t="n"/>
      <c r="BP7" s="626" t="n"/>
      <c r="BQ7" s="476" t="n"/>
    </row>
    <row r="8" ht="19.5" customFormat="1" customHeight="1" s="3">
      <c r="A8" s="21" t="inlineStr">
        <is>
          <t>SACOLA PP VERDE</t>
        </is>
      </c>
      <c r="B8" s="6" t="n">
        <v>300</v>
      </c>
      <c r="C8" s="627" t="n">
        <v>187.12</v>
      </c>
      <c r="D8" s="240" t="n">
        <v>250</v>
      </c>
      <c r="E8" s="11" t="n"/>
      <c r="F8" s="39" t="n">
        <v>430</v>
      </c>
      <c r="G8" s="39" t="n">
        <v>717</v>
      </c>
      <c r="H8" s="39">
        <f>570+AT8</f>
        <v/>
      </c>
      <c r="I8" s="39" t="n">
        <v>817</v>
      </c>
      <c r="J8" s="39" t="n">
        <v>800</v>
      </c>
      <c r="K8" s="39" t="n">
        <v>720</v>
      </c>
      <c r="L8" s="39" t="n">
        <v>720</v>
      </c>
      <c r="M8" s="39" t="n">
        <v>670</v>
      </c>
      <c r="N8" s="39" t="n">
        <v>600</v>
      </c>
      <c r="O8" s="39" t="n">
        <v>600</v>
      </c>
      <c r="P8" s="39" t="n">
        <v>550</v>
      </c>
      <c r="Q8" s="39" t="n">
        <v>500</v>
      </c>
      <c r="R8" s="39" t="n">
        <v>450</v>
      </c>
      <c r="S8" s="39" t="n">
        <v>420</v>
      </c>
      <c r="T8" s="39" t="n">
        <v>340</v>
      </c>
      <c r="U8" s="39" t="n">
        <v>300</v>
      </c>
      <c r="V8" s="39" t="n">
        <v>270</v>
      </c>
      <c r="W8" s="39" t="n">
        <v>270</v>
      </c>
      <c r="X8" s="39" t="n">
        <v>210</v>
      </c>
      <c r="Y8" s="39">
        <f>190+AJ8300</f>
        <v/>
      </c>
      <c r="Z8" s="39" t="n">
        <v>280</v>
      </c>
      <c r="AA8" s="39" t="n"/>
      <c r="AB8" s="6" t="n"/>
      <c r="AC8" s="6" t="n"/>
      <c r="AD8" s="6" t="n"/>
      <c r="AE8" s="380">
        <f>AC8+IF(NOT(ISBLANK(OFFSET(AE8,0,6))),N(OFFSET(AE8,0,6)),N(OFFSET(AE8,0,7)))-AD8</f>
        <v/>
      </c>
      <c r="AF8" s="363" t="n"/>
      <c r="AG8" s="78" t="n"/>
      <c r="AH8" s="11" t="n"/>
      <c r="AI8" s="32" t="n"/>
      <c r="AJ8" s="628" t="n">
        <v>0</v>
      </c>
      <c r="AK8" s="19" t="n">
        <v>0</v>
      </c>
      <c r="AL8" s="260" t="inlineStr">
        <is>
          <t>300 DE JC</t>
        </is>
      </c>
      <c r="AM8" s="19" t="n">
        <v>300</v>
      </c>
      <c r="AN8" s="304" t="n"/>
      <c r="AO8" s="19" t="n"/>
      <c r="AP8" s="19" t="n"/>
      <c r="AQ8" s="19" t="n"/>
      <c r="AR8" s="19" t="n"/>
      <c r="AS8" s="19" t="n"/>
      <c r="AT8" s="19" t="n"/>
      <c r="AU8" s="19" t="n"/>
      <c r="AV8" s="19" t="n"/>
      <c r="AW8" s="19" t="n">
        <v>300</v>
      </c>
      <c r="AX8" s="19" t="n"/>
      <c r="AY8" s="19" t="n"/>
      <c r="AZ8" s="19" t="n"/>
      <c r="BA8" s="19" t="n">
        <v>300</v>
      </c>
      <c r="BB8" s="19" t="n">
        <v>300</v>
      </c>
      <c r="BC8" s="19" t="n"/>
      <c r="BE8" s="397" t="inlineStr">
        <is>
          <t xml:space="preserve">SACOLAS </t>
        </is>
      </c>
      <c r="BF8" s="384" t="inlineStr">
        <is>
          <t>PCT</t>
        </is>
      </c>
      <c r="BG8" s="619" t="n">
        <v>46118</v>
      </c>
      <c r="BH8" s="619" t="n">
        <v>46125</v>
      </c>
      <c r="BI8" s="619" t="n">
        <v>46132</v>
      </c>
      <c r="BJ8" s="619" t="n">
        <v>46139</v>
      </c>
      <c r="BK8" s="619" t="n">
        <v>46146</v>
      </c>
      <c r="BL8" s="619" t="n">
        <v>46154</v>
      </c>
      <c r="BM8" s="619" t="n">
        <v>46160</v>
      </c>
      <c r="BN8" s="620" t="n">
        <v>46161.48012479167</v>
      </c>
      <c r="BO8" s="620" t="n">
        <v>46161.48079835648</v>
      </c>
      <c r="BP8" s="620" t="n">
        <v>46161.48295619065</v>
      </c>
      <c r="BQ8" s="621" t="inlineStr">
        <is>
          <t>USOU</t>
        </is>
      </c>
    </row>
    <row r="9" ht="19.5" customFormat="1" customHeight="1" s="3">
      <c r="A9" s="21" t="inlineStr">
        <is>
          <t xml:space="preserve">SACOLA P VERDE </t>
        </is>
      </c>
      <c r="B9" s="6" t="n">
        <v>200</v>
      </c>
      <c r="C9" s="627" t="n">
        <v>193.08</v>
      </c>
      <c r="D9" s="240" t="n">
        <v>500</v>
      </c>
      <c r="E9" s="11" t="n"/>
      <c r="F9" s="39">
        <f>160+AV9+200</f>
        <v/>
      </c>
      <c r="G9" s="39">
        <f>0+200</f>
        <v/>
      </c>
      <c r="H9" s="39">
        <f>110+AT9</f>
        <v/>
      </c>
      <c r="I9" s="39" t="n">
        <v>740</v>
      </c>
      <c r="J9" s="39">
        <f>560+AR9</f>
        <v/>
      </c>
      <c r="K9" s="39" t="n">
        <v>780</v>
      </c>
      <c r="L9" s="39">
        <f>740+AP9</f>
        <v/>
      </c>
      <c r="M9" s="39" t="n">
        <v>1120</v>
      </c>
      <c r="N9" s="39" t="n">
        <v>800</v>
      </c>
      <c r="O9" s="39" t="n">
        <v>740</v>
      </c>
      <c r="P9" s="39" t="n">
        <v>600</v>
      </c>
      <c r="Q9" s="39" t="n">
        <v>420</v>
      </c>
      <c r="R9" s="39">
        <f>300+AN9</f>
        <v/>
      </c>
      <c r="S9" s="39" t="n">
        <v>600</v>
      </c>
      <c r="T9" s="39" t="n">
        <v>460</v>
      </c>
      <c r="U9" s="39" t="n">
        <v>340</v>
      </c>
      <c r="V9" s="39" t="n">
        <v>340</v>
      </c>
      <c r="W9" s="39" t="n">
        <v>340</v>
      </c>
      <c r="X9" s="39" t="n">
        <v>340</v>
      </c>
      <c r="Y9" s="39">
        <f>340+AJ9</f>
        <v/>
      </c>
      <c r="Z9" s="39" t="n">
        <v>460</v>
      </c>
      <c r="AA9" s="39" t="n"/>
      <c r="AB9" s="6" t="n"/>
      <c r="AC9" s="6" t="n"/>
      <c r="AD9" s="6" t="n"/>
      <c r="AE9" s="380">
        <f>AC9+IF(NOT(ISBLANK(OFFSET(AE9,0,6))),N(OFFSET(AE9,0,6)),N(OFFSET(AE9,0,7)))-AD9</f>
        <v/>
      </c>
      <c r="AF9" s="111" t="n"/>
      <c r="AG9" s="78" t="n"/>
      <c r="AH9" s="11" t="n"/>
      <c r="AI9" s="32" t="n"/>
      <c r="AJ9" s="629" t="n">
        <v>0</v>
      </c>
      <c r="AK9" s="304" t="n">
        <v>0</v>
      </c>
      <c r="AL9" s="304" t="n"/>
      <c r="AM9" s="304" t="n">
        <v>400</v>
      </c>
      <c r="AN9" s="304" t="n"/>
      <c r="AO9" s="19" t="n">
        <v>200</v>
      </c>
      <c r="AP9" s="119" t="n">
        <v>1000</v>
      </c>
      <c r="AQ9" s="19" t="n">
        <v>400</v>
      </c>
      <c r="AR9" s="19" t="n"/>
      <c r="AS9" s="19" t="n">
        <v>400</v>
      </c>
      <c r="AT9" s="19" t="n"/>
      <c r="AU9" s="19" t="n">
        <v>400</v>
      </c>
      <c r="AV9" s="19" t="n"/>
      <c r="AW9" s="19" t="n">
        <v>800</v>
      </c>
      <c r="AX9" s="260" t="inlineStr">
        <is>
          <t>200 DE JC</t>
        </is>
      </c>
      <c r="AY9" s="19" t="n">
        <v>400</v>
      </c>
      <c r="AZ9" s="260" t="inlineStr">
        <is>
          <t>200 DE CD</t>
        </is>
      </c>
      <c r="BA9" s="19" t="n">
        <v>200</v>
      </c>
      <c r="BB9" s="19" t="n"/>
      <c r="BC9" s="19" t="n">
        <v>200</v>
      </c>
      <c r="BE9" s="372" t="inlineStr">
        <is>
          <t xml:space="preserve">SACOLA P </t>
        </is>
      </c>
      <c r="BF9" s="139" t="n">
        <v>200</v>
      </c>
      <c r="BG9" s="39">
        <f>AM9</f>
        <v/>
      </c>
      <c r="BH9" s="39" t="n">
        <v>880</v>
      </c>
      <c r="BI9" s="39" t="n">
        <v>800</v>
      </c>
      <c r="BJ9" s="39" t="n">
        <v>620</v>
      </c>
      <c r="BK9" s="39" t="n">
        <v>535</v>
      </c>
      <c r="BL9" s="39" t="n">
        <v>160</v>
      </c>
      <c r="BM9" s="39" t="n"/>
      <c r="BN9" s="6" t="n"/>
      <c r="BO9" s="6" t="n"/>
      <c r="BP9" s="6" t="n"/>
      <c r="BQ9" s="26">
        <f>BO9+IF(NOT(ISBLANK(OFFSET(BQ9,0,6))),N(OFFSET(BQ9,0,6)),N(OFFSET(BQ9,0,7)))-BP9</f>
        <v/>
      </c>
    </row>
    <row r="10" ht="19.5" customFormat="1" customHeight="1" s="3">
      <c r="A10" s="21" t="inlineStr">
        <is>
          <t>SACOLA M VERDE</t>
        </is>
      </c>
      <c r="B10" s="6" t="n">
        <v>200</v>
      </c>
      <c r="C10" s="627" t="n">
        <v>253.83</v>
      </c>
      <c r="D10" s="240" t="n">
        <v>350</v>
      </c>
      <c r="E10" s="11" t="n"/>
      <c r="F10" s="39">
        <f>200+AV10</f>
        <v/>
      </c>
      <c r="G10" s="39" t="n">
        <v>297</v>
      </c>
      <c r="H10" s="39">
        <f>260+AT10</f>
        <v/>
      </c>
      <c r="I10" s="39" t="n">
        <v>580</v>
      </c>
      <c r="J10" s="39" t="n">
        <v>530</v>
      </c>
      <c r="K10" s="39" t="n">
        <v>460</v>
      </c>
      <c r="L10" s="39" t="n">
        <v>380</v>
      </c>
      <c r="M10" s="39" t="n">
        <v>500</v>
      </c>
      <c r="N10" s="39" t="n">
        <v>400</v>
      </c>
      <c r="O10" s="39" t="n">
        <v>340</v>
      </c>
      <c r="P10" s="39" t="n">
        <v>260</v>
      </c>
      <c r="Q10" s="39" t="n">
        <v>200</v>
      </c>
      <c r="R10" s="39">
        <f>100+AN10</f>
        <v/>
      </c>
      <c r="S10" s="39" t="n">
        <v>240</v>
      </c>
      <c r="T10" s="39" t="n">
        <v>180</v>
      </c>
      <c r="U10" s="39" t="n">
        <v>100</v>
      </c>
      <c r="V10" s="39" t="n">
        <v>148</v>
      </c>
      <c r="W10" s="39" t="n">
        <v>148</v>
      </c>
      <c r="X10" s="39" t="n">
        <v>148</v>
      </c>
      <c r="Y10" s="39">
        <f>148+AJ10</f>
        <v/>
      </c>
      <c r="Z10" s="39" t="n">
        <v>260</v>
      </c>
      <c r="AA10" s="39" t="n"/>
      <c r="AB10" s="6" t="n"/>
      <c r="AC10" s="6" t="n"/>
      <c r="AD10" s="6" t="n"/>
      <c r="AE10" s="380">
        <f>AC10+IF(NOT(ISBLANK(OFFSET(AE10,0,6))),N(OFFSET(AE10,0,6)),N(OFFSET(AE10,0,7)))-AD10</f>
        <v/>
      </c>
      <c r="AF10" s="111" t="n"/>
      <c r="AG10" s="78" t="n">
        <v>200</v>
      </c>
      <c r="AH10" s="11" t="n"/>
      <c r="AI10" s="32" t="n"/>
      <c r="AJ10" s="629" t="n">
        <v>0</v>
      </c>
      <c r="AK10" s="304" t="n">
        <v>0</v>
      </c>
      <c r="AL10" s="304" t="n"/>
      <c r="AM10" s="304" t="n">
        <v>200</v>
      </c>
      <c r="AN10" s="304" t="n"/>
      <c r="AO10" s="19" t="n">
        <v>200</v>
      </c>
      <c r="AP10" s="119" t="n">
        <v>600</v>
      </c>
      <c r="AQ10" s="19" t="n">
        <v>200</v>
      </c>
      <c r="AR10" s="19" t="n">
        <v>200</v>
      </c>
      <c r="AS10" s="19" t="n"/>
      <c r="AT10" s="19" t="n"/>
      <c r="AU10" s="19" t="n"/>
      <c r="AV10" s="19" t="n"/>
      <c r="AW10" s="19" t="n">
        <v>400</v>
      </c>
      <c r="AX10" s="19" t="n"/>
      <c r="AY10" s="19" t="n">
        <v>400</v>
      </c>
      <c r="AZ10" s="19" t="n"/>
      <c r="BA10" s="19" t="n"/>
      <c r="BB10" s="19" t="n"/>
      <c r="BC10" s="19" t="n"/>
      <c r="BE10" s="21" t="inlineStr">
        <is>
          <t xml:space="preserve">SACOLA M </t>
        </is>
      </c>
      <c r="BF10" s="6" t="n">
        <v>200</v>
      </c>
      <c r="BG10" s="39">
        <f>AM10</f>
        <v/>
      </c>
      <c r="BH10" s="39" t="n">
        <v>460</v>
      </c>
      <c r="BI10" s="39" t="n">
        <v>400</v>
      </c>
      <c r="BJ10" s="39" t="n">
        <v>320</v>
      </c>
      <c r="BK10" s="39" t="n">
        <v>260</v>
      </c>
      <c r="BL10" s="39" t="n">
        <v>0</v>
      </c>
      <c r="BM10" s="39" t="n"/>
      <c r="BN10" s="6" t="n"/>
      <c r="BO10" s="6" t="n"/>
      <c r="BP10" s="6" t="n"/>
      <c r="BQ10" s="26">
        <f>BO10+IF(NOT(ISBLANK(OFFSET(BQ10,0,6))),N(OFFSET(BQ10,0,6)),N(OFFSET(BQ10,0,7)))-BP10</f>
        <v/>
      </c>
    </row>
    <row r="11" ht="19.5" customFormat="1" customHeight="1" s="3">
      <c r="A11" s="22" t="inlineStr">
        <is>
          <t xml:space="preserve">SACOLA G VERDE </t>
        </is>
      </c>
      <c r="B11" s="6" t="n">
        <v>100</v>
      </c>
      <c r="C11" s="627" t="n">
        <v>184.57</v>
      </c>
      <c r="D11" s="240" t="n">
        <v>50</v>
      </c>
      <c r="E11" s="11" t="n"/>
      <c r="F11" s="39">
        <f>0+100</f>
        <v/>
      </c>
      <c r="G11" s="39" t="n">
        <v>24</v>
      </c>
      <c r="H11" s="39">
        <f>24+AT11</f>
        <v/>
      </c>
      <c r="I11" s="39" t="n">
        <v>79</v>
      </c>
      <c r="J11" s="39" t="n">
        <v>55</v>
      </c>
      <c r="K11" s="39" t="n">
        <v>35</v>
      </c>
      <c r="L11" s="39" t="n">
        <v>15</v>
      </c>
      <c r="M11" s="39" t="n">
        <v>115</v>
      </c>
      <c r="N11" s="39" t="n">
        <v>115</v>
      </c>
      <c r="O11" s="39" t="n">
        <v>100</v>
      </c>
      <c r="P11" s="39" t="n">
        <v>60</v>
      </c>
      <c r="Q11" s="39" t="n">
        <v>60</v>
      </c>
      <c r="R11" s="39" t="n">
        <v>60</v>
      </c>
      <c r="S11" s="39" t="n">
        <v>60</v>
      </c>
      <c r="T11" s="39" t="n">
        <v>60</v>
      </c>
      <c r="U11" s="39" t="n">
        <v>40</v>
      </c>
      <c r="V11" s="39" t="n">
        <v>87</v>
      </c>
      <c r="W11" s="39" t="n">
        <v>60</v>
      </c>
      <c r="X11" s="39" t="n">
        <v>60</v>
      </c>
      <c r="Y11" s="39">
        <f>60+AJ11</f>
        <v/>
      </c>
      <c r="Z11" s="39" t="n">
        <v>0</v>
      </c>
      <c r="AA11" s="39" t="n"/>
      <c r="AB11" s="6" t="n"/>
      <c r="AC11" s="6" t="n"/>
      <c r="AD11" s="6" t="n"/>
      <c r="AE11" s="380">
        <f>AC11+IF(NOT(ISBLANK(OFFSET(AE11,0,6))),N(OFFSET(AE11,0,6)),N(OFFSET(AE11,0,7)))-AD11</f>
        <v/>
      </c>
      <c r="AF11" s="111" t="n"/>
      <c r="AG11" s="419" t="inlineStr">
        <is>
          <t>100 DE IT</t>
        </is>
      </c>
      <c r="AH11" s="11" t="n"/>
      <c r="AI11" s="32" t="n"/>
      <c r="AJ11" s="629" t="n">
        <v>0</v>
      </c>
      <c r="AK11" s="304" t="n">
        <v>0</v>
      </c>
      <c r="AL11" s="304" t="n"/>
      <c r="AM11" s="304" t="n">
        <v>100</v>
      </c>
      <c r="AN11" s="304" t="n"/>
      <c r="AO11" s="19" t="n"/>
      <c r="AP11" s="119" t="n">
        <v>100</v>
      </c>
      <c r="AQ11" s="19" t="n"/>
      <c r="AR11" s="19" t="n">
        <v>100</v>
      </c>
      <c r="AS11" s="19" t="n"/>
      <c r="AT11" s="19" t="n"/>
      <c r="AU11" s="19" t="n"/>
      <c r="AV11" s="19" t="n"/>
      <c r="AW11" s="19" t="n">
        <v>100</v>
      </c>
      <c r="AX11" s="19" t="n"/>
      <c r="AY11" s="19" t="n"/>
      <c r="AZ11" s="260" t="inlineStr">
        <is>
          <t>100 DE CD</t>
        </is>
      </c>
      <c r="BA11" s="19" t="n">
        <v>100</v>
      </c>
      <c r="BB11" s="19" t="n"/>
      <c r="BC11" s="19" t="n"/>
      <c r="BE11" s="22" t="inlineStr">
        <is>
          <t xml:space="preserve">SACOLA G </t>
        </is>
      </c>
      <c r="BF11" s="6" t="n">
        <v>100</v>
      </c>
      <c r="BG11" s="39">
        <f>AM11</f>
        <v/>
      </c>
      <c r="BH11" s="39" t="n">
        <v>0</v>
      </c>
      <c r="BI11" s="39" t="n">
        <v>0</v>
      </c>
      <c r="BJ11" s="39" t="n">
        <v>0</v>
      </c>
      <c r="BK11" s="39" t="n">
        <v>0</v>
      </c>
      <c r="BL11" s="39" t="n">
        <v>0</v>
      </c>
      <c r="BM11" s="39" t="n"/>
      <c r="BN11" s="6" t="n"/>
      <c r="BO11" s="6" t="n"/>
      <c r="BP11" s="6" t="n"/>
      <c r="BQ11" s="26">
        <f>BO11+IF(NOT(ISBLANK(OFFSET(BQ11,0,6))),N(OFFSET(BQ11,0,6)),N(OFFSET(BQ11,0,7)))-BP11</f>
        <v/>
      </c>
    </row>
    <row r="12" ht="16.5" customFormat="1" customHeight="1" s="3">
      <c r="A12" s="1" t="n"/>
      <c r="B12" s="1" t="n"/>
      <c r="C12" s="630" t="n"/>
      <c r="D12" s="277" t="n"/>
      <c r="E12" s="11" t="n"/>
      <c r="F12" s="2" t="n"/>
      <c r="G12" s="2" t="n"/>
      <c r="H12" s="2" t="n"/>
      <c r="I12" s="2" t="n"/>
      <c r="J12" s="2" t="n"/>
      <c r="K12" s="2" t="n"/>
      <c r="L12" s="2" t="n"/>
      <c r="M12" s="2" t="n"/>
      <c r="N12" s="2" t="n"/>
      <c r="O12" s="2" t="n"/>
      <c r="P12" s="2" t="n"/>
      <c r="Q12" s="2" t="n"/>
      <c r="R12" s="2" t="n"/>
      <c r="S12" s="2" t="n"/>
      <c r="T12" s="2" t="n"/>
      <c r="U12" s="2" t="n"/>
      <c r="V12" s="2" t="n"/>
      <c r="W12" s="2" t="n"/>
      <c r="X12" s="2" t="n"/>
      <c r="Y12" s="2" t="n"/>
      <c r="Z12" s="2" t="n"/>
      <c r="AA12" s="2" t="n"/>
      <c r="AB12" s="1" t="n"/>
      <c r="AC12" s="1" t="n"/>
      <c r="AD12" s="1" t="n"/>
      <c r="AE12" s="2" t="n"/>
      <c r="AG12" s="350" t="n"/>
      <c r="AH12" s="11" t="n"/>
      <c r="AI12" s="33" t="n"/>
      <c r="AJ12" s="396" t="n"/>
      <c r="AK12" s="75" t="n"/>
      <c r="AL12" s="75" t="n"/>
      <c r="AM12" s="75" t="n"/>
      <c r="AN12" s="75" t="n"/>
      <c r="AO12" s="75" t="n"/>
      <c r="AP12" s="75" t="n"/>
      <c r="AQ12" s="75" t="n"/>
      <c r="AR12" s="75" t="n"/>
      <c r="AS12" s="75" t="n"/>
      <c r="AT12" s="75" t="n"/>
      <c r="AU12" s="75" t="n"/>
      <c r="AV12" s="75" t="n"/>
      <c r="AW12" s="75" t="n"/>
      <c r="AX12" s="75" t="n"/>
      <c r="AY12" s="75" t="n"/>
      <c r="AZ12" s="75" t="n"/>
      <c r="BA12" s="75" t="n"/>
      <c r="BB12" s="75" t="n"/>
      <c r="BC12" s="75" t="n"/>
      <c r="BE12" s="23" t="n"/>
      <c r="BF12" s="1" t="n"/>
      <c r="BG12" s="2" t="n"/>
      <c r="BH12" s="2" t="n"/>
      <c r="BI12" s="2" t="n"/>
      <c r="BJ12" s="2" t="n"/>
      <c r="BK12" s="2" t="n"/>
      <c r="BL12" s="2" t="n"/>
      <c r="BM12" s="2" t="n"/>
      <c r="BN12" s="1" t="n"/>
      <c r="BO12" s="1" t="n"/>
      <c r="BP12" s="1" t="n"/>
    </row>
    <row r="13" customFormat="1" s="3">
      <c r="A13" s="12" t="inlineStr">
        <is>
          <t>DIVERSOS</t>
        </is>
      </c>
      <c r="B13" s="12" t="n"/>
      <c r="C13" s="631" t="n"/>
      <c r="D13" s="403" t="n"/>
      <c r="E13" s="608" t="n"/>
      <c r="F13" s="619" t="n">
        <v>46013</v>
      </c>
      <c r="G13" s="619" t="n">
        <v>46020</v>
      </c>
      <c r="H13" s="619" t="n">
        <v>46027</v>
      </c>
      <c r="I13" s="619" t="n">
        <v>46034</v>
      </c>
      <c r="J13" s="619" t="n">
        <v>46041</v>
      </c>
      <c r="K13" s="619" t="n">
        <v>46048</v>
      </c>
      <c r="L13" s="619" t="n">
        <v>46055</v>
      </c>
      <c r="M13" s="619" t="n">
        <v>46062</v>
      </c>
      <c r="N13" s="619" t="n">
        <v>46069</v>
      </c>
      <c r="O13" s="619" t="n">
        <v>46076</v>
      </c>
      <c r="P13" s="619" t="n">
        <v>46083</v>
      </c>
      <c r="Q13" s="619" t="n">
        <v>46090</v>
      </c>
      <c r="R13" s="619" t="n">
        <v>46097</v>
      </c>
      <c r="S13" s="619" t="n">
        <v>46104</v>
      </c>
      <c r="T13" s="619" t="n">
        <v>46111</v>
      </c>
      <c r="U13" s="619" t="n">
        <v>46118</v>
      </c>
      <c r="V13" s="619" t="n">
        <v>46125</v>
      </c>
      <c r="W13" s="619" t="n">
        <v>46132</v>
      </c>
      <c r="X13" s="619" t="n">
        <v>46139</v>
      </c>
      <c r="Y13" s="619" t="n">
        <v>46146</v>
      </c>
      <c r="Z13" s="619" t="n">
        <v>46154</v>
      </c>
      <c r="AA13" s="619" t="n">
        <v>46160</v>
      </c>
      <c r="AB13" s="620" t="n">
        <v>46161.48012530093</v>
      </c>
      <c r="AC13" s="620" t="n">
        <v>46161.48079888889</v>
      </c>
      <c r="AD13" s="620" t="n">
        <v>46161.48295664554</v>
      </c>
      <c r="AE13" s="621" t="inlineStr">
        <is>
          <t>USOU</t>
        </is>
      </c>
      <c r="AG13" s="29" t="inlineStr">
        <is>
          <t>Pendências</t>
        </is>
      </c>
      <c r="AH13" s="11" t="n"/>
      <c r="AI13" s="9" t="inlineStr">
        <is>
          <t>Novo Pedido</t>
        </is>
      </c>
      <c r="AJ13" s="649" t="n">
        <v>46161.48295582253</v>
      </c>
      <c r="AK13" s="614" t="n">
        <v>46156</v>
      </c>
      <c r="AL13" s="615" t="n">
        <v>46148</v>
      </c>
      <c r="AM13" s="614" t="n">
        <v>46142</v>
      </c>
      <c r="AN13" s="615" t="n">
        <v>46146</v>
      </c>
      <c r="AO13" s="614" t="n">
        <v>46114</v>
      </c>
      <c r="AP13" s="616" t="n">
        <v>46065</v>
      </c>
      <c r="AQ13" s="614" t="n">
        <v>46092</v>
      </c>
      <c r="AR13" s="614" t="n">
        <v>46056</v>
      </c>
      <c r="AS13" s="614" t="n">
        <v>46048</v>
      </c>
      <c r="AT13" s="614" t="n">
        <v>46043</v>
      </c>
      <c r="AU13" s="614" t="n">
        <v>46035</v>
      </c>
      <c r="AV13" s="614" t="n">
        <v>46024</v>
      </c>
      <c r="AW13" s="614" t="n">
        <v>46017</v>
      </c>
      <c r="AX13" s="617" t="n">
        <v>46386</v>
      </c>
      <c r="AY13" s="614" t="n">
        <v>46007</v>
      </c>
      <c r="AZ13" s="617" t="n">
        <v>46014</v>
      </c>
      <c r="BA13" s="614" t="n">
        <v>46001</v>
      </c>
      <c r="BB13" s="614" t="n">
        <v>45994</v>
      </c>
      <c r="BC13" s="614" t="n">
        <v>45986</v>
      </c>
      <c r="BE13" s="397" t="inlineStr">
        <is>
          <t>DIVERSOS</t>
        </is>
      </c>
      <c r="BF13" s="384" t="inlineStr">
        <is>
          <t>PCT</t>
        </is>
      </c>
      <c r="BG13" s="619" t="n">
        <v>46118</v>
      </c>
      <c r="BH13" s="619" t="n">
        <v>46125</v>
      </c>
      <c r="BI13" s="619" t="n">
        <v>46132</v>
      </c>
      <c r="BJ13" s="619" t="n">
        <v>46139</v>
      </c>
      <c r="BK13" s="619" t="n">
        <v>46146</v>
      </c>
      <c r="BL13" s="619" t="n">
        <v>46154</v>
      </c>
      <c r="BM13" s="619" t="n">
        <v>46160</v>
      </c>
      <c r="BN13" s="620" t="n">
        <v>46161.48012479167</v>
      </c>
      <c r="BO13" s="620" t="n">
        <v>46161.48079835648</v>
      </c>
      <c r="BP13" s="620" t="n">
        <v>46161.48295619093</v>
      </c>
      <c r="BQ13" s="621" t="inlineStr">
        <is>
          <t>USOU</t>
        </is>
      </c>
    </row>
    <row r="14" customFormat="1" s="3">
      <c r="A14" s="25" t="inlineStr">
        <is>
          <t>PAPEL DE SEDA 2025</t>
        </is>
      </c>
      <c r="B14" s="6" t="n">
        <v>200</v>
      </c>
      <c r="C14" s="632" t="n">
        <v>38</v>
      </c>
      <c r="D14" s="240" t="n">
        <v>6</v>
      </c>
      <c r="E14" s="608" t="n"/>
      <c r="F14" s="39" t="n">
        <v>0</v>
      </c>
      <c r="G14" s="39" t="n">
        <v>5</v>
      </c>
      <c r="H14" s="39" t="n">
        <v>4</v>
      </c>
      <c r="I14" s="39" t="n">
        <v>3</v>
      </c>
      <c r="J14" s="39">
        <f>5+AR14</f>
        <v/>
      </c>
      <c r="K14" s="39" t="n">
        <v>8</v>
      </c>
      <c r="L14" s="39" t="n">
        <v>6</v>
      </c>
      <c r="M14" s="39" t="n">
        <v>7</v>
      </c>
      <c r="N14" s="39" t="n">
        <v>6</v>
      </c>
      <c r="O14" s="39" t="n">
        <v>6</v>
      </c>
      <c r="P14" s="39" t="n">
        <v>4</v>
      </c>
      <c r="Q14" s="39" t="n">
        <v>3</v>
      </c>
      <c r="R14" s="39">
        <f>3+AN14</f>
        <v/>
      </c>
      <c r="S14" s="39" t="n">
        <v>4</v>
      </c>
      <c r="T14" s="39" t="n">
        <v>4</v>
      </c>
      <c r="U14" s="39" t="n">
        <v>3</v>
      </c>
      <c r="V14" s="39" t="n">
        <v>3</v>
      </c>
      <c r="W14" s="39" t="n">
        <v>3</v>
      </c>
      <c r="X14" s="39" t="n">
        <v>3</v>
      </c>
      <c r="Y14" s="39">
        <f>3+AJ14</f>
        <v/>
      </c>
      <c r="Z14" s="39" t="n">
        <v>3</v>
      </c>
      <c r="AA14" s="39" t="n"/>
      <c r="AB14" s="6" t="n"/>
      <c r="AC14" s="6" t="n"/>
      <c r="AD14" s="6" t="n"/>
      <c r="AE14" s="380">
        <f>AC14+IF(NOT(ISBLANK(OFFSET(AE14,0,6))),N(OFFSET(AE14,0,6)),N(OFFSET(AE14,0,7)))-AD14</f>
        <v/>
      </c>
      <c r="AG14" s="78" t="n">
        <v>3</v>
      </c>
      <c r="AH14" s="608" t="n"/>
      <c r="AI14" s="32" t="n"/>
      <c r="AJ14" s="650" t="n">
        <v>0</v>
      </c>
      <c r="AK14" s="304" t="n">
        <v>0</v>
      </c>
      <c r="AL14" s="304" t="n"/>
      <c r="AM14" s="304" t="n">
        <v>5</v>
      </c>
      <c r="AN14" s="304" t="n"/>
      <c r="AO14" s="19" t="n"/>
      <c r="AP14" s="119" t="n">
        <v>8</v>
      </c>
      <c r="AQ14" s="19" t="n">
        <v>2</v>
      </c>
      <c r="AR14" s="19" t="n">
        <v>3</v>
      </c>
      <c r="AS14" s="19" t="n"/>
      <c r="AT14" s="19" t="n"/>
      <c r="AU14" s="19" t="n">
        <v>3</v>
      </c>
      <c r="AV14" s="19" t="n"/>
      <c r="AW14" s="19" t="n"/>
      <c r="AX14" s="19" t="n"/>
      <c r="AY14" s="19" t="n"/>
      <c r="AZ14" s="19" t="n"/>
      <c r="BA14" s="19" t="n"/>
      <c r="BB14" s="19" t="n"/>
      <c r="BC14" s="19" t="n"/>
      <c r="BE14" s="372" t="inlineStr">
        <is>
          <t>PAPEL DE SEDA</t>
        </is>
      </c>
      <c r="BF14" s="139" t="n">
        <v>200</v>
      </c>
      <c r="BG14" s="39">
        <f>AM14</f>
        <v/>
      </c>
      <c r="BH14" s="39" t="n">
        <v>7</v>
      </c>
      <c r="BI14" s="39" t="n">
        <v>6</v>
      </c>
      <c r="BJ14" s="39" t="n">
        <v>6</v>
      </c>
      <c r="BK14" s="39" t="n">
        <v>5</v>
      </c>
      <c r="BL14" s="39" t="n">
        <v>0</v>
      </c>
      <c r="BM14" s="39" t="n"/>
      <c r="BN14" s="6" t="n"/>
      <c r="BO14" s="6" t="n"/>
      <c r="BP14" s="6" t="n"/>
      <c r="BQ14" s="26">
        <f>BO14+IF(NOT(ISBLANK(OFFSET(BQ14,0,6))),N(OFFSET(BQ14,0,6)),N(OFFSET(BQ14,0,7)))-BP14</f>
        <v/>
      </c>
    </row>
    <row r="15" customFormat="1" s="3">
      <c r="A15" s="25" t="inlineStr">
        <is>
          <t>ADESIVOS 2025</t>
        </is>
      </c>
      <c r="B15" s="6" t="n">
        <v>200</v>
      </c>
      <c r="C15" s="632" t="n">
        <v>18</v>
      </c>
      <c r="D15" s="240" t="n">
        <v>10</v>
      </c>
      <c r="E15" s="608" t="n"/>
      <c r="F15" s="39" t="n">
        <v>5</v>
      </c>
      <c r="G15" s="39" t="n">
        <v>5</v>
      </c>
      <c r="H15" s="39" t="n">
        <v>4</v>
      </c>
      <c r="I15" s="39" t="n">
        <v>5</v>
      </c>
      <c r="J15" s="39" t="n">
        <v>5</v>
      </c>
      <c r="K15" s="39" t="n">
        <v>5</v>
      </c>
      <c r="L15" s="39" t="n">
        <v>5</v>
      </c>
      <c r="M15" s="39" t="n">
        <v>5</v>
      </c>
      <c r="N15" s="39" t="n">
        <v>6</v>
      </c>
      <c r="O15" s="39" t="n">
        <v>6</v>
      </c>
      <c r="P15" s="39" t="n">
        <v>6</v>
      </c>
      <c r="Q15" s="39" t="n">
        <v>5</v>
      </c>
      <c r="R15" s="39" t="n">
        <v>5</v>
      </c>
      <c r="S15" s="39" t="n">
        <v>5</v>
      </c>
      <c r="T15" s="39" t="n">
        <v>4</v>
      </c>
      <c r="U15" s="39" t="n">
        <v>3</v>
      </c>
      <c r="V15" s="39" t="n">
        <v>4</v>
      </c>
      <c r="W15" s="39" t="n">
        <v>4</v>
      </c>
      <c r="X15" s="39" t="n">
        <v>4</v>
      </c>
      <c r="Y15" s="39" t="n">
        <v>4</v>
      </c>
      <c r="Z15" s="39" t="n">
        <v>3</v>
      </c>
      <c r="AA15" s="39" t="n"/>
      <c r="AB15" s="6" t="n"/>
      <c r="AC15" s="6" t="n"/>
      <c r="AD15" s="6" t="n"/>
      <c r="AE15" s="380">
        <f>AC15+IF(NOT(ISBLANK(OFFSET(AE15,0,6))),N(OFFSET(AE15,0,6)),N(OFFSET(AE15,0,7)))-AD15</f>
        <v/>
      </c>
      <c r="AG15" s="78" t="n"/>
      <c r="AH15" s="608" t="n"/>
      <c r="AI15" s="32" t="n"/>
      <c r="AJ15" s="650" t="n">
        <v>0</v>
      </c>
      <c r="AK15" s="304" t="n">
        <v>0</v>
      </c>
      <c r="AL15" s="304" t="n"/>
      <c r="AM15" s="304" t="n">
        <v>0</v>
      </c>
      <c r="AN15" s="304" t="n"/>
      <c r="AO15" s="19" t="n"/>
      <c r="AP15" s="119" t="n">
        <v>3</v>
      </c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>
        <v>4</v>
      </c>
      <c r="BE15" s="21" t="inlineStr">
        <is>
          <t>ADESIVOS</t>
        </is>
      </c>
      <c r="BF15" s="6" t="n">
        <v>200</v>
      </c>
      <c r="BG15" s="39">
        <f>AM15</f>
        <v/>
      </c>
      <c r="BH15" s="39" t="n">
        <v>2</v>
      </c>
      <c r="BI15" s="39" t="n">
        <v>2</v>
      </c>
      <c r="BJ15" s="39" t="n">
        <v>2</v>
      </c>
      <c r="BK15" s="39" t="n">
        <v>2</v>
      </c>
      <c r="BL15" s="39" t="n">
        <v>0</v>
      </c>
      <c r="BM15" s="39" t="n"/>
      <c r="BN15" s="6" t="n"/>
      <c r="BO15" s="6" t="n"/>
      <c r="BP15" s="6" t="n"/>
      <c r="BQ15" s="26">
        <f>BO15+IF(NOT(ISBLANK(OFFSET(BQ15,0,6))),N(OFFSET(BQ15,0,6)),N(OFFSET(BQ15,0,7)))-BP15</f>
        <v/>
      </c>
    </row>
    <row r="16" customFormat="1" s="3">
      <c r="A16" s="25" t="inlineStr">
        <is>
          <t xml:space="preserve">TAGS </t>
        </is>
      </c>
      <c r="B16" s="6" t="n">
        <v>200</v>
      </c>
      <c r="C16" s="632" t="n">
        <v>10.28</v>
      </c>
      <c r="D16" s="240" t="n">
        <v>4</v>
      </c>
      <c r="E16" s="1" t="n"/>
      <c r="F16" s="39" t="n">
        <v>5</v>
      </c>
      <c r="G16" s="39" t="n">
        <v>5</v>
      </c>
      <c r="H16" s="39">
        <f>5+AT16</f>
        <v/>
      </c>
      <c r="I16" s="39" t="n">
        <v>8</v>
      </c>
      <c r="J16" s="39" t="n">
        <v>7</v>
      </c>
      <c r="K16" s="39" t="n">
        <v>7</v>
      </c>
      <c r="L16" s="39" t="n">
        <v>7</v>
      </c>
      <c r="M16" s="39" t="n">
        <v>6</v>
      </c>
      <c r="N16" s="39" t="n">
        <v>5</v>
      </c>
      <c r="O16" s="39" t="n">
        <v>5</v>
      </c>
      <c r="P16" s="39" t="n">
        <v>5</v>
      </c>
      <c r="Q16" s="39" t="n">
        <v>4</v>
      </c>
      <c r="R16" s="39" t="n">
        <v>4</v>
      </c>
      <c r="S16" s="39" t="n">
        <v>3</v>
      </c>
      <c r="T16" s="39" t="n">
        <v>3</v>
      </c>
      <c r="U16" s="39" t="n">
        <v>3</v>
      </c>
      <c r="V16" s="39" t="n">
        <v>2</v>
      </c>
      <c r="W16" s="39" t="n">
        <v>1</v>
      </c>
      <c r="X16" s="39" t="n">
        <v>0</v>
      </c>
      <c r="Y16" s="39">
        <f>0+AJ16</f>
        <v/>
      </c>
      <c r="Z16" s="39" t="n">
        <v>0</v>
      </c>
      <c r="AA16" s="39" t="n"/>
      <c r="AB16" s="6" t="n"/>
      <c r="AC16" s="6" t="n"/>
      <c r="AD16" s="6" t="n"/>
      <c r="AE16" s="380">
        <f>AC16+IF(NOT(ISBLANK(OFFSET(AE16,0,6))),N(OFFSET(AE16,0,6)),N(OFFSET(AE16,0,7)))-AD16</f>
        <v/>
      </c>
      <c r="AG16" s="78" t="inlineStr">
        <is>
          <t>02 DE JSH</t>
        </is>
      </c>
      <c r="AH16" s="1" t="n"/>
      <c r="AI16" s="32" t="n"/>
      <c r="AJ16" s="628" t="n">
        <v>0</v>
      </c>
      <c r="AK16" s="19" t="n">
        <v>0</v>
      </c>
      <c r="AL16" s="19" t="n"/>
      <c r="AM16" s="19" t="n">
        <v>4</v>
      </c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>
        <v>3</v>
      </c>
      <c r="AX16" s="19" t="n"/>
      <c r="AY16" s="19" t="n"/>
      <c r="AZ16" s="19" t="n"/>
      <c r="BA16" s="19" t="n">
        <v>2</v>
      </c>
      <c r="BB16" s="19" t="n"/>
      <c r="BC16" s="19" t="n">
        <v>4</v>
      </c>
    </row>
    <row r="17" customFormat="1" s="3">
      <c r="A17" s="25" t="inlineStr">
        <is>
          <t>LÂMINA OLFATIVA</t>
        </is>
      </c>
      <c r="B17" s="6" t="n">
        <v>3000</v>
      </c>
      <c r="C17" s="632" t="n">
        <v>71.8</v>
      </c>
      <c r="D17" s="240" t="n">
        <v>2</v>
      </c>
      <c r="E17" s="1" t="n"/>
      <c r="F17" s="39">
        <f>0+AV17</f>
        <v/>
      </c>
      <c r="G17" s="39" t="n">
        <v>7</v>
      </c>
      <c r="H17" s="39">
        <f>6+AT17</f>
        <v/>
      </c>
      <c r="I17" s="39" t="n">
        <v>8</v>
      </c>
      <c r="J17" s="39" t="n">
        <v>8</v>
      </c>
      <c r="K17" s="39" t="n">
        <v>8</v>
      </c>
      <c r="L17" s="39" t="n">
        <v>8</v>
      </c>
      <c r="M17" s="39" t="n">
        <v>8</v>
      </c>
      <c r="N17" s="39" t="n">
        <v>7</v>
      </c>
      <c r="O17" s="39" t="n">
        <v>7</v>
      </c>
      <c r="P17" s="39" t="n">
        <v>7</v>
      </c>
      <c r="Q17" s="39" t="n">
        <v>7</v>
      </c>
      <c r="R17" s="39" t="n">
        <v>7</v>
      </c>
      <c r="S17" s="39" t="n">
        <v>6</v>
      </c>
      <c r="T17" s="39" t="n">
        <v>6</v>
      </c>
      <c r="U17" s="39" t="n">
        <v>4</v>
      </c>
      <c r="V17" s="39" t="n">
        <v>3</v>
      </c>
      <c r="W17" s="39" t="n">
        <v>3</v>
      </c>
      <c r="X17" s="39" t="n">
        <v>3</v>
      </c>
      <c r="Y17" s="39">
        <f>2-1</f>
        <v/>
      </c>
      <c r="Z17" s="39" t="n">
        <v>1</v>
      </c>
      <c r="AA17" s="39" t="n"/>
      <c r="AB17" s="6" t="n"/>
      <c r="AC17" s="6" t="n"/>
      <c r="AD17" s="6" t="n"/>
      <c r="AE17" s="380">
        <f>AC17+IF(NOT(ISBLANK(OFFSET(AE17,0,6))),N(OFFSET(AE17,0,6)),N(OFFSET(AE17,0,7)))-AD17</f>
        <v/>
      </c>
      <c r="AG17" s="419" t="inlineStr">
        <is>
          <t>01 DE IT</t>
        </is>
      </c>
      <c r="AH17" s="1" t="n"/>
      <c r="AI17" s="401" t="n"/>
      <c r="AJ17" s="628" t="n">
        <v>0</v>
      </c>
      <c r="AK17" s="19" t="n">
        <v>0</v>
      </c>
      <c r="AL17" s="19" t="n"/>
      <c r="AM17" s="19" t="n">
        <v>0</v>
      </c>
      <c r="AN17" s="260" t="inlineStr">
        <is>
          <t>01 P/ JC</t>
        </is>
      </c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>
        <v>2</v>
      </c>
      <c r="AX17" s="19" t="n"/>
      <c r="AY17" s="19" t="n">
        <v>5</v>
      </c>
      <c r="AZ17" s="19" t="n"/>
      <c r="BA17" s="19" t="n">
        <v>1</v>
      </c>
      <c r="BB17" s="19" t="n">
        <v>2</v>
      </c>
      <c r="BC17" s="19" t="n"/>
    </row>
    <row r="18" ht="14.25" customFormat="1" customHeight="1" s="3">
      <c r="A18" s="23" t="n"/>
      <c r="C18" s="633" t="n"/>
      <c r="D18" s="277" t="n"/>
      <c r="F18" s="398" t="n"/>
      <c r="G18" s="398" t="n"/>
      <c r="H18" s="398" t="n"/>
      <c r="I18" s="398" t="n"/>
      <c r="J18" s="398" t="n"/>
      <c r="K18" s="398" t="n"/>
      <c r="L18" s="398" t="n"/>
      <c r="M18" s="398" t="n"/>
      <c r="N18" s="398" t="n"/>
      <c r="O18" s="398" t="n"/>
      <c r="P18" s="398" t="n"/>
      <c r="Q18" s="398" t="n"/>
      <c r="R18" s="398" t="n"/>
      <c r="S18" s="398" t="n"/>
      <c r="T18" s="398" t="n"/>
      <c r="U18" s="398" t="n"/>
      <c r="V18" s="398" t="n"/>
      <c r="W18" s="398" t="n"/>
      <c r="X18" s="398" t="n"/>
      <c r="Y18" s="398" t="n"/>
      <c r="Z18" s="398" t="n"/>
      <c r="AA18" s="398" t="n"/>
      <c r="AB18" s="398" t="n"/>
      <c r="AC18" s="398" t="n"/>
      <c r="AD18" s="398" t="n"/>
      <c r="AE18" s="398" t="n"/>
      <c r="AG18" s="398" t="n"/>
      <c r="AI18" s="352" t="n"/>
      <c r="AJ18" s="396" t="n"/>
      <c r="AK18" s="396" t="n"/>
      <c r="AL18" s="396" t="n"/>
      <c r="AM18" s="396" t="n"/>
      <c r="AN18" s="396" t="n"/>
      <c r="AO18" s="396" t="n"/>
      <c r="AP18" s="396" t="n"/>
      <c r="AQ18" s="396" t="n"/>
      <c r="AR18" s="396" t="n"/>
      <c r="AS18" s="396" t="n"/>
      <c r="AT18" s="396" t="n"/>
      <c r="AU18" s="396" t="n"/>
      <c r="AV18" s="396" t="n"/>
      <c r="AW18" s="396" t="n"/>
      <c r="AX18" s="396" t="n"/>
      <c r="AY18" s="396" t="n"/>
      <c r="AZ18" s="396" t="n"/>
      <c r="BA18" s="396" t="n"/>
      <c r="BB18" s="396" t="n"/>
      <c r="BC18" s="396" t="n"/>
    </row>
    <row r="19" customFormat="1" s="3">
      <c r="A19" s="548" t="inlineStr">
        <is>
          <t>CAIXAS</t>
        </is>
      </c>
      <c r="B19" s="12" t="inlineStr">
        <is>
          <t>PC</t>
        </is>
      </c>
      <c r="C19" s="631" t="inlineStr">
        <is>
          <t>R$</t>
        </is>
      </c>
      <c r="D19" s="403" t="n"/>
      <c r="E19" s="1" t="n"/>
      <c r="F19" s="619" t="n">
        <v>46013</v>
      </c>
      <c r="G19" s="619" t="n">
        <v>46020</v>
      </c>
      <c r="H19" s="619" t="n">
        <v>46027</v>
      </c>
      <c r="I19" s="619" t="n">
        <v>46034</v>
      </c>
      <c r="J19" s="619" t="n">
        <v>46041</v>
      </c>
      <c r="K19" s="619" t="n">
        <v>46048</v>
      </c>
      <c r="L19" s="619" t="n">
        <v>46055</v>
      </c>
      <c r="M19" s="619" t="n">
        <v>46062</v>
      </c>
      <c r="N19" s="619" t="n">
        <v>46069</v>
      </c>
      <c r="O19" s="619" t="n">
        <v>46076</v>
      </c>
      <c r="P19" s="619" t="n">
        <v>46083</v>
      </c>
      <c r="Q19" s="619" t="n">
        <v>46090</v>
      </c>
      <c r="R19" s="619" t="n">
        <v>46097</v>
      </c>
      <c r="S19" s="619" t="n">
        <v>46104</v>
      </c>
      <c r="T19" s="619" t="n">
        <v>46111</v>
      </c>
      <c r="U19" s="619" t="n">
        <v>46118</v>
      </c>
      <c r="V19" s="619" t="n">
        <v>46125</v>
      </c>
      <c r="W19" s="619" t="n">
        <v>46132</v>
      </c>
      <c r="X19" s="619" t="n">
        <v>46139</v>
      </c>
      <c r="Y19" s="619" t="n">
        <v>46146</v>
      </c>
      <c r="Z19" s="619" t="n">
        <v>46154</v>
      </c>
      <c r="AA19" s="619" t="n">
        <v>46160</v>
      </c>
      <c r="AB19" s="620" t="n">
        <v>46161.48012530093</v>
      </c>
      <c r="AC19" s="620" t="n">
        <v>46161.48079888889</v>
      </c>
      <c r="AD19" s="620" t="n">
        <v>46161.48295664568</v>
      </c>
      <c r="AE19" s="621" t="inlineStr">
        <is>
          <t>USOU</t>
        </is>
      </c>
      <c r="AG19" s="29" t="inlineStr">
        <is>
          <t>Pendências</t>
        </is>
      </c>
      <c r="AH19" s="11" t="n"/>
      <c r="AI19" s="9" t="inlineStr">
        <is>
          <t>Novo Pedido</t>
        </is>
      </c>
      <c r="AJ19" s="613" t="n">
        <v>46161.48295582282</v>
      </c>
      <c r="AK19" s="614" t="n">
        <v>46156</v>
      </c>
      <c r="AL19" s="615" t="n">
        <v>46148</v>
      </c>
      <c r="AM19" s="614" t="n">
        <v>46142</v>
      </c>
      <c r="AN19" s="615" t="n">
        <v>46146</v>
      </c>
      <c r="AO19" s="614" t="n">
        <v>46114</v>
      </c>
      <c r="AP19" s="616" t="n">
        <v>46065</v>
      </c>
      <c r="AQ19" s="614" t="n">
        <v>46092</v>
      </c>
      <c r="AR19" s="614" t="n">
        <v>46056</v>
      </c>
      <c r="AS19" s="614" t="n">
        <v>46048</v>
      </c>
      <c r="AT19" s="614" t="n">
        <v>46043</v>
      </c>
      <c r="AU19" s="614" t="n">
        <v>46035</v>
      </c>
      <c r="AV19" s="614" t="n">
        <v>46024</v>
      </c>
      <c r="AW19" s="614" t="n">
        <v>46017</v>
      </c>
      <c r="AX19" s="617" t="n">
        <v>46386</v>
      </c>
      <c r="AY19" s="614" t="n">
        <v>46007</v>
      </c>
      <c r="AZ19" s="617" t="n">
        <v>46014</v>
      </c>
      <c r="BA19" s="614" t="n">
        <v>46001</v>
      </c>
      <c r="BB19" s="614" t="n">
        <v>45994</v>
      </c>
      <c r="BC19" s="614" t="n">
        <v>45986</v>
      </c>
      <c r="BE19" s="397" t="inlineStr">
        <is>
          <t>CAIXAS</t>
        </is>
      </c>
      <c r="BF19" s="384" t="inlineStr">
        <is>
          <t>PCT</t>
        </is>
      </c>
      <c r="BG19" s="619" t="n">
        <v>46118</v>
      </c>
      <c r="BH19" s="619" t="n">
        <v>46125</v>
      </c>
      <c r="BI19" s="619" t="n">
        <v>46132</v>
      </c>
      <c r="BJ19" s="619" t="n">
        <v>46139</v>
      </c>
      <c r="BK19" s="619" t="n">
        <v>46146</v>
      </c>
      <c r="BL19" s="619" t="n">
        <v>46154</v>
      </c>
      <c r="BM19" s="619" t="n">
        <v>46160</v>
      </c>
      <c r="BN19" s="620" t="n">
        <v>46161.48012479167</v>
      </c>
      <c r="BO19" s="620" t="n">
        <v>46161.48079835648</v>
      </c>
      <c r="BP19" s="620" t="n">
        <v>46161.48295619105</v>
      </c>
      <c r="BQ19" s="621" t="inlineStr">
        <is>
          <t>USOU</t>
        </is>
      </c>
    </row>
    <row r="20" customFormat="1" s="3">
      <c r="A20" s="25" t="inlineStr">
        <is>
          <t>CAIXA P VERDE</t>
        </is>
      </c>
      <c r="B20" s="6" t="n">
        <v>150</v>
      </c>
      <c r="C20" s="627" t="n">
        <v>334.31</v>
      </c>
      <c r="D20" s="240" t="n">
        <v>150</v>
      </c>
      <c r="E20" s="1" t="n"/>
      <c r="F20" s="27" t="n">
        <v>37</v>
      </c>
      <c r="G20" s="27" t="n">
        <v>0</v>
      </c>
      <c r="H20" s="27" t="n">
        <v>0</v>
      </c>
      <c r="I20" s="27" t="n">
        <v>0</v>
      </c>
      <c r="J20" s="27" t="n">
        <v>150</v>
      </c>
      <c r="K20" s="27" t="n">
        <v>144</v>
      </c>
      <c r="L20" s="27">
        <f>138+AP20</f>
        <v/>
      </c>
      <c r="M20" s="27" t="n">
        <v>276</v>
      </c>
      <c r="N20" s="27" t="n">
        <v>274</v>
      </c>
      <c r="O20" s="27" t="n">
        <v>263</v>
      </c>
      <c r="P20" s="27" t="n">
        <v>258</v>
      </c>
      <c r="Q20" s="27" t="n">
        <v>252</v>
      </c>
      <c r="R20" s="27" t="n">
        <v>239</v>
      </c>
      <c r="S20" s="27" t="n">
        <v>235</v>
      </c>
      <c r="T20" s="27" t="n">
        <v>227</v>
      </c>
      <c r="U20" s="27" t="n"/>
      <c r="V20" s="27" t="n"/>
      <c r="W20" s="27" t="n"/>
      <c r="X20" s="27" t="n">
        <v>227</v>
      </c>
      <c r="Y20" s="27" t="n">
        <v>225</v>
      </c>
      <c r="Z20" s="27" t="n">
        <v>217</v>
      </c>
      <c r="AA20" s="27" t="n">
        <v>208</v>
      </c>
      <c r="AB20" s="651" t="n">
        <v>208</v>
      </c>
      <c r="AC20" s="651" t="n">
        <v>208</v>
      </c>
      <c r="AD20" s="651" t="n">
        <v>208</v>
      </c>
      <c r="AE20" s="380">
        <f>AC20+IF(NOT(ISBLANK(OFFSET(AE20,0,6))),N(OFFSET(AE20,0,6)),N(OFFSET(AE20,0,7)))-AD20</f>
        <v/>
      </c>
      <c r="AF20" s="370" t="n"/>
      <c r="AG20" s="78" t="n"/>
      <c r="AH20" s="1" t="n"/>
      <c r="AI20" s="32" t="n"/>
      <c r="AJ20" s="628" t="n">
        <v>0</v>
      </c>
      <c r="AK20" s="19" t="n">
        <v>0</v>
      </c>
      <c r="AL20" s="19" t="n"/>
      <c r="AM20" s="19" t="n">
        <v>0</v>
      </c>
      <c r="AN20" s="19" t="n"/>
      <c r="AO20" s="19" t="n"/>
      <c r="AP20" s="19" t="n"/>
      <c r="AQ20" s="19" t="n"/>
      <c r="AR20" s="19" t="n"/>
      <c r="AS20" s="19" t="n">
        <v>150</v>
      </c>
      <c r="AT20" s="19" t="n"/>
      <c r="AU20" s="19" t="n"/>
      <c r="AV20" s="19" t="n">
        <v>150</v>
      </c>
      <c r="AW20" s="19" t="n"/>
      <c r="AX20" s="19" t="n"/>
      <c r="AY20" s="19" t="n"/>
      <c r="AZ20" s="19" t="n"/>
      <c r="BA20" s="19" t="n"/>
      <c r="BB20" s="19" t="n"/>
      <c r="BC20" s="19" t="n"/>
      <c r="BE20" s="372" t="inlineStr">
        <is>
          <t>CAIXA P</t>
        </is>
      </c>
      <c r="BF20" s="139" t="n">
        <v>150</v>
      </c>
      <c r="BG20" s="39" t="n">
        <v>0</v>
      </c>
      <c r="BH20" s="39" t="n">
        <v>0</v>
      </c>
      <c r="BI20" s="39" t="n">
        <v>0</v>
      </c>
      <c r="BJ20" s="39" t="n">
        <v>0</v>
      </c>
      <c r="BK20" s="39" t="n">
        <v>0</v>
      </c>
      <c r="BL20" s="39" t="n">
        <v>0</v>
      </c>
      <c r="BM20" s="39" t="n">
        <v>0</v>
      </c>
      <c r="BN20" s="6" t="n"/>
      <c r="BO20" s="6" t="n"/>
      <c r="BP20" s="6" t="n"/>
      <c r="BQ20" s="26">
        <f>BO20+IF(NOT(ISBLANK(OFFSET(BQ20,0,6))),N(OFFSET(BQ20,0,6)),N(OFFSET(BQ20,0,7)))-BP20</f>
        <v/>
      </c>
    </row>
    <row r="21" customFormat="1" s="3">
      <c r="A21" s="25" t="inlineStr">
        <is>
          <t>CAIXA M VERDE</t>
        </is>
      </c>
      <c r="B21" s="6" t="n">
        <v>100</v>
      </c>
      <c r="C21" s="634" t="n">
        <v>292.25</v>
      </c>
      <c r="D21" s="243" t="n">
        <v>150</v>
      </c>
      <c r="E21" s="1" t="n"/>
      <c r="F21" s="39" t="n">
        <v>169</v>
      </c>
      <c r="G21" s="39" t="n">
        <v>134</v>
      </c>
      <c r="H21" s="39" t="n">
        <v>129</v>
      </c>
      <c r="I21" s="39" t="n">
        <v>109</v>
      </c>
      <c r="J21" s="39" t="n">
        <v>98</v>
      </c>
      <c r="K21" s="39" t="n">
        <v>175</v>
      </c>
      <c r="L21" s="39">
        <f>169+AP21</f>
        <v/>
      </c>
      <c r="M21" s="39" t="n">
        <v>263</v>
      </c>
      <c r="N21" s="39" t="n">
        <v>250</v>
      </c>
      <c r="O21" s="39" t="n">
        <v>240</v>
      </c>
      <c r="P21" s="39" t="n">
        <v>231</v>
      </c>
      <c r="Q21" s="39" t="n">
        <v>211</v>
      </c>
      <c r="R21" s="39" t="n">
        <v>196</v>
      </c>
      <c r="S21" s="39" t="n">
        <v>187</v>
      </c>
      <c r="T21" s="39" t="n">
        <v>173</v>
      </c>
      <c r="U21" s="39" t="n"/>
      <c r="V21" s="39" t="n"/>
      <c r="W21" s="39" t="n"/>
      <c r="X21" s="39" t="n">
        <v>263</v>
      </c>
      <c r="Y21" s="39" t="n">
        <v>263</v>
      </c>
      <c r="Z21" s="39" t="n">
        <v>255</v>
      </c>
      <c r="AA21" s="39" t="n">
        <v>253</v>
      </c>
      <c r="AB21" s="6" t="n">
        <v>253</v>
      </c>
      <c r="AC21" s="6" t="n">
        <v>253</v>
      </c>
      <c r="AD21" s="6" t="n">
        <v>253</v>
      </c>
      <c r="AE21" s="380">
        <f>AC21+IF(NOT(ISBLANK(OFFSET(AE21,0,6))),N(OFFSET(AE21,0,6)),N(OFFSET(AE21,0,7)))-AD21</f>
        <v/>
      </c>
      <c r="AF21" s="370" t="n"/>
      <c r="AG21" s="78" t="n"/>
      <c r="AH21" s="1" t="n"/>
      <c r="AI21" s="32" t="n"/>
      <c r="AJ21" s="628" t="n">
        <v>0</v>
      </c>
      <c r="AK21" s="19" t="n">
        <v>0</v>
      </c>
      <c r="AL21" s="19" t="n"/>
      <c r="AM21" s="19" t="n">
        <v>0</v>
      </c>
      <c r="AN21" s="19" t="n"/>
      <c r="AO21" s="19" t="n">
        <v>100</v>
      </c>
      <c r="AP21" s="119" t="n"/>
      <c r="AQ21" s="19" t="n"/>
      <c r="AR21" s="19" t="n"/>
      <c r="AS21" s="19" t="n">
        <v>100</v>
      </c>
      <c r="AT21" s="19" t="n">
        <v>100</v>
      </c>
      <c r="AU21" s="19" t="n"/>
      <c r="AV21" s="19" t="n"/>
      <c r="AW21" s="19" t="n"/>
      <c r="AX21" s="119" t="n"/>
      <c r="AY21" s="19" t="n"/>
      <c r="AZ21" s="119" t="n"/>
      <c r="BA21" s="19" t="n"/>
      <c r="BB21" s="19" t="n"/>
      <c r="BC21" s="19" t="n"/>
      <c r="BE21" s="21" t="inlineStr">
        <is>
          <t>CAIXA M</t>
        </is>
      </c>
      <c r="BF21" s="6" t="n">
        <v>100</v>
      </c>
      <c r="BG21" s="39" t="n">
        <v>0</v>
      </c>
      <c r="BH21" s="39" t="n"/>
      <c r="BI21" s="39" t="n"/>
      <c r="BJ21" s="39" t="n">
        <v>48</v>
      </c>
      <c r="BK21" s="39" t="n">
        <v>45</v>
      </c>
      <c r="BL21" s="39" t="n">
        <v>10</v>
      </c>
      <c r="BM21" s="39" t="n">
        <v>8</v>
      </c>
      <c r="BN21" s="6" t="n"/>
      <c r="BO21" s="6" t="n"/>
      <c r="BP21" s="6" t="n"/>
      <c r="BQ21" s="26">
        <f>BO21+IF(NOT(ISBLANK(OFFSET(BQ21,0,6))),N(OFFSET(BQ21,0,6)),N(OFFSET(BQ21,0,7)))-BP21</f>
        <v/>
      </c>
    </row>
    <row r="22" customFormat="1" s="3">
      <c r="A22" s="25" t="inlineStr">
        <is>
          <t>CAIXA G VERDE</t>
        </is>
      </c>
      <c r="B22" s="6" t="n">
        <v>75</v>
      </c>
      <c r="C22" s="632" t="n">
        <v>425.38</v>
      </c>
      <c r="D22" s="240" t="n">
        <v>25</v>
      </c>
      <c r="E22" s="608" t="n"/>
      <c r="F22" s="39" t="n">
        <v>18</v>
      </c>
      <c r="G22" s="39" t="n">
        <v>17</v>
      </c>
      <c r="H22" s="39" t="n">
        <v>17</v>
      </c>
      <c r="I22" s="39" t="n">
        <v>17</v>
      </c>
      <c r="J22" s="39" t="n">
        <v>17</v>
      </c>
      <c r="K22" s="39" t="n">
        <v>17</v>
      </c>
      <c r="L22" s="39" t="n">
        <v>16</v>
      </c>
      <c r="M22" s="39" t="n">
        <v>15</v>
      </c>
      <c r="N22" s="39" t="n">
        <v>15</v>
      </c>
      <c r="O22" s="39" t="n">
        <v>15</v>
      </c>
      <c r="P22" s="39" t="n">
        <v>15</v>
      </c>
      <c r="Q22" s="39" t="n">
        <v>15</v>
      </c>
      <c r="R22" s="39" t="n">
        <v>15</v>
      </c>
      <c r="S22" s="39" t="n">
        <v>15</v>
      </c>
      <c r="T22" s="39" t="n">
        <v>15</v>
      </c>
      <c r="U22" s="39" t="n">
        <v>15</v>
      </c>
      <c r="V22" s="39" t="n">
        <v>15</v>
      </c>
      <c r="W22" s="39" t="n">
        <v>15</v>
      </c>
      <c r="X22" s="39" t="n">
        <v>15</v>
      </c>
      <c r="Y22" s="39" t="n">
        <v>15</v>
      </c>
      <c r="Z22" s="39" t="n">
        <v>13</v>
      </c>
      <c r="AA22" s="39" t="n">
        <v>13</v>
      </c>
      <c r="AB22" s="6" t="n">
        <v>13</v>
      </c>
      <c r="AC22" s="6" t="n">
        <v>13</v>
      </c>
      <c r="AD22" s="6" t="n">
        <v>13</v>
      </c>
      <c r="AE22" s="380">
        <f>AC22+IF(NOT(ISBLANK(OFFSET(AE22,0,6))),N(OFFSET(AE22,0,6)),N(OFFSET(AE22,0,7)))-AD22</f>
        <v/>
      </c>
      <c r="AF22" s="370" t="n"/>
      <c r="AG22" s="78" t="n"/>
      <c r="AH22" s="608" t="n"/>
      <c r="AI22" s="400" t="n"/>
      <c r="AJ22" s="114" t="n">
        <v>0</v>
      </c>
      <c r="AK22" s="19" t="n">
        <v>0</v>
      </c>
      <c r="AL22" s="19" t="n"/>
      <c r="AM22" s="19" t="n">
        <v>0</v>
      </c>
      <c r="AN22" s="19" t="n"/>
      <c r="AO22" s="19" t="n"/>
      <c r="AP22" s="119" t="n"/>
      <c r="AQ22" s="19" t="n"/>
      <c r="AR22" s="19" t="n"/>
      <c r="AS22" s="19" t="n"/>
      <c r="AT22" s="19" t="n"/>
      <c r="AU22" s="19" t="n"/>
      <c r="AV22" s="19" t="n"/>
      <c r="AW22" s="19" t="n"/>
      <c r="AX22" s="119" t="n"/>
      <c r="AY22" s="19" t="n"/>
      <c r="AZ22" s="119" t="n"/>
      <c r="BA22" s="19" t="n"/>
      <c r="BB22" s="19" t="n"/>
      <c r="BC22" s="19" t="n"/>
      <c r="BE22" s="22" t="inlineStr">
        <is>
          <t>CARTUCHO P</t>
        </is>
      </c>
      <c r="BF22" s="6" t="n">
        <v>200</v>
      </c>
      <c r="BG22" s="39" t="n">
        <v>0</v>
      </c>
      <c r="BH22" s="39" t="n"/>
      <c r="BI22" s="39" t="n"/>
      <c r="BJ22" s="39" t="n">
        <v>46</v>
      </c>
      <c r="BK22" s="39" t="n">
        <v>22</v>
      </c>
      <c r="BL22" s="39" t="n">
        <v>1</v>
      </c>
      <c r="BM22" s="39" t="n">
        <v>0</v>
      </c>
      <c r="BN22" s="6" t="n"/>
      <c r="BO22" s="6" t="n"/>
      <c r="BP22" s="6" t="n"/>
      <c r="BQ22" s="26">
        <f>BO22+IF(NOT(ISBLANK(OFFSET(BQ22,0,6))),N(OFFSET(BQ22,0,6)),N(OFFSET(BQ22,0,7)))-BP22</f>
        <v/>
      </c>
    </row>
    <row r="23" customFormat="1" s="3">
      <c r="A23" s="25" t="inlineStr">
        <is>
          <t>CARTUCHO M VERDE</t>
        </is>
      </c>
      <c r="B23" s="6" t="n">
        <v>150</v>
      </c>
      <c r="C23" s="632" t="n">
        <v>427.5</v>
      </c>
      <c r="D23" s="240" t="n">
        <v>150</v>
      </c>
      <c r="E23" s="608" t="n"/>
      <c r="F23" s="2" t="n"/>
      <c r="G23" s="2" t="n"/>
      <c r="H23" s="2" t="n"/>
      <c r="I23" s="39" t="n"/>
      <c r="J23" s="39" t="n">
        <v>0</v>
      </c>
      <c r="K23" s="39" t="n">
        <v>149</v>
      </c>
      <c r="L23" s="39" t="n">
        <v>119</v>
      </c>
      <c r="M23" s="39" t="n">
        <v>211</v>
      </c>
      <c r="N23" s="39" t="n">
        <v>185</v>
      </c>
      <c r="O23" s="39" t="n">
        <v>172</v>
      </c>
      <c r="P23" s="39" t="n">
        <v>147</v>
      </c>
      <c r="Q23" s="39" t="n">
        <v>91</v>
      </c>
      <c r="R23" s="39">
        <f>41+AN23</f>
        <v/>
      </c>
      <c r="S23" s="39" t="n">
        <v>135</v>
      </c>
      <c r="T23" s="39" t="n">
        <v>113</v>
      </c>
      <c r="U23" s="39" t="n"/>
      <c r="V23" s="39" t="n"/>
      <c r="W23" s="39" t="n"/>
      <c r="X23" s="39" t="n">
        <v>219</v>
      </c>
      <c r="Y23" s="39" t="n">
        <v>219</v>
      </c>
      <c r="Z23" s="39" t="n">
        <v>149</v>
      </c>
      <c r="AA23" s="39" t="n">
        <v>111</v>
      </c>
      <c r="AB23" s="6" t="n">
        <v>111</v>
      </c>
      <c r="AC23" s="6" t="n">
        <v>111</v>
      </c>
      <c r="AD23" s="6" t="n">
        <v>111</v>
      </c>
      <c r="AE23" s="380">
        <f>AC23+IF(NOT(ISBLANK(OFFSET(AE23,0,6))),N(OFFSET(AE23,0,6)),N(OFFSET(AE23,0,7)))-AD23</f>
        <v/>
      </c>
      <c r="AF23" s="370" t="n"/>
      <c r="AG23" s="78" t="n"/>
      <c r="AH23" s="608" t="n"/>
      <c r="AI23" s="32" t="n"/>
      <c r="AJ23" s="114" t="n">
        <v>0</v>
      </c>
      <c r="AK23" s="19" t="n">
        <v>0</v>
      </c>
      <c r="AL23" s="19" t="n"/>
      <c r="AM23" s="19" t="n">
        <v>0</v>
      </c>
      <c r="AN23" s="19" t="n"/>
      <c r="AO23" s="19" t="n">
        <v>150</v>
      </c>
      <c r="AP23" s="119" t="n">
        <v>150</v>
      </c>
      <c r="AQ23" s="19" t="n">
        <v>150</v>
      </c>
      <c r="AR23" s="19" t="n">
        <v>150</v>
      </c>
      <c r="AS23" s="19" t="n"/>
      <c r="AT23" s="19" t="n">
        <v>150</v>
      </c>
      <c r="AU23" s="19" t="n"/>
      <c r="AV23" s="19" t="n"/>
      <c r="AW23" s="19" t="n"/>
      <c r="AX23" s="119" t="n"/>
      <c r="AY23" s="19" t="n"/>
      <c r="AZ23" s="119" t="n"/>
      <c r="BA23" s="19" t="n"/>
      <c r="BB23" s="75" t="n"/>
      <c r="BC23" s="75" t="n"/>
      <c r="BE23" s="22" t="inlineStr">
        <is>
          <t>CARTUCHO M</t>
        </is>
      </c>
      <c r="BF23" s="6" t="n">
        <v>150</v>
      </c>
      <c r="BG23" s="39">
        <f>AM23</f>
        <v/>
      </c>
      <c r="BH23" s="39" t="n"/>
      <c r="BI23" s="39" t="n"/>
      <c r="BJ23" s="39" t="n">
        <v>122</v>
      </c>
      <c r="BK23" s="39" t="n">
        <v>108</v>
      </c>
      <c r="BL23" s="39" t="n">
        <v>3</v>
      </c>
      <c r="BM23" s="39" t="n">
        <v>0</v>
      </c>
      <c r="BN23" s="6" t="n"/>
      <c r="BO23" s="6" t="n"/>
      <c r="BP23" s="6" t="n"/>
      <c r="BQ23" s="26">
        <f>BO23+IF(NOT(ISBLANK(OFFSET(BQ23,0,6))),N(OFFSET(BQ23,0,6)),N(OFFSET(BQ23,0,7)))-BP23</f>
        <v/>
      </c>
    </row>
    <row r="24">
      <c r="A24" s="120" t="n"/>
      <c r="B24" s="121" t="n"/>
      <c r="AF24" s="370" t="n"/>
      <c r="AH24" s="355" t="n"/>
      <c r="AI24" s="355" t="n"/>
      <c r="AJ24" s="34" t="n"/>
      <c r="AK24" s="11" t="n"/>
      <c r="AL24" s="11" t="n"/>
      <c r="AM24" s="11" t="n"/>
      <c r="AN24" s="11" t="n"/>
      <c r="AO24" s="11" t="n"/>
      <c r="AP24" s="11" t="n"/>
      <c r="AQ24" s="11" t="n"/>
      <c r="AR24" s="11" t="n"/>
      <c r="AS24" s="11" t="n"/>
      <c r="AT24" s="11" t="n"/>
      <c r="AU24" s="11" t="n"/>
      <c r="AV24" s="11" t="n"/>
      <c r="AW24" s="11" t="n"/>
      <c r="AX24" s="11" t="n"/>
      <c r="AY24" s="11" t="n"/>
      <c r="AZ24" s="11" t="n"/>
      <c r="BA24" s="11" t="n"/>
      <c r="BB24" s="11" t="n"/>
      <c r="BC24" s="11" t="n"/>
    </row>
    <row r="25">
      <c r="A25" s="386" t="inlineStr">
        <is>
          <t>SOBRAS CAIXAS</t>
        </is>
      </c>
      <c r="B25" s="387" t="inlineStr">
        <is>
          <t>PCT</t>
        </is>
      </c>
      <c r="C25" s="387" t="inlineStr">
        <is>
          <t xml:space="preserve">R$ </t>
        </is>
      </c>
      <c r="D25" s="387" t="n"/>
      <c r="F25" s="619" t="n">
        <v>46013</v>
      </c>
      <c r="G25" s="619" t="n">
        <v>46020</v>
      </c>
      <c r="H25" s="619" t="n">
        <v>46027</v>
      </c>
      <c r="I25" s="619" t="n">
        <v>46034</v>
      </c>
      <c r="J25" s="619" t="n">
        <v>46041</v>
      </c>
      <c r="K25" s="619" t="n">
        <v>46048</v>
      </c>
      <c r="L25" s="619" t="n">
        <v>46055</v>
      </c>
      <c r="M25" s="619" t="n">
        <v>46062</v>
      </c>
      <c r="N25" s="619" t="n">
        <v>46069</v>
      </c>
      <c r="O25" s="619" t="n">
        <v>46076</v>
      </c>
      <c r="P25" s="619" t="n">
        <v>46083</v>
      </c>
      <c r="Q25" s="619" t="n">
        <v>46090</v>
      </c>
      <c r="R25" s="619" t="n">
        <v>46097</v>
      </c>
      <c r="S25" s="619" t="n">
        <v>46104</v>
      </c>
      <c r="T25" s="619" t="n">
        <v>46111</v>
      </c>
      <c r="U25" s="619" t="n">
        <v>46118</v>
      </c>
      <c r="V25" s="619" t="n">
        <v>46125</v>
      </c>
      <c r="W25" s="619" t="n">
        <v>46132</v>
      </c>
      <c r="X25" s="619" t="n">
        <v>46139</v>
      </c>
      <c r="Y25" s="619" t="n">
        <v>46146</v>
      </c>
      <c r="Z25" s="619" t="n">
        <v>46154</v>
      </c>
      <c r="AA25" s="619" t="n">
        <v>46160</v>
      </c>
      <c r="AB25" s="620" t="n">
        <v>46161.48012530093</v>
      </c>
      <c r="AC25" s="620" t="n">
        <v>46161.48079888889</v>
      </c>
      <c r="AD25" s="620" t="n">
        <v>46161.48295664595</v>
      </c>
      <c r="AE25" s="621" t="inlineStr">
        <is>
          <t>USOU</t>
        </is>
      </c>
      <c r="AF25" s="370" t="n"/>
      <c r="AH25" s="355" t="n"/>
      <c r="AI25" s="355" t="n"/>
      <c r="AJ25" s="34" t="n"/>
      <c r="AK25" s="11" t="n"/>
      <c r="AL25" s="11" t="n"/>
      <c r="AM25" s="11" t="n"/>
      <c r="AN25" s="11" t="n"/>
      <c r="AO25" s="11" t="n"/>
      <c r="AP25" s="11" t="n"/>
      <c r="AQ25" s="11" t="n"/>
      <c r="AR25" s="11" t="n"/>
      <c r="AS25" s="11" t="n"/>
      <c r="AT25" s="11" t="n"/>
      <c r="AU25" s="11" t="n"/>
      <c r="AV25" s="11" t="n"/>
      <c r="AW25" s="11" t="n"/>
      <c r="AX25" s="11" t="n"/>
      <c r="AY25" s="11" t="n"/>
      <c r="AZ25" s="11" t="n"/>
      <c r="BA25" s="11" t="n"/>
      <c r="BB25" s="11" t="n"/>
      <c r="BC25" s="11" t="n"/>
    </row>
    <row r="26" hidden="1">
      <c r="A26" s="392" t="inlineStr">
        <is>
          <t>CAIXA M DIVERT./24</t>
        </is>
      </c>
      <c r="B26" s="393" t="n">
        <v>100</v>
      </c>
      <c r="C26" s="635" t="n">
        <v>790</v>
      </c>
      <c r="D26" s="404" t="n"/>
      <c r="F26" s="39" t="n">
        <v>37</v>
      </c>
      <c r="G26" s="39" t="n">
        <v>4</v>
      </c>
      <c r="H26" s="39" t="n">
        <v>4</v>
      </c>
      <c r="I26" s="39" t="n">
        <v>4</v>
      </c>
      <c r="J26" s="39" t="n">
        <v>5</v>
      </c>
      <c r="K26" s="39" t="n">
        <v>3</v>
      </c>
      <c r="L26" s="39" t="n">
        <v>0</v>
      </c>
      <c r="M26" s="39" t="n">
        <v>0</v>
      </c>
      <c r="N26" s="39" t="n">
        <v>0</v>
      </c>
      <c r="O26" s="39" t="n">
        <v>0</v>
      </c>
      <c r="P26" s="39" t="n">
        <v>0</v>
      </c>
      <c r="Q26" s="39" t="n">
        <v>0</v>
      </c>
      <c r="R26" s="39" t="n">
        <v>0</v>
      </c>
      <c r="S26" s="39" t="n">
        <v>0</v>
      </c>
      <c r="T26" s="39" t="n"/>
      <c r="U26" s="39" t="n"/>
      <c r="V26" s="39" t="n"/>
      <c r="W26" s="39" t="n"/>
      <c r="X26" s="39" t="n"/>
      <c r="Y26" s="39" t="n"/>
      <c r="Z26" s="39" t="n">
        <v>1</v>
      </c>
      <c r="AA26" s="39" t="n">
        <v>0</v>
      </c>
      <c r="AB26" s="6" t="n">
        <v>0</v>
      </c>
      <c r="AC26" s="6" t="n">
        <v>0</v>
      </c>
      <c r="AD26" s="6" t="n">
        <v>0</v>
      </c>
      <c r="AE26" s="26">
        <f>AC26+IF(NOT(ISBLANK(OFFSET(AE26,0,6))),N(OFFSET(AE26,0,6)),N(OFFSET(AE26,0,7)))-AD26</f>
        <v/>
      </c>
      <c r="AF26" s="370" t="n"/>
      <c r="AG26" s="355" t="n"/>
      <c r="AH26" s="355" t="n"/>
      <c r="AI26" s="355" t="n"/>
      <c r="AJ26" s="34" t="n"/>
      <c r="AK26" s="11" t="n"/>
      <c r="AL26" s="11" t="n"/>
      <c r="AM26" s="11" t="n"/>
      <c r="AN26" s="11" t="n"/>
      <c r="AO26" s="11" t="n"/>
      <c r="AP26" s="11" t="n"/>
      <c r="AQ26" s="11" t="n"/>
      <c r="AR26" s="11" t="n"/>
      <c r="AS26" s="11" t="n"/>
      <c r="AT26" s="11" t="n"/>
      <c r="AU26" s="11" t="n"/>
      <c r="AV26" s="11" t="n"/>
      <c r="AW26" s="11" t="n"/>
      <c r="AX26" s="11" t="n"/>
      <c r="AY26" s="11" t="n"/>
      <c r="AZ26" s="11" t="n"/>
      <c r="BA26" s="11" t="n"/>
      <c r="BB26" s="11" t="n"/>
      <c r="BC26" s="11" t="n"/>
    </row>
    <row r="27" hidden="1">
      <c r="A27" s="394" t="inlineStr">
        <is>
          <t>ÁRVORE</t>
        </is>
      </c>
      <c r="B27" s="163" t="n">
        <v>100</v>
      </c>
      <c r="C27" s="636" t="n">
        <v>295</v>
      </c>
      <c r="D27" s="404" t="n"/>
      <c r="F27" s="39" t="n">
        <v>2</v>
      </c>
      <c r="G27" s="39" t="n">
        <v>2</v>
      </c>
      <c r="H27" s="39" t="n">
        <v>2</v>
      </c>
      <c r="I27" s="39" t="n">
        <v>2</v>
      </c>
      <c r="J27" s="39" t="n">
        <v>0</v>
      </c>
      <c r="K27" s="39" t="n">
        <v>0</v>
      </c>
      <c r="L27" s="39" t="n"/>
      <c r="M27" s="39" t="n"/>
      <c r="N27" s="39" t="n"/>
      <c r="O27" s="39" t="n"/>
      <c r="P27" s="39" t="n"/>
      <c r="Q27" s="39" t="n"/>
      <c r="R27" s="39" t="n"/>
      <c r="S27" s="39" t="n"/>
      <c r="T27" s="39" t="n"/>
      <c r="U27" s="39" t="n"/>
      <c r="V27" s="39" t="n"/>
      <c r="W27" s="39" t="n"/>
      <c r="X27" s="39" t="n"/>
      <c r="Y27" s="39" t="n"/>
      <c r="Z27" s="39" t="n"/>
      <c r="AA27" s="39" t="n"/>
      <c r="AB27" s="6" t="n"/>
      <c r="AC27" s="6" t="n"/>
      <c r="AD27" s="6" t="n"/>
      <c r="AE27" s="26">
        <f>AC27+IF(NOT(ISBLANK(OFFSET(AE27,0,6))),N(OFFSET(AE27,0,6)),N(OFFSET(AE27,0,7)))-AD27</f>
        <v/>
      </c>
      <c r="AF27" s="370" t="n"/>
      <c r="AG27" s="355" t="n"/>
      <c r="AH27" s="355" t="n"/>
      <c r="AI27" s="355" t="n"/>
      <c r="AJ27" s="34" t="n"/>
      <c r="AK27" s="11" t="n"/>
      <c r="AL27" s="11" t="n"/>
      <c r="AM27" s="11" t="n"/>
      <c r="AN27" s="11" t="n"/>
      <c r="AO27" s="11" t="n"/>
      <c r="AP27" s="11" t="n"/>
      <c r="AQ27" s="11" t="n"/>
      <c r="AR27" s="11" t="n"/>
      <c r="AS27" s="11" t="n"/>
      <c r="AT27" s="11" t="n"/>
      <c r="AU27" s="11" t="n"/>
      <c r="AV27" s="11" t="n"/>
      <c r="AW27" s="11" t="n"/>
      <c r="AX27" s="11" t="n"/>
      <c r="AY27" s="11" t="n"/>
      <c r="AZ27" s="11" t="n"/>
      <c r="BA27" s="11" t="n"/>
      <c r="BB27" s="11" t="n"/>
      <c r="BC27" s="11" t="n"/>
    </row>
    <row r="28" hidden="1">
      <c r="A28" s="394" t="inlineStr">
        <is>
          <t>BOLA</t>
        </is>
      </c>
      <c r="B28" s="163" t="n">
        <v>100</v>
      </c>
      <c r="C28" s="636" t="n">
        <v>283</v>
      </c>
      <c r="D28" s="404" t="n"/>
      <c r="F28" s="39" t="n">
        <v>1</v>
      </c>
      <c r="G28" s="39" t="n">
        <v>1</v>
      </c>
      <c r="H28" s="39" t="n">
        <v>1</v>
      </c>
      <c r="I28" s="39" t="n">
        <v>1</v>
      </c>
      <c r="J28" s="39" t="n">
        <v>0</v>
      </c>
      <c r="K28" s="39" t="n">
        <v>0</v>
      </c>
      <c r="L28" s="39" t="n"/>
      <c r="M28" s="39" t="n"/>
      <c r="N28" s="39" t="n"/>
      <c r="O28" s="39" t="n"/>
      <c r="P28" s="39" t="n"/>
      <c r="Q28" s="39" t="n"/>
      <c r="R28" s="39" t="n"/>
      <c r="S28" s="39" t="n"/>
      <c r="T28" s="39" t="n"/>
      <c r="U28" s="39" t="n"/>
      <c r="V28" s="39" t="n"/>
      <c r="W28" s="39" t="n"/>
      <c r="X28" s="39" t="n"/>
      <c r="Y28" s="39" t="n"/>
      <c r="Z28" s="39" t="n"/>
      <c r="AA28" s="39" t="n"/>
      <c r="AB28" s="6" t="n"/>
      <c r="AC28" s="6" t="n"/>
      <c r="AD28" s="6" t="n"/>
      <c r="AE28" s="26">
        <f>AC28+IF(NOT(ISBLANK(OFFSET(AE28,0,6))),N(OFFSET(AE28,0,6)),N(OFFSET(AE28,0,7)))-AD28</f>
        <v/>
      </c>
      <c r="AF28" s="370" t="n"/>
      <c r="AG28" s="355" t="n"/>
      <c r="AH28" s="355" t="n"/>
      <c r="AI28" s="355" t="n"/>
      <c r="AJ28" s="34" t="n"/>
      <c r="AK28" s="11" t="n"/>
      <c r="AL28" s="11" t="n"/>
      <c r="AM28" s="11" t="n"/>
      <c r="AN28" s="11" t="n"/>
      <c r="AO28" s="11" t="n"/>
      <c r="AP28" s="11" t="n"/>
      <c r="AQ28" s="11" t="n"/>
      <c r="AR28" s="11" t="n"/>
      <c r="AS28" s="11" t="n"/>
      <c r="AT28" s="11" t="n"/>
      <c r="AU28" s="11" t="n"/>
      <c r="AV28" s="11" t="n"/>
      <c r="AW28" s="11" t="n"/>
      <c r="AX28" s="11" t="n"/>
      <c r="AY28" s="11" t="n"/>
      <c r="AZ28" s="11" t="n"/>
      <c r="BA28" s="11" t="n"/>
      <c r="BB28" s="11" t="n"/>
      <c r="BC28" s="11" t="n"/>
    </row>
    <row r="29" hidden="1">
      <c r="A29" s="291" t="inlineStr">
        <is>
          <t>CAIXA M HOMEM ARANHA</t>
        </is>
      </c>
      <c r="B29" s="292" t="n">
        <v>100</v>
      </c>
      <c r="C29" s="638" t="n">
        <v>1490</v>
      </c>
      <c r="D29" s="404" t="n"/>
      <c r="F29" s="39" t="n"/>
      <c r="G29" s="39" t="n"/>
      <c r="H29" s="39" t="n">
        <v>2</v>
      </c>
      <c r="I29" s="39" t="n">
        <v>2</v>
      </c>
      <c r="J29" s="39" t="n">
        <v>0</v>
      </c>
      <c r="K29" s="39" t="n">
        <v>0</v>
      </c>
      <c r="L29" s="39" t="n"/>
      <c r="M29" s="39" t="n"/>
      <c r="N29" s="39" t="n"/>
      <c r="O29" s="39" t="n"/>
      <c r="P29" s="39" t="n"/>
      <c r="Q29" s="39" t="n"/>
      <c r="R29" s="39" t="n"/>
      <c r="S29" s="39" t="n"/>
      <c r="T29" s="39" t="n"/>
      <c r="U29" s="39" t="n"/>
      <c r="V29" s="39" t="n"/>
      <c r="W29" s="39" t="n"/>
      <c r="X29" s="39" t="n"/>
      <c r="Y29" s="39" t="n"/>
      <c r="Z29" s="39" t="n"/>
      <c r="AA29" s="39" t="n"/>
      <c r="AB29" s="6" t="n"/>
      <c r="AC29" s="6" t="n"/>
      <c r="AD29" s="6" t="n"/>
      <c r="AE29" s="26">
        <f>AC29+IF(NOT(ISBLANK(OFFSET(AE29,0,6))),N(OFFSET(AE29,0,6)),N(OFFSET(AE29,0,7)))-AD29</f>
        <v/>
      </c>
      <c r="AF29" s="370" t="n"/>
      <c r="AG29" s="355" t="n"/>
      <c r="AH29" s="355" t="n"/>
      <c r="AI29" s="355" t="n"/>
      <c r="AJ29" s="34" t="n"/>
      <c r="AK29" s="11" t="n"/>
      <c r="AL29" s="11" t="n"/>
      <c r="AM29" s="11" t="n"/>
      <c r="AN29" s="11" t="n"/>
      <c r="AO29" s="11" t="n"/>
      <c r="AP29" s="11" t="n"/>
      <c r="AQ29" s="11" t="n"/>
      <c r="AR29" s="11" t="n"/>
      <c r="AS29" s="11" t="n"/>
      <c r="AT29" s="11" t="n"/>
      <c r="AU29" s="11" t="n"/>
      <c r="AV29" s="11" t="n"/>
      <c r="AW29" s="11" t="n"/>
      <c r="AX29" s="11" t="n"/>
      <c r="AY29" s="11" t="n"/>
      <c r="AZ29" s="11" t="n"/>
      <c r="BA29" s="11" t="n"/>
      <c r="BB29" s="11" t="n"/>
      <c r="BC29" s="11" t="n"/>
    </row>
    <row r="30">
      <c r="A30" s="25" t="inlineStr">
        <is>
          <t>CAIXA P NATAL/25</t>
        </is>
      </c>
      <c r="B30" s="6" t="n">
        <v>150</v>
      </c>
      <c r="C30" s="639" t="n">
        <v>805.35</v>
      </c>
      <c r="D30" s="404" t="n"/>
      <c r="F30" s="6" t="n">
        <v>201</v>
      </c>
      <c r="G30" s="6" t="n">
        <v>50</v>
      </c>
      <c r="H30" s="6" t="n">
        <v>19</v>
      </c>
      <c r="I30" s="6" t="n">
        <v>30</v>
      </c>
      <c r="J30" s="6" t="n">
        <v>20</v>
      </c>
      <c r="K30" s="6" t="n">
        <v>12</v>
      </c>
      <c r="L30" s="6" t="n">
        <v>9</v>
      </c>
      <c r="M30" s="6" t="n">
        <v>9</v>
      </c>
      <c r="N30" s="6" t="n">
        <v>9</v>
      </c>
      <c r="O30" s="6" t="n">
        <v>8</v>
      </c>
      <c r="P30" s="6" t="n">
        <v>8</v>
      </c>
      <c r="Q30" s="6" t="n">
        <v>8</v>
      </c>
      <c r="R30" s="6" t="n">
        <v>6</v>
      </c>
      <c r="S30" s="6" t="n">
        <v>6</v>
      </c>
      <c r="T30" s="6" t="n">
        <v>6</v>
      </c>
      <c r="U30" s="6" t="n"/>
      <c r="V30" s="6" t="n"/>
      <c r="W30" s="6" t="n"/>
      <c r="X30" s="6" t="n">
        <v>6</v>
      </c>
      <c r="Y30" s="6" t="n">
        <v>6</v>
      </c>
      <c r="Z30" s="6" t="n">
        <v>0</v>
      </c>
      <c r="AA30" s="6" t="n">
        <v>0</v>
      </c>
      <c r="AB30" s="6" t="n"/>
      <c r="AC30" s="6" t="n"/>
      <c r="AD30" s="6" t="n"/>
      <c r="AE30" s="380">
        <f>AC30+IF(NOT(ISBLANK(OFFSET(AE30,0,6))),N(OFFSET(AE30,0,6)),N(OFFSET(AE30,0,7)))-AD30</f>
        <v/>
      </c>
      <c r="AF30" s="370" t="n"/>
      <c r="AG30" s="207" t="n"/>
      <c r="AJ30" s="11" t="n"/>
      <c r="AK30" s="11" t="n"/>
      <c r="AL30" s="11" t="n"/>
      <c r="AM30" s="11" t="n"/>
      <c r="AN30" s="11" t="n"/>
      <c r="AO30" s="11" t="n"/>
      <c r="AP30" s="11" t="n"/>
      <c r="AQ30" s="11" t="n"/>
      <c r="AR30" s="11" t="n"/>
      <c r="AS30" s="11" t="n"/>
      <c r="AT30" s="11" t="n"/>
      <c r="AU30" s="11" t="n"/>
      <c r="AV30" s="11" t="n"/>
      <c r="AW30" s="11" t="n"/>
      <c r="AX30" s="11" t="n"/>
      <c r="AY30" s="11" t="n"/>
      <c r="AZ30" s="11" t="n"/>
      <c r="BA30" s="11" t="n"/>
      <c r="BB30" s="11" t="n"/>
      <c r="BC30" s="11" t="n"/>
    </row>
    <row r="31" hidden="1">
      <c r="A31" s="25" t="inlineStr">
        <is>
          <t>CAIXA M NATAL/25</t>
        </is>
      </c>
      <c r="B31" s="6" t="n">
        <v>100</v>
      </c>
      <c r="C31" s="639" t="n">
        <v>792.2</v>
      </c>
      <c r="D31" s="404" t="n"/>
      <c r="F31" s="6" t="n">
        <v>121</v>
      </c>
      <c r="G31" s="6" t="n">
        <v>44</v>
      </c>
      <c r="H31" s="6" t="n">
        <v>35</v>
      </c>
      <c r="I31" s="6" t="n">
        <v>21</v>
      </c>
      <c r="J31" s="6" t="n">
        <v>12</v>
      </c>
      <c r="K31" s="6" t="n">
        <v>1</v>
      </c>
      <c r="L31" s="6" t="n">
        <v>0</v>
      </c>
      <c r="M31" s="6" t="n">
        <v>0</v>
      </c>
      <c r="N31" s="6" t="n">
        <v>0</v>
      </c>
      <c r="O31" s="6" t="n">
        <v>0</v>
      </c>
      <c r="P31" s="6" t="n">
        <v>0</v>
      </c>
      <c r="Q31" s="6" t="n">
        <v>0</v>
      </c>
      <c r="R31" s="6" t="n">
        <v>0</v>
      </c>
      <c r="S31" s="6" t="n">
        <v>0</v>
      </c>
      <c r="T31" s="6" t="n"/>
      <c r="U31" s="6" t="n"/>
      <c r="V31" s="6" t="n"/>
      <c r="W31" s="6" t="n"/>
      <c r="X31" s="6" t="n"/>
      <c r="Y31" s="6" t="n"/>
      <c r="Z31" s="6" t="n"/>
      <c r="AA31" s="6" t="n"/>
      <c r="AB31" s="6" t="n"/>
      <c r="AC31" s="6" t="n"/>
      <c r="AD31" s="6" t="n"/>
      <c r="AE31" s="380">
        <f>AC31+IF(NOT(ISBLANK(OFFSET(AE31,0,6))),N(OFFSET(AE31,0,6)),N(OFFSET(AE31,0,7)))-AD31</f>
        <v/>
      </c>
      <c r="AF31" s="370" t="n"/>
      <c r="AG31" s="207" t="inlineStr">
        <is>
          <t>87 DE JC</t>
        </is>
      </c>
      <c r="AJ31" s="11" t="n"/>
      <c r="AK31" s="11" t="n"/>
      <c r="AL31" s="11" t="n"/>
      <c r="AM31" s="11" t="n"/>
      <c r="AN31" s="11" t="n"/>
      <c r="AO31" s="11" t="n"/>
      <c r="AP31" s="11" t="n"/>
      <c r="AQ31" s="11" t="n"/>
      <c r="AR31" s="11" t="n"/>
      <c r="AS31" s="11" t="n"/>
      <c r="AT31" s="11" t="n"/>
      <c r="AU31" s="11" t="n"/>
      <c r="AV31" s="11" t="n"/>
      <c r="AW31" s="11" t="n"/>
      <c r="AX31" s="11" t="n"/>
      <c r="AY31" s="11" t="n"/>
      <c r="AZ31" s="11" t="n"/>
      <c r="BA31" s="11" t="n"/>
      <c r="BB31" s="11" t="n"/>
      <c r="BC31" s="11" t="n"/>
    </row>
    <row r="32" hidden="1">
      <c r="A32" s="25" t="inlineStr">
        <is>
          <t>CARTUCHO P NATAL/25</t>
        </is>
      </c>
      <c r="B32" s="6" t="n">
        <v>200</v>
      </c>
      <c r="C32" s="639" t="n">
        <v>487.2</v>
      </c>
      <c r="D32" s="404" t="n"/>
      <c r="F32" s="6" t="n">
        <v>-4</v>
      </c>
      <c r="G32" s="6" t="n">
        <v>-4</v>
      </c>
      <c r="H32" s="6" t="n">
        <v>-4</v>
      </c>
      <c r="I32" s="6" t="n">
        <v>-4</v>
      </c>
      <c r="J32" s="6" t="n">
        <v>0</v>
      </c>
      <c r="K32" s="6" t="n">
        <v>0</v>
      </c>
      <c r="L32" s="6" t="n">
        <v>0</v>
      </c>
      <c r="M32" s="6" t="n">
        <v>0</v>
      </c>
      <c r="N32" s="6" t="n">
        <v>0</v>
      </c>
      <c r="O32" s="6" t="n">
        <v>0</v>
      </c>
      <c r="P32" s="6" t="n">
        <v>0</v>
      </c>
      <c r="Q32" s="6" t="n">
        <v>0</v>
      </c>
      <c r="R32" s="6" t="n">
        <v>0</v>
      </c>
      <c r="S32" s="6" t="n">
        <v>0</v>
      </c>
      <c r="T32" s="6" t="n"/>
      <c r="U32" s="6" t="n"/>
      <c r="V32" s="6" t="n"/>
      <c r="W32" s="6" t="n"/>
      <c r="X32" s="6" t="n"/>
      <c r="Y32" s="6" t="n"/>
      <c r="Z32" s="6" t="n"/>
      <c r="AA32" s="6" t="n"/>
      <c r="AB32" s="6" t="n"/>
      <c r="AC32" s="6" t="n"/>
      <c r="AD32" s="6" t="n"/>
      <c r="AE32" s="380">
        <f>AC32+IF(NOT(ISBLANK(OFFSET(AE32,0,6))),N(OFFSET(AE32,0,6)),N(OFFSET(AE32,0,7)))-AD32</f>
        <v/>
      </c>
      <c r="AF32" s="370" t="n"/>
      <c r="AG32" s="355" t="n"/>
      <c r="AJ32" s="11" t="n"/>
      <c r="AK32" s="11" t="n"/>
      <c r="AL32" s="11" t="n"/>
      <c r="AM32" s="11" t="n"/>
      <c r="AN32" s="11" t="n"/>
      <c r="AO32" s="11" t="n"/>
      <c r="AP32" s="11" t="n"/>
      <c r="AQ32" s="11" t="n"/>
      <c r="AR32" s="11" t="n"/>
      <c r="AS32" s="11" t="n"/>
      <c r="AT32" s="11" t="n"/>
      <c r="AU32" s="11" t="n"/>
      <c r="AV32" s="11" t="n"/>
      <c r="AW32" s="11" t="n"/>
      <c r="AX32" s="11" t="n"/>
      <c r="AY32" s="11" t="n"/>
      <c r="AZ32" s="11" t="n"/>
      <c r="BA32" s="11" t="n"/>
      <c r="BB32" s="11" t="n"/>
      <c r="BC32" s="11" t="n"/>
    </row>
    <row r="33" hidden="1">
      <c r="A33" s="25" t="inlineStr">
        <is>
          <t>CARTUCHO M NATAL/25</t>
        </is>
      </c>
      <c r="B33" s="6" t="n">
        <v>150</v>
      </c>
      <c r="C33" s="639" t="n">
        <v>460.35</v>
      </c>
      <c r="D33" s="404" t="n"/>
      <c r="F33" s="6" t="n">
        <v>7</v>
      </c>
      <c r="G33" s="6" t="n">
        <v>7</v>
      </c>
      <c r="H33" s="6" t="n">
        <v>7</v>
      </c>
      <c r="I33" s="6" t="n">
        <v>7</v>
      </c>
      <c r="J33" s="6" t="n">
        <v>0</v>
      </c>
      <c r="K33" s="6" t="n">
        <v>0</v>
      </c>
      <c r="L33" s="6" t="n">
        <v>0</v>
      </c>
      <c r="M33" s="6" t="n">
        <v>0</v>
      </c>
      <c r="N33" s="6" t="n">
        <v>0</v>
      </c>
      <c r="O33" s="6" t="n">
        <v>0</v>
      </c>
      <c r="P33" s="6" t="n">
        <v>0</v>
      </c>
      <c r="Q33" s="6" t="n">
        <v>0</v>
      </c>
      <c r="R33" s="6" t="n">
        <v>0</v>
      </c>
      <c r="S33" s="6" t="n">
        <v>0</v>
      </c>
      <c r="T33" s="6" t="n"/>
      <c r="U33" s="6" t="n"/>
      <c r="V33" s="6" t="n"/>
      <c r="W33" s="6" t="n"/>
      <c r="X33" s="6" t="n"/>
      <c r="Y33" s="6" t="n"/>
      <c r="Z33" s="6" t="n"/>
      <c r="AA33" s="6" t="n"/>
      <c r="AB33" s="6" t="n"/>
      <c r="AC33" s="6" t="n"/>
      <c r="AD33" s="6" t="n"/>
      <c r="AE33" s="380">
        <f>AC33+IF(NOT(ISBLANK(OFFSET(AE33,0,6))),N(OFFSET(AE33,0,6)),N(OFFSET(AE33,0,7)))-AD33</f>
        <v/>
      </c>
      <c r="AF33" s="370" t="n"/>
      <c r="AG33" s="355" t="n"/>
      <c r="AJ33" s="11" t="n"/>
      <c r="AK33" s="11" t="n"/>
      <c r="AL33" s="11" t="n"/>
      <c r="AM33" s="11" t="n"/>
      <c r="AN33" s="11" t="n"/>
      <c r="AO33" s="11" t="n"/>
      <c r="AP33" s="11" t="n"/>
      <c r="AQ33" s="11" t="n"/>
      <c r="AR33" s="11" t="n"/>
      <c r="AS33" s="11" t="n"/>
      <c r="AT33" s="11" t="n"/>
      <c r="AU33" s="11" t="n"/>
      <c r="AV33" s="11" t="n"/>
      <c r="AW33" s="11" t="n"/>
      <c r="AX33" s="11" t="n"/>
      <c r="AY33" s="11" t="n"/>
      <c r="AZ33" s="11" t="n"/>
      <c r="BA33" s="11" t="n"/>
      <c r="BB33" s="11" t="n"/>
      <c r="BC33" s="11" t="n"/>
    </row>
    <row r="34">
      <c r="A34" s="25" t="inlineStr">
        <is>
          <t>PIN NATAL/25</t>
        </is>
      </c>
      <c r="B34" s="6" t="n">
        <v>10</v>
      </c>
      <c r="C34" s="639" t="n">
        <v>120</v>
      </c>
      <c r="D34" s="404" t="n"/>
      <c r="F34" s="6" t="n">
        <v>3</v>
      </c>
      <c r="G34" s="6" t="n">
        <v>3</v>
      </c>
      <c r="H34" s="6" t="n">
        <v>3</v>
      </c>
      <c r="I34" s="6" t="n">
        <v>3</v>
      </c>
      <c r="J34" s="6" t="n">
        <v>3</v>
      </c>
      <c r="K34" s="6" t="n">
        <v>3</v>
      </c>
      <c r="L34" s="6" t="n">
        <v>3</v>
      </c>
      <c r="M34" s="6" t="n">
        <v>3</v>
      </c>
      <c r="N34" s="6" t="n">
        <v>3</v>
      </c>
      <c r="O34" s="6" t="n">
        <v>3</v>
      </c>
      <c r="P34" s="6" t="n">
        <v>3</v>
      </c>
      <c r="Q34" s="6" t="n">
        <v>3</v>
      </c>
      <c r="R34" s="6" t="n">
        <v>3</v>
      </c>
      <c r="S34" s="6" t="n">
        <v>3</v>
      </c>
      <c r="T34" s="6" t="n">
        <v>3</v>
      </c>
      <c r="U34" s="6" t="n"/>
      <c r="V34" s="6" t="n"/>
      <c r="W34" s="6" t="n"/>
      <c r="X34" s="6" t="n">
        <v>3</v>
      </c>
      <c r="Y34" s="6" t="n">
        <v>3</v>
      </c>
      <c r="Z34" s="6" t="n">
        <v>3</v>
      </c>
      <c r="AA34" s="6" t="n">
        <v>3</v>
      </c>
      <c r="AB34" s="6" t="n">
        <v>3</v>
      </c>
      <c r="AC34" s="6" t="n">
        <v>3</v>
      </c>
      <c r="AD34" s="6" t="n">
        <v>3</v>
      </c>
      <c r="AE34" s="380">
        <f>AC34+IF(NOT(ISBLANK(OFFSET(AE34,0,6))),N(OFFSET(AE34,0,6)),N(OFFSET(AE34,0,7)))-AD34</f>
        <v/>
      </c>
      <c r="AF34" s="370" t="n"/>
      <c r="AG34" s="355" t="n"/>
      <c r="AJ34" s="11" t="n"/>
      <c r="AK34" s="11" t="n"/>
      <c r="AL34" s="11" t="n"/>
      <c r="AM34" s="11" t="n"/>
      <c r="AN34" s="11" t="n"/>
      <c r="AO34" s="11" t="n"/>
      <c r="AP34" s="11" t="n"/>
      <c r="AQ34" s="11" t="n"/>
      <c r="AR34" s="11" t="n"/>
      <c r="AS34" s="11" t="n"/>
      <c r="AT34" s="11" t="n"/>
      <c r="AU34" s="11" t="n"/>
      <c r="AV34" s="11" t="n"/>
      <c r="AW34" s="11" t="n"/>
      <c r="AX34" s="11" t="n"/>
      <c r="AY34" s="11" t="n"/>
      <c r="AZ34" s="11" t="n"/>
      <c r="BA34" s="11" t="n"/>
      <c r="BB34" s="11" t="n"/>
      <c r="BC34" s="11" t="n"/>
    </row>
    <row r="35">
      <c r="AF35" s="370" t="n"/>
      <c r="AG35" s="355" t="n"/>
      <c r="AJ35" s="11" t="n"/>
      <c r="AK35" s="11" t="n"/>
      <c r="AL35" s="11" t="n"/>
      <c r="AM35" s="11" t="n"/>
      <c r="AN35" s="11" t="n"/>
      <c r="AO35" s="11" t="n"/>
      <c r="AP35" s="11" t="n"/>
      <c r="AQ35" s="11" t="n"/>
      <c r="AR35" s="11" t="n"/>
      <c r="AS35" s="11" t="n"/>
      <c r="AT35" s="11" t="n"/>
      <c r="AU35" s="11" t="n"/>
      <c r="AV35" s="11" t="n"/>
      <c r="AW35" s="11" t="n"/>
      <c r="AX35" s="11" t="n"/>
      <c r="AY35" s="11" t="n"/>
      <c r="AZ35" s="11" t="n"/>
      <c r="BA35" s="11" t="n"/>
      <c r="BB35" s="11" t="n"/>
      <c r="BC35" s="11" t="n"/>
    </row>
    <row r="36" ht="21" customHeight="1">
      <c r="A36" s="402" t="inlineStr">
        <is>
          <t>SOBRAS DATAS COMEMORATIVAS</t>
        </is>
      </c>
      <c r="B36" s="402" t="n"/>
      <c r="C36" s="402" t="n"/>
      <c r="AF36" s="370" t="n"/>
      <c r="AJ36" s="11" t="n"/>
      <c r="AK36" s="11" t="n"/>
      <c r="AL36" s="11" t="n"/>
      <c r="AM36" s="11" t="n"/>
      <c r="AN36" s="11" t="n"/>
      <c r="AO36" s="11" t="n"/>
      <c r="AP36" s="11" t="n"/>
      <c r="AQ36" s="11" t="n"/>
      <c r="AR36" s="11" t="n"/>
      <c r="AS36" s="11" t="n"/>
      <c r="AT36" s="409" t="n"/>
      <c r="AU36" s="409" t="n"/>
      <c r="AV36" s="409" t="n"/>
      <c r="AW36" s="409" t="n"/>
      <c r="AX36" s="409" t="n"/>
      <c r="AY36" s="409" t="n"/>
      <c r="AZ36" s="409" t="n"/>
      <c r="BA36" s="409" t="n"/>
      <c r="BB36" s="409" t="n"/>
      <c r="BC36" s="409" t="n"/>
    </row>
    <row r="37">
      <c r="A37" s="369" t="inlineStr">
        <is>
          <t>ITENS</t>
        </is>
      </c>
      <c r="B37" s="369" t="n"/>
      <c r="C37" s="369" t="inlineStr">
        <is>
          <t>ESTOQUE</t>
        </is>
      </c>
      <c r="E37" s="41" t="n"/>
      <c r="F37" s="41" t="n"/>
      <c r="G37" s="41" t="n"/>
      <c r="H37" s="41" t="n"/>
      <c r="I37" s="41" t="n"/>
      <c r="J37" s="41" t="n"/>
      <c r="K37" s="41" t="n"/>
      <c r="L37" s="41" t="n"/>
      <c r="M37" s="41" t="n"/>
      <c r="N37" s="41" t="n"/>
      <c r="O37" s="41" t="n"/>
      <c r="P37" s="41" t="n"/>
      <c r="Q37" s="41" t="n"/>
      <c r="R37" s="41" t="n"/>
      <c r="S37" s="41" t="n"/>
      <c r="T37" s="41" t="n"/>
      <c r="U37" s="41" t="n"/>
      <c r="V37" s="41" t="n"/>
      <c r="W37" s="41" t="n"/>
      <c r="X37" s="41" t="n"/>
      <c r="Y37" s="41" t="n"/>
      <c r="Z37" s="41" t="n"/>
      <c r="AA37" s="41" t="n"/>
      <c r="AB37" s="41" t="n"/>
      <c r="AC37" s="41" t="n"/>
      <c r="AD37" s="41" t="n"/>
      <c r="AE37" s="41" t="n"/>
      <c r="AF37" s="370" t="n"/>
      <c r="AH37" s="41" t="n"/>
      <c r="AI37" s="41" t="n"/>
      <c r="AJ37" s="11" t="n"/>
      <c r="AK37" s="11" t="n"/>
      <c r="AL37" s="11" t="n"/>
      <c r="AM37" s="11" t="n"/>
      <c r="AN37" s="11" t="n"/>
      <c r="AO37" s="11" t="n"/>
      <c r="AP37" s="11" t="n"/>
      <c r="AQ37" s="11" t="n"/>
      <c r="AR37" s="11" t="n"/>
      <c r="AS37" s="11" t="n"/>
      <c r="AT37" s="409" t="n"/>
      <c r="AU37" s="409" t="n"/>
      <c r="AV37" s="409" t="n"/>
      <c r="AW37" s="409" t="n"/>
      <c r="AX37" s="409" t="n"/>
      <c r="AY37" s="409" t="n"/>
      <c r="AZ37" s="409" t="n"/>
      <c r="BA37" s="409" t="n"/>
      <c r="BB37" s="409" t="n"/>
      <c r="BC37" s="409" t="n"/>
    </row>
    <row r="38">
      <c r="A38" s="294" t="n"/>
      <c r="B38" s="378" t="n"/>
      <c r="C38" s="365" t="n"/>
      <c r="E38" s="41" t="n"/>
      <c r="F38" s="41" t="n"/>
      <c r="G38" s="41" t="n"/>
      <c r="H38" s="41" t="n"/>
      <c r="I38" s="41" t="n"/>
      <c r="J38" s="41" t="n"/>
      <c r="K38" s="41" t="n"/>
      <c r="L38" s="41" t="n"/>
      <c r="M38" s="41" t="n"/>
      <c r="N38" s="41" t="n"/>
      <c r="O38" s="41" t="n"/>
      <c r="P38" s="41" t="n"/>
      <c r="Q38" s="41" t="n"/>
      <c r="R38" s="41" t="n"/>
      <c r="S38" s="41" t="n"/>
      <c r="T38" s="41" t="n"/>
      <c r="U38" s="41" t="n"/>
      <c r="V38" s="41" t="n"/>
      <c r="W38" s="41" t="n"/>
      <c r="X38" s="41" t="n"/>
      <c r="Y38" s="41" t="n"/>
      <c r="Z38" s="41" t="n"/>
      <c r="AA38" s="41" t="n"/>
      <c r="AB38" s="41" t="n"/>
      <c r="AC38" s="41" t="n"/>
      <c r="AD38" s="41" t="n"/>
      <c r="AE38" s="41" t="n"/>
      <c r="AF38" s="41" t="n"/>
      <c r="AG38" s="41" t="n"/>
      <c r="AH38" s="41" t="n"/>
      <c r="AI38" s="41" t="n"/>
      <c r="AJ38" s="11" t="n"/>
      <c r="AK38" s="11" t="n"/>
      <c r="AL38" s="11" t="n"/>
      <c r="AM38" s="11" t="n"/>
      <c r="AN38" s="11" t="n"/>
      <c r="AO38" s="11" t="n"/>
      <c r="AP38" s="11" t="n"/>
      <c r="AQ38" s="11" t="n"/>
      <c r="AR38" s="11" t="n"/>
      <c r="AS38" s="11" t="n"/>
      <c r="AT38" s="41" t="n"/>
      <c r="AU38" s="41" t="n"/>
      <c r="AV38" s="41" t="n"/>
      <c r="AW38" s="41" t="n"/>
      <c r="AX38" s="41" t="n"/>
      <c r="AY38" s="41" t="n"/>
      <c r="AZ38" s="41" t="n"/>
      <c r="BA38" s="41" t="n"/>
      <c r="BB38" s="41" t="n"/>
      <c r="BC38" s="41" t="n"/>
      <c r="BD38" s="41" t="n"/>
      <c r="BR38" s="34" t="n"/>
      <c r="BS38" s="34" t="n"/>
      <c r="BT38" s="34" t="n"/>
      <c r="BU38" s="34" t="n"/>
      <c r="BV38" s="34" t="n"/>
      <c r="BW38" s="34" t="n"/>
      <c r="BX38" s="34" t="n"/>
      <c r="BY38" s="34" t="n"/>
      <c r="BZ38" s="34" t="n"/>
      <c r="CA38" s="34" t="n"/>
      <c r="CB38" s="34" t="n"/>
      <c r="CC38" s="34" t="n"/>
      <c r="CD38" s="34" t="n"/>
      <c r="CE38" s="34" t="n"/>
      <c r="CF38" s="34" t="n"/>
      <c r="CG38" s="34" t="n"/>
      <c r="CH38" s="34" t="n"/>
      <c r="CI38" s="34" t="n"/>
      <c r="CJ38" s="34" t="n"/>
      <c r="CK38" s="34" t="n"/>
      <c r="CL38" s="34" t="n"/>
      <c r="CM38" s="34" t="n"/>
      <c r="CN38" s="34" t="n"/>
      <c r="CO38" s="34" t="n"/>
      <c r="CP38" s="34" t="n"/>
      <c r="CQ38" s="34" t="n"/>
      <c r="CR38" s="34" t="n"/>
      <c r="CS38" s="34" t="n"/>
      <c r="CT38" s="34" t="n"/>
      <c r="CU38" s="34" t="n"/>
      <c r="CV38" s="34" t="n"/>
      <c r="CW38" s="34" t="n"/>
      <c r="CX38" s="34" t="n"/>
      <c r="CY38" s="34" t="n"/>
      <c r="CZ38" s="34" t="n"/>
      <c r="DA38" s="34" t="n"/>
      <c r="DB38" s="34" t="n"/>
      <c r="DC38" s="34" t="n"/>
      <c r="DD38" s="34" t="n"/>
      <c r="DE38" s="34" t="n"/>
      <c r="DF38" s="34" t="n"/>
      <c r="DG38" s="34" t="n"/>
      <c r="DH38" s="34" t="n"/>
      <c r="DI38" s="34" t="n"/>
      <c r="DJ38" s="34" t="n"/>
      <c r="DK38" s="34" t="n"/>
      <c r="DL38" s="34" t="n"/>
      <c r="DM38" s="34" t="n"/>
      <c r="DN38" s="34" t="n"/>
      <c r="DO38" s="34" t="n"/>
      <c r="DP38" s="34" t="n"/>
      <c r="DQ38" s="34" t="n"/>
      <c r="DR38" s="34" t="n"/>
      <c r="DS38" s="34" t="n"/>
      <c r="DT38" s="34" t="n"/>
      <c r="DU38" s="34" t="n"/>
      <c r="DV38" s="34" t="n"/>
      <c r="DW38" s="41" t="n"/>
      <c r="DX38" s="41" t="n"/>
      <c r="DY38" s="41" t="n"/>
      <c r="DZ38" s="409" t="n"/>
      <c r="EA38" s="409" t="n"/>
      <c r="EB38" s="34" t="n"/>
      <c r="EC38" s="34" t="n"/>
      <c r="ED38" s="34" t="n"/>
      <c r="EE38" s="34" t="n"/>
      <c r="EF38" s="409" t="n"/>
      <c r="EG38" s="409" t="n"/>
      <c r="EH38" s="34" t="n"/>
      <c r="EI38" s="409" t="n"/>
      <c r="EJ38" s="34" t="n"/>
      <c r="EK38" s="409" t="n"/>
      <c r="EL38" s="34" t="n"/>
      <c r="EM38" s="409" t="n"/>
      <c r="EN38" s="409" t="n"/>
      <c r="EO38" s="34" t="n"/>
      <c r="EP38" s="409" t="n"/>
      <c r="EQ38" s="409" t="n"/>
      <c r="ER38" s="34" t="n"/>
      <c r="ES38" s="409" t="n"/>
      <c r="ET38" s="409" t="n"/>
      <c r="EU38" s="409" t="n"/>
      <c r="EV38" s="358" t="n"/>
      <c r="EW38" s="409" t="n"/>
      <c r="EX38" s="409" t="n"/>
      <c r="EY38" s="409" t="n"/>
      <c r="EZ38" s="409" t="n"/>
      <c r="FA38" s="409" t="n"/>
      <c r="FB38" s="409" t="n"/>
      <c r="FC38" s="409" t="n"/>
      <c r="FD38" s="409" t="n"/>
      <c r="FE38" s="409" t="n"/>
      <c r="FF38" s="409" t="n"/>
      <c r="FG38" s="409" t="n"/>
      <c r="FH38" s="409" t="n"/>
      <c r="FI38" s="409" t="n"/>
      <c r="FJ38" s="409" t="n"/>
      <c r="FK38" s="409" t="n"/>
      <c r="FL38" s="409" t="n"/>
      <c r="FM38" s="409" t="n"/>
      <c r="FN38" s="409" t="n"/>
      <c r="FO38" s="409" t="n"/>
      <c r="FP38" s="409" t="n"/>
      <c r="FQ38" s="409" t="n"/>
      <c r="FR38" s="409" t="n"/>
      <c r="FS38" s="409" t="n"/>
      <c r="FT38" s="409" t="n"/>
      <c r="FU38" s="409" t="n"/>
      <c r="FV38" s="409" t="n"/>
      <c r="FW38" s="409" t="n"/>
      <c r="FX38" s="409" t="n"/>
      <c r="FY38" s="409" t="n"/>
      <c r="FZ38" s="409" t="n"/>
      <c r="GA38" s="409" t="n"/>
      <c r="GB38" s="409" t="n"/>
      <c r="GC38" s="409" t="n"/>
      <c r="GD38" s="409" t="n"/>
      <c r="GE38" s="409" t="n"/>
      <c r="GF38" s="409" t="n"/>
      <c r="GG38" s="409" t="n"/>
      <c r="GH38" s="409" t="n"/>
      <c r="GI38" s="409" t="n"/>
      <c r="GJ38" s="409" t="n"/>
      <c r="GK38" s="409" t="n"/>
      <c r="GL38" s="409" t="n"/>
      <c r="GM38" s="409" t="n"/>
      <c r="GN38" s="409" t="n"/>
      <c r="GO38" s="409" t="n"/>
      <c r="GP38" s="409" t="n"/>
      <c r="GQ38" s="409" t="n"/>
      <c r="GR38" s="409" t="n"/>
      <c r="GS38" s="409" t="n"/>
      <c r="GT38" s="409" t="n"/>
      <c r="GU38" s="409" t="n"/>
    </row>
    <row r="39">
      <c r="A39" s="365" t="n"/>
      <c r="B39" s="605" t="n"/>
      <c r="C39" s="606" t="n"/>
      <c r="E39" s="41" t="n"/>
      <c r="F39" s="41" t="n"/>
      <c r="G39" s="41" t="n"/>
      <c r="H39" s="41" t="n"/>
      <c r="I39" s="41" t="n"/>
      <c r="J39" s="41" t="n"/>
      <c r="K39" s="41" t="n"/>
      <c r="L39" s="41" t="n"/>
      <c r="M39" s="41" t="n"/>
      <c r="N39" s="41" t="n"/>
      <c r="O39" s="41" t="n"/>
      <c r="P39" s="41" t="n"/>
      <c r="Q39" s="41" t="n"/>
      <c r="R39" s="41" t="n"/>
      <c r="S39" s="41" t="n"/>
      <c r="T39" s="41" t="n"/>
      <c r="U39" s="41" t="n"/>
      <c r="V39" s="41" t="n"/>
      <c r="W39" s="41" t="n"/>
      <c r="X39" s="41" t="n"/>
      <c r="Y39" s="41" t="n"/>
      <c r="Z39" s="41" t="n"/>
      <c r="AA39" s="41" t="n"/>
      <c r="AB39" s="41" t="n"/>
      <c r="AC39" s="41" t="n"/>
      <c r="AD39" s="41" t="n"/>
      <c r="AE39" s="41" t="n"/>
      <c r="AF39" s="41" t="n"/>
      <c r="AG39" s="41" t="n"/>
      <c r="AH39" s="41" t="n"/>
      <c r="AI39" s="41" t="n"/>
      <c r="AJ39" s="11" t="n"/>
      <c r="AK39" s="11" t="n"/>
      <c r="AL39" s="409" t="n"/>
      <c r="AM39" s="409" t="n"/>
      <c r="AN39" s="409" t="n"/>
      <c r="AO39" s="409" t="n"/>
      <c r="AP39" s="409" t="n"/>
      <c r="AQ39" s="409" t="n"/>
      <c r="AR39" s="409" t="n"/>
      <c r="AS39" s="409" t="n"/>
      <c r="AT39" s="41" t="n"/>
      <c r="AU39" s="41" t="n"/>
      <c r="AV39" s="41" t="n"/>
      <c r="AW39" s="41" t="n"/>
      <c r="AX39" s="41" t="n"/>
      <c r="AY39" s="41" t="n"/>
      <c r="AZ39" s="41" t="n"/>
      <c r="BA39" s="41" t="n"/>
      <c r="BB39" s="41" t="n"/>
      <c r="BC39" s="41" t="n"/>
      <c r="BD39" s="41" t="n"/>
      <c r="BR39" s="34" t="n"/>
      <c r="BS39" s="34" t="n"/>
      <c r="BT39" s="34" t="n"/>
      <c r="BU39" s="34" t="n"/>
      <c r="BV39" s="34" t="n"/>
      <c r="BW39" s="34" t="n"/>
      <c r="BX39" s="34" t="n"/>
      <c r="BY39" s="34" t="n"/>
      <c r="BZ39" s="34" t="n"/>
      <c r="CA39" s="34" t="n"/>
      <c r="CB39" s="34" t="n"/>
      <c r="CC39" s="34" t="n"/>
      <c r="CD39" s="34" t="n"/>
      <c r="CE39" s="34" t="n"/>
      <c r="CF39" s="34" t="n"/>
      <c r="CG39" s="34" t="n"/>
      <c r="CH39" s="34" t="n"/>
      <c r="CI39" s="34" t="n"/>
      <c r="CJ39" s="34" t="n"/>
      <c r="CK39" s="34" t="n"/>
      <c r="CL39" s="34" t="n"/>
      <c r="CM39" s="34" t="n"/>
      <c r="CN39" s="34" t="n"/>
      <c r="CO39" s="34" t="n"/>
      <c r="CP39" s="34" t="n"/>
      <c r="CQ39" s="34" t="n"/>
      <c r="CR39" s="34" t="n"/>
      <c r="CS39" s="34" t="n"/>
      <c r="CT39" s="34" t="n"/>
      <c r="CU39" s="34" t="n"/>
      <c r="CV39" s="34" t="n"/>
      <c r="CW39" s="34" t="n"/>
      <c r="CX39" s="34" t="n"/>
      <c r="CY39" s="34" t="n"/>
      <c r="CZ39" s="34" t="n"/>
      <c r="DA39" s="34" t="n"/>
      <c r="DB39" s="34" t="n"/>
      <c r="DC39" s="34" t="n"/>
      <c r="DD39" s="34" t="n"/>
      <c r="DE39" s="34" t="n"/>
      <c r="DF39" s="34" t="n"/>
      <c r="DG39" s="34" t="n"/>
      <c r="DH39" s="34" t="n"/>
      <c r="DI39" s="34" t="n"/>
      <c r="DJ39" s="34" t="n"/>
      <c r="DK39" s="34" t="n"/>
      <c r="DL39" s="34" t="n"/>
      <c r="DM39" s="34" t="n"/>
      <c r="DN39" s="34" t="n"/>
      <c r="DO39" s="34" t="n"/>
      <c r="DP39" s="34" t="n"/>
      <c r="DQ39" s="34" t="n"/>
      <c r="DR39" s="34" t="n"/>
      <c r="DS39" s="34" t="n"/>
      <c r="DT39" s="34" t="n"/>
      <c r="DU39" s="34" t="n"/>
      <c r="DV39" s="34" t="n"/>
      <c r="DW39" s="41" t="n"/>
      <c r="DX39" s="41" t="n"/>
      <c r="DY39" s="41" t="n"/>
      <c r="DZ39" s="355" t="n"/>
      <c r="EA39" s="355" t="n"/>
      <c r="EB39" s="34" t="n"/>
      <c r="EC39" s="34" t="n"/>
      <c r="ED39" s="34" t="n"/>
      <c r="EE39" s="34" t="n"/>
      <c r="EF39" s="355" t="n"/>
      <c r="EG39" s="355" t="n"/>
      <c r="EH39" s="34" t="n"/>
      <c r="EI39" s="355" t="n"/>
      <c r="EJ39" s="34" t="n"/>
      <c r="EK39" s="355" t="n"/>
      <c r="EL39" s="34" t="n"/>
      <c r="EM39" s="355" t="n"/>
      <c r="EN39" s="355" t="n"/>
      <c r="EO39" s="34" t="n"/>
      <c r="EP39" s="355" t="n"/>
      <c r="EQ39" s="355" t="n"/>
      <c r="ER39" s="34" t="n"/>
      <c r="ES39" s="355" t="n"/>
      <c r="ET39" s="355" t="n"/>
      <c r="EU39" s="355" t="n"/>
      <c r="EV39" s="358" t="n"/>
      <c r="EW39" s="355" t="n"/>
      <c r="EX39" s="154" t="n"/>
      <c r="EY39" s="355" t="n"/>
      <c r="EZ39" s="154" t="n"/>
      <c r="FA39" s="355" t="n"/>
      <c r="FB39" s="154" t="n"/>
      <c r="FC39" s="355" t="n"/>
      <c r="FD39" s="355" t="n"/>
      <c r="FE39" s="355" t="n"/>
      <c r="FF39" s="355" t="n"/>
      <c r="FG39" s="154" t="n"/>
      <c r="FH39" s="355" t="n"/>
      <c r="FI39" s="154" t="n"/>
      <c r="FJ39" s="355" t="n"/>
      <c r="FK39" s="154" t="n"/>
      <c r="FL39" s="355" t="n"/>
      <c r="FM39" s="355" t="n"/>
      <c r="FN39" s="355" t="n"/>
      <c r="FO39" s="355" t="n"/>
      <c r="FP39" s="154" t="n"/>
      <c r="FQ39" s="154" t="n"/>
      <c r="FR39" s="355" t="n"/>
      <c r="FS39" s="154" t="n"/>
      <c r="FT39" s="154" t="n"/>
      <c r="FU39" s="355" t="n"/>
      <c r="FV39" s="355" t="n"/>
      <c r="FW39" s="154" t="n"/>
      <c r="FX39" s="154" t="n"/>
      <c r="FY39" s="355" t="n"/>
      <c r="FZ39" s="355" t="n"/>
      <c r="GA39" s="154" t="n"/>
      <c r="GB39" s="154" t="n"/>
      <c r="GC39" s="355" t="n"/>
      <c r="GD39" s="355" t="n"/>
      <c r="GE39" s="154" t="n"/>
      <c r="GF39" s="355" t="n"/>
      <c r="GG39" s="154" t="n"/>
      <c r="GH39" s="355" t="n"/>
      <c r="GI39" s="355" t="n"/>
      <c r="GJ39" s="355" t="n"/>
      <c r="GK39" s="154" t="n"/>
      <c r="GL39" s="355" t="n"/>
      <c r="GM39" s="355" t="n"/>
      <c r="GN39" s="355" t="n"/>
      <c r="GO39" s="355" t="n"/>
      <c r="GP39" s="355" t="n"/>
      <c r="GQ39" s="355" t="n"/>
      <c r="GR39" s="355" t="n"/>
      <c r="GS39" s="355" t="n"/>
      <c r="GT39" s="355" t="n"/>
      <c r="GU39" s="355" t="n"/>
    </row>
    <row r="40">
      <c r="A40" s="294" t="n"/>
      <c r="B40" s="378" t="n"/>
      <c r="C40" s="365" t="n"/>
      <c r="E40" s="41" t="n"/>
      <c r="F40" s="41" t="n"/>
      <c r="G40" s="41" t="n"/>
      <c r="H40" s="41" t="n"/>
      <c r="I40" s="41" t="n"/>
      <c r="J40" s="41" t="n"/>
      <c r="K40" s="41" t="n"/>
      <c r="L40" s="41" t="n"/>
      <c r="M40" s="41" t="n"/>
      <c r="N40" s="41" t="n"/>
      <c r="O40" s="41" t="n"/>
      <c r="P40" s="41" t="n"/>
      <c r="Q40" s="41" t="n"/>
      <c r="R40" s="41" t="n"/>
      <c r="S40" s="41" t="n"/>
      <c r="T40" s="41" t="n"/>
      <c r="U40" s="41" t="n"/>
      <c r="V40" s="41" t="n"/>
      <c r="W40" s="41" t="n"/>
      <c r="X40" s="41" t="n"/>
      <c r="Y40" s="41" t="n"/>
      <c r="Z40" s="41" t="n"/>
      <c r="AA40" s="41" t="n"/>
      <c r="AB40" s="41" t="n"/>
      <c r="AC40" s="41" t="n"/>
      <c r="AD40" s="41" t="n"/>
      <c r="AE40" s="41" t="n"/>
      <c r="AF40" s="41" t="n"/>
      <c r="AG40" s="41" t="n"/>
      <c r="AH40" s="41" t="n"/>
      <c r="AI40" s="41" t="n"/>
      <c r="AJ40" s="409" t="n"/>
      <c r="AK40" s="409" t="n"/>
      <c r="AL40" s="409" t="n"/>
      <c r="AM40" s="409" t="n"/>
      <c r="AN40" s="409" t="n"/>
      <c r="AO40" s="409" t="n"/>
      <c r="AP40" s="409" t="n"/>
      <c r="AQ40" s="409" t="n"/>
      <c r="AR40" s="409" t="n"/>
      <c r="AS40" s="409" t="n"/>
      <c r="AT40" s="41" t="n"/>
      <c r="AU40" s="41" t="n"/>
      <c r="AV40" s="41" t="n"/>
      <c r="AW40" s="41" t="n"/>
      <c r="AX40" s="41" t="n"/>
      <c r="AY40" s="41" t="n"/>
      <c r="AZ40" s="41" t="n"/>
      <c r="BA40" s="41" t="n"/>
      <c r="BB40" s="41" t="n"/>
      <c r="BC40" s="41" t="n"/>
      <c r="BD40" s="41" t="n"/>
      <c r="BR40" s="34" t="n"/>
      <c r="BS40" s="34" t="n"/>
      <c r="BT40" s="34" t="n"/>
      <c r="BU40" s="34" t="n"/>
      <c r="BV40" s="34" t="n"/>
      <c r="BW40" s="34" t="n"/>
      <c r="BX40" s="34" t="n"/>
      <c r="BY40" s="34" t="n"/>
      <c r="BZ40" s="34" t="n"/>
      <c r="CA40" s="34" t="n"/>
      <c r="CB40" s="34" t="n"/>
      <c r="CC40" s="34" t="n"/>
      <c r="CD40" s="34" t="n"/>
      <c r="CE40" s="34" t="n"/>
      <c r="CF40" s="34" t="n"/>
      <c r="CG40" s="34" t="n"/>
      <c r="CH40" s="34" t="n"/>
      <c r="CI40" s="34" t="n"/>
      <c r="CJ40" s="34" t="n"/>
      <c r="CK40" s="34" t="n"/>
      <c r="CL40" s="34" t="n"/>
      <c r="CM40" s="34" t="n"/>
      <c r="CN40" s="34" t="n"/>
      <c r="CO40" s="34" t="n"/>
      <c r="CP40" s="34" t="n"/>
      <c r="CQ40" s="34" t="n"/>
      <c r="CR40" s="34" t="n"/>
      <c r="CS40" s="34" t="n"/>
      <c r="CT40" s="34" t="n"/>
      <c r="CU40" s="34" t="n"/>
      <c r="CV40" s="34" t="n"/>
      <c r="CW40" s="34" t="n"/>
      <c r="CX40" s="34" t="n"/>
      <c r="CY40" s="34" t="n"/>
      <c r="CZ40" s="34" t="n"/>
      <c r="DA40" s="34" t="n"/>
      <c r="DB40" s="34" t="n"/>
      <c r="DC40" s="34" t="n"/>
      <c r="DD40" s="34" t="n"/>
      <c r="DE40" s="34" t="n"/>
      <c r="DF40" s="34" t="n"/>
      <c r="DG40" s="34" t="n"/>
      <c r="DH40" s="34" t="n"/>
      <c r="DI40" s="34" t="n"/>
      <c r="DJ40" s="34" t="n"/>
      <c r="DK40" s="34" t="n"/>
      <c r="DL40" s="34" t="n"/>
      <c r="DM40" s="34" t="n"/>
      <c r="DN40" s="34" t="n"/>
      <c r="DO40" s="34" t="n"/>
      <c r="DP40" s="34" t="n"/>
      <c r="DQ40" s="34" t="n"/>
      <c r="DR40" s="34" t="n"/>
      <c r="DS40" s="34" t="n"/>
      <c r="DT40" s="34" t="n"/>
      <c r="DU40" s="34" t="n"/>
      <c r="DV40" s="34" t="n"/>
      <c r="DW40" s="41" t="n"/>
      <c r="DX40" s="41" t="n"/>
      <c r="DY40" s="41" t="n"/>
      <c r="DZ40" s="355" t="n"/>
      <c r="EA40" s="355" t="n"/>
      <c r="EB40" s="34" t="n"/>
      <c r="EC40" s="34" t="n"/>
      <c r="ED40" s="34" t="n"/>
      <c r="EE40" s="34" t="n"/>
      <c r="EF40" s="355" t="n"/>
      <c r="EG40" s="355" t="n"/>
      <c r="EH40" s="34" t="n"/>
      <c r="EI40" s="355" t="n"/>
      <c r="EJ40" s="34" t="n"/>
      <c r="EK40" s="355" t="n"/>
      <c r="EL40" s="34" t="n"/>
      <c r="EM40" s="355" t="n"/>
      <c r="EN40" s="355" t="n"/>
      <c r="EO40" s="34" t="n"/>
      <c r="EP40" s="355" t="n"/>
      <c r="EQ40" s="355" t="n"/>
      <c r="ER40" s="34" t="n"/>
      <c r="ES40" s="355" t="n"/>
      <c r="ET40" s="355" t="n"/>
      <c r="EU40" s="355" t="n"/>
      <c r="EV40" s="373" t="n"/>
      <c r="EW40" s="355" t="n"/>
      <c r="EX40" s="154" t="n"/>
      <c r="EY40" s="355" t="n"/>
      <c r="EZ40" s="154" t="n"/>
      <c r="FA40" s="355" t="n"/>
      <c r="FB40" s="154" t="n"/>
      <c r="FC40" s="355" t="n"/>
      <c r="FD40" s="355" t="n"/>
      <c r="FE40" s="355" t="n"/>
      <c r="FF40" s="355" t="n"/>
      <c r="FG40" s="154" t="n"/>
      <c r="FH40" s="355" t="n"/>
      <c r="FI40" s="154" t="n"/>
      <c r="FJ40" s="355" t="n"/>
      <c r="FK40" s="154" t="n"/>
      <c r="FL40" s="355" t="n"/>
      <c r="FM40" s="355" t="n"/>
      <c r="FN40" s="355" t="n"/>
      <c r="FO40" s="355" t="n"/>
      <c r="FP40" s="154" t="n"/>
      <c r="FQ40" s="154" t="n"/>
      <c r="FR40" s="355" t="n"/>
      <c r="FS40" s="154" t="n"/>
      <c r="FT40" s="154" t="n"/>
      <c r="FU40" s="355" t="n"/>
      <c r="FV40" s="355" t="n"/>
      <c r="FW40" s="154" t="n"/>
      <c r="FX40" s="154" t="n"/>
      <c r="FY40" s="355" t="n"/>
      <c r="FZ40" s="355" t="n"/>
      <c r="GA40" s="154" t="n"/>
      <c r="GB40" s="154" t="n"/>
      <c r="GC40" s="355" t="n"/>
      <c r="GD40" s="355" t="n"/>
      <c r="GE40" s="154" t="n"/>
      <c r="GF40" s="355" t="n"/>
      <c r="GG40" s="154" t="n"/>
      <c r="GH40" s="355" t="n"/>
      <c r="GI40" s="355" t="n"/>
      <c r="GJ40" s="355" t="n"/>
      <c r="GK40" s="154" t="n"/>
      <c r="GL40" s="355" t="n"/>
      <c r="GM40" s="355" t="n"/>
      <c r="GN40" s="355" t="n"/>
      <c r="GO40" s="355" t="n"/>
      <c r="GP40" s="355" t="n"/>
      <c r="GQ40" s="355" t="n"/>
      <c r="GR40" s="355" t="n"/>
      <c r="GS40" s="355" t="n"/>
      <c r="GT40" s="355" t="n"/>
      <c r="GU40" s="355" t="n"/>
    </row>
    <row r="41">
      <c r="A41" s="294" t="n"/>
      <c r="B41" s="378" t="n"/>
      <c r="C41" s="365" t="n"/>
      <c r="E41" s="41" t="n"/>
      <c r="F41" s="41" t="n"/>
      <c r="G41" s="41" t="n"/>
      <c r="H41" s="41" t="n"/>
      <c r="I41" s="41" t="n"/>
      <c r="J41" s="41" t="n"/>
      <c r="K41" s="41" t="n"/>
      <c r="L41" s="41" t="n"/>
      <c r="M41" s="41" t="n"/>
      <c r="N41" s="41" t="n"/>
      <c r="O41" s="41" t="n"/>
      <c r="P41" s="41" t="n"/>
      <c r="Q41" s="41" t="n"/>
      <c r="R41" s="41" t="n"/>
      <c r="S41" s="41" t="n"/>
      <c r="T41" s="41" t="n"/>
      <c r="U41" s="41" t="n"/>
      <c r="V41" s="41" t="n"/>
      <c r="W41" s="41" t="n"/>
      <c r="X41" s="41" t="n"/>
      <c r="Y41" s="41" t="n"/>
      <c r="Z41" s="41" t="n"/>
      <c r="AA41" s="41" t="n"/>
      <c r="AB41" s="41" t="n"/>
      <c r="AC41" s="41" t="n"/>
      <c r="AD41" s="41" t="n"/>
      <c r="AE41" s="41" t="n"/>
      <c r="AF41" s="41" t="n"/>
      <c r="AG41" s="41" t="n"/>
      <c r="AH41" s="41" t="n"/>
      <c r="AI41" s="41" t="n"/>
      <c r="AJ41" s="409" t="n"/>
      <c r="AK41" s="409" t="n"/>
      <c r="AL41" s="41" t="n"/>
      <c r="AM41" s="41" t="n"/>
      <c r="AN41" s="41" t="n"/>
      <c r="AO41" s="41" t="n"/>
      <c r="AP41" s="41" t="n"/>
      <c r="AQ41" s="41" t="n"/>
      <c r="AR41" s="41" t="n"/>
      <c r="AS41" s="41" t="n"/>
      <c r="AT41" s="41" t="n"/>
      <c r="AU41" s="41" t="n"/>
      <c r="AV41" s="41" t="n"/>
      <c r="AW41" s="41" t="n"/>
      <c r="AX41" s="41" t="n"/>
      <c r="AY41" s="41" t="n"/>
      <c r="AZ41" s="41" t="n"/>
      <c r="BA41" s="41" t="n"/>
      <c r="BB41" s="41" t="n"/>
      <c r="BC41" s="41" t="n"/>
      <c r="BD41" s="41" t="n"/>
      <c r="BE41" s="41" t="n"/>
      <c r="BF41" s="41" t="n"/>
      <c r="BG41" s="41" t="n"/>
      <c r="BH41" s="41" t="n"/>
      <c r="BI41" s="41" t="n"/>
      <c r="BJ41" s="41" t="n"/>
      <c r="BK41" s="41" t="n"/>
      <c r="BL41" s="41" t="n"/>
      <c r="BM41" s="41" t="n"/>
      <c r="BN41" s="41" t="n"/>
      <c r="BO41" s="41" t="n"/>
      <c r="BP41" s="41" t="n"/>
      <c r="BQ41" s="41" t="n"/>
      <c r="BR41" s="34" t="n"/>
      <c r="BS41" s="34" t="n"/>
      <c r="BT41" s="34" t="n"/>
      <c r="BU41" s="34" t="n"/>
      <c r="BV41" s="34" t="n"/>
      <c r="BW41" s="34" t="n"/>
      <c r="BX41" s="34" t="n"/>
      <c r="BY41" s="34" t="n"/>
      <c r="BZ41" s="34" t="n"/>
      <c r="CA41" s="34" t="n"/>
      <c r="CB41" s="34" t="n"/>
      <c r="CC41" s="34" t="n"/>
      <c r="CD41" s="34" t="n"/>
      <c r="CE41" s="34" t="n"/>
      <c r="CF41" s="34" t="n"/>
      <c r="CG41" s="34" t="n"/>
      <c r="CH41" s="34" t="n"/>
      <c r="CI41" s="34" t="n"/>
      <c r="CJ41" s="34" t="n"/>
      <c r="CK41" s="34" t="n"/>
      <c r="CL41" s="34" t="n"/>
      <c r="CM41" s="34" t="n"/>
      <c r="CN41" s="34" t="n"/>
      <c r="CO41" s="34" t="n"/>
      <c r="CP41" s="34" t="n"/>
      <c r="CQ41" s="34" t="n"/>
      <c r="CR41" s="34" t="n"/>
      <c r="CS41" s="34" t="n"/>
      <c r="CT41" s="34" t="n"/>
      <c r="CU41" s="34" t="n"/>
      <c r="CV41" s="34" t="n"/>
      <c r="CW41" s="34" t="n"/>
      <c r="CX41" s="34" t="n"/>
      <c r="CY41" s="34" t="n"/>
      <c r="CZ41" s="34" t="n"/>
      <c r="DA41" s="34" t="n"/>
      <c r="DB41" s="34" t="n"/>
      <c r="DC41" s="34" t="n"/>
      <c r="DD41" s="34" t="n"/>
      <c r="DE41" s="34" t="n"/>
      <c r="DF41" s="34" t="n"/>
      <c r="DG41" s="34" t="n"/>
      <c r="DH41" s="34" t="n"/>
      <c r="DI41" s="34" t="n"/>
      <c r="DJ41" s="34" t="n"/>
      <c r="DK41" s="34" t="n"/>
      <c r="DL41" s="34" t="n"/>
      <c r="DM41" s="34" t="n"/>
      <c r="DN41" s="34" t="n"/>
      <c r="DO41" s="34" t="n"/>
      <c r="DP41" s="34" t="n"/>
      <c r="DQ41" s="34" t="n"/>
      <c r="DR41" s="34" t="n"/>
      <c r="DS41" s="34" t="n"/>
      <c r="DT41" s="34" t="n"/>
      <c r="DU41" s="34" t="n"/>
      <c r="DV41" s="34" t="n"/>
      <c r="DW41" s="41" t="n"/>
      <c r="DX41" s="41" t="n"/>
      <c r="DY41" s="41" t="n"/>
      <c r="DZ41" s="34" t="n"/>
      <c r="EA41" s="34" t="n"/>
      <c r="EB41" s="34" t="n"/>
      <c r="EC41" s="34" t="n"/>
      <c r="ED41" s="34" t="n"/>
      <c r="EE41" s="34" t="n"/>
      <c r="EF41" s="34" t="n"/>
      <c r="EG41" s="34" t="n"/>
      <c r="EH41" s="34" t="n"/>
      <c r="EI41" s="34" t="n"/>
      <c r="EJ41" s="34" t="n"/>
      <c r="EK41" s="34" t="n"/>
      <c r="EL41" s="34" t="n"/>
      <c r="EM41" s="34" t="n"/>
      <c r="EN41" s="34" t="n"/>
      <c r="EO41" s="34" t="n"/>
      <c r="EP41" s="34" t="n"/>
      <c r="EQ41" s="34" t="n"/>
      <c r="ER41" s="34" t="n"/>
      <c r="ES41" s="34" t="n"/>
      <c r="ET41" s="34" t="n"/>
      <c r="EU41" s="34" t="n"/>
      <c r="EV41" s="373" t="n"/>
      <c r="EW41" s="34" t="n"/>
      <c r="EX41" s="154" t="n"/>
      <c r="EY41" s="34" t="n"/>
      <c r="EZ41" s="154" t="n"/>
      <c r="FA41" s="34" t="n"/>
      <c r="FB41" s="154" t="n"/>
      <c r="FC41" s="34" t="n"/>
      <c r="FD41" s="34" t="n"/>
      <c r="FE41" s="34" t="n"/>
      <c r="FF41" s="34" t="n"/>
      <c r="FG41" s="154" t="n"/>
      <c r="FH41" s="34" t="n"/>
      <c r="FI41" s="154" t="n"/>
      <c r="FJ41" s="34" t="n"/>
      <c r="FK41" s="154" t="n"/>
      <c r="FL41" s="34" t="n"/>
      <c r="FM41" s="34" t="n"/>
      <c r="FN41" s="34" t="n"/>
      <c r="FO41" s="34" t="n"/>
      <c r="FP41" s="154" t="n"/>
      <c r="FQ41" s="154" t="n"/>
      <c r="FR41" s="34" t="n"/>
      <c r="FS41" s="154" t="n"/>
      <c r="FT41" s="154" t="n"/>
      <c r="FU41" s="34" t="n"/>
      <c r="FV41" s="34" t="n"/>
      <c r="FW41" s="154" t="n"/>
      <c r="FX41" s="154" t="n"/>
      <c r="FY41" s="34" t="n"/>
      <c r="FZ41" s="34" t="n"/>
      <c r="GA41" s="154" t="n"/>
      <c r="GB41" s="154" t="n"/>
      <c r="GC41" s="34" t="n"/>
      <c r="GD41" s="34" t="n"/>
      <c r="GE41" s="154" t="n"/>
      <c r="GF41" s="34" t="n"/>
      <c r="GG41" s="154" t="n"/>
      <c r="GH41" s="34" t="n"/>
      <c r="GI41" s="34" t="n"/>
      <c r="GJ41" s="34" t="n"/>
      <c r="GK41" s="154" t="n"/>
      <c r="GL41" s="34" t="n"/>
      <c r="GM41" s="34" t="n"/>
      <c r="GN41" s="34" t="n"/>
      <c r="GO41" s="34" t="n"/>
      <c r="GP41" s="34" t="n"/>
      <c r="GQ41" s="34" t="n"/>
      <c r="GR41" s="34" t="n"/>
      <c r="GS41" s="34" t="n"/>
      <c r="GT41" s="34" t="n"/>
      <c r="GU41" s="34" t="n"/>
    </row>
    <row r="42">
      <c r="A42" s="406" t="n"/>
      <c r="B42" s="625" t="n"/>
      <c r="C42" s="641" t="n"/>
      <c r="E42" s="41" t="n"/>
      <c r="F42" s="41" t="n"/>
      <c r="G42" s="41" t="n"/>
      <c r="H42" s="41" t="n"/>
      <c r="I42" s="41" t="n"/>
      <c r="J42" s="41" t="n"/>
      <c r="K42" s="41" t="n"/>
      <c r="L42" s="41" t="n"/>
      <c r="M42" s="41" t="n"/>
      <c r="N42" s="41" t="n"/>
      <c r="O42" s="41" t="n"/>
      <c r="P42" s="41" t="n"/>
      <c r="Q42" s="41" t="n"/>
      <c r="R42" s="41" t="n"/>
      <c r="S42" s="41" t="n"/>
      <c r="T42" s="41" t="n"/>
      <c r="U42" s="41" t="n"/>
      <c r="V42" s="41" t="n"/>
      <c r="W42" s="41" t="n"/>
      <c r="X42" s="41" t="n"/>
      <c r="Y42" s="41" t="n"/>
      <c r="Z42" s="41" t="n"/>
      <c r="AA42" s="41" t="n"/>
      <c r="AB42" s="41" t="n"/>
      <c r="AC42" s="41" t="n"/>
      <c r="AD42" s="41" t="n"/>
      <c r="AE42" s="41" t="n"/>
      <c r="AF42" s="41" t="n"/>
      <c r="AG42" s="41" t="n"/>
      <c r="AH42" s="41" t="n"/>
      <c r="AI42" s="41" t="n"/>
      <c r="AJ42" s="41" t="n"/>
      <c r="AK42" s="41" t="n"/>
      <c r="AL42" s="41" t="n"/>
      <c r="AM42" s="41" t="n"/>
      <c r="AN42" s="41" t="n"/>
      <c r="AO42" s="41" t="n"/>
      <c r="AP42" s="41" t="n"/>
      <c r="AQ42" s="41" t="n"/>
      <c r="AR42" s="41" t="n"/>
      <c r="AS42" s="41" t="n"/>
      <c r="AT42" s="41" t="n"/>
      <c r="AU42" s="41" t="n"/>
      <c r="AV42" s="41" t="n"/>
      <c r="AW42" s="41" t="n"/>
      <c r="AX42" s="41" t="n"/>
      <c r="AY42" s="41" t="n"/>
      <c r="AZ42" s="41" t="n"/>
      <c r="BA42" s="41" t="n"/>
      <c r="BB42" s="41" t="n"/>
      <c r="BC42" s="41" t="n"/>
      <c r="BD42" s="41" t="n"/>
      <c r="BE42" s="41" t="n"/>
      <c r="BF42" s="41" t="n"/>
      <c r="BG42" s="41" t="n"/>
      <c r="BH42" s="41" t="n"/>
      <c r="BI42" s="41" t="n"/>
      <c r="BJ42" s="41" t="n"/>
      <c r="BK42" s="41" t="n"/>
      <c r="BL42" s="41" t="n"/>
      <c r="BM42" s="41" t="n"/>
      <c r="BN42" s="41" t="n"/>
      <c r="BO42" s="41" t="n"/>
      <c r="BP42" s="41" t="n"/>
      <c r="BQ42" s="41" t="n"/>
      <c r="BR42" s="34" t="n"/>
      <c r="BS42" s="34" t="n"/>
      <c r="BT42" s="34" t="n"/>
      <c r="BU42" s="34" t="n"/>
      <c r="BV42" s="34" t="n"/>
      <c r="BW42" s="34" t="n"/>
      <c r="BX42" s="34" t="n"/>
      <c r="BY42" s="34" t="n"/>
      <c r="BZ42" s="34" t="n"/>
      <c r="CA42" s="34" t="n"/>
      <c r="CB42" s="34" t="n"/>
      <c r="CC42" s="34" t="n"/>
      <c r="CD42" s="34" t="n"/>
      <c r="CE42" s="34" t="n"/>
      <c r="CF42" s="34" t="n"/>
      <c r="CG42" s="34" t="n"/>
      <c r="CH42" s="34" t="n"/>
      <c r="CI42" s="34" t="n"/>
      <c r="CJ42" s="34" t="n"/>
      <c r="CK42" s="34" t="n"/>
      <c r="CL42" s="34" t="n"/>
      <c r="CM42" s="34" t="n"/>
      <c r="CN42" s="34" t="n"/>
      <c r="CO42" s="34" t="n"/>
      <c r="CP42" s="34" t="n"/>
      <c r="CQ42" s="34" t="n"/>
      <c r="CR42" s="34" t="n"/>
      <c r="CS42" s="370" t="n"/>
      <c r="CT42" s="370" t="n"/>
      <c r="CU42" s="370" t="n"/>
      <c r="CV42" s="370" t="n"/>
      <c r="CW42" s="370" t="n"/>
      <c r="CX42" s="370" t="n"/>
      <c r="CY42" s="370" t="n"/>
      <c r="CZ42" s="370" t="n"/>
      <c r="DA42" s="370" t="n"/>
      <c r="DB42" s="370" t="n"/>
      <c r="DC42" s="370" t="n"/>
      <c r="DD42" s="370" t="n"/>
      <c r="DE42" s="370" t="n"/>
      <c r="DF42" s="370" t="n"/>
      <c r="DG42" s="370" t="n"/>
      <c r="DH42" s="370" t="n"/>
      <c r="DI42" s="370" t="n"/>
      <c r="DJ42" s="370" t="n"/>
      <c r="DK42" s="370" t="n"/>
      <c r="DL42" s="370" t="n"/>
      <c r="DM42" s="370" t="n"/>
      <c r="DN42" s="370" t="n"/>
      <c r="DO42" s="370" t="n"/>
      <c r="DP42" s="370" t="n"/>
      <c r="DQ42" s="370" t="n"/>
      <c r="DR42" s="370" t="n"/>
      <c r="DS42" s="370" t="n"/>
      <c r="DT42" s="370" t="n"/>
      <c r="DU42" s="370" t="n"/>
      <c r="DV42" s="34" t="n"/>
      <c r="DW42" s="41" t="n"/>
      <c r="DX42" s="41" t="n"/>
      <c r="DY42" s="41" t="n"/>
      <c r="DZ42" s="34" t="n"/>
      <c r="EA42" s="34" t="n"/>
      <c r="EB42" s="34" t="n"/>
      <c r="EF42" s="34" t="n"/>
      <c r="EG42" s="34" t="n"/>
      <c r="EI42" s="34" t="n"/>
      <c r="EK42" s="34" t="n"/>
      <c r="EM42" s="34" t="n"/>
      <c r="EN42" s="34" t="n"/>
      <c r="EP42" s="34" t="n"/>
      <c r="EQ42" s="34" t="n"/>
      <c r="ES42" s="34" t="n"/>
      <c r="ET42" s="34" t="n"/>
      <c r="EU42" s="34" t="n"/>
      <c r="EV42" s="34" t="n"/>
      <c r="EW42" s="34" t="n"/>
      <c r="EX42" s="71" t="n"/>
      <c r="EY42" s="34" t="n"/>
      <c r="EZ42" s="71" t="n"/>
      <c r="FA42" s="34" t="n"/>
      <c r="FB42" s="71" t="n"/>
      <c r="FC42" s="34" t="n"/>
      <c r="FD42" s="34" t="n"/>
      <c r="FE42" s="34" t="n"/>
      <c r="FF42" s="34" t="n"/>
      <c r="FG42" s="71" t="n"/>
      <c r="FH42" s="34" t="n"/>
      <c r="FI42" s="71" t="n"/>
      <c r="FJ42" s="34" t="n"/>
      <c r="FK42" s="71" t="n"/>
      <c r="FL42" s="34" t="n"/>
      <c r="FM42" s="34" t="n"/>
      <c r="FN42" s="34" t="n"/>
      <c r="FO42" s="34" t="n"/>
      <c r="FP42" s="71" t="n"/>
      <c r="FQ42" s="71" t="n"/>
      <c r="FR42" s="34" t="n"/>
      <c r="FS42" s="71" t="n"/>
      <c r="FT42" s="71" t="n"/>
      <c r="FU42" s="34" t="n"/>
      <c r="FV42" s="34" t="n"/>
      <c r="FW42" s="71" t="n"/>
      <c r="FX42" s="71" t="n"/>
      <c r="FY42" s="34" t="n"/>
      <c r="FZ42" s="34" t="n"/>
      <c r="GA42" s="71" t="n"/>
      <c r="GB42" s="71" t="n"/>
      <c r="GC42" s="34" t="n"/>
      <c r="GD42" s="34" t="n"/>
      <c r="GE42" s="71" t="n"/>
      <c r="GF42" s="34" t="n"/>
      <c r="GG42" s="71" t="n"/>
      <c r="GH42" s="34" t="n"/>
      <c r="GI42" s="34" t="n"/>
      <c r="GJ42" s="34" t="n"/>
      <c r="GK42" s="71" t="n"/>
      <c r="GL42" s="34" t="n"/>
      <c r="GM42" s="34" t="n"/>
      <c r="GN42" s="34" t="n"/>
      <c r="GO42" s="34" t="n"/>
      <c r="GP42" s="34" t="n"/>
      <c r="GQ42" s="34" t="n"/>
      <c r="GR42" s="34" t="n"/>
      <c r="GS42" s="34" t="n"/>
      <c r="GT42" s="34" t="n"/>
      <c r="GU42" s="34" t="n"/>
    </row>
    <row r="43">
      <c r="E43" s="41" t="n"/>
      <c r="F43" s="41" t="n"/>
      <c r="G43" s="41" t="n"/>
      <c r="H43" s="41" t="n"/>
      <c r="I43" s="41" t="n"/>
      <c r="J43" s="41" t="n"/>
      <c r="K43" s="41" t="n"/>
      <c r="L43" s="41" t="n"/>
      <c r="M43" s="41" t="n"/>
      <c r="N43" s="41" t="n"/>
      <c r="O43" s="41" t="n"/>
      <c r="P43" s="41" t="n"/>
      <c r="Q43" s="41" t="n"/>
      <c r="R43" s="41" t="n"/>
      <c r="S43" s="41" t="n"/>
      <c r="T43" s="41" t="n"/>
      <c r="U43" s="41" t="n"/>
      <c r="V43" s="41" t="n"/>
      <c r="W43" s="41" t="n"/>
      <c r="X43" s="41" t="n"/>
      <c r="Y43" s="41" t="n"/>
      <c r="Z43" s="41" t="n"/>
      <c r="AA43" s="41" t="n"/>
      <c r="AB43" s="41" t="n"/>
      <c r="AC43" s="41" t="n"/>
      <c r="AD43" s="41" t="n"/>
      <c r="AE43" s="41" t="n"/>
      <c r="AF43" s="41" t="n"/>
      <c r="AG43" s="355" t="n"/>
      <c r="AH43" s="41" t="n"/>
      <c r="AI43" s="41" t="n"/>
      <c r="AJ43" s="41" t="n"/>
      <c r="AK43" s="41" t="n"/>
      <c r="AL43" s="41" t="n"/>
      <c r="AM43" s="41" t="n"/>
      <c r="AN43" s="41" t="n"/>
      <c r="AO43" s="41" t="n"/>
      <c r="AP43" s="41" t="n"/>
      <c r="AQ43" s="41" t="n"/>
      <c r="AR43" s="41" t="n"/>
      <c r="AS43" s="41" t="n"/>
      <c r="BD43" s="41" t="n"/>
      <c r="BE43" s="41" t="n"/>
      <c r="BF43" s="41" t="n"/>
      <c r="BG43" s="41" t="n"/>
      <c r="BH43" s="41" t="n"/>
      <c r="BI43" s="41" t="n"/>
      <c r="BJ43" s="41" t="n"/>
      <c r="BK43" s="41" t="n"/>
      <c r="BL43" s="41" t="n"/>
      <c r="BM43" s="41" t="n"/>
      <c r="BN43" s="41" t="n"/>
      <c r="BO43" s="41" t="n"/>
      <c r="BP43" s="41" t="n"/>
      <c r="BQ43" s="41" t="n"/>
      <c r="BR43" s="34" t="n"/>
      <c r="BS43" s="34" t="n"/>
      <c r="BT43" s="34" t="n"/>
      <c r="BU43" s="34" t="n"/>
      <c r="BV43" s="34" t="n"/>
      <c r="BW43" s="34" t="n"/>
      <c r="BX43" s="34" t="n"/>
      <c r="BY43" s="34" t="n"/>
      <c r="BZ43" s="34" t="n"/>
      <c r="CA43" s="34" t="n"/>
      <c r="CB43" s="34" t="n"/>
      <c r="CC43" s="34" t="n"/>
      <c r="CD43" s="34" t="n"/>
      <c r="CE43" s="34" t="n"/>
      <c r="CF43" s="34" t="n"/>
      <c r="CG43" s="34" t="n"/>
      <c r="CH43" s="34" t="n"/>
      <c r="CI43" s="34" t="n"/>
      <c r="CJ43" s="34" t="n"/>
      <c r="CK43" s="34" t="n"/>
      <c r="CL43" s="34" t="n"/>
      <c r="CM43" s="34" t="n"/>
      <c r="CN43" s="34" t="n"/>
      <c r="CO43" s="34" t="n"/>
      <c r="CP43" s="34" t="n"/>
      <c r="CQ43" s="34" t="n"/>
      <c r="CR43" s="34" t="n"/>
      <c r="CS43" s="370" t="n"/>
      <c r="CT43" s="370" t="n"/>
      <c r="CU43" s="370" t="n"/>
      <c r="CV43" s="370" t="n"/>
      <c r="CW43" s="370" t="n"/>
      <c r="CX43" s="370" t="n"/>
      <c r="CY43" s="370" t="n"/>
      <c r="CZ43" s="370" t="n"/>
      <c r="DA43" s="370" t="n"/>
      <c r="DB43" s="370" t="n"/>
      <c r="DC43" s="370" t="n"/>
      <c r="DD43" s="370" t="n"/>
      <c r="DE43" s="370" t="n"/>
      <c r="DF43" s="370" t="n"/>
      <c r="DG43" s="370" t="n"/>
      <c r="DH43" s="370" t="n"/>
      <c r="DI43" s="370" t="n"/>
      <c r="DJ43" s="370" t="n"/>
      <c r="DK43" s="370" t="n"/>
      <c r="DL43" s="370" t="n"/>
      <c r="DM43" s="370" t="n"/>
      <c r="DN43" s="370" t="n"/>
      <c r="DO43" s="370" t="n"/>
      <c r="DP43" s="370" t="n"/>
      <c r="DQ43" s="370" t="n"/>
      <c r="DR43" s="370" t="n"/>
      <c r="DS43" s="370" t="n"/>
      <c r="DT43" s="370" t="n"/>
      <c r="DU43" s="370" t="n"/>
      <c r="DV43" s="34" t="n"/>
      <c r="DW43" s="41" t="n"/>
      <c r="DX43" s="41" t="n"/>
      <c r="DY43" s="41" t="n"/>
      <c r="DZ43" s="34" t="n"/>
      <c r="EA43" s="34" t="n"/>
      <c r="EB43" s="34" t="n"/>
      <c r="EF43" s="34" t="n"/>
      <c r="EG43" s="34" t="n"/>
      <c r="EI43" s="34" t="n"/>
      <c r="EK43" s="34" t="n"/>
      <c r="EM43" s="34" t="n"/>
      <c r="EN43" s="34" t="n"/>
      <c r="EP43" s="34" t="n"/>
      <c r="EQ43" s="34" t="n"/>
      <c r="ES43" s="34" t="n"/>
      <c r="ET43" s="34" t="n"/>
      <c r="EU43" s="34" t="n"/>
      <c r="EV43" s="34" t="n"/>
      <c r="EW43" s="34" t="n"/>
      <c r="EX43" s="71" t="n"/>
      <c r="EY43" s="34" t="n"/>
      <c r="EZ43" s="71" t="n"/>
      <c r="FA43" s="34" t="n"/>
      <c r="FB43" s="71" t="n"/>
      <c r="FC43" s="34" t="n"/>
      <c r="FD43" s="34" t="n"/>
      <c r="FE43" s="34" t="n"/>
      <c r="FF43" s="34" t="n"/>
      <c r="FG43" s="71" t="n"/>
      <c r="FH43" s="34" t="n"/>
      <c r="FI43" s="71" t="n"/>
      <c r="FJ43" s="34" t="n"/>
      <c r="FK43" s="71" t="n"/>
      <c r="FL43" s="34" t="n"/>
      <c r="FM43" s="34" t="n"/>
      <c r="FN43" s="34" t="n"/>
      <c r="FO43" s="34" t="n"/>
      <c r="FP43" s="71" t="n"/>
      <c r="FQ43" s="71" t="n"/>
      <c r="FR43" s="34" t="n"/>
      <c r="FS43" s="71" t="n"/>
      <c r="FT43" s="71" t="n"/>
      <c r="FU43" s="34" t="n"/>
      <c r="FV43" s="34" t="n"/>
      <c r="FW43" s="71" t="n"/>
      <c r="FX43" s="71" t="n"/>
      <c r="FY43" s="34" t="n"/>
      <c r="FZ43" s="34" t="n"/>
      <c r="GA43" s="71" t="n"/>
      <c r="GB43" s="71" t="n"/>
      <c r="GC43" s="34" t="n"/>
      <c r="GD43" s="34" t="n"/>
      <c r="GE43" s="71" t="n"/>
      <c r="GF43" s="34" t="n"/>
      <c r="GG43" s="71" t="n"/>
      <c r="GH43" s="34" t="n"/>
      <c r="GI43" s="34" t="n"/>
      <c r="GJ43" s="34" t="n"/>
      <c r="GK43" s="71" t="n"/>
      <c r="GL43" s="34" t="n"/>
      <c r="GM43" s="34" t="n"/>
      <c r="GN43" s="34" t="n"/>
      <c r="GO43" s="34" t="n"/>
      <c r="GP43" s="34" t="n"/>
      <c r="GQ43" s="34" t="n"/>
      <c r="GR43" s="34" t="n"/>
      <c r="GS43" s="34" t="n"/>
      <c r="GT43" s="34" t="n"/>
      <c r="GU43" s="34" t="n"/>
    </row>
    <row r="44">
      <c r="A44" s="642" t="inlineStr">
        <is>
          <t>FLACONETES</t>
        </is>
      </c>
      <c r="B44" s="625" t="n"/>
      <c r="C44" s="625" t="n"/>
      <c r="D44" s="641" t="n"/>
      <c r="F44" s="643" t="n">
        <v>46013</v>
      </c>
      <c r="G44" s="643" t="n">
        <v>46020</v>
      </c>
      <c r="H44" s="643" t="n">
        <v>46027</v>
      </c>
      <c r="I44" s="643" t="n">
        <v>46034</v>
      </c>
      <c r="J44" s="643" t="n">
        <v>46041</v>
      </c>
      <c r="K44" s="643" t="n">
        <v>46048</v>
      </c>
      <c r="L44" s="643" t="n">
        <v>46055</v>
      </c>
      <c r="M44" s="643" t="n">
        <v>46062</v>
      </c>
      <c r="N44" s="643" t="n">
        <v>46069</v>
      </c>
      <c r="O44" s="643" t="n">
        <v>46076</v>
      </c>
      <c r="P44" s="643" t="n">
        <v>46083</v>
      </c>
      <c r="Q44" s="643" t="n">
        <v>46090</v>
      </c>
      <c r="R44" s="643" t="n">
        <v>46097</v>
      </c>
      <c r="S44" s="643" t="n">
        <v>46104</v>
      </c>
      <c r="T44" s="643" t="n">
        <v>46111</v>
      </c>
      <c r="U44" s="643" t="n">
        <v>46118</v>
      </c>
      <c r="V44" s="643" t="n">
        <v>46125</v>
      </c>
      <c r="W44" s="643" t="n">
        <v>46132</v>
      </c>
      <c r="X44" s="643" t="n">
        <v>46139</v>
      </c>
      <c r="Y44" s="643" t="n">
        <v>46146</v>
      </c>
      <c r="Z44" s="643" t="n">
        <v>46154</v>
      </c>
      <c r="AA44" s="643" t="n">
        <v>46160</v>
      </c>
      <c r="AB44" s="644" t="n">
        <v>46161.48012530093</v>
      </c>
      <c r="AC44" s="644" t="n">
        <v>46161.48079888889</v>
      </c>
      <c r="AD44" s="644" t="n">
        <v>46161.48295664623</v>
      </c>
      <c r="AH44" s="355" t="n"/>
      <c r="AI44" s="355" t="n"/>
      <c r="AJ44" s="71" t="n"/>
      <c r="AK44" s="41" t="n"/>
      <c r="AL44" s="41" t="n"/>
      <c r="AM44" s="41" t="n"/>
      <c r="AN44" s="41" t="n"/>
      <c r="AO44" s="41" t="n"/>
      <c r="AP44" s="41" t="n"/>
      <c r="AQ44" s="41" t="n"/>
      <c r="AR44" s="41" t="n"/>
      <c r="AS44" s="41" t="n"/>
      <c r="BE44" s="41" t="n"/>
      <c r="BF44" s="41" t="n"/>
      <c r="BG44" s="41" t="n"/>
      <c r="BH44" s="41" t="n"/>
      <c r="BI44" s="41" t="n"/>
      <c r="BJ44" s="41" t="n"/>
      <c r="BK44" s="41" t="n"/>
      <c r="BL44" s="41" t="n"/>
      <c r="BM44" s="41" t="n"/>
      <c r="BN44" s="41" t="n"/>
      <c r="BO44" s="41" t="n"/>
      <c r="BP44" s="41" t="n"/>
      <c r="BQ44" s="41" t="n"/>
    </row>
    <row r="45" hidden="1" ht="18.75" customHeight="1">
      <c r="A45" s="645" t="inlineStr">
        <is>
          <t>ARBO ATLANTICA</t>
        </is>
      </c>
      <c r="B45" s="625" t="n"/>
      <c r="C45" s="625" t="n"/>
      <c r="D45" s="641" t="n"/>
      <c r="F45" s="366" t="n">
        <v>20</v>
      </c>
      <c r="G45" s="366" t="n">
        <v>16</v>
      </c>
      <c r="H45" s="366" t="n">
        <v>18</v>
      </c>
      <c r="I45" s="366" t="n">
        <v>18</v>
      </c>
      <c r="J45" s="366" t="n">
        <v>11</v>
      </c>
      <c r="K45" s="366" t="n">
        <v>11</v>
      </c>
      <c r="L45" s="366" t="n">
        <v>11</v>
      </c>
      <c r="M45" s="366" t="n">
        <v>11</v>
      </c>
      <c r="N45" s="366" t="n">
        <v>11</v>
      </c>
      <c r="O45" s="366" t="n">
        <v>11</v>
      </c>
      <c r="P45" s="366" t="n">
        <v>11</v>
      </c>
      <c r="Q45" s="366" t="n">
        <v>3</v>
      </c>
      <c r="R45" s="366" t="n">
        <v>3</v>
      </c>
      <c r="S45" s="366" t="n">
        <v>3</v>
      </c>
      <c r="T45" s="366" t="n">
        <v>3</v>
      </c>
      <c r="U45" s="366" t="n">
        <v>3</v>
      </c>
      <c r="V45" s="366" t="n">
        <v>0</v>
      </c>
      <c r="W45" s="366" t="n">
        <v>0</v>
      </c>
      <c r="X45" s="366" t="n">
        <v>0</v>
      </c>
      <c r="Y45" s="366" t="n">
        <v>0</v>
      </c>
      <c r="Z45" s="366" t="n"/>
      <c r="AA45" s="366" t="n"/>
      <c r="AB45" s="646" t="n"/>
      <c r="AC45" s="646" t="n"/>
      <c r="AD45" s="646" t="n"/>
      <c r="AJ45" s="41" t="n"/>
      <c r="AK45" s="41" t="n"/>
    </row>
    <row r="46" hidden="1" ht="18.75" customHeight="1">
      <c r="A46" s="645" t="inlineStr">
        <is>
          <t>QUASAR DEEP BLUE</t>
        </is>
      </c>
      <c r="B46" s="625" t="n"/>
      <c r="C46" s="625" t="n"/>
      <c r="D46" s="641" t="n"/>
      <c r="F46" s="366" t="n">
        <v>7</v>
      </c>
      <c r="G46" s="366" t="n">
        <v>5</v>
      </c>
      <c r="H46" s="366" t="n">
        <v>8</v>
      </c>
      <c r="I46" s="366" t="n">
        <v>8</v>
      </c>
      <c r="J46" s="366" t="n">
        <v>4</v>
      </c>
      <c r="K46" s="366" t="n">
        <v>4</v>
      </c>
      <c r="L46" s="366" t="n">
        <v>5</v>
      </c>
      <c r="M46" s="366" t="n">
        <v>5</v>
      </c>
      <c r="N46" s="366" t="n">
        <v>5</v>
      </c>
      <c r="O46" s="366" t="n">
        <v>5</v>
      </c>
      <c r="P46" s="366" t="n">
        <v>5</v>
      </c>
      <c r="Q46" s="366" t="n">
        <v>0</v>
      </c>
      <c r="R46" s="366" t="n">
        <v>0</v>
      </c>
      <c r="S46" s="366" t="n">
        <v>0</v>
      </c>
      <c r="T46" s="366" t="n">
        <v>0</v>
      </c>
      <c r="U46" s="366" t="n">
        <v>0</v>
      </c>
      <c r="V46" s="366" t="n">
        <v>0</v>
      </c>
      <c r="W46" s="366" t="n">
        <v>0</v>
      </c>
      <c r="X46" s="366" t="n">
        <v>0</v>
      </c>
      <c r="Y46" s="366" t="n">
        <v>0</v>
      </c>
      <c r="Z46" s="366" t="n"/>
      <c r="AA46" s="366" t="n"/>
      <c r="AB46" s="646" t="n"/>
      <c r="AC46" s="646" t="n"/>
      <c r="AD46" s="646" t="n"/>
    </row>
    <row r="47">
      <c r="A47" s="645" t="inlineStr">
        <is>
          <t>PROTETOR DE COR 7.0</t>
        </is>
      </c>
      <c r="B47" s="625" t="n"/>
      <c r="C47" s="625" t="n"/>
      <c r="D47" s="641" t="n"/>
      <c r="F47" s="366" t="n">
        <v>1</v>
      </c>
      <c r="G47" s="366" t="n">
        <v>1</v>
      </c>
      <c r="H47" s="366" t="n">
        <v>2</v>
      </c>
      <c r="I47" s="366" t="n">
        <v>2</v>
      </c>
      <c r="J47" s="366" t="n">
        <v>2</v>
      </c>
      <c r="K47" s="366" t="n">
        <v>2</v>
      </c>
      <c r="L47" s="366" t="n">
        <v>2</v>
      </c>
      <c r="M47" s="366" t="n">
        <v>2</v>
      </c>
      <c r="N47" s="366" t="n">
        <v>2</v>
      </c>
      <c r="O47" s="366" t="n">
        <v>2</v>
      </c>
      <c r="P47" s="366" t="n">
        <v>2</v>
      </c>
      <c r="Q47" s="366" t="n">
        <v>2</v>
      </c>
      <c r="R47" s="366" t="n">
        <v>2</v>
      </c>
      <c r="S47" s="366" t="n">
        <v>2</v>
      </c>
      <c r="T47" s="366" t="n">
        <v>2</v>
      </c>
      <c r="U47" s="366" t="n">
        <v>2</v>
      </c>
      <c r="V47" s="366" t="n">
        <v>2</v>
      </c>
      <c r="W47" s="366" t="n">
        <v>2</v>
      </c>
      <c r="X47" s="366" t="n">
        <v>2</v>
      </c>
      <c r="Y47" s="366" t="n">
        <v>2</v>
      </c>
      <c r="Z47" s="366" t="n">
        <v>2</v>
      </c>
      <c r="AA47" s="366" t="n"/>
      <c r="AB47" s="646" t="n"/>
      <c r="AC47" s="646" t="n"/>
      <c r="AD47" s="646" t="n"/>
      <c r="AL47" s="11" t="n"/>
      <c r="AM47" s="11" t="n"/>
      <c r="AN47" s="11" t="n"/>
      <c r="AO47" s="11" t="n"/>
      <c r="AP47" s="11" t="n"/>
      <c r="AQ47" s="11" t="n"/>
      <c r="AR47" s="11" t="n"/>
      <c r="AS47" s="11" t="n"/>
    </row>
    <row r="48">
      <c r="A48" s="645" t="inlineStr">
        <is>
          <t>AMOURUDA</t>
        </is>
      </c>
      <c r="B48" s="625" t="n"/>
      <c r="C48" s="625" t="n"/>
      <c r="D48" s="641" t="n"/>
      <c r="F48" s="366" t="n">
        <v>31</v>
      </c>
      <c r="G48" s="366" t="n">
        <v>31</v>
      </c>
      <c r="H48" s="366" t="n">
        <v>27</v>
      </c>
      <c r="I48" s="366" t="n">
        <v>27</v>
      </c>
      <c r="J48" s="366" t="n">
        <v>19</v>
      </c>
      <c r="K48" s="366" t="n">
        <v>19</v>
      </c>
      <c r="L48" s="366" t="n">
        <v>14</v>
      </c>
      <c r="M48" s="366" t="n">
        <v>14</v>
      </c>
      <c r="N48" s="366" t="n">
        <v>14</v>
      </c>
      <c r="O48" s="366" t="n">
        <v>14</v>
      </c>
      <c r="P48" s="366" t="n">
        <v>12</v>
      </c>
      <c r="Q48" s="366" t="n">
        <v>10</v>
      </c>
      <c r="R48" s="366" t="n">
        <v>10</v>
      </c>
      <c r="S48" s="366" t="n">
        <v>10</v>
      </c>
      <c r="T48" s="366" t="n">
        <v>10</v>
      </c>
      <c r="U48" s="366" t="n">
        <v>9</v>
      </c>
      <c r="V48" s="366" t="n">
        <v>2</v>
      </c>
      <c r="W48" s="366" t="n">
        <v>2</v>
      </c>
      <c r="X48" s="366" t="n">
        <v>1</v>
      </c>
      <c r="Y48" s="366" t="n">
        <v>1</v>
      </c>
      <c r="Z48" s="366" t="n">
        <v>1</v>
      </c>
      <c r="AA48" s="366" t="n"/>
      <c r="AB48" s="646" t="n"/>
      <c r="AC48" s="646" t="n"/>
      <c r="AD48" s="646" t="n"/>
      <c r="AJ48" s="11" t="n"/>
      <c r="AK48" s="11" t="n"/>
    </row>
    <row r="49">
      <c r="A49" s="645" t="inlineStr">
        <is>
          <t>SHAMPOO UVA</t>
        </is>
      </c>
      <c r="B49" s="625" t="n"/>
      <c r="C49" s="625" t="n"/>
      <c r="D49" s="641" t="n"/>
      <c r="F49" s="366" t="n">
        <v>4</v>
      </c>
      <c r="G49" s="366" t="n">
        <v>4</v>
      </c>
      <c r="H49" s="366" t="n">
        <v>5</v>
      </c>
      <c r="I49" s="366" t="n">
        <v>5</v>
      </c>
      <c r="J49" s="366" t="n">
        <v>13</v>
      </c>
      <c r="K49" s="366" t="n">
        <v>13</v>
      </c>
      <c r="L49" s="366" t="n">
        <v>13</v>
      </c>
      <c r="M49" s="366" t="n">
        <v>13</v>
      </c>
      <c r="N49" s="366" t="n">
        <v>13</v>
      </c>
      <c r="O49" s="366" t="n">
        <v>13</v>
      </c>
      <c r="P49" s="366" t="n">
        <v>13</v>
      </c>
      <c r="Q49" s="366" t="n">
        <v>4</v>
      </c>
      <c r="R49" s="366" t="n">
        <v>4</v>
      </c>
      <c r="S49" s="366" t="n">
        <v>4</v>
      </c>
      <c r="T49" s="366" t="n">
        <v>4</v>
      </c>
      <c r="U49" s="366" t="n">
        <v>4</v>
      </c>
      <c r="V49" s="366" t="n">
        <v>4</v>
      </c>
      <c r="W49" s="366" t="n">
        <v>4</v>
      </c>
      <c r="X49" s="366" t="n">
        <v>4</v>
      </c>
      <c r="Y49" s="366" t="n">
        <v>4</v>
      </c>
      <c r="Z49" s="366" t="n">
        <v>4</v>
      </c>
      <c r="AA49" s="366" t="n"/>
      <c r="AB49" s="646" t="n"/>
      <c r="AC49" s="646" t="n"/>
      <c r="AD49" s="646" t="n"/>
    </row>
    <row r="50">
      <c r="A50" s="645" t="inlineStr">
        <is>
          <t>MASCARA UVA</t>
        </is>
      </c>
      <c r="B50" s="625" t="n"/>
      <c r="C50" s="625" t="n"/>
      <c r="D50" s="641" t="n"/>
      <c r="F50" s="366" t="n">
        <v>4</v>
      </c>
      <c r="G50" s="366" t="n">
        <v>4</v>
      </c>
      <c r="H50" s="366" t="n">
        <v>4</v>
      </c>
      <c r="I50" s="366" t="n">
        <v>4</v>
      </c>
      <c r="J50" s="366" t="n">
        <v>0</v>
      </c>
      <c r="K50" s="366" t="n">
        <v>0</v>
      </c>
      <c r="L50" s="366" t="n">
        <v>0</v>
      </c>
      <c r="M50" s="366" t="n">
        <v>0</v>
      </c>
      <c r="N50" s="366" t="n">
        <v>0</v>
      </c>
      <c r="O50" s="366" t="n">
        <v>0</v>
      </c>
      <c r="P50" s="366" t="n">
        <v>0</v>
      </c>
      <c r="Q50" s="366" t="n">
        <v>4</v>
      </c>
      <c r="R50" s="366" t="n">
        <v>4</v>
      </c>
      <c r="S50" s="366" t="n">
        <v>4</v>
      </c>
      <c r="T50" s="366" t="n">
        <v>4</v>
      </c>
      <c r="U50" s="366" t="n">
        <v>4</v>
      </c>
      <c r="V50" s="366" t="n">
        <v>4</v>
      </c>
      <c r="W50" s="366" t="n">
        <v>4</v>
      </c>
      <c r="X50" s="366" t="n">
        <v>4</v>
      </c>
      <c r="Y50" s="366" t="n">
        <v>4</v>
      </c>
      <c r="Z50" s="366" t="n">
        <v>4</v>
      </c>
      <c r="AA50" s="366" t="n"/>
      <c r="AB50" s="646" t="n"/>
      <c r="AC50" s="646" t="n"/>
      <c r="AD50" s="646" t="n"/>
    </row>
    <row r="51" hidden="1" ht="18.75" customHeight="1">
      <c r="A51" s="645" t="inlineStr">
        <is>
          <t>CONDICIONADOR</t>
        </is>
      </c>
      <c r="B51" s="625" t="n"/>
      <c r="C51" s="625" t="n"/>
      <c r="D51" s="641" t="n"/>
      <c r="F51" s="366" t="n">
        <v>4</v>
      </c>
      <c r="G51" s="366" t="n">
        <v>4</v>
      </c>
      <c r="H51" s="366" t="n">
        <v>4</v>
      </c>
      <c r="I51" s="366" t="n">
        <v>4</v>
      </c>
      <c r="J51" s="366" t="n">
        <v>0</v>
      </c>
      <c r="K51" s="366" t="n">
        <v>0</v>
      </c>
      <c r="L51" s="366" t="n">
        <v>0</v>
      </c>
      <c r="M51" s="366" t="n">
        <v>0</v>
      </c>
      <c r="N51" s="366" t="n">
        <v>0</v>
      </c>
      <c r="O51" s="366" t="n">
        <v>0</v>
      </c>
      <c r="P51" s="366" t="n">
        <v>0</v>
      </c>
      <c r="Q51" s="366" t="n">
        <v>0</v>
      </c>
      <c r="R51" s="366" t="n">
        <v>0</v>
      </c>
      <c r="S51" s="366" t="n">
        <v>0</v>
      </c>
      <c r="T51" s="366" t="n">
        <v>0</v>
      </c>
      <c r="U51" s="366" t="n">
        <v>0</v>
      </c>
      <c r="V51" s="366" t="n">
        <v>0</v>
      </c>
      <c r="W51" s="366" t="n">
        <v>0</v>
      </c>
      <c r="X51" s="366" t="n">
        <v>0</v>
      </c>
      <c r="Y51" s="366" t="n">
        <v>0</v>
      </c>
      <c r="Z51" s="366" t="n"/>
      <c r="AA51" s="366" t="n"/>
      <c r="AB51" s="646" t="n"/>
      <c r="AC51" s="646" t="n"/>
      <c r="AD51" s="646" t="n"/>
    </row>
    <row r="52">
      <c r="A52" s="645" t="inlineStr">
        <is>
          <t>CREME PARA PENTEAR CACHOS</t>
        </is>
      </c>
      <c r="B52" s="625" t="n"/>
      <c r="C52" s="625" t="n"/>
      <c r="D52" s="641" t="n"/>
      <c r="F52" s="366" t="n">
        <v>23</v>
      </c>
      <c r="G52" s="366" t="n">
        <v>23</v>
      </c>
      <c r="H52" s="366" t="n">
        <v>24</v>
      </c>
      <c r="I52" s="366" t="n">
        <v>24</v>
      </c>
      <c r="J52" s="366" t="n">
        <v>21</v>
      </c>
      <c r="K52" s="366" t="n">
        <v>21</v>
      </c>
      <c r="L52" s="366" t="n">
        <v>21</v>
      </c>
      <c r="M52" s="366" t="n">
        <v>21</v>
      </c>
      <c r="N52" s="366" t="n">
        <v>21</v>
      </c>
      <c r="O52" s="366" t="n">
        <v>21</v>
      </c>
      <c r="P52" s="366" t="n">
        <v>21</v>
      </c>
      <c r="Q52" s="366" t="n">
        <v>21</v>
      </c>
      <c r="R52" s="366" t="n">
        <v>21</v>
      </c>
      <c r="S52" s="366" t="n">
        <v>21</v>
      </c>
      <c r="T52" s="366" t="n">
        <v>21</v>
      </c>
      <c r="U52" s="366" t="n">
        <v>20</v>
      </c>
      <c r="V52" s="366" t="n">
        <v>20</v>
      </c>
      <c r="W52" s="366" t="n">
        <v>20</v>
      </c>
      <c r="X52" s="366" t="n">
        <v>20</v>
      </c>
      <c r="Y52" s="366" t="n">
        <v>20</v>
      </c>
      <c r="Z52" s="366" t="n">
        <v>20</v>
      </c>
      <c r="AA52" s="366" t="n"/>
      <c r="AB52" s="646" t="n"/>
      <c r="AC52" s="646" t="n"/>
      <c r="AD52" s="646" t="n"/>
    </row>
    <row r="53">
      <c r="A53" s="645" t="inlineStr">
        <is>
          <t>EGEO DOLCE ILUSION</t>
        </is>
      </c>
      <c r="B53" s="625" t="n"/>
      <c r="C53" s="625" t="n"/>
      <c r="D53" s="641" t="n"/>
      <c r="F53" s="366" t="n">
        <v>71</v>
      </c>
      <c r="G53" s="366" t="n">
        <v>53</v>
      </c>
      <c r="H53" s="366" t="n">
        <v>63</v>
      </c>
      <c r="I53" s="366" t="n">
        <v>63</v>
      </c>
      <c r="J53" s="366" t="n">
        <v>57</v>
      </c>
      <c r="K53" s="366" t="n">
        <v>57</v>
      </c>
      <c r="L53" s="366" t="n">
        <v>48</v>
      </c>
      <c r="M53" s="366" t="n">
        <v>48</v>
      </c>
      <c r="N53" s="366" t="n">
        <v>48</v>
      </c>
      <c r="O53" s="366" t="n">
        <v>45</v>
      </c>
      <c r="P53" s="366" t="n">
        <v>38</v>
      </c>
      <c r="Q53" s="366" t="n">
        <v>28</v>
      </c>
      <c r="R53" s="366" t="n">
        <v>25</v>
      </c>
      <c r="S53" s="366" t="n">
        <v>18</v>
      </c>
      <c r="T53" s="366" t="n">
        <v>18</v>
      </c>
      <c r="U53" s="366" t="n">
        <v>12</v>
      </c>
      <c r="V53" s="366" t="n">
        <v>10</v>
      </c>
      <c r="W53" s="366" t="n">
        <v>10</v>
      </c>
      <c r="X53" s="366" t="n">
        <v>9</v>
      </c>
      <c r="Y53" s="366" t="n">
        <v>9</v>
      </c>
      <c r="Z53" s="366" t="n">
        <v>0</v>
      </c>
      <c r="AA53" s="366" t="n"/>
      <c r="AB53" s="646" t="n"/>
      <c r="AC53" s="646" t="n"/>
      <c r="AD53" s="646" t="n"/>
    </row>
    <row r="54" hidden="1" ht="18.75" customHeight="1">
      <c r="A54" s="645" t="inlineStr">
        <is>
          <t>HADYA</t>
        </is>
      </c>
      <c r="B54" s="625" t="n"/>
      <c r="C54" s="625" t="n"/>
      <c r="D54" s="641" t="n"/>
      <c r="F54" s="366" t="n">
        <v>28</v>
      </c>
      <c r="G54" s="366" t="n">
        <v>19</v>
      </c>
      <c r="H54" s="366" t="n">
        <v>18</v>
      </c>
      <c r="I54" s="366" t="n">
        <v>18</v>
      </c>
      <c r="J54" s="366" t="n">
        <v>13</v>
      </c>
      <c r="K54" s="366" t="n">
        <v>13</v>
      </c>
      <c r="L54" s="366" t="n">
        <v>6</v>
      </c>
      <c r="M54" s="366" t="n">
        <v>6</v>
      </c>
      <c r="N54" s="366" t="n">
        <v>6</v>
      </c>
      <c r="O54" s="366" t="n">
        <v>2</v>
      </c>
      <c r="P54" s="366" t="n">
        <v>0</v>
      </c>
      <c r="Q54" s="366" t="n">
        <v>0</v>
      </c>
      <c r="R54" s="366" t="n">
        <v>0</v>
      </c>
      <c r="S54" s="366" t="n">
        <v>0</v>
      </c>
      <c r="T54" s="366" t="n">
        <v>0</v>
      </c>
      <c r="U54" s="366" t="n">
        <v>0</v>
      </c>
      <c r="V54" s="366" t="n">
        <v>0</v>
      </c>
      <c r="W54" s="366" t="n">
        <v>0</v>
      </c>
      <c r="X54" s="366" t="n">
        <v>0</v>
      </c>
      <c r="Y54" s="366" t="n">
        <v>0</v>
      </c>
      <c r="Z54" s="366" t="n"/>
      <c r="AA54" s="366" t="n"/>
      <c r="AB54" s="646" t="n"/>
      <c r="AC54" s="646" t="n"/>
      <c r="AD54" s="646" t="n"/>
    </row>
    <row r="55" hidden="1" ht="18.75" customHeight="1">
      <c r="A55" s="645" t="inlineStr">
        <is>
          <t>MEN NBA</t>
        </is>
      </c>
      <c r="B55" s="625" t="n"/>
      <c r="C55" s="625" t="n"/>
      <c r="D55" s="641" t="n"/>
      <c r="F55" s="366" t="n">
        <v>0</v>
      </c>
      <c r="G55" s="366" t="n">
        <v>0</v>
      </c>
      <c r="H55" s="366" t="n">
        <v>7</v>
      </c>
      <c r="I55" s="366" t="n">
        <v>7</v>
      </c>
      <c r="J55" s="366" t="n">
        <v>7</v>
      </c>
      <c r="K55" s="366" t="n">
        <v>7</v>
      </c>
      <c r="L55" s="366" t="n">
        <v>6</v>
      </c>
      <c r="M55" s="366" t="n">
        <v>6</v>
      </c>
      <c r="N55" s="366" t="n">
        <v>6</v>
      </c>
      <c r="O55" s="366" t="n">
        <v>6</v>
      </c>
      <c r="P55" s="366" t="n">
        <v>6</v>
      </c>
      <c r="Q55" s="366" t="n">
        <v>1</v>
      </c>
      <c r="R55" s="366" t="n">
        <v>0</v>
      </c>
      <c r="S55" s="366" t="n">
        <v>0</v>
      </c>
      <c r="T55" s="366" t="n">
        <v>0</v>
      </c>
      <c r="U55" s="366" t="n">
        <v>0</v>
      </c>
      <c r="V55" s="366" t="n">
        <v>0</v>
      </c>
      <c r="W55" s="366" t="n">
        <v>0</v>
      </c>
      <c r="X55" s="366" t="n">
        <v>0</v>
      </c>
      <c r="Y55" s="366" t="n">
        <v>0</v>
      </c>
      <c r="Z55" s="366" t="n"/>
      <c r="AA55" s="366" t="n"/>
      <c r="AB55" s="646" t="n"/>
      <c r="AC55" s="646" t="n"/>
      <c r="AD55" s="646" t="n"/>
    </row>
    <row r="56">
      <c r="A56" s="645" t="inlineStr">
        <is>
          <t>PROTETOR DE COR 6.0</t>
        </is>
      </c>
      <c r="B56" s="625" t="n"/>
      <c r="C56" s="625" t="n"/>
      <c r="D56" s="641" t="n"/>
      <c r="F56" s="366" t="n">
        <v>0</v>
      </c>
      <c r="G56" s="366" t="n">
        <v>0</v>
      </c>
      <c r="H56" s="366" t="n">
        <v>3</v>
      </c>
      <c r="I56" s="366" t="n">
        <v>3</v>
      </c>
      <c r="J56" s="366" t="n">
        <v>3</v>
      </c>
      <c r="K56" s="366" t="n">
        <v>3</v>
      </c>
      <c r="L56" s="366" t="n">
        <v>3</v>
      </c>
      <c r="M56" s="366" t="n">
        <v>3</v>
      </c>
      <c r="N56" s="366" t="n">
        <v>3</v>
      </c>
      <c r="O56" s="366" t="n">
        <v>3</v>
      </c>
      <c r="P56" s="366" t="n">
        <v>3</v>
      </c>
      <c r="Q56" s="366" t="n">
        <v>3</v>
      </c>
      <c r="R56" s="366" t="n">
        <v>3</v>
      </c>
      <c r="S56" s="366" t="n">
        <v>3</v>
      </c>
      <c r="T56" s="366" t="n">
        <v>3</v>
      </c>
      <c r="U56" s="366" t="n">
        <v>3</v>
      </c>
      <c r="V56" s="366" t="n">
        <v>3</v>
      </c>
      <c r="W56" s="366" t="n">
        <v>3</v>
      </c>
      <c r="X56" s="366" t="n">
        <v>3</v>
      </c>
      <c r="Y56" s="366" t="n">
        <v>3</v>
      </c>
      <c r="Z56" s="366" t="n">
        <v>3</v>
      </c>
      <c r="AA56" s="366" t="n"/>
      <c r="AB56" s="646" t="n"/>
      <c r="AC56" s="646" t="n"/>
      <c r="AD56" s="646" t="n"/>
    </row>
    <row r="57">
      <c r="A57" s="645" t="inlineStr">
        <is>
          <t>PROTETOR DE COR 5.0</t>
        </is>
      </c>
      <c r="B57" s="625" t="n"/>
      <c r="C57" s="625" t="n"/>
      <c r="D57" s="641" t="n"/>
      <c r="F57" s="366" t="n">
        <v>0</v>
      </c>
      <c r="G57" s="366" t="n">
        <v>0</v>
      </c>
      <c r="H57" s="366" t="n">
        <v>7</v>
      </c>
      <c r="I57" s="366" t="n">
        <v>7</v>
      </c>
      <c r="J57" s="366" t="n">
        <v>7</v>
      </c>
      <c r="K57" s="366" t="n">
        <v>7</v>
      </c>
      <c r="L57" s="366" t="n">
        <v>7</v>
      </c>
      <c r="M57" s="366" t="n">
        <v>7</v>
      </c>
      <c r="N57" s="366" t="n">
        <v>5</v>
      </c>
      <c r="O57" s="366" t="n">
        <v>7</v>
      </c>
      <c r="P57" s="366" t="n">
        <v>7</v>
      </c>
      <c r="Q57" s="366" t="n">
        <v>7</v>
      </c>
      <c r="R57" s="366" t="n">
        <v>7</v>
      </c>
      <c r="S57" s="366" t="n">
        <v>7</v>
      </c>
      <c r="T57" s="366" t="n">
        <v>7</v>
      </c>
      <c r="U57" s="366" t="n">
        <v>7</v>
      </c>
      <c r="V57" s="366" t="n">
        <v>7</v>
      </c>
      <c r="W57" s="366" t="n">
        <v>7</v>
      </c>
      <c r="X57" s="366" t="n">
        <v>7</v>
      </c>
      <c r="Y57" s="366" t="n">
        <v>7</v>
      </c>
      <c r="Z57" s="366" t="n">
        <v>7</v>
      </c>
      <c r="AA57" s="366" t="n"/>
      <c r="AB57" s="646" t="n"/>
      <c r="AC57" s="646" t="n"/>
      <c r="AD57" s="646" t="n"/>
    </row>
    <row r="58" hidden="1" ht="18.75" customHeight="1">
      <c r="A58" s="645" t="inlineStr">
        <is>
          <t>EGEO COGU</t>
        </is>
      </c>
      <c r="B58" s="625" t="n"/>
      <c r="C58" s="625" t="n"/>
      <c r="D58" s="641" t="n"/>
      <c r="F58" s="366" t="n">
        <v>0</v>
      </c>
      <c r="G58" s="366" t="n">
        <v>0</v>
      </c>
      <c r="H58" s="366" t="n">
        <v>1</v>
      </c>
      <c r="I58" s="366" t="n">
        <v>1</v>
      </c>
      <c r="J58" s="366" t="n">
        <v>0</v>
      </c>
      <c r="K58" s="366" t="n">
        <v>0</v>
      </c>
      <c r="L58" s="366" t="n">
        <v>0</v>
      </c>
      <c r="M58" s="366" t="n">
        <v>0</v>
      </c>
      <c r="N58" s="366" t="n">
        <v>0</v>
      </c>
      <c r="O58" s="366" t="n">
        <v>0</v>
      </c>
      <c r="P58" s="366" t="n">
        <v>0</v>
      </c>
      <c r="Q58" s="366" t="n">
        <v>0</v>
      </c>
      <c r="R58" s="366" t="n">
        <v>0</v>
      </c>
      <c r="S58" s="366" t="n">
        <v>0</v>
      </c>
      <c r="T58" s="366" t="n">
        <v>0</v>
      </c>
      <c r="U58" s="366" t="n">
        <v>0</v>
      </c>
      <c r="V58" s="366" t="n">
        <v>0</v>
      </c>
      <c r="W58" s="366" t="n">
        <v>0</v>
      </c>
      <c r="X58" s="366" t="n">
        <v>0</v>
      </c>
      <c r="Y58" s="366" t="n">
        <v>0</v>
      </c>
      <c r="Z58" s="366" t="n"/>
      <c r="AA58" s="366" t="n"/>
      <c r="AB58" s="646" t="n"/>
      <c r="AC58" s="646" t="n"/>
      <c r="AD58" s="646" t="n"/>
    </row>
    <row r="59">
      <c r="A59" s="645" t="inlineStr">
        <is>
          <t>ÁCIDO HIALURÔNICO</t>
        </is>
      </c>
      <c r="B59" s="625" t="n"/>
      <c r="C59" s="625" t="n"/>
      <c r="D59" s="641" t="n"/>
      <c r="N59" s="366" t="n">
        <v>0</v>
      </c>
      <c r="O59" s="366" t="n">
        <v>0</v>
      </c>
      <c r="P59" s="366" t="n">
        <v>0</v>
      </c>
      <c r="Q59" s="366" t="n">
        <v>0</v>
      </c>
      <c r="R59" s="366" t="n">
        <v>30</v>
      </c>
      <c r="S59" s="366" t="n">
        <v>30</v>
      </c>
      <c r="T59" s="366" t="n">
        <v>30</v>
      </c>
      <c r="U59" s="366" t="n">
        <v>30</v>
      </c>
      <c r="V59" s="366" t="n">
        <v>60</v>
      </c>
      <c r="W59" s="366" t="n">
        <v>60</v>
      </c>
      <c r="X59" s="366" t="n">
        <v>60</v>
      </c>
      <c r="Y59" s="366" t="n">
        <v>60</v>
      </c>
      <c r="Z59" s="366" t="n">
        <v>45</v>
      </c>
      <c r="AA59" s="366" t="n"/>
      <c r="AB59" s="646" t="n"/>
      <c r="AC59" s="646" t="n"/>
      <c r="AD59" s="646" t="n"/>
    </row>
    <row r="60">
      <c r="A60" s="645" t="inlineStr">
        <is>
          <t>HIDRATANTE CEREJA DE FASES</t>
        </is>
      </c>
      <c r="B60" s="625" t="n"/>
      <c r="C60" s="625" t="n"/>
      <c r="D60" s="641" t="n"/>
      <c r="N60" s="366" t="n">
        <v>0</v>
      </c>
      <c r="O60" s="366" t="n">
        <v>0</v>
      </c>
      <c r="P60" s="366" t="n">
        <v>0</v>
      </c>
      <c r="Q60" s="366" t="n">
        <v>0</v>
      </c>
      <c r="R60" s="366" t="n">
        <v>0</v>
      </c>
      <c r="S60" s="366" t="n">
        <v>38</v>
      </c>
      <c r="T60" s="366" t="n">
        <v>38</v>
      </c>
      <c r="U60" s="366" t="n">
        <v>38</v>
      </c>
      <c r="V60" s="366" t="n">
        <v>30</v>
      </c>
      <c r="W60" s="366" t="n">
        <v>30</v>
      </c>
      <c r="X60" s="366" t="n">
        <v>30</v>
      </c>
      <c r="Y60" s="366" t="n">
        <v>30</v>
      </c>
      <c r="Z60" s="366" t="n">
        <v>22</v>
      </c>
      <c r="AA60" s="366" t="n"/>
      <c r="AB60" s="646" t="n"/>
      <c r="AC60" s="646" t="n"/>
      <c r="AD60" s="646" t="n"/>
    </row>
    <row r="61" hidden="1">
      <c r="A61" s="450" t="inlineStr">
        <is>
          <t xml:space="preserve">SERUM ACIDO HIALURONICO </t>
        </is>
      </c>
      <c r="B61" s="451" t="n"/>
      <c r="C61" s="451" t="n"/>
      <c r="D61" s="452" t="n"/>
      <c r="N61" s="366" t="n">
        <v>0</v>
      </c>
      <c r="O61" s="366" t="n">
        <v>0</v>
      </c>
      <c r="P61" s="366" t="n">
        <v>0</v>
      </c>
      <c r="Q61" s="366" t="n">
        <v>0</v>
      </c>
      <c r="R61" s="366" t="n">
        <v>0</v>
      </c>
      <c r="S61" s="366" t="n">
        <v>0</v>
      </c>
      <c r="T61" s="366" t="n">
        <v>29</v>
      </c>
      <c r="U61" s="366" t="n">
        <v>29</v>
      </c>
      <c r="V61" s="366" t="n">
        <v>0</v>
      </c>
      <c r="W61" s="366" t="n">
        <v>0</v>
      </c>
      <c r="X61" s="366" t="n">
        <v>0</v>
      </c>
      <c r="Y61" s="366" t="n">
        <v>0</v>
      </c>
      <c r="Z61" s="366" t="n"/>
      <c r="AA61" s="366" t="n"/>
      <c r="AB61" s="646" t="n"/>
      <c r="AC61" s="646" t="n"/>
      <c r="AD61" s="646" t="n"/>
    </row>
    <row r="62">
      <c r="A62" s="450" t="inlineStr">
        <is>
          <t xml:space="preserve"> ARABIAN OASIS FEM.</t>
        </is>
      </c>
      <c r="B62" s="451" t="n"/>
      <c r="C62" s="451" t="n"/>
      <c r="D62" s="452" t="n"/>
      <c r="N62" s="366" t="n"/>
      <c r="O62" s="366" t="n"/>
      <c r="P62" s="366" t="n"/>
      <c r="Q62" s="366" t="n"/>
      <c r="R62" s="366" t="n">
        <v>0</v>
      </c>
      <c r="S62" s="366" t="n">
        <v>0</v>
      </c>
      <c r="T62" s="366" t="n">
        <v>0</v>
      </c>
      <c r="U62" s="366" t="n">
        <v>0</v>
      </c>
      <c r="V62" s="366" t="n">
        <v>0</v>
      </c>
      <c r="W62" s="366" t="n">
        <v>60</v>
      </c>
      <c r="X62" s="366" t="n">
        <v>51</v>
      </c>
      <c r="Y62" s="366" t="n">
        <v>42</v>
      </c>
      <c r="Z62" s="366" t="n">
        <v>12</v>
      </c>
      <c r="AA62" s="366" t="n"/>
      <c r="AB62" s="646" t="n"/>
      <c r="AC62" s="646" t="n"/>
      <c r="AD62" s="646" t="n"/>
    </row>
    <row r="63">
      <c r="A63" s="450" t="inlineStr">
        <is>
          <t>ARABIAN OASIS MASC.</t>
        </is>
      </c>
      <c r="B63" s="451" t="n"/>
      <c r="C63" s="451" t="n"/>
      <c r="D63" s="452" t="n"/>
      <c r="R63" s="366" t="n">
        <v>0</v>
      </c>
      <c r="S63" s="366" t="n">
        <v>0</v>
      </c>
      <c r="T63" s="366" t="n">
        <v>0</v>
      </c>
      <c r="U63" s="366" t="n">
        <v>0</v>
      </c>
      <c r="V63" s="366" t="n">
        <v>0</v>
      </c>
      <c r="W63" s="366" t="n">
        <v>65</v>
      </c>
      <c r="X63" s="366" t="n">
        <v>50</v>
      </c>
      <c r="Y63" s="366" t="n">
        <v>39</v>
      </c>
      <c r="Z63" s="366" t="n">
        <v>20</v>
      </c>
      <c r="AA63" s="366" t="n"/>
      <c r="AB63" s="646" t="n"/>
      <c r="AC63" s="646" t="n"/>
      <c r="AD63" s="646" t="n"/>
    </row>
    <row r="64">
      <c r="A64" s="645" t="n"/>
      <c r="B64" s="625" t="n"/>
      <c r="C64" s="625" t="n"/>
      <c r="D64" s="641" t="n"/>
      <c r="R64" s="366" t="n"/>
      <c r="S64" s="366" t="n"/>
      <c r="T64" s="366" t="n"/>
      <c r="U64" s="366" t="n"/>
      <c r="V64" s="366" t="n"/>
      <c r="W64" s="366" t="n"/>
      <c r="X64" s="366" t="n"/>
      <c r="Y64" s="366" t="n"/>
      <c r="Z64" s="366" t="n"/>
      <c r="AA64" s="366" t="n"/>
      <c r="AB64" s="646" t="n"/>
      <c r="AC64" s="646" t="n"/>
      <c r="AD64" s="646" t="n"/>
    </row>
  </sheetData>
  <mergeCells count="28">
    <mergeCell ref="A53:D53"/>
    <mergeCell ref="A52:D52"/>
    <mergeCell ref="A44:D44"/>
    <mergeCell ref="A42:C42"/>
    <mergeCell ref="A58:D58"/>
    <mergeCell ref="A48:D48"/>
    <mergeCell ref="A64:D64"/>
    <mergeCell ref="A59:D59"/>
    <mergeCell ref="A51:D51"/>
    <mergeCell ref="A49:D49"/>
    <mergeCell ref="A60:D60"/>
    <mergeCell ref="A5:A6"/>
    <mergeCell ref="A45:D45"/>
    <mergeCell ref="A54:D54"/>
    <mergeCell ref="A1:AB1"/>
    <mergeCell ref="A39:C39"/>
    <mergeCell ref="A46:D46"/>
    <mergeCell ref="B5:B6"/>
    <mergeCell ref="D5:D6"/>
    <mergeCell ref="A56:D56"/>
    <mergeCell ref="BB7:BJ7"/>
    <mergeCell ref="B3:D3"/>
    <mergeCell ref="A50:D50"/>
    <mergeCell ref="A55:D55"/>
    <mergeCell ref="A57:D57"/>
    <mergeCell ref="A47:D47"/>
    <mergeCell ref="B2:D2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64" fitToHeight="0"/>
</worksheet>
</file>

<file path=xl/worksheets/sheet8.xml><?xml version="1.0" encoding="utf-8"?>
<worksheet xmlns="http://schemas.openxmlformats.org/spreadsheetml/2006/main">
  <sheetPr codeName="Planilha56">
    <tabColor theme="9"/>
    <outlinePr summaryBelow="1" summaryRight="1"/>
    <pageSetUpPr/>
  </sheetPr>
  <dimension ref="A1:GM64"/>
  <sheetViews>
    <sheetView showGridLines="0" topLeftCell="A4" zoomScale="80" zoomScaleNormal="80" zoomScaleSheetLayoutView="50" workbookViewId="0">
      <selection activeCell="AA14" activeCellId="1" sqref="AA8:AA11 AA14:AA17"/>
    </sheetView>
  </sheetViews>
  <sheetFormatPr baseColWidth="8" defaultColWidth="9.140625" defaultRowHeight="18.75"/>
  <cols>
    <col width="28.28515625" customWidth="1" style="11" min="1" max="1"/>
    <col width="9" customWidth="1" style="11" min="2" max="2"/>
    <col width="15.140625" customWidth="1" style="11" min="3" max="3"/>
    <col width="14.42578125" customWidth="1" style="11" min="4" max="4"/>
    <col width="2" customWidth="1" style="11" min="5" max="5"/>
    <col hidden="1" width="8.28515625" customWidth="1" style="11" min="6" max="24"/>
    <col width="8.28515625" customWidth="1" style="11" min="25" max="26"/>
    <col width="9.28515625" customWidth="1" style="11" min="27" max="27"/>
    <col width="1.28515625" customWidth="1" style="34" min="28" max="28"/>
    <col width="22.7109375" bestFit="1" customWidth="1" style="34" min="29" max="29"/>
    <col width="1.28515625" customWidth="1" style="11" min="30" max="30"/>
    <col width="15.5703125" customWidth="1" style="11" min="31" max="31"/>
    <col width="1.140625" customWidth="1" style="11" min="32" max="32"/>
    <col width="8.7109375" customWidth="1" style="71" min="33" max="33"/>
    <col width="14.42578125" bestFit="1" customWidth="1" style="71" min="34" max="34"/>
    <col width="8.7109375" customWidth="1" style="71" min="35" max="35"/>
    <col width="14.42578125" bestFit="1" customWidth="1" style="71" min="36" max="36"/>
    <col width="8.7109375" customWidth="1" style="71" min="37" max="39"/>
    <col hidden="1" width="8.7109375" customWidth="1" style="71" min="40" max="45"/>
    <col hidden="1" width="12.85546875" customWidth="1" style="71" min="46" max="46"/>
    <col hidden="1" width="8.7109375" customWidth="1" style="71" min="47" max="47"/>
    <col hidden="1" width="12.85546875" customWidth="1" style="71" min="48" max="48"/>
    <col hidden="1" width="8.7109375" customWidth="1" style="71" min="49" max="51"/>
    <col width="9.140625" customWidth="1" style="11" min="52" max="52"/>
    <col width="21.85546875" bestFit="1" customWidth="1" style="11" min="53" max="53"/>
    <col width="9.140625" customWidth="1" style="11" min="54" max="54"/>
    <col hidden="1" width="13" customWidth="1" style="11" min="55" max="58"/>
    <col width="9.140625" customWidth="1" style="11" min="59" max="16384"/>
  </cols>
  <sheetData>
    <row r="1" ht="23.25" customHeight="1">
      <c r="A1" s="477" t="inlineStr">
        <is>
          <t>Controle de Contagem Semanal - Antilhas</t>
        </is>
      </c>
      <c r="AC1" s="361" t="n"/>
      <c r="AD1" s="361" t="n"/>
      <c r="AE1" s="361" t="n"/>
      <c r="AF1" s="361" t="n"/>
      <c r="AG1" s="361" t="n"/>
      <c r="AH1" s="361" t="n"/>
      <c r="AI1" s="361" t="n"/>
      <c r="AJ1" s="361" t="n"/>
      <c r="AK1" s="361" t="n"/>
      <c r="AL1" s="361" t="n"/>
      <c r="AM1" s="361" t="n"/>
      <c r="AN1" s="361" t="n"/>
      <c r="AO1" s="361" t="n"/>
      <c r="AP1" s="361" t="n"/>
      <c r="AQ1" s="361" t="n"/>
      <c r="AR1" s="361" t="n"/>
      <c r="AS1" s="361" t="n"/>
      <c r="AT1" s="361" t="n"/>
      <c r="AU1" s="361" t="n"/>
      <c r="AV1" s="361" t="n"/>
      <c r="AW1" s="361" t="n"/>
      <c r="AX1" s="361" t="n"/>
      <c r="AY1" s="361" t="n"/>
    </row>
    <row r="2">
      <c r="A2" s="28" t="inlineStr">
        <is>
          <t>LOJA:</t>
        </is>
      </c>
      <c r="B2" s="604" t="inlineStr">
        <is>
          <t>JARDIM</t>
        </is>
      </c>
      <c r="C2" s="605" t="n"/>
      <c r="D2" s="606" t="n"/>
      <c r="AB2" s="11" t="n"/>
      <c r="AC2" s="11" t="n"/>
    </row>
    <row r="3">
      <c r="A3" s="28" t="inlineStr">
        <is>
          <t>Responsável:</t>
        </is>
      </c>
      <c r="B3" s="607" t="inlineStr">
        <is>
          <t>TAMIRIS</t>
        </is>
      </c>
      <c r="C3" s="605" t="n"/>
      <c r="D3" s="606" t="n"/>
      <c r="E3" s="608" t="n"/>
      <c r="F3" s="608" t="n"/>
      <c r="G3" s="608" t="n"/>
      <c r="H3" s="608" t="n"/>
      <c r="I3" s="608" t="n"/>
      <c r="J3" s="608" t="n"/>
      <c r="K3" s="608" t="n"/>
      <c r="L3" s="608" t="n"/>
      <c r="M3" s="608" t="n"/>
      <c r="N3" s="608" t="n"/>
      <c r="O3" s="608" t="n"/>
      <c r="P3" s="608" t="n"/>
      <c r="Q3" s="608" t="n"/>
      <c r="R3" s="608" t="n"/>
      <c r="S3" s="608" t="n"/>
      <c r="T3" s="608" t="n"/>
      <c r="U3" s="608" t="n"/>
      <c r="V3" s="608" t="n"/>
      <c r="W3" s="608" t="n"/>
      <c r="X3" s="608" t="n"/>
      <c r="Y3" s="608" t="n"/>
      <c r="Z3" s="608" t="n"/>
      <c r="AA3" s="608" t="n"/>
      <c r="AB3" s="608" t="n"/>
      <c r="AC3" s="11" t="n"/>
      <c r="AD3" s="608" t="n"/>
    </row>
    <row r="4">
      <c r="AB4" s="74" t="n"/>
      <c r="AG4" s="395" t="n"/>
      <c r="AH4" s="395" t="n"/>
      <c r="AI4" s="395" t="n"/>
      <c r="AJ4" s="395" t="n"/>
      <c r="AK4" s="395" t="n"/>
      <c r="AL4" s="395" t="n"/>
      <c r="AM4" s="395" t="n"/>
      <c r="AN4" s="395" t="n"/>
      <c r="AO4" s="395" t="n"/>
      <c r="AP4" s="395" t="n"/>
      <c r="AQ4" s="395" t="n"/>
      <c r="AR4" s="395" t="n"/>
      <c r="AS4" s="395" t="n"/>
      <c r="AT4" s="395" t="n"/>
      <c r="AU4" s="395" t="n"/>
      <c r="AV4" s="395" t="n"/>
      <c r="AW4" s="395" t="n"/>
      <c r="AX4" s="395" t="n"/>
      <c r="AY4" s="395" t="n"/>
    </row>
    <row r="5" ht="21.75" customHeight="1">
      <c r="A5" s="647" t="inlineStr">
        <is>
          <t>Descrição</t>
        </is>
      </c>
      <c r="B5" s="611" t="inlineStr">
        <is>
          <t>PCT</t>
        </is>
      </c>
      <c r="C5" s="611" t="inlineStr">
        <is>
          <t xml:space="preserve">R$ </t>
        </is>
      </c>
      <c r="D5" s="612" t="inlineStr">
        <is>
          <t>Estoque Ideal</t>
        </is>
      </c>
      <c r="F5" s="40" t="n"/>
      <c r="G5" s="40" t="n"/>
      <c r="H5" s="40" t="n"/>
      <c r="I5" s="40" t="n"/>
      <c r="J5" s="40" t="n"/>
      <c r="K5" s="40" t="n"/>
      <c r="L5" s="40" t="n"/>
      <c r="M5" s="40" t="n"/>
      <c r="N5" s="40" t="n"/>
      <c r="O5" s="40" t="n"/>
      <c r="P5" s="40" t="n"/>
      <c r="Q5" s="40" t="n"/>
      <c r="R5" s="40" t="n"/>
      <c r="S5" s="40" t="n"/>
      <c r="T5" s="40" t="n"/>
      <c r="U5" s="40" t="n"/>
      <c r="V5" s="40" t="n"/>
      <c r="W5" s="40" t="n"/>
      <c r="X5" s="40" t="n"/>
      <c r="Y5" s="40" t="n"/>
      <c r="Z5" s="40" t="n"/>
      <c r="AA5" s="40" t="n"/>
      <c r="AB5" s="648" t="n"/>
      <c r="AC5" s="29" t="inlineStr">
        <is>
          <t>Pendências</t>
        </is>
      </c>
      <c r="AE5" s="9" t="inlineStr">
        <is>
          <t>Novo Pedido</t>
        </is>
      </c>
      <c r="AG5" s="614" t="n"/>
      <c r="AH5" s="615" t="inlineStr">
        <is>
          <t>TRANSF.</t>
        </is>
      </c>
      <c r="AI5" s="614" t="n">
        <v>46142</v>
      </c>
      <c r="AJ5" s="615" t="inlineStr">
        <is>
          <t>TRANSF.</t>
        </is>
      </c>
      <c r="AK5" s="614" t="n">
        <v>46114</v>
      </c>
      <c r="AL5" s="616" t="n">
        <v>46065</v>
      </c>
      <c r="AM5" s="614" t="n">
        <v>46092</v>
      </c>
      <c r="AN5" s="614" t="n">
        <v>46056</v>
      </c>
      <c r="AO5" s="614" t="n">
        <v>46048</v>
      </c>
      <c r="AP5" s="614" t="n">
        <v>46043</v>
      </c>
      <c r="AQ5" s="614" t="n">
        <v>46035</v>
      </c>
      <c r="AR5" s="614" t="n">
        <v>46024</v>
      </c>
      <c r="AS5" s="614" t="n">
        <v>46017</v>
      </c>
      <c r="AT5" s="617" t="inlineStr">
        <is>
          <t>TRANSF.</t>
        </is>
      </c>
      <c r="AU5" s="614" t="n">
        <v>46007</v>
      </c>
      <c r="AV5" s="617" t="inlineStr">
        <is>
          <t>TRANSF.</t>
        </is>
      </c>
      <c r="AW5" s="614" t="n">
        <v>46001</v>
      </c>
      <c r="AX5" s="614" t="n">
        <v>45994</v>
      </c>
      <c r="AY5" s="614" t="n">
        <v>45986</v>
      </c>
    </row>
    <row r="6" customFormat="1" s="3">
      <c r="A6" s="618" t="n"/>
      <c r="B6" s="618" t="n"/>
      <c r="C6" s="618" t="n"/>
      <c r="D6" s="618" t="n"/>
      <c r="E6" s="30" t="n"/>
      <c r="F6" s="619" t="n">
        <v>46013</v>
      </c>
      <c r="G6" s="619" t="n">
        <v>46020</v>
      </c>
      <c r="H6" s="619" t="n">
        <v>46027</v>
      </c>
      <c r="I6" s="619" t="n">
        <v>46034</v>
      </c>
      <c r="J6" s="619" t="n">
        <v>46041</v>
      </c>
      <c r="K6" s="619" t="n">
        <v>46048</v>
      </c>
      <c r="L6" s="619" t="n">
        <v>46055</v>
      </c>
      <c r="M6" s="619" t="n">
        <v>46062</v>
      </c>
      <c r="N6" s="619" t="n">
        <v>46069</v>
      </c>
      <c r="O6" s="619" t="n">
        <v>46076</v>
      </c>
      <c r="P6" s="619" t="n">
        <v>46083</v>
      </c>
      <c r="Q6" s="619" t="n">
        <v>46090</v>
      </c>
      <c r="R6" s="619" t="n">
        <v>46097</v>
      </c>
      <c r="S6" s="619" t="n">
        <v>46104</v>
      </c>
      <c r="T6" s="619" t="n">
        <v>46111</v>
      </c>
      <c r="U6" s="619" t="n">
        <v>46118</v>
      </c>
      <c r="V6" s="619" t="n">
        <v>46125</v>
      </c>
      <c r="W6" s="619" t="n">
        <v>46132</v>
      </c>
      <c r="X6" s="619" t="n">
        <v>46139</v>
      </c>
      <c r="Y6" s="619" t="n">
        <v>46146</v>
      </c>
      <c r="Z6" s="619" t="n">
        <v>46154</v>
      </c>
      <c r="AA6" s="621" t="inlineStr">
        <is>
          <t>USOU</t>
        </is>
      </c>
      <c r="AB6" s="648" t="n"/>
      <c r="AC6" s="622" t="n"/>
      <c r="AD6" s="623" t="n"/>
      <c r="AE6" s="624" t="n">
        <v>46155</v>
      </c>
      <c r="AF6" s="623" t="n"/>
      <c r="AG6" s="614" t="n"/>
      <c r="AH6" s="615" t="n">
        <v>46148</v>
      </c>
      <c r="AI6" s="614" t="n">
        <v>46153</v>
      </c>
      <c r="AJ6" s="615" t="n">
        <v>46146</v>
      </c>
      <c r="AK6" s="614" t="n">
        <v>46125</v>
      </c>
      <c r="AL6" s="616" t="n">
        <v>46112</v>
      </c>
      <c r="AM6" s="614" t="n">
        <v>46100</v>
      </c>
      <c r="AN6" s="614" t="n">
        <v>46062</v>
      </c>
      <c r="AO6" s="614" t="n">
        <v>46056</v>
      </c>
      <c r="AP6" s="614" t="n">
        <v>46048</v>
      </c>
      <c r="AQ6" s="614" t="n">
        <v>46041</v>
      </c>
      <c r="AR6" s="614" t="n">
        <v>46037</v>
      </c>
      <c r="AS6" s="614" t="n">
        <v>46028</v>
      </c>
      <c r="AT6" s="617" t="n">
        <v>46386</v>
      </c>
      <c r="AU6" s="614" t="n">
        <v>46014</v>
      </c>
      <c r="AV6" s="617" t="n">
        <v>46014</v>
      </c>
      <c r="AW6" s="614" t="n">
        <v>46009</v>
      </c>
      <c r="AX6" s="614" t="n">
        <v>46003</v>
      </c>
      <c r="AY6" s="614" t="n">
        <v>45994</v>
      </c>
      <c r="BA6" s="11" t="n"/>
      <c r="BB6" s="11" t="n"/>
      <c r="BC6" s="11" t="n"/>
      <c r="BD6" s="11" t="n"/>
      <c r="BE6" s="11" t="n"/>
      <c r="BF6" s="11" t="n"/>
      <c r="BG6" s="11" t="n"/>
      <c r="BH6" s="11" t="n"/>
      <c r="BI6" s="11" t="n"/>
    </row>
    <row r="7" ht="21.75" customFormat="1" customHeight="1" s="3">
      <c r="A7" s="4" t="inlineStr">
        <is>
          <t xml:space="preserve">SACOLAS </t>
        </is>
      </c>
      <c r="B7" s="4" t="n"/>
      <c r="C7" s="5" t="n"/>
      <c r="D7" s="239" t="n"/>
      <c r="E7" s="11" t="n"/>
      <c r="F7" s="12" t="n"/>
      <c r="G7" s="12" t="n"/>
      <c r="H7" s="12" t="n"/>
      <c r="I7" s="12" t="n"/>
      <c r="J7" s="12" t="n"/>
      <c r="K7" s="12" t="n"/>
      <c r="L7" s="12" t="n"/>
      <c r="M7" s="12" t="n"/>
      <c r="N7" s="12" t="n"/>
      <c r="O7" s="12" t="n"/>
      <c r="P7" s="12" t="n"/>
      <c r="Q7" s="12" t="n"/>
      <c r="R7" s="12" t="n"/>
      <c r="S7" s="12" t="n"/>
      <c r="T7" s="12" t="n"/>
      <c r="U7" s="12" t="n"/>
      <c r="V7" s="12" t="n"/>
      <c r="W7" s="12" t="n"/>
      <c r="X7" s="12" t="n"/>
      <c r="Y7" s="12" t="n"/>
      <c r="Z7" s="12" t="n"/>
      <c r="AA7" s="12" t="n"/>
      <c r="AB7" s="124" t="n"/>
      <c r="AC7" s="85" t="n"/>
      <c r="AD7" s="11" t="n"/>
      <c r="AE7" s="113" t="n"/>
      <c r="AF7" s="11" t="n"/>
      <c r="AG7" s="12" t="n"/>
      <c r="AH7" s="12" t="n"/>
      <c r="AI7" s="12" t="n"/>
      <c r="AJ7" s="12" t="n"/>
      <c r="AK7" s="12" t="n"/>
      <c r="AL7" s="12" t="inlineStr">
        <is>
          <t>MÃES</t>
        </is>
      </c>
      <c r="AM7" s="12" t="n"/>
      <c r="AN7" s="12" t="n"/>
      <c r="AO7" s="12" t="n"/>
      <c r="AP7" s="12" t="n"/>
      <c r="AQ7" s="12" t="n"/>
      <c r="AR7" s="12" t="n"/>
      <c r="AS7" s="12" t="n"/>
      <c r="AT7" s="12" t="n"/>
      <c r="AU7" s="12" t="n"/>
      <c r="AV7" s="12" t="n"/>
      <c r="AW7" s="12" t="n"/>
      <c r="AX7" s="12" t="n"/>
      <c r="AY7" s="12" t="n"/>
      <c r="BA7" s="384" t="inlineStr">
        <is>
          <t>MÃES 2026</t>
        </is>
      </c>
      <c r="BB7" s="625" t="n"/>
      <c r="BC7" s="625" t="n"/>
      <c r="BD7" s="625" t="n"/>
      <c r="BE7" s="625" t="n"/>
      <c r="BF7" s="625" t="n"/>
      <c r="BG7" s="625" t="n"/>
      <c r="BH7" s="625" t="n"/>
      <c r="BI7" s="641" t="n"/>
    </row>
    <row r="8" ht="19.5" customFormat="1" customHeight="1" s="3">
      <c r="A8" s="21" t="inlineStr">
        <is>
          <t>SACOLA PP VERDE</t>
        </is>
      </c>
      <c r="B8" s="6" t="n">
        <v>300</v>
      </c>
      <c r="C8" s="627" t="n">
        <v>187.12</v>
      </c>
      <c r="D8" s="240" t="n">
        <v>250</v>
      </c>
      <c r="E8" s="11" t="n"/>
      <c r="F8" s="39" t="n">
        <v>430</v>
      </c>
      <c r="G8" s="39" t="n">
        <v>717</v>
      </c>
      <c r="H8" s="39">
        <f>570+AS8</f>
        <v/>
      </c>
      <c r="I8" s="39" t="n">
        <v>817</v>
      </c>
      <c r="J8" s="39" t="n">
        <v>800</v>
      </c>
      <c r="K8" s="39" t="n">
        <v>720</v>
      </c>
      <c r="L8" s="39" t="n">
        <v>720</v>
      </c>
      <c r="M8" s="39" t="n">
        <v>670</v>
      </c>
      <c r="N8" s="39" t="n">
        <v>600</v>
      </c>
      <c r="O8" s="39" t="n">
        <v>600</v>
      </c>
      <c r="P8" s="39" t="n">
        <v>550</v>
      </c>
      <c r="Q8" s="39" t="n">
        <v>500</v>
      </c>
      <c r="R8" s="39" t="n">
        <v>450</v>
      </c>
      <c r="S8" s="39" t="n">
        <v>420</v>
      </c>
      <c r="T8" s="39" t="n">
        <v>340</v>
      </c>
      <c r="U8" s="39" t="n">
        <v>300</v>
      </c>
      <c r="V8" s="39" t="n">
        <v>270</v>
      </c>
      <c r="W8" s="39" t="n">
        <v>270</v>
      </c>
      <c r="X8" s="39" t="n">
        <v>210</v>
      </c>
      <c r="Y8" s="39">
        <f>190+AI8300</f>
        <v/>
      </c>
      <c r="Z8" s="39" t="n">
        <v>280</v>
      </c>
      <c r="AA8" s="380">
        <f>Y8+IF(NOT(ISBLANK(OFFSET(AA8,0,6))),N(OFFSET(AA8,0,6)),N(OFFSET(AA8,0,7)))-Z8</f>
        <v/>
      </c>
      <c r="AB8" s="363" t="n"/>
      <c r="AC8" s="78" t="n"/>
      <c r="AD8" s="11" t="n"/>
      <c r="AE8" s="32" t="n"/>
      <c r="AF8" s="11" t="n"/>
      <c r="AG8" s="19" t="n">
        <v>0</v>
      </c>
      <c r="AH8" s="260" t="inlineStr">
        <is>
          <t>300 DE JC</t>
        </is>
      </c>
      <c r="AI8" s="19" t="n">
        <v>300</v>
      </c>
      <c r="AJ8" s="304" t="n"/>
      <c r="AK8" s="19" t="n"/>
      <c r="AL8" s="19" t="n"/>
      <c r="AM8" s="19" t="n"/>
      <c r="AN8" s="19" t="n"/>
      <c r="AO8" s="19" t="n"/>
      <c r="AP8" s="19" t="n"/>
      <c r="AQ8" s="19" t="n"/>
      <c r="AR8" s="19" t="n"/>
      <c r="AS8" s="19" t="n">
        <v>300</v>
      </c>
      <c r="AT8" s="19" t="n"/>
      <c r="AU8" s="19" t="n"/>
      <c r="AV8" s="19" t="n"/>
      <c r="AW8" s="19" t="n">
        <v>300</v>
      </c>
      <c r="AX8" s="19" t="n">
        <v>300</v>
      </c>
      <c r="AY8" s="19" t="n"/>
      <c r="BA8" s="397" t="inlineStr">
        <is>
          <t xml:space="preserve">SACOLAS </t>
        </is>
      </c>
      <c r="BB8" s="384" t="inlineStr">
        <is>
          <t>PCT</t>
        </is>
      </c>
      <c r="BC8" s="619" t="n">
        <v>46118</v>
      </c>
      <c r="BD8" s="619" t="n">
        <v>46125</v>
      </c>
      <c r="BE8" s="619" t="n">
        <v>46132</v>
      </c>
      <c r="BF8" s="619" t="n">
        <v>46139</v>
      </c>
      <c r="BG8" s="619" t="n">
        <v>46146</v>
      </c>
      <c r="BH8" s="619" t="n">
        <v>46154</v>
      </c>
      <c r="BI8" s="621" t="inlineStr">
        <is>
          <t>USOU</t>
        </is>
      </c>
    </row>
    <row r="9" ht="19.5" customFormat="1" customHeight="1" s="3">
      <c r="A9" s="21" t="inlineStr">
        <is>
          <t xml:space="preserve">SACOLA P VERDE </t>
        </is>
      </c>
      <c r="B9" s="6" t="n">
        <v>200</v>
      </c>
      <c r="C9" s="627" t="n">
        <v>193.08</v>
      </c>
      <c r="D9" s="240" t="n">
        <v>500</v>
      </c>
      <c r="E9" s="11" t="n"/>
      <c r="F9" s="39">
        <f>160+AU9+200</f>
        <v/>
      </c>
      <c r="G9" s="39">
        <f>0+200</f>
        <v/>
      </c>
      <c r="H9" s="39">
        <f>110+AS9</f>
        <v/>
      </c>
      <c r="I9" s="39" t="n">
        <v>740</v>
      </c>
      <c r="J9" s="39">
        <f>560+AQ9</f>
        <v/>
      </c>
      <c r="K9" s="39" t="n">
        <v>780</v>
      </c>
      <c r="L9" s="39">
        <f>740+AO9</f>
        <v/>
      </c>
      <c r="M9" s="39" t="n">
        <v>1120</v>
      </c>
      <c r="N9" s="39" t="n">
        <v>800</v>
      </c>
      <c r="O9" s="39" t="n">
        <v>740</v>
      </c>
      <c r="P9" s="39" t="n">
        <v>600</v>
      </c>
      <c r="Q9" s="39" t="n">
        <v>420</v>
      </c>
      <c r="R9" s="39">
        <f>300+AM9</f>
        <v/>
      </c>
      <c r="S9" s="39" t="n">
        <v>600</v>
      </c>
      <c r="T9" s="39" t="n">
        <v>460</v>
      </c>
      <c r="U9" s="39" t="n">
        <v>340</v>
      </c>
      <c r="V9" s="39" t="n">
        <v>340</v>
      </c>
      <c r="W9" s="39" t="n">
        <v>340</v>
      </c>
      <c r="X9" s="39" t="n">
        <v>340</v>
      </c>
      <c r="Y9" s="39">
        <f>340+AI9</f>
        <v/>
      </c>
      <c r="Z9" s="39" t="n">
        <v>460</v>
      </c>
      <c r="AA9" s="380">
        <f>Y9+IF(NOT(ISBLANK(OFFSET(AA9,0,6))),N(OFFSET(AA9,0,6)),N(OFFSET(AA9,0,7)))-Z9</f>
        <v/>
      </c>
      <c r="AB9" s="111" t="n"/>
      <c r="AC9" s="78" t="n"/>
      <c r="AD9" s="11" t="n"/>
      <c r="AE9" s="32" t="n"/>
      <c r="AF9" s="11" t="n"/>
      <c r="AG9" s="304" t="n">
        <v>0</v>
      </c>
      <c r="AH9" s="304" t="n"/>
      <c r="AI9" s="304" t="n">
        <v>400</v>
      </c>
      <c r="AJ9" s="304" t="n"/>
      <c r="AK9" s="19" t="n">
        <v>200</v>
      </c>
      <c r="AL9" s="119" t="n">
        <v>1000</v>
      </c>
      <c r="AM9" s="19" t="n">
        <v>400</v>
      </c>
      <c r="AN9" s="19" t="n"/>
      <c r="AO9" s="19" t="n">
        <v>400</v>
      </c>
      <c r="AP9" s="19" t="n"/>
      <c r="AQ9" s="19" t="n">
        <v>400</v>
      </c>
      <c r="AR9" s="19" t="n"/>
      <c r="AS9" s="19" t="n">
        <v>800</v>
      </c>
      <c r="AT9" s="260" t="inlineStr">
        <is>
          <t>200 DE JC</t>
        </is>
      </c>
      <c r="AU9" s="19" t="n">
        <v>400</v>
      </c>
      <c r="AV9" s="260" t="inlineStr">
        <is>
          <t>200 DE CD</t>
        </is>
      </c>
      <c r="AW9" s="19" t="n">
        <v>200</v>
      </c>
      <c r="AX9" s="19" t="n"/>
      <c r="AY9" s="19" t="n">
        <v>200</v>
      </c>
      <c r="BA9" s="372" t="inlineStr">
        <is>
          <t xml:space="preserve">SACOLA P </t>
        </is>
      </c>
      <c r="BB9" s="139" t="n">
        <v>200</v>
      </c>
      <c r="BC9" s="39">
        <f>AL9</f>
        <v/>
      </c>
      <c r="BD9" s="39" t="n">
        <v>880</v>
      </c>
      <c r="BE9" s="39" t="n">
        <v>800</v>
      </c>
      <c r="BF9" s="39" t="n">
        <v>620</v>
      </c>
      <c r="BG9" s="39" t="n">
        <v>535</v>
      </c>
      <c r="BH9" s="39" t="n">
        <v>160</v>
      </c>
      <c r="BI9" s="26">
        <f>BG9+IF(NOT(ISBLANK(OFFSET(BI9,0,6))),N(OFFSET(BI9,0,6)),N(OFFSET(BI9,0,7)))-BH9</f>
        <v/>
      </c>
    </row>
    <row r="10" ht="19.5" customFormat="1" customHeight="1" s="3">
      <c r="A10" s="21" t="inlineStr">
        <is>
          <t>SACOLA M VERDE</t>
        </is>
      </c>
      <c r="B10" s="6" t="n">
        <v>200</v>
      </c>
      <c r="C10" s="627" t="n">
        <v>253.83</v>
      </c>
      <c r="D10" s="240" t="n">
        <v>350</v>
      </c>
      <c r="E10" s="11" t="n"/>
      <c r="F10" s="39">
        <f>200+AU10</f>
        <v/>
      </c>
      <c r="G10" s="39" t="n">
        <v>297</v>
      </c>
      <c r="H10" s="39">
        <f>260+AS10</f>
        <v/>
      </c>
      <c r="I10" s="39" t="n">
        <v>580</v>
      </c>
      <c r="J10" s="39" t="n">
        <v>530</v>
      </c>
      <c r="K10" s="39" t="n">
        <v>460</v>
      </c>
      <c r="L10" s="39" t="n">
        <v>380</v>
      </c>
      <c r="M10" s="39" t="n">
        <v>500</v>
      </c>
      <c r="N10" s="39" t="n">
        <v>400</v>
      </c>
      <c r="O10" s="39" t="n">
        <v>340</v>
      </c>
      <c r="P10" s="39" t="n">
        <v>260</v>
      </c>
      <c r="Q10" s="39" t="n">
        <v>200</v>
      </c>
      <c r="R10" s="39">
        <f>100+AM10</f>
        <v/>
      </c>
      <c r="S10" s="39" t="n">
        <v>240</v>
      </c>
      <c r="T10" s="39" t="n">
        <v>180</v>
      </c>
      <c r="U10" s="39" t="n">
        <v>100</v>
      </c>
      <c r="V10" s="39" t="n">
        <v>148</v>
      </c>
      <c r="W10" s="39" t="n">
        <v>148</v>
      </c>
      <c r="X10" s="39" t="n">
        <v>148</v>
      </c>
      <c r="Y10" s="39">
        <f>148+AI10</f>
        <v/>
      </c>
      <c r="Z10" s="39" t="n">
        <v>260</v>
      </c>
      <c r="AA10" s="380">
        <f>Y10+IF(NOT(ISBLANK(OFFSET(AA10,0,6))),N(OFFSET(AA10,0,6)),N(OFFSET(AA10,0,7)))-Z10</f>
        <v/>
      </c>
      <c r="AB10" s="111" t="n"/>
      <c r="AC10" s="78" t="n"/>
      <c r="AD10" s="11" t="n"/>
      <c r="AE10" s="32" t="n">
        <v>200</v>
      </c>
      <c r="AF10" s="11" t="n"/>
      <c r="AG10" s="304" t="n">
        <v>0</v>
      </c>
      <c r="AH10" s="304" t="n"/>
      <c r="AI10" s="304" t="n">
        <v>200</v>
      </c>
      <c r="AJ10" s="304" t="n"/>
      <c r="AK10" s="19" t="n">
        <v>200</v>
      </c>
      <c r="AL10" s="119" t="n">
        <v>600</v>
      </c>
      <c r="AM10" s="19" t="n">
        <v>200</v>
      </c>
      <c r="AN10" s="19" t="n">
        <v>200</v>
      </c>
      <c r="AO10" s="19" t="n"/>
      <c r="AP10" s="19" t="n"/>
      <c r="AQ10" s="19" t="n"/>
      <c r="AR10" s="19" t="n"/>
      <c r="AS10" s="19" t="n">
        <v>400</v>
      </c>
      <c r="AT10" s="19" t="n"/>
      <c r="AU10" s="19" t="n">
        <v>400</v>
      </c>
      <c r="AV10" s="19" t="n"/>
      <c r="AW10" s="19" t="n"/>
      <c r="AX10" s="19" t="n"/>
      <c r="AY10" s="19" t="n"/>
      <c r="BA10" s="21" t="inlineStr">
        <is>
          <t xml:space="preserve">SACOLA M </t>
        </is>
      </c>
      <c r="BB10" s="6" t="n">
        <v>200</v>
      </c>
      <c r="BC10" s="39">
        <f>AL10</f>
        <v/>
      </c>
      <c r="BD10" s="39" t="n">
        <v>460</v>
      </c>
      <c r="BE10" s="39" t="n">
        <v>400</v>
      </c>
      <c r="BF10" s="39" t="n">
        <v>320</v>
      </c>
      <c r="BG10" s="39" t="n">
        <v>260</v>
      </c>
      <c r="BH10" s="39" t="n">
        <v>0</v>
      </c>
      <c r="BI10" s="26">
        <f>BG10+IF(NOT(ISBLANK(OFFSET(BI10,0,6))),N(OFFSET(BI10,0,6)),N(OFFSET(BI10,0,7)))-BH10</f>
        <v/>
      </c>
    </row>
    <row r="11" ht="19.5" customFormat="1" customHeight="1" s="3">
      <c r="A11" s="22" t="inlineStr">
        <is>
          <t xml:space="preserve">SACOLA G VERDE </t>
        </is>
      </c>
      <c r="B11" s="6" t="n">
        <v>100</v>
      </c>
      <c r="C11" s="627" t="n">
        <v>184.57</v>
      </c>
      <c r="D11" s="240" t="n">
        <v>50</v>
      </c>
      <c r="E11" s="11" t="n"/>
      <c r="F11" s="39">
        <f>0+100</f>
        <v/>
      </c>
      <c r="G11" s="39" t="n">
        <v>24</v>
      </c>
      <c r="H11" s="39">
        <f>24+AS11</f>
        <v/>
      </c>
      <c r="I11" s="39" t="n">
        <v>79</v>
      </c>
      <c r="J11" s="39" t="n">
        <v>55</v>
      </c>
      <c r="K11" s="39" t="n">
        <v>35</v>
      </c>
      <c r="L11" s="39" t="n">
        <v>15</v>
      </c>
      <c r="M11" s="39" t="n">
        <v>115</v>
      </c>
      <c r="N11" s="39" t="n">
        <v>115</v>
      </c>
      <c r="O11" s="39" t="n">
        <v>100</v>
      </c>
      <c r="P11" s="39" t="n">
        <v>60</v>
      </c>
      <c r="Q11" s="39" t="n">
        <v>60</v>
      </c>
      <c r="R11" s="39" t="n">
        <v>60</v>
      </c>
      <c r="S11" s="39" t="n">
        <v>60</v>
      </c>
      <c r="T11" s="39" t="n">
        <v>60</v>
      </c>
      <c r="U11" s="39" t="n">
        <v>40</v>
      </c>
      <c r="V11" s="39" t="n">
        <v>87</v>
      </c>
      <c r="W11" s="39" t="n">
        <v>60</v>
      </c>
      <c r="X11" s="39" t="n">
        <v>60</v>
      </c>
      <c r="Y11" s="39">
        <f>60+AI11</f>
        <v/>
      </c>
      <c r="Z11" s="39" t="n">
        <v>0</v>
      </c>
      <c r="AA11" s="380">
        <f>Y11+IF(NOT(ISBLANK(OFFSET(AA11,0,6))),N(OFFSET(AA11,0,6)),N(OFFSET(AA11,0,7)))-Z11</f>
        <v/>
      </c>
      <c r="AB11" s="111" t="n"/>
      <c r="AC11" s="419" t="inlineStr">
        <is>
          <t>100 DE IT</t>
        </is>
      </c>
      <c r="AD11" s="11" t="n"/>
      <c r="AE11" s="32" t="n"/>
      <c r="AF11" s="11" t="n"/>
      <c r="AG11" s="304" t="n">
        <v>0</v>
      </c>
      <c r="AH11" s="304" t="n"/>
      <c r="AI11" s="304" t="n">
        <v>100</v>
      </c>
      <c r="AJ11" s="304" t="n"/>
      <c r="AK11" s="19" t="n"/>
      <c r="AL11" s="119" t="n">
        <v>100</v>
      </c>
      <c r="AM11" s="19" t="n"/>
      <c r="AN11" s="19" t="n">
        <v>100</v>
      </c>
      <c r="AO11" s="19" t="n"/>
      <c r="AP11" s="19" t="n"/>
      <c r="AQ11" s="19" t="n"/>
      <c r="AR11" s="19" t="n"/>
      <c r="AS11" s="19" t="n">
        <v>100</v>
      </c>
      <c r="AT11" s="19" t="n"/>
      <c r="AU11" s="19" t="n"/>
      <c r="AV11" s="260" t="inlineStr">
        <is>
          <t>100 DE CD</t>
        </is>
      </c>
      <c r="AW11" s="19" t="n">
        <v>100</v>
      </c>
      <c r="AX11" s="19" t="n"/>
      <c r="AY11" s="19" t="n"/>
      <c r="BA11" s="22" t="inlineStr">
        <is>
          <t xml:space="preserve">SACOLA G </t>
        </is>
      </c>
      <c r="BB11" s="6" t="n">
        <v>100</v>
      </c>
      <c r="BC11" s="39">
        <f>AL11</f>
        <v/>
      </c>
      <c r="BD11" s="39" t="n">
        <v>0</v>
      </c>
      <c r="BE11" s="39" t="n">
        <v>0</v>
      </c>
      <c r="BF11" s="39" t="n">
        <v>0</v>
      </c>
      <c r="BG11" s="39" t="n">
        <v>0</v>
      </c>
      <c r="BH11" s="39" t="n">
        <v>0</v>
      </c>
      <c r="BI11" s="26">
        <f>BG11+IF(NOT(ISBLANK(OFFSET(BI11,0,6))),N(OFFSET(BI11,0,6)),N(OFFSET(BI11,0,7)))-BH11</f>
        <v/>
      </c>
    </row>
    <row r="12" ht="16.5" customFormat="1" customHeight="1" s="3">
      <c r="A12" s="1" t="n"/>
      <c r="B12" s="1" t="n"/>
      <c r="C12" s="630" t="n"/>
      <c r="D12" s="277" t="n"/>
      <c r="E12" s="11" t="n"/>
      <c r="F12" s="2" t="n"/>
      <c r="G12" s="2" t="n"/>
      <c r="H12" s="2" t="n"/>
      <c r="I12" s="2" t="n"/>
      <c r="J12" s="2" t="n"/>
      <c r="K12" s="2" t="n"/>
      <c r="L12" s="2" t="n"/>
      <c r="M12" s="2" t="n"/>
      <c r="N12" s="2" t="n"/>
      <c r="O12" s="2" t="n"/>
      <c r="P12" s="2" t="n"/>
      <c r="Q12" s="2" t="n"/>
      <c r="R12" s="2" t="n"/>
      <c r="S12" s="2" t="n"/>
      <c r="T12" s="2" t="n"/>
      <c r="U12" s="2" t="n"/>
      <c r="V12" s="2" t="n"/>
      <c r="W12" s="2" t="n"/>
      <c r="X12" s="2" t="n"/>
      <c r="Y12" s="2" t="n"/>
      <c r="Z12" s="2" t="n"/>
      <c r="AA12" s="2" t="n"/>
      <c r="AC12" s="350" t="n"/>
      <c r="AD12" s="11" t="n"/>
      <c r="AE12" s="33" t="n"/>
      <c r="AF12" s="11" t="n"/>
      <c r="AG12" s="75" t="n"/>
      <c r="AH12" s="75" t="n"/>
      <c r="AI12" s="75" t="n"/>
      <c r="AJ12" s="75" t="n"/>
      <c r="AK12" s="75" t="n"/>
      <c r="AL12" s="75" t="n"/>
      <c r="AM12" s="75" t="n"/>
      <c r="AN12" s="75" t="n"/>
      <c r="AO12" s="75" t="n"/>
      <c r="AP12" s="75" t="n"/>
      <c r="AQ12" s="75" t="n"/>
      <c r="AR12" s="75" t="n"/>
      <c r="AS12" s="75" t="n"/>
      <c r="AT12" s="75" t="n"/>
      <c r="AU12" s="75" t="n"/>
      <c r="AV12" s="75" t="n"/>
      <c r="AW12" s="75" t="n"/>
      <c r="AX12" s="75" t="n"/>
      <c r="AY12" s="75" t="n"/>
      <c r="BA12" s="23" t="n"/>
      <c r="BB12" s="1" t="n"/>
      <c r="BC12" s="2" t="n"/>
      <c r="BD12" s="2" t="n"/>
      <c r="BE12" s="2" t="n"/>
      <c r="BF12" s="2" t="n"/>
      <c r="BG12" s="2" t="n"/>
      <c r="BH12" s="2" t="n"/>
    </row>
    <row r="13" customFormat="1" s="3">
      <c r="A13" s="12" t="inlineStr">
        <is>
          <t>DIVERSOS</t>
        </is>
      </c>
      <c r="B13" s="12" t="n"/>
      <c r="C13" s="631" t="n"/>
      <c r="D13" s="403" t="n"/>
      <c r="E13" s="608" t="n"/>
      <c r="F13" s="619" t="n">
        <v>46013</v>
      </c>
      <c r="G13" s="619" t="n">
        <v>46020</v>
      </c>
      <c r="H13" s="619" t="n">
        <v>46027</v>
      </c>
      <c r="I13" s="619" t="n">
        <v>46034</v>
      </c>
      <c r="J13" s="619" t="n">
        <v>46041</v>
      </c>
      <c r="K13" s="619" t="n">
        <v>46048</v>
      </c>
      <c r="L13" s="619" t="n">
        <v>46055</v>
      </c>
      <c r="M13" s="619" t="n">
        <v>46062</v>
      </c>
      <c r="N13" s="619" t="n">
        <v>46069</v>
      </c>
      <c r="O13" s="619" t="n">
        <v>46076</v>
      </c>
      <c r="P13" s="619" t="n">
        <v>46083</v>
      </c>
      <c r="Q13" s="619" t="n">
        <v>46090</v>
      </c>
      <c r="R13" s="619" t="n">
        <v>46097</v>
      </c>
      <c r="S13" s="619" t="n">
        <v>46104</v>
      </c>
      <c r="T13" s="619" t="n">
        <v>46111</v>
      </c>
      <c r="U13" s="619" t="n">
        <v>46118</v>
      </c>
      <c r="V13" s="619" t="n">
        <v>46125</v>
      </c>
      <c r="W13" s="619" t="n">
        <v>46132</v>
      </c>
      <c r="X13" s="619" t="n">
        <v>46139</v>
      </c>
      <c r="Y13" s="619" t="n">
        <v>46146</v>
      </c>
      <c r="Z13" s="619" t="n">
        <v>46154</v>
      </c>
      <c r="AA13" s="621" t="inlineStr">
        <is>
          <t>USOU</t>
        </is>
      </c>
      <c r="AC13" s="29" t="inlineStr">
        <is>
          <t>Pendências</t>
        </is>
      </c>
      <c r="AD13" s="11" t="n"/>
      <c r="AE13" s="9" t="inlineStr">
        <is>
          <t>Novo Pedido</t>
        </is>
      </c>
      <c r="AF13" s="608" t="n"/>
      <c r="AG13" s="614" t="n"/>
      <c r="AH13" s="615" t="n">
        <v>46148</v>
      </c>
      <c r="AI13" s="614" t="n">
        <v>46142</v>
      </c>
      <c r="AJ13" s="615" t="n">
        <v>46146</v>
      </c>
      <c r="AK13" s="614" t="n">
        <v>46114</v>
      </c>
      <c r="AL13" s="616" t="n">
        <v>46065</v>
      </c>
      <c r="AM13" s="614" t="n">
        <v>46092</v>
      </c>
      <c r="AN13" s="614" t="n">
        <v>46056</v>
      </c>
      <c r="AO13" s="614" t="n">
        <v>46048</v>
      </c>
      <c r="AP13" s="614" t="n">
        <v>46043</v>
      </c>
      <c r="AQ13" s="614" t="n">
        <v>46035</v>
      </c>
      <c r="AR13" s="614" t="n">
        <v>46024</v>
      </c>
      <c r="AS13" s="614" t="n">
        <v>46017</v>
      </c>
      <c r="AT13" s="617" t="n">
        <v>46386</v>
      </c>
      <c r="AU13" s="614" t="n">
        <v>46007</v>
      </c>
      <c r="AV13" s="617" t="n">
        <v>46014</v>
      </c>
      <c r="AW13" s="614" t="n">
        <v>46001</v>
      </c>
      <c r="AX13" s="614" t="n">
        <v>45994</v>
      </c>
      <c r="AY13" s="614" t="n">
        <v>45986</v>
      </c>
      <c r="BA13" s="397" t="inlineStr">
        <is>
          <t>DIVERSOS</t>
        </is>
      </c>
      <c r="BB13" s="384" t="inlineStr">
        <is>
          <t>PCT</t>
        </is>
      </c>
      <c r="BC13" s="619" t="n">
        <v>46118</v>
      </c>
      <c r="BD13" s="619" t="n">
        <v>46125</v>
      </c>
      <c r="BE13" s="619" t="n">
        <v>46132</v>
      </c>
      <c r="BF13" s="619" t="n">
        <v>46139</v>
      </c>
      <c r="BG13" s="619" t="n">
        <v>46146</v>
      </c>
      <c r="BH13" s="619" t="n">
        <v>46154</v>
      </c>
      <c r="BI13" s="621" t="inlineStr">
        <is>
          <t>USOU</t>
        </is>
      </c>
    </row>
    <row r="14" customFormat="1" s="3">
      <c r="A14" s="25" t="inlineStr">
        <is>
          <t>PAPEL DE SEDA 2025</t>
        </is>
      </c>
      <c r="B14" s="6" t="n">
        <v>200</v>
      </c>
      <c r="C14" s="632" t="n">
        <v>38</v>
      </c>
      <c r="D14" s="240" t="n">
        <v>6</v>
      </c>
      <c r="E14" s="608" t="n"/>
      <c r="F14" s="39" t="n">
        <v>0</v>
      </c>
      <c r="G14" s="39" t="n">
        <v>5</v>
      </c>
      <c r="H14" s="39" t="n">
        <v>4</v>
      </c>
      <c r="I14" s="39" t="n">
        <v>3</v>
      </c>
      <c r="J14" s="39">
        <f>5+AQ14</f>
        <v/>
      </c>
      <c r="K14" s="39" t="n">
        <v>8</v>
      </c>
      <c r="L14" s="39" t="n">
        <v>6</v>
      </c>
      <c r="M14" s="39" t="n">
        <v>7</v>
      </c>
      <c r="N14" s="39" t="n">
        <v>6</v>
      </c>
      <c r="O14" s="39" t="n">
        <v>6</v>
      </c>
      <c r="P14" s="39" t="n">
        <v>4</v>
      </c>
      <c r="Q14" s="39" t="n">
        <v>3</v>
      </c>
      <c r="R14" s="39">
        <f>3+AM14</f>
        <v/>
      </c>
      <c r="S14" s="39" t="n">
        <v>4</v>
      </c>
      <c r="T14" s="39" t="n">
        <v>4</v>
      </c>
      <c r="U14" s="39" t="n">
        <v>3</v>
      </c>
      <c r="V14" s="39" t="n">
        <v>3</v>
      </c>
      <c r="W14" s="39" t="n">
        <v>3</v>
      </c>
      <c r="X14" s="39" t="n">
        <v>3</v>
      </c>
      <c r="Y14" s="39">
        <f>3+AI14</f>
        <v/>
      </c>
      <c r="Z14" s="39" t="n">
        <v>3</v>
      </c>
      <c r="AA14" s="380">
        <f>Y14+IF(NOT(ISBLANK(OFFSET(AA14,0,6))),N(OFFSET(AA14,0,6)),N(OFFSET(AA14,0,7)))-Z14</f>
        <v/>
      </c>
      <c r="AC14" s="78" t="n"/>
      <c r="AD14" s="608" t="n"/>
      <c r="AE14" s="32" t="n">
        <v>3</v>
      </c>
      <c r="AF14" s="608" t="n"/>
      <c r="AG14" s="304" t="n">
        <v>0</v>
      </c>
      <c r="AH14" s="304" t="n"/>
      <c r="AI14" s="304" t="n">
        <v>5</v>
      </c>
      <c r="AJ14" s="304" t="n"/>
      <c r="AK14" s="19" t="n"/>
      <c r="AL14" s="119" t="n">
        <v>8</v>
      </c>
      <c r="AM14" s="19" t="n">
        <v>2</v>
      </c>
      <c r="AN14" s="19" t="n">
        <v>3</v>
      </c>
      <c r="AO14" s="19" t="n"/>
      <c r="AP14" s="19" t="n"/>
      <c r="AQ14" s="19" t="n">
        <v>3</v>
      </c>
      <c r="AR14" s="19" t="n"/>
      <c r="AS14" s="19" t="n"/>
      <c r="AT14" s="19" t="n"/>
      <c r="AU14" s="19" t="n"/>
      <c r="AV14" s="19" t="n"/>
      <c r="AW14" s="19" t="n"/>
      <c r="AX14" s="19" t="n"/>
      <c r="AY14" s="19" t="n"/>
      <c r="BA14" s="372" t="inlineStr">
        <is>
          <t>PAPEL DE SEDA</t>
        </is>
      </c>
      <c r="BB14" s="139" t="n">
        <v>200</v>
      </c>
      <c r="BC14" s="39">
        <f>AL14</f>
        <v/>
      </c>
      <c r="BD14" s="39" t="n">
        <v>7</v>
      </c>
      <c r="BE14" s="39" t="n">
        <v>6</v>
      </c>
      <c r="BF14" s="39" t="n">
        <v>6</v>
      </c>
      <c r="BG14" s="39" t="n">
        <v>5</v>
      </c>
      <c r="BH14" s="39" t="n">
        <v>0</v>
      </c>
      <c r="BI14" s="26">
        <f>BG14+IF(NOT(ISBLANK(OFFSET(BI14,0,6))),N(OFFSET(BI14,0,6)),N(OFFSET(BI14,0,7)))-BH14</f>
        <v/>
      </c>
    </row>
    <row r="15" customFormat="1" s="3">
      <c r="A15" s="25" t="inlineStr">
        <is>
          <t>ADESIVOS 2025</t>
        </is>
      </c>
      <c r="B15" s="6" t="n">
        <v>200</v>
      </c>
      <c r="C15" s="632" t="n">
        <v>18</v>
      </c>
      <c r="D15" s="240" t="n">
        <v>10</v>
      </c>
      <c r="E15" s="608" t="n"/>
      <c r="F15" s="39" t="n">
        <v>5</v>
      </c>
      <c r="G15" s="39" t="n">
        <v>5</v>
      </c>
      <c r="H15" s="39" t="n">
        <v>4</v>
      </c>
      <c r="I15" s="39" t="n">
        <v>5</v>
      </c>
      <c r="J15" s="39" t="n">
        <v>5</v>
      </c>
      <c r="K15" s="39" t="n">
        <v>5</v>
      </c>
      <c r="L15" s="39" t="n">
        <v>5</v>
      </c>
      <c r="M15" s="39" t="n">
        <v>5</v>
      </c>
      <c r="N15" s="39" t="n">
        <v>6</v>
      </c>
      <c r="O15" s="39" t="n">
        <v>6</v>
      </c>
      <c r="P15" s="39" t="n">
        <v>6</v>
      </c>
      <c r="Q15" s="39" t="n">
        <v>5</v>
      </c>
      <c r="R15" s="39" t="n">
        <v>5</v>
      </c>
      <c r="S15" s="39" t="n">
        <v>5</v>
      </c>
      <c r="T15" s="39" t="n">
        <v>4</v>
      </c>
      <c r="U15" s="39" t="n">
        <v>3</v>
      </c>
      <c r="V15" s="39" t="n">
        <v>4</v>
      </c>
      <c r="W15" s="39" t="n">
        <v>4</v>
      </c>
      <c r="X15" s="39" t="n">
        <v>4</v>
      </c>
      <c r="Y15" s="39" t="n">
        <v>4</v>
      </c>
      <c r="Z15" s="39" t="n">
        <v>3</v>
      </c>
      <c r="AA15" s="380">
        <f>Y15+IF(NOT(ISBLANK(OFFSET(AA15,0,6))),N(OFFSET(AA15,0,6)),N(OFFSET(AA15,0,7)))-Z15</f>
        <v/>
      </c>
      <c r="AC15" s="78" t="n"/>
      <c r="AD15" s="608" t="n"/>
      <c r="AE15" s="32" t="n"/>
      <c r="AF15" s="608" t="n"/>
      <c r="AG15" s="304" t="n">
        <v>0</v>
      </c>
      <c r="AH15" s="304" t="n"/>
      <c r="AI15" s="304" t="n">
        <v>0</v>
      </c>
      <c r="AJ15" s="304" t="n"/>
      <c r="AK15" s="19" t="n"/>
      <c r="AL15" s="119" t="n">
        <v>3</v>
      </c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>
        <v>4</v>
      </c>
      <c r="BA15" s="21" t="inlineStr">
        <is>
          <t>ADESIVOS</t>
        </is>
      </c>
      <c r="BB15" s="6" t="n">
        <v>200</v>
      </c>
      <c r="BC15" s="39">
        <f>AL15</f>
        <v/>
      </c>
      <c r="BD15" s="39" t="n">
        <v>2</v>
      </c>
      <c r="BE15" s="39" t="n">
        <v>2</v>
      </c>
      <c r="BF15" s="39" t="n">
        <v>2</v>
      </c>
      <c r="BG15" s="39" t="n">
        <v>2</v>
      </c>
      <c r="BH15" s="39" t="n">
        <v>0</v>
      </c>
      <c r="BI15" s="26">
        <f>BG15+IF(NOT(ISBLANK(OFFSET(BI15,0,6))),N(OFFSET(BI15,0,6)),N(OFFSET(BI15,0,7)))-BH15</f>
        <v/>
      </c>
    </row>
    <row r="16" customFormat="1" s="3">
      <c r="A16" s="25" t="inlineStr">
        <is>
          <t xml:space="preserve">TAGS </t>
        </is>
      </c>
      <c r="B16" s="6" t="n">
        <v>200</v>
      </c>
      <c r="C16" s="632" t="n">
        <v>10.28</v>
      </c>
      <c r="D16" s="240" t="n">
        <v>4</v>
      </c>
      <c r="E16" s="1" t="n"/>
      <c r="F16" s="39" t="n">
        <v>5</v>
      </c>
      <c r="G16" s="39" t="n">
        <v>5</v>
      </c>
      <c r="H16" s="39">
        <f>5+AS16</f>
        <v/>
      </c>
      <c r="I16" s="39" t="n">
        <v>8</v>
      </c>
      <c r="J16" s="39" t="n">
        <v>7</v>
      </c>
      <c r="K16" s="39" t="n">
        <v>7</v>
      </c>
      <c r="L16" s="39" t="n">
        <v>7</v>
      </c>
      <c r="M16" s="39" t="n">
        <v>6</v>
      </c>
      <c r="N16" s="39" t="n">
        <v>5</v>
      </c>
      <c r="O16" s="39" t="n">
        <v>5</v>
      </c>
      <c r="P16" s="39" t="n">
        <v>5</v>
      </c>
      <c r="Q16" s="39" t="n">
        <v>4</v>
      </c>
      <c r="R16" s="39" t="n">
        <v>4</v>
      </c>
      <c r="S16" s="39" t="n">
        <v>3</v>
      </c>
      <c r="T16" s="39" t="n">
        <v>3</v>
      </c>
      <c r="U16" s="39" t="n">
        <v>3</v>
      </c>
      <c r="V16" s="39" t="n">
        <v>2</v>
      </c>
      <c r="W16" s="39" t="n">
        <v>1</v>
      </c>
      <c r="X16" s="39" t="n">
        <v>0</v>
      </c>
      <c r="Y16" s="39">
        <f>0+AI16</f>
        <v/>
      </c>
      <c r="Z16" s="39" t="n">
        <v>0</v>
      </c>
      <c r="AA16" s="380">
        <f>Y16+IF(NOT(ISBLANK(OFFSET(AA16,0,6))),N(OFFSET(AA16,0,6)),N(OFFSET(AA16,0,7)))-Z16</f>
        <v/>
      </c>
      <c r="AC16" s="78" t="inlineStr">
        <is>
          <t>02 DE JSH</t>
        </is>
      </c>
      <c r="AD16" s="1" t="n"/>
      <c r="AE16" s="32" t="n"/>
      <c r="AF16" s="1" t="n"/>
      <c r="AG16" s="19" t="n">
        <v>0</v>
      </c>
      <c r="AH16" s="19" t="n"/>
      <c r="AI16" s="19" t="n">
        <v>4</v>
      </c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>
        <v>3</v>
      </c>
      <c r="AT16" s="19" t="n"/>
      <c r="AU16" s="19" t="n"/>
      <c r="AV16" s="19" t="n"/>
      <c r="AW16" s="19" t="n">
        <v>2</v>
      </c>
      <c r="AX16" s="19" t="n"/>
      <c r="AY16" s="19" t="n">
        <v>4</v>
      </c>
    </row>
    <row r="17" customFormat="1" s="3">
      <c r="A17" s="25" t="inlineStr">
        <is>
          <t>LÂMINA OLFATIVA</t>
        </is>
      </c>
      <c r="B17" s="6" t="n">
        <v>3000</v>
      </c>
      <c r="C17" s="632" t="n">
        <v>71.8</v>
      </c>
      <c r="D17" s="240" t="n">
        <v>2</v>
      </c>
      <c r="E17" s="1" t="n"/>
      <c r="F17" s="39">
        <f>0+AU17</f>
        <v/>
      </c>
      <c r="G17" s="39" t="n">
        <v>7</v>
      </c>
      <c r="H17" s="39">
        <f>6+AS17</f>
        <v/>
      </c>
      <c r="I17" s="39" t="n">
        <v>8</v>
      </c>
      <c r="J17" s="39" t="n">
        <v>8</v>
      </c>
      <c r="K17" s="39" t="n">
        <v>8</v>
      </c>
      <c r="L17" s="39" t="n">
        <v>8</v>
      </c>
      <c r="M17" s="39" t="n">
        <v>8</v>
      </c>
      <c r="N17" s="39" t="n">
        <v>7</v>
      </c>
      <c r="O17" s="39" t="n">
        <v>7</v>
      </c>
      <c r="P17" s="39" t="n">
        <v>7</v>
      </c>
      <c r="Q17" s="39" t="n">
        <v>7</v>
      </c>
      <c r="R17" s="39" t="n">
        <v>7</v>
      </c>
      <c r="S17" s="39" t="n">
        <v>6</v>
      </c>
      <c r="T17" s="39" t="n">
        <v>6</v>
      </c>
      <c r="U17" s="39" t="n">
        <v>4</v>
      </c>
      <c r="V17" s="39" t="n">
        <v>3</v>
      </c>
      <c r="W17" s="39" t="n">
        <v>3</v>
      </c>
      <c r="X17" s="39" t="n">
        <v>3</v>
      </c>
      <c r="Y17" s="39">
        <f>2-1</f>
        <v/>
      </c>
      <c r="Z17" s="39" t="n">
        <v>1</v>
      </c>
      <c r="AA17" s="380">
        <f>Y17+IF(NOT(ISBLANK(OFFSET(AA17,0,6))),N(OFFSET(AA17,0,6)),N(OFFSET(AA17,0,7)))-Z17</f>
        <v/>
      </c>
      <c r="AC17" s="419" t="inlineStr">
        <is>
          <t>01 DE IT</t>
        </is>
      </c>
      <c r="AD17" s="1" t="n"/>
      <c r="AE17" s="401" t="n"/>
      <c r="AF17" s="1" t="n"/>
      <c r="AG17" s="19" t="n">
        <v>0</v>
      </c>
      <c r="AH17" s="19" t="n"/>
      <c r="AI17" s="19" t="n">
        <v>0</v>
      </c>
      <c r="AJ17" s="260" t="inlineStr">
        <is>
          <t>01 P/ JC</t>
        </is>
      </c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>
        <v>2</v>
      </c>
      <c r="AT17" s="19" t="n"/>
      <c r="AU17" s="19" t="n">
        <v>5</v>
      </c>
      <c r="AV17" s="19" t="n"/>
      <c r="AW17" s="19" t="n">
        <v>1</v>
      </c>
      <c r="AX17" s="19" t="n">
        <v>2</v>
      </c>
      <c r="AY17" s="19" t="n"/>
    </row>
    <row r="18" ht="14.25" customFormat="1" customHeight="1" s="3">
      <c r="A18" s="23" t="n"/>
      <c r="C18" s="633" t="n"/>
      <c r="D18" s="277" t="n"/>
      <c r="F18" s="398" t="n"/>
      <c r="G18" s="398" t="n"/>
      <c r="H18" s="398" t="n"/>
      <c r="I18" s="398" t="n"/>
      <c r="J18" s="398" t="n"/>
      <c r="K18" s="398" t="n"/>
      <c r="L18" s="398" t="n"/>
      <c r="M18" s="398" t="n"/>
      <c r="N18" s="398" t="n"/>
      <c r="O18" s="398" t="n"/>
      <c r="P18" s="398" t="n"/>
      <c r="Q18" s="398" t="n"/>
      <c r="R18" s="398" t="n"/>
      <c r="S18" s="398" t="n"/>
      <c r="T18" s="398" t="n"/>
      <c r="U18" s="398" t="n"/>
      <c r="V18" s="398" t="n"/>
      <c r="W18" s="398" t="n"/>
      <c r="X18" s="398" t="n"/>
      <c r="Y18" s="398" t="n"/>
      <c r="Z18" s="398" t="n"/>
      <c r="AA18" s="398" t="n"/>
      <c r="AC18" s="398" t="n"/>
      <c r="AE18" s="352" t="n"/>
      <c r="AG18" s="396" t="n"/>
      <c r="AH18" s="396" t="n"/>
      <c r="AI18" s="396" t="n"/>
      <c r="AJ18" s="396" t="n"/>
      <c r="AK18" s="396" t="n"/>
      <c r="AL18" s="396" t="n"/>
      <c r="AM18" s="396" t="n"/>
      <c r="AN18" s="396" t="n"/>
      <c r="AO18" s="396" t="n"/>
      <c r="AP18" s="396" t="n"/>
      <c r="AQ18" s="396" t="n"/>
      <c r="AR18" s="396" t="n"/>
      <c r="AS18" s="396" t="n"/>
      <c r="AT18" s="396" t="n"/>
      <c r="AU18" s="396" t="n"/>
      <c r="AV18" s="396" t="n"/>
      <c r="AW18" s="396" t="n"/>
      <c r="AX18" s="396" t="n"/>
      <c r="AY18" s="396" t="n"/>
    </row>
    <row r="19" customFormat="1" s="3">
      <c r="A19" s="548" t="inlineStr">
        <is>
          <t>CAIXAS</t>
        </is>
      </c>
      <c r="B19" s="12" t="inlineStr">
        <is>
          <t>PC</t>
        </is>
      </c>
      <c r="C19" s="631" t="inlineStr">
        <is>
          <t>R$</t>
        </is>
      </c>
      <c r="D19" s="403" t="n"/>
      <c r="E19" s="1" t="n"/>
      <c r="F19" s="619" t="n">
        <v>46013</v>
      </c>
      <c r="G19" s="619" t="n">
        <v>46020</v>
      </c>
      <c r="H19" s="619" t="n">
        <v>46027</v>
      </c>
      <c r="I19" s="619" t="n">
        <v>46034</v>
      </c>
      <c r="J19" s="619" t="n">
        <v>46041</v>
      </c>
      <c r="K19" s="619" t="n">
        <v>46048</v>
      </c>
      <c r="L19" s="619" t="n">
        <v>46055</v>
      </c>
      <c r="M19" s="619" t="n">
        <v>46062</v>
      </c>
      <c r="N19" s="619" t="n">
        <v>46069</v>
      </c>
      <c r="O19" s="619" t="n">
        <v>46076</v>
      </c>
      <c r="P19" s="619" t="n">
        <v>46083</v>
      </c>
      <c r="Q19" s="619" t="n">
        <v>46090</v>
      </c>
      <c r="R19" s="619" t="n">
        <v>46097</v>
      </c>
      <c r="S19" s="619" t="n">
        <v>46104</v>
      </c>
      <c r="T19" s="619" t="n">
        <v>46111</v>
      </c>
      <c r="U19" s="619" t="n">
        <v>46118</v>
      </c>
      <c r="V19" s="619" t="n">
        <v>46125</v>
      </c>
      <c r="W19" s="619" t="n">
        <v>46132</v>
      </c>
      <c r="X19" s="619" t="n">
        <v>46139</v>
      </c>
      <c r="Y19" s="619" t="n">
        <v>46146</v>
      </c>
      <c r="Z19" s="619" t="n">
        <v>46154</v>
      </c>
      <c r="AA19" s="621" t="inlineStr">
        <is>
          <t>USOU</t>
        </is>
      </c>
      <c r="AC19" s="29" t="inlineStr">
        <is>
          <t>Pendências</t>
        </is>
      </c>
      <c r="AD19" s="11" t="n"/>
      <c r="AE19" s="9" t="inlineStr">
        <is>
          <t>Novo Pedido</t>
        </is>
      </c>
      <c r="AF19" s="1" t="n"/>
      <c r="AG19" s="614" t="n"/>
      <c r="AH19" s="615" t="n">
        <v>46148</v>
      </c>
      <c r="AI19" s="614" t="n">
        <v>46142</v>
      </c>
      <c r="AJ19" s="615" t="n">
        <v>46146</v>
      </c>
      <c r="AK19" s="614" t="n">
        <v>46114</v>
      </c>
      <c r="AL19" s="616" t="n">
        <v>46065</v>
      </c>
      <c r="AM19" s="614" t="n">
        <v>46092</v>
      </c>
      <c r="AN19" s="614" t="n">
        <v>46056</v>
      </c>
      <c r="AO19" s="614" t="n">
        <v>46048</v>
      </c>
      <c r="AP19" s="614" t="n">
        <v>46043</v>
      </c>
      <c r="AQ19" s="614" t="n">
        <v>46035</v>
      </c>
      <c r="AR19" s="614" t="n">
        <v>46024</v>
      </c>
      <c r="AS19" s="614" t="n">
        <v>46017</v>
      </c>
      <c r="AT19" s="617" t="n">
        <v>46386</v>
      </c>
      <c r="AU19" s="614" t="n">
        <v>46007</v>
      </c>
      <c r="AV19" s="617" t="n">
        <v>46014</v>
      </c>
      <c r="AW19" s="614" t="n">
        <v>46001</v>
      </c>
      <c r="AX19" s="614" t="n">
        <v>45994</v>
      </c>
      <c r="AY19" s="614" t="n">
        <v>45986</v>
      </c>
      <c r="BA19" s="397" t="inlineStr">
        <is>
          <t>CAIXAS</t>
        </is>
      </c>
      <c r="BB19" s="384" t="inlineStr">
        <is>
          <t>PCT</t>
        </is>
      </c>
      <c r="BC19" s="619" t="n">
        <v>46118</v>
      </c>
      <c r="BD19" s="619" t="n">
        <v>46125</v>
      </c>
      <c r="BE19" s="619" t="n">
        <v>46132</v>
      </c>
      <c r="BF19" s="619" t="n">
        <v>46139</v>
      </c>
      <c r="BG19" s="619" t="n">
        <v>46146</v>
      </c>
      <c r="BH19" s="619" t="n">
        <v>46154</v>
      </c>
      <c r="BI19" s="621" t="inlineStr">
        <is>
          <t>USOU</t>
        </is>
      </c>
    </row>
    <row r="20" customFormat="1" s="3">
      <c r="A20" s="25" t="inlineStr">
        <is>
          <t>CAIXA P VERDE</t>
        </is>
      </c>
      <c r="B20" s="6" t="n">
        <v>150</v>
      </c>
      <c r="C20" s="627" t="n">
        <v>334.31</v>
      </c>
      <c r="D20" s="240" t="n">
        <v>150</v>
      </c>
      <c r="E20" s="1" t="n"/>
      <c r="F20" s="27" t="n">
        <v>37</v>
      </c>
      <c r="G20" s="27" t="n">
        <v>0</v>
      </c>
      <c r="H20" s="27" t="n">
        <v>0</v>
      </c>
      <c r="I20" s="27" t="n">
        <v>0</v>
      </c>
      <c r="J20" s="27" t="n">
        <v>150</v>
      </c>
      <c r="K20" s="27" t="n">
        <v>144</v>
      </c>
      <c r="L20" s="27">
        <f>138+AO20</f>
        <v/>
      </c>
      <c r="M20" s="27" t="n">
        <v>276</v>
      </c>
      <c r="N20" s="27" t="n">
        <v>274</v>
      </c>
      <c r="O20" s="27" t="n">
        <v>263</v>
      </c>
      <c r="P20" s="27" t="n">
        <v>258</v>
      </c>
      <c r="Q20" s="27" t="n">
        <v>252</v>
      </c>
      <c r="R20" s="27" t="n">
        <v>239</v>
      </c>
      <c r="S20" s="27" t="n">
        <v>235</v>
      </c>
      <c r="T20" s="27" t="n">
        <v>227</v>
      </c>
      <c r="U20" s="27" t="n"/>
      <c r="V20" s="27" t="n"/>
      <c r="W20" s="27" t="n"/>
      <c r="X20" s="27" t="n">
        <v>227</v>
      </c>
      <c r="Y20" s="27" t="n">
        <v>225</v>
      </c>
      <c r="Z20" s="27" t="n">
        <v>217</v>
      </c>
      <c r="AA20" s="380">
        <f>Y20+IF(NOT(ISBLANK(OFFSET(AA20,0,6))),N(OFFSET(AA20,0,6)),N(OFFSET(AA20,0,7)))-Z20</f>
        <v/>
      </c>
      <c r="AB20" s="370" t="n"/>
      <c r="AC20" s="78" t="n"/>
      <c r="AD20" s="1" t="n"/>
      <c r="AE20" s="32" t="n"/>
      <c r="AF20" s="1" t="n"/>
      <c r="AG20" s="19" t="n">
        <v>0</v>
      </c>
      <c r="AH20" s="19" t="n"/>
      <c r="AI20" s="19" t="n">
        <v>0</v>
      </c>
      <c r="AJ20" s="19" t="n"/>
      <c r="AK20" s="19" t="n"/>
      <c r="AL20" s="19" t="n"/>
      <c r="AM20" s="19" t="n"/>
      <c r="AN20" s="19" t="n"/>
      <c r="AO20" s="19" t="n">
        <v>150</v>
      </c>
      <c r="AP20" s="19" t="n"/>
      <c r="AQ20" s="19" t="n"/>
      <c r="AR20" s="19" t="n">
        <v>150</v>
      </c>
      <c r="AS20" s="19" t="n"/>
      <c r="AT20" s="19" t="n"/>
      <c r="AU20" s="19" t="n"/>
      <c r="AV20" s="19" t="n"/>
      <c r="AW20" s="19" t="n"/>
      <c r="AX20" s="19" t="n"/>
      <c r="AY20" s="19" t="n"/>
      <c r="BA20" s="372" t="inlineStr">
        <is>
          <t>CAIXA P</t>
        </is>
      </c>
      <c r="BB20" s="139" t="n">
        <v>150</v>
      </c>
      <c r="BC20" s="39" t="n">
        <v>0</v>
      </c>
      <c r="BD20" s="39" t="n">
        <v>0</v>
      </c>
      <c r="BE20" s="39" t="n">
        <v>0</v>
      </c>
      <c r="BF20" s="39" t="n">
        <v>0</v>
      </c>
      <c r="BG20" s="39" t="n">
        <v>0</v>
      </c>
      <c r="BH20" s="39" t="n">
        <v>0</v>
      </c>
      <c r="BI20" s="26">
        <f>BG20+IF(NOT(ISBLANK(OFFSET(BI20,0,6))),N(OFFSET(BI20,0,6)),N(OFFSET(BI20,0,7)))-BH20</f>
        <v/>
      </c>
    </row>
    <row r="21" customFormat="1" s="3">
      <c r="A21" s="25" t="inlineStr">
        <is>
          <t>CAIXA M VERDE</t>
        </is>
      </c>
      <c r="B21" s="6" t="n">
        <v>100</v>
      </c>
      <c r="C21" s="634" t="n">
        <v>292.25</v>
      </c>
      <c r="D21" s="243" t="n">
        <v>150</v>
      </c>
      <c r="E21" s="1" t="n"/>
      <c r="F21" s="39" t="n">
        <v>169</v>
      </c>
      <c r="G21" s="39" t="n">
        <v>134</v>
      </c>
      <c r="H21" s="39" t="n">
        <v>129</v>
      </c>
      <c r="I21" s="39" t="n">
        <v>109</v>
      </c>
      <c r="J21" s="39" t="n">
        <v>98</v>
      </c>
      <c r="K21" s="39" t="n">
        <v>175</v>
      </c>
      <c r="L21" s="39">
        <f>169+AO21</f>
        <v/>
      </c>
      <c r="M21" s="39" t="n">
        <v>263</v>
      </c>
      <c r="N21" s="39" t="n">
        <v>250</v>
      </c>
      <c r="O21" s="39" t="n">
        <v>240</v>
      </c>
      <c r="P21" s="39" t="n">
        <v>231</v>
      </c>
      <c r="Q21" s="39" t="n">
        <v>211</v>
      </c>
      <c r="R21" s="39" t="n">
        <v>196</v>
      </c>
      <c r="S21" s="39" t="n">
        <v>187</v>
      </c>
      <c r="T21" s="39" t="n">
        <v>173</v>
      </c>
      <c r="U21" s="39" t="n"/>
      <c r="V21" s="39" t="n"/>
      <c r="W21" s="39" t="n"/>
      <c r="X21" s="39" t="n">
        <v>263</v>
      </c>
      <c r="Y21" s="39" t="n">
        <v>263</v>
      </c>
      <c r="Z21" s="39" t="n">
        <v>255</v>
      </c>
      <c r="AA21" s="380">
        <f>Y21+IF(NOT(ISBLANK(OFFSET(AA21,0,6))),N(OFFSET(AA21,0,6)),N(OFFSET(AA21,0,7)))-Z21</f>
        <v/>
      </c>
      <c r="AB21" s="370" t="n"/>
      <c r="AC21" s="78" t="n"/>
      <c r="AD21" s="1" t="n"/>
      <c r="AE21" s="32" t="n"/>
      <c r="AF21" s="1" t="n"/>
      <c r="AG21" s="19" t="n">
        <v>0</v>
      </c>
      <c r="AH21" s="19" t="n"/>
      <c r="AI21" s="19" t="n">
        <v>0</v>
      </c>
      <c r="AJ21" s="19" t="n"/>
      <c r="AK21" s="19" t="n">
        <v>100</v>
      </c>
      <c r="AL21" s="119" t="n"/>
      <c r="AM21" s="19" t="n"/>
      <c r="AN21" s="19" t="n"/>
      <c r="AO21" s="19" t="n">
        <v>100</v>
      </c>
      <c r="AP21" s="19" t="n">
        <v>100</v>
      </c>
      <c r="AQ21" s="19" t="n"/>
      <c r="AR21" s="19" t="n"/>
      <c r="AS21" s="19" t="n"/>
      <c r="AT21" s="119" t="n"/>
      <c r="AU21" s="19" t="n"/>
      <c r="AV21" s="119" t="n"/>
      <c r="AW21" s="19" t="n"/>
      <c r="AX21" s="19" t="n"/>
      <c r="AY21" s="19" t="n"/>
      <c r="BA21" s="21" t="inlineStr">
        <is>
          <t>CAIXA M</t>
        </is>
      </c>
      <c r="BB21" s="6" t="n">
        <v>100</v>
      </c>
      <c r="BC21" s="39" t="n">
        <v>0</v>
      </c>
      <c r="BD21" s="39" t="n"/>
      <c r="BE21" s="39" t="n"/>
      <c r="BF21" s="39" t="n">
        <v>48</v>
      </c>
      <c r="BG21" s="39" t="n">
        <v>45</v>
      </c>
      <c r="BH21" s="39" t="n">
        <v>10</v>
      </c>
      <c r="BI21" s="26">
        <f>BG21+IF(NOT(ISBLANK(OFFSET(BI21,0,6))),N(OFFSET(BI21,0,6)),N(OFFSET(BI21,0,7)))-BH21</f>
        <v/>
      </c>
    </row>
    <row r="22" customFormat="1" s="3">
      <c r="A22" s="25" t="inlineStr">
        <is>
          <t>CAIXA G VERDE</t>
        </is>
      </c>
      <c r="B22" s="6" t="n">
        <v>75</v>
      </c>
      <c r="C22" s="632" t="n">
        <v>425.38</v>
      </c>
      <c r="D22" s="240" t="n">
        <v>25</v>
      </c>
      <c r="E22" s="608" t="n"/>
      <c r="F22" s="39" t="n">
        <v>18</v>
      </c>
      <c r="G22" s="39" t="n">
        <v>17</v>
      </c>
      <c r="H22" s="39" t="n">
        <v>17</v>
      </c>
      <c r="I22" s="39" t="n">
        <v>17</v>
      </c>
      <c r="J22" s="39" t="n">
        <v>17</v>
      </c>
      <c r="K22" s="39" t="n">
        <v>17</v>
      </c>
      <c r="L22" s="39" t="n">
        <v>16</v>
      </c>
      <c r="M22" s="39" t="n">
        <v>15</v>
      </c>
      <c r="N22" s="39" t="n">
        <v>15</v>
      </c>
      <c r="O22" s="39" t="n">
        <v>15</v>
      </c>
      <c r="P22" s="39" t="n">
        <v>15</v>
      </c>
      <c r="Q22" s="39" t="n">
        <v>15</v>
      </c>
      <c r="R22" s="39" t="n">
        <v>15</v>
      </c>
      <c r="S22" s="39" t="n">
        <v>15</v>
      </c>
      <c r="T22" s="39" t="n">
        <v>15</v>
      </c>
      <c r="U22" s="39" t="n">
        <v>15</v>
      </c>
      <c r="V22" s="39" t="n">
        <v>15</v>
      </c>
      <c r="W22" s="39" t="n">
        <v>15</v>
      </c>
      <c r="X22" s="39" t="n">
        <v>15</v>
      </c>
      <c r="Y22" s="39" t="n">
        <v>15</v>
      </c>
      <c r="Z22" s="39" t="n">
        <v>13</v>
      </c>
      <c r="AA22" s="380">
        <f>Y22+IF(NOT(ISBLANK(OFFSET(AA22,0,6))),N(OFFSET(AA22,0,6)),N(OFFSET(AA22,0,7)))-Z22</f>
        <v/>
      </c>
      <c r="AB22" s="370" t="n"/>
      <c r="AC22" s="78" t="n"/>
      <c r="AD22" s="608" t="n"/>
      <c r="AE22" s="400" t="n"/>
      <c r="AF22" s="608" t="n"/>
      <c r="AG22" s="19" t="n">
        <v>0</v>
      </c>
      <c r="AH22" s="19" t="n"/>
      <c r="AI22" s="19" t="n">
        <v>0</v>
      </c>
      <c r="AJ22" s="19" t="n"/>
      <c r="AK22" s="19" t="n"/>
      <c r="AL22" s="119" t="n"/>
      <c r="AM22" s="19" t="n"/>
      <c r="AN22" s="19" t="n"/>
      <c r="AO22" s="19" t="n"/>
      <c r="AP22" s="19" t="n"/>
      <c r="AQ22" s="19" t="n"/>
      <c r="AR22" s="19" t="n"/>
      <c r="AS22" s="19" t="n"/>
      <c r="AT22" s="119" t="n"/>
      <c r="AU22" s="19" t="n"/>
      <c r="AV22" s="119" t="n"/>
      <c r="AW22" s="19" t="n"/>
      <c r="AX22" s="19" t="n"/>
      <c r="AY22" s="19" t="n"/>
      <c r="BA22" s="22" t="inlineStr">
        <is>
          <t>CARTUCHO P</t>
        </is>
      </c>
      <c r="BB22" s="6" t="n">
        <v>200</v>
      </c>
      <c r="BC22" s="39" t="n">
        <v>0</v>
      </c>
      <c r="BD22" s="39" t="n"/>
      <c r="BE22" s="39" t="n"/>
      <c r="BF22" s="39" t="n">
        <v>46</v>
      </c>
      <c r="BG22" s="39" t="n">
        <v>22</v>
      </c>
      <c r="BH22" s="39" t="n">
        <v>1</v>
      </c>
      <c r="BI22" s="26">
        <f>BG22+IF(NOT(ISBLANK(OFFSET(BI22,0,6))),N(OFFSET(BI22,0,6)),N(OFFSET(BI22,0,7)))-BH22</f>
        <v/>
      </c>
    </row>
    <row r="23" customFormat="1" s="3">
      <c r="A23" s="25" t="inlineStr">
        <is>
          <t>CARTUCHO M VERDE</t>
        </is>
      </c>
      <c r="B23" s="6" t="n">
        <v>150</v>
      </c>
      <c r="C23" s="632" t="n">
        <v>427.5</v>
      </c>
      <c r="D23" s="240" t="n">
        <v>150</v>
      </c>
      <c r="E23" s="608" t="n"/>
      <c r="F23" s="2" t="n"/>
      <c r="G23" s="2" t="n"/>
      <c r="H23" s="2" t="n"/>
      <c r="I23" s="39" t="n"/>
      <c r="J23" s="39" t="n">
        <v>0</v>
      </c>
      <c r="K23" s="39" t="n">
        <v>149</v>
      </c>
      <c r="L23" s="39" t="n">
        <v>119</v>
      </c>
      <c r="M23" s="39" t="n">
        <v>211</v>
      </c>
      <c r="N23" s="39" t="n">
        <v>185</v>
      </c>
      <c r="O23" s="39" t="n">
        <v>172</v>
      </c>
      <c r="P23" s="39" t="n">
        <v>147</v>
      </c>
      <c r="Q23" s="39" t="n">
        <v>91</v>
      </c>
      <c r="R23" s="39">
        <f>41+AM23</f>
        <v/>
      </c>
      <c r="S23" s="39" t="n">
        <v>135</v>
      </c>
      <c r="T23" s="39" t="n">
        <v>113</v>
      </c>
      <c r="U23" s="39" t="n"/>
      <c r="V23" s="39" t="n"/>
      <c r="W23" s="39" t="n"/>
      <c r="X23" s="39" t="n">
        <v>219</v>
      </c>
      <c r="Y23" s="39" t="n">
        <v>219</v>
      </c>
      <c r="Z23" s="39" t="n">
        <v>149</v>
      </c>
      <c r="AA23" s="380">
        <f>Y23+IF(NOT(ISBLANK(OFFSET(AA23,0,6))),N(OFFSET(AA23,0,6)),N(OFFSET(AA23,0,7)))-Z23</f>
        <v/>
      </c>
      <c r="AB23" s="370" t="n"/>
      <c r="AC23" s="78" t="n"/>
      <c r="AD23" s="608" t="n"/>
      <c r="AE23" s="32" t="n"/>
      <c r="AF23" s="608" t="n"/>
      <c r="AG23" s="19" t="n">
        <v>0</v>
      </c>
      <c r="AH23" s="19" t="n"/>
      <c r="AI23" s="19" t="n">
        <v>0</v>
      </c>
      <c r="AJ23" s="19" t="n"/>
      <c r="AK23" s="19" t="n">
        <v>150</v>
      </c>
      <c r="AL23" s="119" t="n">
        <v>150</v>
      </c>
      <c r="AM23" s="19" t="n">
        <v>150</v>
      </c>
      <c r="AN23" s="19" t="n">
        <v>150</v>
      </c>
      <c r="AO23" s="19" t="n"/>
      <c r="AP23" s="19" t="n">
        <v>150</v>
      </c>
      <c r="AQ23" s="19" t="n"/>
      <c r="AR23" s="19" t="n"/>
      <c r="AS23" s="19" t="n"/>
      <c r="AT23" s="119" t="n"/>
      <c r="AU23" s="19" t="n"/>
      <c r="AV23" s="119" t="n"/>
      <c r="AW23" s="19" t="n"/>
      <c r="AX23" s="75" t="n"/>
      <c r="AY23" s="75" t="n"/>
      <c r="BA23" s="22" t="inlineStr">
        <is>
          <t>CARTUCHO M</t>
        </is>
      </c>
      <c r="BB23" s="6" t="n">
        <v>150</v>
      </c>
      <c r="BC23" s="39">
        <f>AL23</f>
        <v/>
      </c>
      <c r="BD23" s="39" t="n"/>
      <c r="BE23" s="39" t="n"/>
      <c r="BF23" s="39" t="n">
        <v>122</v>
      </c>
      <c r="BG23" s="39" t="n">
        <v>108</v>
      </c>
      <c r="BH23" s="39" t="n">
        <v>3</v>
      </c>
      <c r="BI23" s="26">
        <f>BG23+IF(NOT(ISBLANK(OFFSET(BI23,0,6))),N(OFFSET(BI23,0,6)),N(OFFSET(BI23,0,7)))-BH23</f>
        <v/>
      </c>
    </row>
    <row r="24">
      <c r="A24" s="120" t="n"/>
      <c r="B24" s="121" t="n"/>
      <c r="AB24" s="370" t="n"/>
      <c r="AD24" s="355" t="n"/>
      <c r="AE24" s="355" t="n"/>
      <c r="AF24" s="355" t="n"/>
      <c r="AG24" s="11" t="n"/>
      <c r="AH24" s="11" t="n"/>
      <c r="AI24" s="11" t="n"/>
      <c r="AJ24" s="11" t="n"/>
      <c r="AK24" s="11" t="n"/>
      <c r="AL24" s="11" t="n"/>
      <c r="AM24" s="11" t="n"/>
      <c r="AN24" s="11" t="n"/>
      <c r="AO24" s="11" t="n"/>
      <c r="AP24" s="11" t="n"/>
      <c r="AQ24" s="11" t="n"/>
      <c r="AR24" s="11" t="n"/>
      <c r="AS24" s="11" t="n"/>
      <c r="AT24" s="11" t="n"/>
      <c r="AU24" s="11" t="n"/>
      <c r="AV24" s="11" t="n"/>
      <c r="AW24" s="11" t="n"/>
      <c r="AX24" s="11" t="n"/>
      <c r="AY24" s="11" t="n"/>
    </row>
    <row r="25">
      <c r="A25" s="386" t="inlineStr">
        <is>
          <t>SOBRAS CAIXAS</t>
        </is>
      </c>
      <c r="B25" s="387" t="inlineStr">
        <is>
          <t>PCT</t>
        </is>
      </c>
      <c r="C25" s="387" t="inlineStr">
        <is>
          <t xml:space="preserve">R$ </t>
        </is>
      </c>
      <c r="D25" s="387" t="n"/>
      <c r="F25" s="619" t="n">
        <v>46013</v>
      </c>
      <c r="G25" s="619" t="n">
        <v>46020</v>
      </c>
      <c r="H25" s="619" t="n">
        <v>46027</v>
      </c>
      <c r="I25" s="619" t="n">
        <v>46034</v>
      </c>
      <c r="J25" s="619" t="n">
        <v>46041</v>
      </c>
      <c r="K25" s="619" t="n">
        <v>46048</v>
      </c>
      <c r="L25" s="619" t="n">
        <v>46055</v>
      </c>
      <c r="M25" s="619" t="n">
        <v>46062</v>
      </c>
      <c r="N25" s="619" t="n">
        <v>46069</v>
      </c>
      <c r="O25" s="619" t="n">
        <v>46076</v>
      </c>
      <c r="P25" s="619" t="n">
        <v>46083</v>
      </c>
      <c r="Q25" s="619" t="n">
        <v>46090</v>
      </c>
      <c r="R25" s="619" t="n">
        <v>46097</v>
      </c>
      <c r="S25" s="619" t="n">
        <v>46104</v>
      </c>
      <c r="T25" s="619" t="n">
        <v>46111</v>
      </c>
      <c r="U25" s="619" t="n">
        <v>46118</v>
      </c>
      <c r="V25" s="619" t="n">
        <v>46125</v>
      </c>
      <c r="W25" s="619" t="n">
        <v>46132</v>
      </c>
      <c r="X25" s="619" t="n">
        <v>46139</v>
      </c>
      <c r="Y25" s="619" t="n">
        <v>46146</v>
      </c>
      <c r="Z25" s="619" t="n">
        <v>46154</v>
      </c>
      <c r="AA25" s="621" t="inlineStr">
        <is>
          <t>USOU</t>
        </is>
      </c>
      <c r="AB25" s="370" t="n"/>
      <c r="AD25" s="355" t="n"/>
      <c r="AE25" s="355" t="n"/>
      <c r="AF25" s="355" t="n"/>
      <c r="AG25" s="11" t="n"/>
      <c r="AH25" s="11" t="n"/>
      <c r="AI25" s="11" t="n"/>
      <c r="AJ25" s="11" t="n"/>
      <c r="AK25" s="11" t="n"/>
      <c r="AL25" s="11" t="n"/>
      <c r="AM25" s="11" t="n"/>
      <c r="AN25" s="11" t="n"/>
      <c r="AO25" s="11" t="n"/>
      <c r="AP25" s="11" t="n"/>
      <c r="AQ25" s="11" t="n"/>
      <c r="AR25" s="11" t="n"/>
      <c r="AS25" s="11" t="n"/>
      <c r="AT25" s="11" t="n"/>
      <c r="AU25" s="11" t="n"/>
      <c r="AV25" s="11" t="n"/>
      <c r="AW25" s="11" t="n"/>
      <c r="AX25" s="11" t="n"/>
      <c r="AY25" s="11" t="n"/>
    </row>
    <row r="26" hidden="1">
      <c r="A26" s="392" t="inlineStr">
        <is>
          <t>CAIXA M DIVERT./24</t>
        </is>
      </c>
      <c r="B26" s="393" t="n">
        <v>100</v>
      </c>
      <c r="C26" s="635" t="n">
        <v>790</v>
      </c>
      <c r="D26" s="404" t="n"/>
      <c r="F26" s="39" t="n">
        <v>37</v>
      </c>
      <c r="G26" s="39" t="n">
        <v>4</v>
      </c>
      <c r="H26" s="39" t="n">
        <v>4</v>
      </c>
      <c r="I26" s="39" t="n">
        <v>4</v>
      </c>
      <c r="J26" s="39" t="n">
        <v>5</v>
      </c>
      <c r="K26" s="39" t="n">
        <v>3</v>
      </c>
      <c r="L26" s="39" t="n">
        <v>0</v>
      </c>
      <c r="M26" s="39" t="n">
        <v>0</v>
      </c>
      <c r="N26" s="39" t="n">
        <v>0</v>
      </c>
      <c r="O26" s="39" t="n">
        <v>0</v>
      </c>
      <c r="P26" s="39" t="n">
        <v>0</v>
      </c>
      <c r="Q26" s="39" t="n">
        <v>0</v>
      </c>
      <c r="R26" s="39" t="n">
        <v>0</v>
      </c>
      <c r="S26" s="39" t="n">
        <v>0</v>
      </c>
      <c r="T26" s="39" t="n"/>
      <c r="U26" s="39" t="n"/>
      <c r="V26" s="39" t="n"/>
      <c r="W26" s="39" t="n"/>
      <c r="X26" s="39" t="n"/>
      <c r="Y26" s="39" t="n"/>
      <c r="Z26" s="39" t="n">
        <v>1</v>
      </c>
      <c r="AA26" s="26">
        <f>Y26+IF(NOT(ISBLANK(OFFSET(AA26,0,6))),N(OFFSET(AA26,0,6)),N(OFFSET(AA26,0,7)))-#REF!</f>
        <v/>
      </c>
      <c r="AB26" s="370" t="n"/>
      <c r="AC26" s="355" t="n"/>
      <c r="AD26" s="355" t="n"/>
      <c r="AE26" s="355" t="n"/>
      <c r="AF26" s="355" t="n"/>
      <c r="AG26" s="11" t="n"/>
      <c r="AH26" s="11" t="n"/>
      <c r="AI26" s="11" t="n"/>
      <c r="AJ26" s="11" t="n"/>
      <c r="AK26" s="11" t="n"/>
      <c r="AL26" s="11" t="n"/>
      <c r="AM26" s="11" t="n"/>
      <c r="AN26" s="11" t="n"/>
      <c r="AO26" s="11" t="n"/>
      <c r="AP26" s="11" t="n"/>
      <c r="AQ26" s="11" t="n"/>
      <c r="AR26" s="11" t="n"/>
      <c r="AS26" s="11" t="n"/>
      <c r="AT26" s="11" t="n"/>
      <c r="AU26" s="11" t="n"/>
      <c r="AV26" s="11" t="n"/>
      <c r="AW26" s="11" t="n"/>
      <c r="AX26" s="11" t="n"/>
      <c r="AY26" s="11" t="n"/>
    </row>
    <row r="27" hidden="1">
      <c r="A27" s="394" t="inlineStr">
        <is>
          <t>ÁRVORE</t>
        </is>
      </c>
      <c r="B27" s="163" t="n">
        <v>100</v>
      </c>
      <c r="C27" s="636" t="n">
        <v>295</v>
      </c>
      <c r="D27" s="404" t="n"/>
      <c r="F27" s="39" t="n">
        <v>2</v>
      </c>
      <c r="G27" s="39" t="n">
        <v>2</v>
      </c>
      <c r="H27" s="39" t="n">
        <v>2</v>
      </c>
      <c r="I27" s="39" t="n">
        <v>2</v>
      </c>
      <c r="J27" s="39" t="n">
        <v>0</v>
      </c>
      <c r="K27" s="39" t="n">
        <v>0</v>
      </c>
      <c r="L27" s="39" t="n"/>
      <c r="M27" s="39" t="n"/>
      <c r="N27" s="39" t="n"/>
      <c r="O27" s="39" t="n"/>
      <c r="P27" s="39" t="n"/>
      <c r="Q27" s="39" t="n"/>
      <c r="R27" s="39" t="n"/>
      <c r="S27" s="39" t="n"/>
      <c r="T27" s="39" t="n"/>
      <c r="U27" s="39" t="n"/>
      <c r="V27" s="39" t="n"/>
      <c r="W27" s="39" t="n"/>
      <c r="X27" s="39" t="n"/>
      <c r="Y27" s="39" t="n"/>
      <c r="Z27" s="39" t="n"/>
      <c r="AA27" s="26">
        <f>Y27+IF(NOT(ISBLANK(OFFSET(AA27,0,6))),N(OFFSET(AA27,0,6)),N(OFFSET(AA27,0,7)))-#REF!</f>
        <v/>
      </c>
      <c r="AB27" s="370" t="n"/>
      <c r="AC27" s="355" t="n"/>
      <c r="AD27" s="355" t="n"/>
      <c r="AE27" s="355" t="n"/>
      <c r="AF27" s="355" t="n"/>
      <c r="AG27" s="11" t="n"/>
      <c r="AH27" s="11" t="n"/>
      <c r="AI27" s="11" t="n"/>
      <c r="AJ27" s="11" t="n"/>
      <c r="AK27" s="11" t="n"/>
      <c r="AL27" s="11" t="n"/>
      <c r="AM27" s="11" t="n"/>
      <c r="AN27" s="11" t="n"/>
      <c r="AO27" s="11" t="n"/>
      <c r="AP27" s="11" t="n"/>
      <c r="AQ27" s="11" t="n"/>
      <c r="AR27" s="11" t="n"/>
      <c r="AS27" s="11" t="n"/>
      <c r="AT27" s="11" t="n"/>
      <c r="AU27" s="11" t="n"/>
      <c r="AV27" s="11" t="n"/>
      <c r="AW27" s="11" t="n"/>
      <c r="AX27" s="11" t="n"/>
      <c r="AY27" s="11" t="n"/>
    </row>
    <row r="28" hidden="1">
      <c r="A28" s="394" t="inlineStr">
        <is>
          <t>BOLA</t>
        </is>
      </c>
      <c r="B28" s="163" t="n">
        <v>100</v>
      </c>
      <c r="C28" s="636" t="n">
        <v>283</v>
      </c>
      <c r="D28" s="404" t="n"/>
      <c r="F28" s="39" t="n">
        <v>1</v>
      </c>
      <c r="G28" s="39" t="n">
        <v>1</v>
      </c>
      <c r="H28" s="39" t="n">
        <v>1</v>
      </c>
      <c r="I28" s="39" t="n">
        <v>1</v>
      </c>
      <c r="J28" s="39" t="n">
        <v>0</v>
      </c>
      <c r="K28" s="39" t="n">
        <v>0</v>
      </c>
      <c r="L28" s="39" t="n"/>
      <c r="M28" s="39" t="n"/>
      <c r="N28" s="39" t="n"/>
      <c r="O28" s="39" t="n"/>
      <c r="P28" s="39" t="n"/>
      <c r="Q28" s="39" t="n"/>
      <c r="R28" s="39" t="n"/>
      <c r="S28" s="39" t="n"/>
      <c r="T28" s="39" t="n"/>
      <c r="U28" s="39" t="n"/>
      <c r="V28" s="39" t="n"/>
      <c r="W28" s="39" t="n"/>
      <c r="X28" s="39" t="n"/>
      <c r="Y28" s="39" t="n"/>
      <c r="Z28" s="39" t="n"/>
      <c r="AA28" s="26">
        <f>Y28+IF(NOT(ISBLANK(OFFSET(AA28,0,6))),N(OFFSET(AA28,0,6)),N(OFFSET(AA28,0,7)))-#REF!</f>
        <v/>
      </c>
      <c r="AB28" s="370" t="n"/>
      <c r="AC28" s="355" t="n"/>
      <c r="AD28" s="355" t="n"/>
      <c r="AE28" s="355" t="n"/>
      <c r="AF28" s="355" t="n"/>
      <c r="AG28" s="11" t="n"/>
      <c r="AH28" s="11" t="n"/>
      <c r="AI28" s="11" t="n"/>
      <c r="AJ28" s="11" t="n"/>
      <c r="AK28" s="11" t="n"/>
      <c r="AL28" s="11" t="n"/>
      <c r="AM28" s="11" t="n"/>
      <c r="AN28" s="11" t="n"/>
      <c r="AO28" s="11" t="n"/>
      <c r="AP28" s="11" t="n"/>
      <c r="AQ28" s="11" t="n"/>
      <c r="AR28" s="11" t="n"/>
      <c r="AS28" s="11" t="n"/>
      <c r="AT28" s="11" t="n"/>
      <c r="AU28" s="11" t="n"/>
      <c r="AV28" s="11" t="n"/>
      <c r="AW28" s="11" t="n"/>
      <c r="AX28" s="11" t="n"/>
      <c r="AY28" s="11" t="n"/>
    </row>
    <row r="29" hidden="1">
      <c r="A29" s="291" t="inlineStr">
        <is>
          <t>CAIXA M HOMEM ARANHA</t>
        </is>
      </c>
      <c r="B29" s="292" t="n">
        <v>100</v>
      </c>
      <c r="C29" s="638" t="n">
        <v>1490</v>
      </c>
      <c r="D29" s="404" t="n"/>
      <c r="F29" s="39" t="n"/>
      <c r="G29" s="39" t="n"/>
      <c r="H29" s="39" t="n">
        <v>2</v>
      </c>
      <c r="I29" s="39" t="n">
        <v>2</v>
      </c>
      <c r="J29" s="39" t="n">
        <v>0</v>
      </c>
      <c r="K29" s="39" t="n">
        <v>0</v>
      </c>
      <c r="L29" s="39" t="n"/>
      <c r="M29" s="39" t="n"/>
      <c r="N29" s="39" t="n"/>
      <c r="O29" s="39" t="n"/>
      <c r="P29" s="39" t="n"/>
      <c r="Q29" s="39" t="n"/>
      <c r="R29" s="39" t="n"/>
      <c r="S29" s="39" t="n"/>
      <c r="T29" s="39" t="n"/>
      <c r="U29" s="39" t="n"/>
      <c r="V29" s="39" t="n"/>
      <c r="W29" s="39" t="n"/>
      <c r="X29" s="39" t="n"/>
      <c r="Y29" s="39" t="n"/>
      <c r="Z29" s="39" t="n"/>
      <c r="AA29" s="26">
        <f>Y29+IF(NOT(ISBLANK(OFFSET(AA29,0,6))),N(OFFSET(AA29,0,6)),N(OFFSET(AA29,0,7)))-#REF!</f>
        <v/>
      </c>
      <c r="AB29" s="370" t="n"/>
      <c r="AC29" s="355" t="n"/>
      <c r="AD29" s="355" t="n"/>
      <c r="AE29" s="355" t="n"/>
      <c r="AF29" s="355" t="n"/>
      <c r="AG29" s="11" t="n"/>
      <c r="AH29" s="11" t="n"/>
      <c r="AI29" s="11" t="n"/>
      <c r="AJ29" s="11" t="n"/>
      <c r="AK29" s="11" t="n"/>
      <c r="AL29" s="11" t="n"/>
      <c r="AM29" s="11" t="n"/>
      <c r="AN29" s="11" t="n"/>
      <c r="AO29" s="11" t="n"/>
      <c r="AP29" s="11" t="n"/>
      <c r="AQ29" s="11" t="n"/>
      <c r="AR29" s="11" t="n"/>
      <c r="AS29" s="11" t="n"/>
      <c r="AT29" s="11" t="n"/>
      <c r="AU29" s="11" t="n"/>
      <c r="AV29" s="11" t="n"/>
      <c r="AW29" s="11" t="n"/>
      <c r="AX29" s="11" t="n"/>
      <c r="AY29" s="11" t="n"/>
    </row>
    <row r="30">
      <c r="A30" s="25" t="inlineStr">
        <is>
          <t>CAIXA P NATAL/25</t>
        </is>
      </c>
      <c r="B30" s="6" t="n">
        <v>150</v>
      </c>
      <c r="C30" s="639" t="n">
        <v>805.35</v>
      </c>
      <c r="D30" s="404" t="n"/>
      <c r="F30" s="6" t="n">
        <v>201</v>
      </c>
      <c r="G30" s="6" t="n">
        <v>50</v>
      </c>
      <c r="H30" s="6" t="n">
        <v>19</v>
      </c>
      <c r="I30" s="6" t="n">
        <v>30</v>
      </c>
      <c r="J30" s="6" t="n">
        <v>20</v>
      </c>
      <c r="K30" s="6" t="n">
        <v>12</v>
      </c>
      <c r="L30" s="6" t="n">
        <v>9</v>
      </c>
      <c r="M30" s="6" t="n">
        <v>9</v>
      </c>
      <c r="N30" s="6" t="n">
        <v>9</v>
      </c>
      <c r="O30" s="6" t="n">
        <v>8</v>
      </c>
      <c r="P30" s="6" t="n">
        <v>8</v>
      </c>
      <c r="Q30" s="6" t="n">
        <v>8</v>
      </c>
      <c r="R30" s="6" t="n">
        <v>6</v>
      </c>
      <c r="S30" s="6" t="n">
        <v>6</v>
      </c>
      <c r="T30" s="6" t="n">
        <v>6</v>
      </c>
      <c r="U30" s="6" t="n"/>
      <c r="V30" s="6" t="n"/>
      <c r="W30" s="6" t="n"/>
      <c r="X30" s="6" t="n">
        <v>6</v>
      </c>
      <c r="Y30" s="6" t="n">
        <v>6</v>
      </c>
      <c r="Z30" s="6" t="n">
        <v>0</v>
      </c>
      <c r="AA30" s="380">
        <f>Y30+IF(NOT(ISBLANK(OFFSET(AA30,0,6))),N(OFFSET(AA30,0,6)),N(OFFSET(AA30,0,7)))-Z30</f>
        <v/>
      </c>
      <c r="AB30" s="370" t="n"/>
      <c r="AC30" s="207" t="n"/>
      <c r="AG30" s="11" t="n"/>
      <c r="AH30" s="11" t="n"/>
      <c r="AI30" s="11" t="n"/>
      <c r="AJ30" s="11" t="n"/>
      <c r="AK30" s="11" t="n"/>
      <c r="AL30" s="11" t="n"/>
      <c r="AM30" s="11" t="n"/>
      <c r="AN30" s="11" t="n"/>
      <c r="AO30" s="11" t="n"/>
      <c r="AP30" s="11" t="n"/>
      <c r="AQ30" s="11" t="n"/>
      <c r="AR30" s="11" t="n"/>
      <c r="AS30" s="11" t="n"/>
      <c r="AT30" s="11" t="n"/>
      <c r="AU30" s="11" t="n"/>
      <c r="AV30" s="11" t="n"/>
      <c r="AW30" s="11" t="n"/>
      <c r="AX30" s="11" t="n"/>
      <c r="AY30" s="11" t="n"/>
    </row>
    <row r="31" hidden="1">
      <c r="A31" s="25" t="inlineStr">
        <is>
          <t>CAIXA M NATAL/25</t>
        </is>
      </c>
      <c r="B31" s="6" t="n">
        <v>100</v>
      </c>
      <c r="C31" s="639" t="n">
        <v>792.2</v>
      </c>
      <c r="D31" s="404" t="n"/>
      <c r="F31" s="6" t="n">
        <v>121</v>
      </c>
      <c r="G31" s="6" t="n">
        <v>44</v>
      </c>
      <c r="H31" s="6" t="n">
        <v>35</v>
      </c>
      <c r="I31" s="6" t="n">
        <v>21</v>
      </c>
      <c r="J31" s="6" t="n">
        <v>12</v>
      </c>
      <c r="K31" s="6" t="n">
        <v>1</v>
      </c>
      <c r="L31" s="6" t="n">
        <v>0</v>
      </c>
      <c r="M31" s="6" t="n">
        <v>0</v>
      </c>
      <c r="N31" s="6" t="n">
        <v>0</v>
      </c>
      <c r="O31" s="6" t="n">
        <v>0</v>
      </c>
      <c r="P31" s="6" t="n">
        <v>0</v>
      </c>
      <c r="Q31" s="6" t="n">
        <v>0</v>
      </c>
      <c r="R31" s="6" t="n">
        <v>0</v>
      </c>
      <c r="S31" s="6" t="n">
        <v>0</v>
      </c>
      <c r="T31" s="6" t="n"/>
      <c r="U31" s="6" t="n"/>
      <c r="V31" s="6" t="n"/>
      <c r="W31" s="6" t="n"/>
      <c r="X31" s="6" t="n"/>
      <c r="Y31" s="6" t="n"/>
      <c r="Z31" s="6" t="n"/>
      <c r="AA31" s="380">
        <f>Y31+IF(NOT(ISBLANK(OFFSET(AA31,0,6))),N(OFFSET(AA31,0,6)),N(OFFSET(AA31,0,7)))-Z31</f>
        <v/>
      </c>
      <c r="AB31" s="370" t="n"/>
      <c r="AC31" s="207" t="inlineStr">
        <is>
          <t>87 DE JC</t>
        </is>
      </c>
      <c r="AG31" s="11" t="n"/>
      <c r="AH31" s="11" t="n"/>
      <c r="AI31" s="11" t="n"/>
      <c r="AJ31" s="11" t="n"/>
      <c r="AK31" s="11" t="n"/>
      <c r="AL31" s="11" t="n"/>
      <c r="AM31" s="11" t="n"/>
      <c r="AN31" s="11" t="n"/>
      <c r="AO31" s="11" t="n"/>
      <c r="AP31" s="11" t="n"/>
      <c r="AQ31" s="11" t="n"/>
      <c r="AR31" s="11" t="n"/>
      <c r="AS31" s="11" t="n"/>
      <c r="AT31" s="11" t="n"/>
      <c r="AU31" s="11" t="n"/>
      <c r="AV31" s="11" t="n"/>
      <c r="AW31" s="11" t="n"/>
      <c r="AX31" s="11" t="n"/>
      <c r="AY31" s="11" t="n"/>
    </row>
    <row r="32" hidden="1">
      <c r="A32" s="25" t="inlineStr">
        <is>
          <t>CARTUCHO P NATAL/25</t>
        </is>
      </c>
      <c r="B32" s="6" t="n">
        <v>200</v>
      </c>
      <c r="C32" s="639" t="n">
        <v>487.2</v>
      </c>
      <c r="D32" s="404" t="n"/>
      <c r="F32" s="6" t="n">
        <v>-4</v>
      </c>
      <c r="G32" s="6" t="n">
        <v>-4</v>
      </c>
      <c r="H32" s="6" t="n">
        <v>-4</v>
      </c>
      <c r="I32" s="6" t="n">
        <v>-4</v>
      </c>
      <c r="J32" s="6" t="n">
        <v>0</v>
      </c>
      <c r="K32" s="6" t="n">
        <v>0</v>
      </c>
      <c r="L32" s="6" t="n">
        <v>0</v>
      </c>
      <c r="M32" s="6" t="n">
        <v>0</v>
      </c>
      <c r="N32" s="6" t="n">
        <v>0</v>
      </c>
      <c r="O32" s="6" t="n">
        <v>0</v>
      </c>
      <c r="P32" s="6" t="n">
        <v>0</v>
      </c>
      <c r="Q32" s="6" t="n">
        <v>0</v>
      </c>
      <c r="R32" s="6" t="n">
        <v>0</v>
      </c>
      <c r="S32" s="6" t="n">
        <v>0</v>
      </c>
      <c r="T32" s="6" t="n"/>
      <c r="U32" s="6" t="n"/>
      <c r="V32" s="6" t="n"/>
      <c r="W32" s="6" t="n"/>
      <c r="X32" s="6" t="n"/>
      <c r="Y32" s="6" t="n"/>
      <c r="Z32" s="6" t="n"/>
      <c r="AA32" s="380">
        <f>Y32+IF(NOT(ISBLANK(OFFSET(AA32,0,6))),N(OFFSET(AA32,0,6)),N(OFFSET(AA32,0,7)))-Z32</f>
        <v/>
      </c>
      <c r="AB32" s="370" t="n"/>
      <c r="AC32" s="355" t="n"/>
      <c r="AG32" s="11" t="n"/>
      <c r="AH32" s="11" t="n"/>
      <c r="AI32" s="11" t="n"/>
      <c r="AJ32" s="11" t="n"/>
      <c r="AK32" s="11" t="n"/>
      <c r="AL32" s="11" t="n"/>
      <c r="AM32" s="11" t="n"/>
      <c r="AN32" s="11" t="n"/>
      <c r="AO32" s="11" t="n"/>
      <c r="AP32" s="11" t="n"/>
      <c r="AQ32" s="11" t="n"/>
      <c r="AR32" s="11" t="n"/>
      <c r="AS32" s="11" t="n"/>
      <c r="AT32" s="11" t="n"/>
      <c r="AU32" s="11" t="n"/>
      <c r="AV32" s="11" t="n"/>
      <c r="AW32" s="11" t="n"/>
      <c r="AX32" s="11" t="n"/>
      <c r="AY32" s="11" t="n"/>
    </row>
    <row r="33" hidden="1">
      <c r="A33" s="25" t="inlineStr">
        <is>
          <t>CARTUCHO M NATAL/25</t>
        </is>
      </c>
      <c r="B33" s="6" t="n">
        <v>150</v>
      </c>
      <c r="C33" s="639" t="n">
        <v>460.35</v>
      </c>
      <c r="D33" s="404" t="n"/>
      <c r="F33" s="6" t="n">
        <v>7</v>
      </c>
      <c r="G33" s="6" t="n">
        <v>7</v>
      </c>
      <c r="H33" s="6" t="n">
        <v>7</v>
      </c>
      <c r="I33" s="6" t="n">
        <v>7</v>
      </c>
      <c r="J33" s="6" t="n">
        <v>0</v>
      </c>
      <c r="K33" s="6" t="n">
        <v>0</v>
      </c>
      <c r="L33" s="6" t="n">
        <v>0</v>
      </c>
      <c r="M33" s="6" t="n">
        <v>0</v>
      </c>
      <c r="N33" s="6" t="n">
        <v>0</v>
      </c>
      <c r="O33" s="6" t="n">
        <v>0</v>
      </c>
      <c r="P33" s="6" t="n">
        <v>0</v>
      </c>
      <c r="Q33" s="6" t="n">
        <v>0</v>
      </c>
      <c r="R33" s="6" t="n">
        <v>0</v>
      </c>
      <c r="S33" s="6" t="n">
        <v>0</v>
      </c>
      <c r="T33" s="6" t="n"/>
      <c r="U33" s="6" t="n"/>
      <c r="V33" s="6" t="n"/>
      <c r="W33" s="6" t="n"/>
      <c r="X33" s="6" t="n"/>
      <c r="Y33" s="6" t="n"/>
      <c r="Z33" s="6" t="n"/>
      <c r="AA33" s="380">
        <f>Y33+IF(NOT(ISBLANK(OFFSET(AA33,0,6))),N(OFFSET(AA33,0,6)),N(OFFSET(AA33,0,7)))-Z33</f>
        <v/>
      </c>
      <c r="AB33" s="370" t="n"/>
      <c r="AC33" s="355" t="n"/>
      <c r="AG33" s="11" t="n"/>
      <c r="AH33" s="11" t="n"/>
      <c r="AI33" s="11" t="n"/>
      <c r="AJ33" s="11" t="n"/>
      <c r="AK33" s="11" t="n"/>
      <c r="AL33" s="11" t="n"/>
      <c r="AM33" s="11" t="n"/>
      <c r="AN33" s="11" t="n"/>
      <c r="AO33" s="11" t="n"/>
      <c r="AP33" s="11" t="n"/>
      <c r="AQ33" s="11" t="n"/>
      <c r="AR33" s="11" t="n"/>
      <c r="AS33" s="11" t="n"/>
      <c r="AT33" s="11" t="n"/>
      <c r="AU33" s="11" t="n"/>
      <c r="AV33" s="11" t="n"/>
      <c r="AW33" s="11" t="n"/>
      <c r="AX33" s="11" t="n"/>
      <c r="AY33" s="11" t="n"/>
    </row>
    <row r="34">
      <c r="A34" s="25" t="inlineStr">
        <is>
          <t>PIN NATAL/25</t>
        </is>
      </c>
      <c r="B34" s="6" t="n">
        <v>10</v>
      </c>
      <c r="C34" s="639" t="n">
        <v>120</v>
      </c>
      <c r="D34" s="404" t="n"/>
      <c r="F34" s="6" t="n">
        <v>3</v>
      </c>
      <c r="G34" s="6" t="n">
        <v>3</v>
      </c>
      <c r="H34" s="6" t="n">
        <v>3</v>
      </c>
      <c r="I34" s="6" t="n">
        <v>3</v>
      </c>
      <c r="J34" s="6" t="n">
        <v>3</v>
      </c>
      <c r="K34" s="6" t="n">
        <v>3</v>
      </c>
      <c r="L34" s="6" t="n">
        <v>3</v>
      </c>
      <c r="M34" s="6" t="n">
        <v>3</v>
      </c>
      <c r="N34" s="6" t="n">
        <v>3</v>
      </c>
      <c r="O34" s="6" t="n">
        <v>3</v>
      </c>
      <c r="P34" s="6" t="n">
        <v>3</v>
      </c>
      <c r="Q34" s="6" t="n">
        <v>3</v>
      </c>
      <c r="R34" s="6" t="n">
        <v>3</v>
      </c>
      <c r="S34" s="6" t="n">
        <v>3</v>
      </c>
      <c r="T34" s="6" t="n">
        <v>3</v>
      </c>
      <c r="U34" s="6" t="n"/>
      <c r="V34" s="6" t="n"/>
      <c r="W34" s="6" t="n"/>
      <c r="X34" s="6" t="n">
        <v>3</v>
      </c>
      <c r="Y34" s="6" t="n">
        <v>3</v>
      </c>
      <c r="Z34" s="6" t="n">
        <v>3</v>
      </c>
      <c r="AA34" s="380">
        <f>Y34+IF(NOT(ISBLANK(OFFSET(AA34,0,6))),N(OFFSET(AA34,0,6)),N(OFFSET(AA34,0,7)))-Z34</f>
        <v/>
      </c>
      <c r="AB34" s="370" t="n"/>
      <c r="AC34" s="355" t="n"/>
      <c r="AG34" s="11" t="n"/>
      <c r="AH34" s="11" t="n"/>
      <c r="AI34" s="11" t="n"/>
      <c r="AJ34" s="11" t="n"/>
      <c r="AK34" s="11" t="n"/>
      <c r="AL34" s="11" t="n"/>
      <c r="AM34" s="11" t="n"/>
      <c r="AN34" s="11" t="n"/>
      <c r="AO34" s="11" t="n"/>
      <c r="AP34" s="11" t="n"/>
      <c r="AQ34" s="11" t="n"/>
      <c r="AR34" s="11" t="n"/>
      <c r="AS34" s="11" t="n"/>
      <c r="AT34" s="11" t="n"/>
      <c r="AU34" s="11" t="n"/>
      <c r="AV34" s="11" t="n"/>
      <c r="AW34" s="11" t="n"/>
      <c r="AX34" s="11" t="n"/>
      <c r="AY34" s="11" t="n"/>
    </row>
    <row r="35">
      <c r="AB35" s="370" t="n"/>
      <c r="AC35" s="355" t="n"/>
      <c r="AG35" s="11" t="n"/>
      <c r="AH35" s="11" t="n"/>
      <c r="AI35" s="11" t="n"/>
      <c r="AJ35" s="11" t="n"/>
      <c r="AK35" s="11" t="n"/>
      <c r="AL35" s="11" t="n"/>
      <c r="AM35" s="11" t="n"/>
      <c r="AN35" s="11" t="n"/>
      <c r="AO35" s="11" t="n"/>
      <c r="AP35" s="11" t="n"/>
      <c r="AQ35" s="11" t="n"/>
      <c r="AR35" s="11" t="n"/>
      <c r="AS35" s="11" t="n"/>
      <c r="AT35" s="11" t="n"/>
      <c r="AU35" s="11" t="n"/>
      <c r="AV35" s="11" t="n"/>
      <c r="AW35" s="11" t="n"/>
      <c r="AX35" s="11" t="n"/>
      <c r="AY35" s="11" t="n"/>
    </row>
    <row r="36" ht="21" customHeight="1">
      <c r="A36" s="402" t="inlineStr">
        <is>
          <t>SOBRAS DATAS COMEMORATIVAS</t>
        </is>
      </c>
      <c r="B36" s="402" t="n"/>
      <c r="C36" s="402" t="n"/>
      <c r="AB36" s="370" t="n"/>
      <c r="AG36" s="11" t="n"/>
      <c r="AH36" s="11" t="n"/>
      <c r="AI36" s="11" t="n"/>
      <c r="AJ36" s="11" t="n"/>
      <c r="AK36" s="11" t="n"/>
      <c r="AL36" s="11" t="n"/>
      <c r="AM36" s="11" t="n"/>
      <c r="AN36" s="11" t="n"/>
      <c r="AO36" s="11" t="n"/>
      <c r="AP36" s="409" t="n"/>
      <c r="AQ36" s="409" t="n"/>
      <c r="AR36" s="409" t="n"/>
      <c r="AS36" s="409" t="n"/>
      <c r="AT36" s="409" t="n"/>
      <c r="AU36" s="409" t="n"/>
      <c r="AV36" s="409" t="n"/>
      <c r="AW36" s="409" t="n"/>
      <c r="AX36" s="409" t="n"/>
      <c r="AY36" s="409" t="n"/>
    </row>
    <row r="37">
      <c r="A37" s="369" t="inlineStr">
        <is>
          <t>ITENS</t>
        </is>
      </c>
      <c r="B37" s="369" t="n"/>
      <c r="C37" s="369" t="inlineStr">
        <is>
          <t>ESTOQUE</t>
        </is>
      </c>
      <c r="E37" s="41" t="n"/>
      <c r="F37" s="41" t="n"/>
      <c r="G37" s="41" t="n"/>
      <c r="H37" s="41" t="n"/>
      <c r="I37" s="41" t="n"/>
      <c r="J37" s="41" t="n"/>
      <c r="K37" s="41" t="n"/>
      <c r="L37" s="41" t="n"/>
      <c r="M37" s="41" t="n"/>
      <c r="N37" s="41" t="n"/>
      <c r="O37" s="41" t="n"/>
      <c r="P37" s="41" t="n"/>
      <c r="Q37" s="41" t="n"/>
      <c r="R37" s="41" t="n"/>
      <c r="S37" s="41" t="n"/>
      <c r="T37" s="41" t="n"/>
      <c r="U37" s="41" t="n"/>
      <c r="V37" s="41" t="n"/>
      <c r="W37" s="41" t="n"/>
      <c r="X37" s="41" t="n"/>
      <c r="Y37" s="41" t="n"/>
      <c r="Z37" s="41" t="n"/>
      <c r="AA37" s="41" t="n"/>
      <c r="AB37" s="370" t="n"/>
      <c r="AD37" s="41" t="n"/>
      <c r="AE37" s="41" t="n"/>
      <c r="AF37" s="41" t="n"/>
      <c r="AG37" s="11" t="n"/>
      <c r="AH37" s="11" t="n"/>
      <c r="AI37" s="11" t="n"/>
      <c r="AJ37" s="11" t="n"/>
      <c r="AK37" s="11" t="n"/>
      <c r="AL37" s="11" t="n"/>
      <c r="AM37" s="11" t="n"/>
      <c r="AN37" s="11" t="n"/>
      <c r="AO37" s="11" t="n"/>
      <c r="AP37" s="409" t="n"/>
      <c r="AQ37" s="409" t="n"/>
      <c r="AR37" s="409" t="n"/>
      <c r="AS37" s="409" t="n"/>
      <c r="AT37" s="409" t="n"/>
      <c r="AU37" s="409" t="n"/>
      <c r="AV37" s="409" t="n"/>
      <c r="AW37" s="409" t="n"/>
      <c r="AX37" s="409" t="n"/>
      <c r="AY37" s="409" t="n"/>
    </row>
    <row r="38">
      <c r="A38" s="294" t="n"/>
      <c r="B38" s="378" t="n"/>
      <c r="C38" s="365" t="n"/>
      <c r="E38" s="41" t="n"/>
      <c r="F38" s="41" t="n"/>
      <c r="G38" s="41" t="n"/>
      <c r="H38" s="41" t="n"/>
      <c r="I38" s="41" t="n"/>
      <c r="J38" s="41" t="n"/>
      <c r="K38" s="41" t="n"/>
      <c r="L38" s="41" t="n"/>
      <c r="M38" s="41" t="n"/>
      <c r="N38" s="41" t="n"/>
      <c r="O38" s="41" t="n"/>
      <c r="P38" s="41" t="n"/>
      <c r="Q38" s="41" t="n"/>
      <c r="R38" s="41" t="n"/>
      <c r="S38" s="41" t="n"/>
      <c r="T38" s="41" t="n"/>
      <c r="U38" s="41" t="n"/>
      <c r="V38" s="41" t="n"/>
      <c r="W38" s="41" t="n"/>
      <c r="X38" s="41" t="n"/>
      <c r="Y38" s="41" t="n"/>
      <c r="Z38" s="41" t="n"/>
      <c r="AA38" s="41" t="n"/>
      <c r="AB38" s="41" t="n"/>
      <c r="AC38" s="41" t="n"/>
      <c r="AD38" s="41" t="n"/>
      <c r="AE38" s="41" t="n"/>
      <c r="AF38" s="41" t="n"/>
      <c r="AG38" s="11" t="n"/>
      <c r="AH38" s="11" t="n"/>
      <c r="AI38" s="11" t="n"/>
      <c r="AJ38" s="11" t="n"/>
      <c r="AK38" s="11" t="n"/>
      <c r="AL38" s="11" t="n"/>
      <c r="AM38" s="11" t="n"/>
      <c r="AN38" s="11" t="n"/>
      <c r="AO38" s="11" t="n"/>
      <c r="AP38" s="41" t="n"/>
      <c r="AQ38" s="41" t="n"/>
      <c r="AR38" s="41" t="n"/>
      <c r="AS38" s="41" t="n"/>
      <c r="AT38" s="41" t="n"/>
      <c r="AU38" s="41" t="n"/>
      <c r="AV38" s="41" t="n"/>
      <c r="AW38" s="41" t="n"/>
      <c r="AX38" s="41" t="n"/>
      <c r="AY38" s="41" t="n"/>
      <c r="AZ38" s="41" t="n"/>
      <c r="BJ38" s="34" t="n"/>
      <c r="BK38" s="34" t="n"/>
      <c r="BL38" s="34" t="n"/>
      <c r="BM38" s="34" t="n"/>
      <c r="BN38" s="34" t="n"/>
      <c r="BO38" s="34" t="n"/>
      <c r="BP38" s="34" t="n"/>
      <c r="BQ38" s="34" t="n"/>
      <c r="BR38" s="34" t="n"/>
      <c r="BS38" s="34" t="n"/>
      <c r="BT38" s="34" t="n"/>
      <c r="BU38" s="34" t="n"/>
      <c r="BV38" s="34" t="n"/>
      <c r="BW38" s="34" t="n"/>
      <c r="BX38" s="34" t="n"/>
      <c r="BY38" s="34" t="n"/>
      <c r="BZ38" s="34" t="n"/>
      <c r="CA38" s="34" t="n"/>
      <c r="CB38" s="34" t="n"/>
      <c r="CC38" s="34" t="n"/>
      <c r="CD38" s="34" t="n"/>
      <c r="CE38" s="34" t="n"/>
      <c r="CF38" s="34" t="n"/>
      <c r="CG38" s="34" t="n"/>
      <c r="CH38" s="34" t="n"/>
      <c r="CI38" s="34" t="n"/>
      <c r="CJ38" s="34" t="n"/>
      <c r="CK38" s="34" t="n"/>
      <c r="CL38" s="34" t="n"/>
      <c r="CM38" s="34" t="n"/>
      <c r="CN38" s="34" t="n"/>
      <c r="CO38" s="34" t="n"/>
      <c r="CP38" s="34" t="n"/>
      <c r="CQ38" s="34" t="n"/>
      <c r="CR38" s="34" t="n"/>
      <c r="CS38" s="34" t="n"/>
      <c r="CT38" s="34" t="n"/>
      <c r="CU38" s="34" t="n"/>
      <c r="CV38" s="34" t="n"/>
      <c r="CW38" s="34" t="n"/>
      <c r="CX38" s="34" t="n"/>
      <c r="CY38" s="34" t="n"/>
      <c r="CZ38" s="34" t="n"/>
      <c r="DA38" s="34" t="n"/>
      <c r="DB38" s="34" t="n"/>
      <c r="DC38" s="34" t="n"/>
      <c r="DD38" s="34" t="n"/>
      <c r="DE38" s="34" t="n"/>
      <c r="DF38" s="34" t="n"/>
      <c r="DG38" s="34" t="n"/>
      <c r="DH38" s="34" t="n"/>
      <c r="DI38" s="34" t="n"/>
      <c r="DJ38" s="34" t="n"/>
      <c r="DK38" s="34" t="n"/>
      <c r="DL38" s="34" t="n"/>
      <c r="DM38" s="34" t="n"/>
      <c r="DN38" s="34" t="n"/>
      <c r="DO38" s="41" t="n"/>
      <c r="DP38" s="41" t="n"/>
      <c r="DQ38" s="41" t="n"/>
      <c r="DR38" s="409" t="n"/>
      <c r="DS38" s="409" t="n"/>
      <c r="DT38" s="34" t="n"/>
      <c r="DU38" s="34" t="n"/>
      <c r="DV38" s="34" t="n"/>
      <c r="DW38" s="34" t="n"/>
      <c r="DX38" s="409" t="n"/>
      <c r="DY38" s="409" t="n"/>
      <c r="DZ38" s="34" t="n"/>
      <c r="EA38" s="409" t="n"/>
      <c r="EB38" s="34" t="n"/>
      <c r="EC38" s="409" t="n"/>
      <c r="ED38" s="34" t="n"/>
      <c r="EE38" s="409" t="n"/>
      <c r="EF38" s="409" t="n"/>
      <c r="EG38" s="34" t="n"/>
      <c r="EH38" s="409" t="n"/>
      <c r="EI38" s="409" t="n"/>
      <c r="EJ38" s="34" t="n"/>
      <c r="EK38" s="409" t="n"/>
      <c r="EL38" s="409" t="n"/>
      <c r="EM38" s="409" t="n"/>
      <c r="EN38" s="358" t="n"/>
      <c r="EO38" s="409" t="n"/>
      <c r="EP38" s="409" t="n"/>
      <c r="EQ38" s="409" t="n"/>
      <c r="ER38" s="409" t="n"/>
      <c r="ES38" s="409" t="n"/>
      <c r="ET38" s="409" t="n"/>
      <c r="EU38" s="409" t="n"/>
      <c r="EV38" s="409" t="n"/>
      <c r="EW38" s="409" t="n"/>
      <c r="EX38" s="409" t="n"/>
      <c r="EY38" s="409" t="n"/>
      <c r="EZ38" s="409" t="n"/>
      <c r="FA38" s="409" t="n"/>
      <c r="FB38" s="409" t="n"/>
      <c r="FC38" s="409" t="n"/>
      <c r="FD38" s="409" t="n"/>
      <c r="FE38" s="409" t="n"/>
      <c r="FF38" s="409" t="n"/>
      <c r="FG38" s="409" t="n"/>
      <c r="FH38" s="409" t="n"/>
      <c r="FI38" s="409" t="n"/>
      <c r="FJ38" s="409" t="n"/>
      <c r="FK38" s="409" t="n"/>
      <c r="FL38" s="409" t="n"/>
      <c r="FM38" s="409" t="n"/>
      <c r="FN38" s="409" t="n"/>
      <c r="FO38" s="409" t="n"/>
      <c r="FP38" s="409" t="n"/>
      <c r="FQ38" s="409" t="n"/>
      <c r="FR38" s="409" t="n"/>
      <c r="FS38" s="409" t="n"/>
      <c r="FT38" s="409" t="n"/>
      <c r="FU38" s="409" t="n"/>
      <c r="FV38" s="409" t="n"/>
      <c r="FW38" s="409" t="n"/>
      <c r="FX38" s="409" t="n"/>
      <c r="FY38" s="409" t="n"/>
      <c r="FZ38" s="409" t="n"/>
      <c r="GA38" s="409" t="n"/>
      <c r="GB38" s="409" t="n"/>
      <c r="GC38" s="409" t="n"/>
      <c r="GD38" s="409" t="n"/>
      <c r="GE38" s="409" t="n"/>
      <c r="GF38" s="409" t="n"/>
      <c r="GG38" s="409" t="n"/>
      <c r="GH38" s="409" t="n"/>
      <c r="GI38" s="409" t="n"/>
      <c r="GJ38" s="409" t="n"/>
      <c r="GK38" s="409" t="n"/>
      <c r="GL38" s="409" t="n"/>
      <c r="GM38" s="409" t="n"/>
    </row>
    <row r="39">
      <c r="A39" s="365" t="n"/>
      <c r="B39" s="605" t="n"/>
      <c r="C39" s="606" t="n"/>
      <c r="E39" s="41" t="n"/>
      <c r="F39" s="41" t="n"/>
      <c r="G39" s="41" t="n"/>
      <c r="H39" s="41" t="n"/>
      <c r="I39" s="41" t="n"/>
      <c r="J39" s="41" t="n"/>
      <c r="K39" s="41" t="n"/>
      <c r="L39" s="41" t="n"/>
      <c r="M39" s="41" t="n"/>
      <c r="N39" s="41" t="n"/>
      <c r="O39" s="41" t="n"/>
      <c r="P39" s="41" t="n"/>
      <c r="Q39" s="41" t="n"/>
      <c r="R39" s="41" t="n"/>
      <c r="S39" s="41" t="n"/>
      <c r="T39" s="41" t="n"/>
      <c r="U39" s="41" t="n"/>
      <c r="V39" s="41" t="n"/>
      <c r="W39" s="41" t="n"/>
      <c r="X39" s="41" t="n"/>
      <c r="Y39" s="41" t="n"/>
      <c r="Z39" s="41" t="n"/>
      <c r="AA39" s="41" t="n"/>
      <c r="AB39" s="41" t="n"/>
      <c r="AC39" s="41" t="n"/>
      <c r="AD39" s="41" t="n"/>
      <c r="AE39" s="41" t="n"/>
      <c r="AF39" s="41" t="n"/>
      <c r="AG39" s="11" t="n"/>
      <c r="AH39" s="409" t="n"/>
      <c r="AI39" s="409" t="n"/>
      <c r="AJ39" s="409" t="n"/>
      <c r="AK39" s="409" t="n"/>
      <c r="AL39" s="409" t="n"/>
      <c r="AM39" s="409" t="n"/>
      <c r="AN39" s="409" t="n"/>
      <c r="AO39" s="409" t="n"/>
      <c r="AP39" s="41" t="n"/>
      <c r="AQ39" s="41" t="n"/>
      <c r="AR39" s="41" t="n"/>
      <c r="AS39" s="41" t="n"/>
      <c r="AT39" s="41" t="n"/>
      <c r="AU39" s="41" t="n"/>
      <c r="AV39" s="41" t="n"/>
      <c r="AW39" s="41" t="n"/>
      <c r="AX39" s="41" t="n"/>
      <c r="AY39" s="41" t="n"/>
      <c r="AZ39" s="41" t="n"/>
      <c r="BJ39" s="34" t="n"/>
      <c r="BK39" s="34" t="n"/>
      <c r="BL39" s="34" t="n"/>
      <c r="BM39" s="34" t="n"/>
      <c r="BN39" s="34" t="n"/>
      <c r="BO39" s="34" t="n"/>
      <c r="BP39" s="34" t="n"/>
      <c r="BQ39" s="34" t="n"/>
      <c r="BR39" s="34" t="n"/>
      <c r="BS39" s="34" t="n"/>
      <c r="BT39" s="34" t="n"/>
      <c r="BU39" s="34" t="n"/>
      <c r="BV39" s="34" t="n"/>
      <c r="BW39" s="34" t="n"/>
      <c r="BX39" s="34" t="n"/>
      <c r="BY39" s="34" t="n"/>
      <c r="BZ39" s="34" t="n"/>
      <c r="CA39" s="34" t="n"/>
      <c r="CB39" s="34" t="n"/>
      <c r="CC39" s="34" t="n"/>
      <c r="CD39" s="34" t="n"/>
      <c r="CE39" s="34" t="n"/>
      <c r="CF39" s="34" t="n"/>
      <c r="CG39" s="34" t="n"/>
      <c r="CH39" s="34" t="n"/>
      <c r="CI39" s="34" t="n"/>
      <c r="CJ39" s="34" t="n"/>
      <c r="CK39" s="34" t="n"/>
      <c r="CL39" s="34" t="n"/>
      <c r="CM39" s="34" t="n"/>
      <c r="CN39" s="34" t="n"/>
      <c r="CO39" s="34" t="n"/>
      <c r="CP39" s="34" t="n"/>
      <c r="CQ39" s="34" t="n"/>
      <c r="CR39" s="34" t="n"/>
      <c r="CS39" s="34" t="n"/>
      <c r="CT39" s="34" t="n"/>
      <c r="CU39" s="34" t="n"/>
      <c r="CV39" s="34" t="n"/>
      <c r="CW39" s="34" t="n"/>
      <c r="CX39" s="34" t="n"/>
      <c r="CY39" s="34" t="n"/>
      <c r="CZ39" s="34" t="n"/>
      <c r="DA39" s="34" t="n"/>
      <c r="DB39" s="34" t="n"/>
      <c r="DC39" s="34" t="n"/>
      <c r="DD39" s="34" t="n"/>
      <c r="DE39" s="34" t="n"/>
      <c r="DF39" s="34" t="n"/>
      <c r="DG39" s="34" t="n"/>
      <c r="DH39" s="34" t="n"/>
      <c r="DI39" s="34" t="n"/>
      <c r="DJ39" s="34" t="n"/>
      <c r="DK39" s="34" t="n"/>
      <c r="DL39" s="34" t="n"/>
      <c r="DM39" s="34" t="n"/>
      <c r="DN39" s="34" t="n"/>
      <c r="DO39" s="41" t="n"/>
      <c r="DP39" s="41" t="n"/>
      <c r="DQ39" s="41" t="n"/>
      <c r="DR39" s="355" t="n"/>
      <c r="DS39" s="355" t="n"/>
      <c r="DT39" s="34" t="n"/>
      <c r="DU39" s="34" t="n"/>
      <c r="DV39" s="34" t="n"/>
      <c r="DW39" s="34" t="n"/>
      <c r="DX39" s="355" t="n"/>
      <c r="DY39" s="355" t="n"/>
      <c r="DZ39" s="34" t="n"/>
      <c r="EA39" s="355" t="n"/>
      <c r="EB39" s="34" t="n"/>
      <c r="EC39" s="355" t="n"/>
      <c r="ED39" s="34" t="n"/>
      <c r="EE39" s="355" t="n"/>
      <c r="EF39" s="355" t="n"/>
      <c r="EG39" s="34" t="n"/>
      <c r="EH39" s="355" t="n"/>
      <c r="EI39" s="355" t="n"/>
      <c r="EJ39" s="34" t="n"/>
      <c r="EK39" s="355" t="n"/>
      <c r="EL39" s="355" t="n"/>
      <c r="EM39" s="355" t="n"/>
      <c r="EN39" s="358" t="n"/>
      <c r="EO39" s="355" t="n"/>
      <c r="EP39" s="154" t="n"/>
      <c r="EQ39" s="355" t="n"/>
      <c r="ER39" s="154" t="n"/>
      <c r="ES39" s="355" t="n"/>
      <c r="ET39" s="154" t="n"/>
      <c r="EU39" s="355" t="n"/>
      <c r="EV39" s="355" t="n"/>
      <c r="EW39" s="355" t="n"/>
      <c r="EX39" s="355" t="n"/>
      <c r="EY39" s="154" t="n"/>
      <c r="EZ39" s="355" t="n"/>
      <c r="FA39" s="154" t="n"/>
      <c r="FB39" s="355" t="n"/>
      <c r="FC39" s="154" t="n"/>
      <c r="FD39" s="355" t="n"/>
      <c r="FE39" s="355" t="n"/>
      <c r="FF39" s="355" t="n"/>
      <c r="FG39" s="355" t="n"/>
      <c r="FH39" s="154" t="n"/>
      <c r="FI39" s="154" t="n"/>
      <c r="FJ39" s="355" t="n"/>
      <c r="FK39" s="154" t="n"/>
      <c r="FL39" s="154" t="n"/>
      <c r="FM39" s="355" t="n"/>
      <c r="FN39" s="355" t="n"/>
      <c r="FO39" s="154" t="n"/>
      <c r="FP39" s="154" t="n"/>
      <c r="FQ39" s="355" t="n"/>
      <c r="FR39" s="355" t="n"/>
      <c r="FS39" s="154" t="n"/>
      <c r="FT39" s="154" t="n"/>
      <c r="FU39" s="355" t="n"/>
      <c r="FV39" s="355" t="n"/>
      <c r="FW39" s="154" t="n"/>
      <c r="FX39" s="355" t="n"/>
      <c r="FY39" s="154" t="n"/>
      <c r="FZ39" s="355" t="n"/>
      <c r="GA39" s="355" t="n"/>
      <c r="GB39" s="355" t="n"/>
      <c r="GC39" s="154" t="n"/>
      <c r="GD39" s="355" t="n"/>
      <c r="GE39" s="355" t="n"/>
      <c r="GF39" s="355" t="n"/>
      <c r="GG39" s="355" t="n"/>
      <c r="GH39" s="355" t="n"/>
      <c r="GI39" s="355" t="n"/>
      <c r="GJ39" s="355" t="n"/>
      <c r="GK39" s="355" t="n"/>
      <c r="GL39" s="355" t="n"/>
      <c r="GM39" s="355" t="n"/>
    </row>
    <row r="40">
      <c r="A40" s="294" t="n"/>
      <c r="B40" s="378" t="n"/>
      <c r="C40" s="365" t="n"/>
      <c r="E40" s="41" t="n"/>
      <c r="F40" s="41" t="n"/>
      <c r="G40" s="41" t="n"/>
      <c r="H40" s="41" t="n"/>
      <c r="I40" s="41" t="n"/>
      <c r="J40" s="41" t="n"/>
      <c r="K40" s="41" t="n"/>
      <c r="L40" s="41" t="n"/>
      <c r="M40" s="41" t="n"/>
      <c r="N40" s="41" t="n"/>
      <c r="O40" s="41" t="n"/>
      <c r="P40" s="41" t="n"/>
      <c r="Q40" s="41" t="n"/>
      <c r="R40" s="41" t="n"/>
      <c r="S40" s="41" t="n"/>
      <c r="T40" s="41" t="n"/>
      <c r="U40" s="41" t="n"/>
      <c r="V40" s="41" t="n"/>
      <c r="W40" s="41" t="n"/>
      <c r="X40" s="41" t="n"/>
      <c r="Y40" s="41" t="n"/>
      <c r="Z40" s="41" t="n"/>
      <c r="AA40" s="41" t="n"/>
      <c r="AB40" s="41" t="n"/>
      <c r="AC40" s="41" t="n"/>
      <c r="AD40" s="41" t="n"/>
      <c r="AE40" s="41" t="n"/>
      <c r="AF40" s="41" t="n"/>
      <c r="AG40" s="409" t="n"/>
      <c r="AH40" s="409" t="n"/>
      <c r="AI40" s="409" t="n"/>
      <c r="AJ40" s="409" t="n"/>
      <c r="AK40" s="409" t="n"/>
      <c r="AL40" s="409" t="n"/>
      <c r="AM40" s="409" t="n"/>
      <c r="AN40" s="409" t="n"/>
      <c r="AO40" s="409" t="n"/>
      <c r="AP40" s="41" t="n"/>
      <c r="AQ40" s="41" t="n"/>
      <c r="AR40" s="41" t="n"/>
      <c r="AS40" s="41" t="n"/>
      <c r="AT40" s="41" t="n"/>
      <c r="AU40" s="41" t="n"/>
      <c r="AV40" s="41" t="n"/>
      <c r="AW40" s="41" t="n"/>
      <c r="AX40" s="41" t="n"/>
      <c r="AY40" s="41" t="n"/>
      <c r="AZ40" s="41" t="n"/>
      <c r="BJ40" s="34" t="n"/>
      <c r="BK40" s="34" t="n"/>
      <c r="BL40" s="34" t="n"/>
      <c r="BM40" s="34" t="n"/>
      <c r="BN40" s="34" t="n"/>
      <c r="BO40" s="34" t="n"/>
      <c r="BP40" s="34" t="n"/>
      <c r="BQ40" s="34" t="n"/>
      <c r="BR40" s="34" t="n"/>
      <c r="BS40" s="34" t="n"/>
      <c r="BT40" s="34" t="n"/>
      <c r="BU40" s="34" t="n"/>
      <c r="BV40" s="34" t="n"/>
      <c r="BW40" s="34" t="n"/>
      <c r="BX40" s="34" t="n"/>
      <c r="BY40" s="34" t="n"/>
      <c r="BZ40" s="34" t="n"/>
      <c r="CA40" s="34" t="n"/>
      <c r="CB40" s="34" t="n"/>
      <c r="CC40" s="34" t="n"/>
      <c r="CD40" s="34" t="n"/>
      <c r="CE40" s="34" t="n"/>
      <c r="CF40" s="34" t="n"/>
      <c r="CG40" s="34" t="n"/>
      <c r="CH40" s="34" t="n"/>
      <c r="CI40" s="34" t="n"/>
      <c r="CJ40" s="34" t="n"/>
      <c r="CK40" s="34" t="n"/>
      <c r="CL40" s="34" t="n"/>
      <c r="CM40" s="34" t="n"/>
      <c r="CN40" s="34" t="n"/>
      <c r="CO40" s="34" t="n"/>
      <c r="CP40" s="34" t="n"/>
      <c r="CQ40" s="34" t="n"/>
      <c r="CR40" s="34" t="n"/>
      <c r="CS40" s="34" t="n"/>
      <c r="CT40" s="34" t="n"/>
      <c r="CU40" s="34" t="n"/>
      <c r="CV40" s="34" t="n"/>
      <c r="CW40" s="34" t="n"/>
      <c r="CX40" s="34" t="n"/>
      <c r="CY40" s="34" t="n"/>
      <c r="CZ40" s="34" t="n"/>
      <c r="DA40" s="34" t="n"/>
      <c r="DB40" s="34" t="n"/>
      <c r="DC40" s="34" t="n"/>
      <c r="DD40" s="34" t="n"/>
      <c r="DE40" s="34" t="n"/>
      <c r="DF40" s="34" t="n"/>
      <c r="DG40" s="34" t="n"/>
      <c r="DH40" s="34" t="n"/>
      <c r="DI40" s="34" t="n"/>
      <c r="DJ40" s="34" t="n"/>
      <c r="DK40" s="34" t="n"/>
      <c r="DL40" s="34" t="n"/>
      <c r="DM40" s="34" t="n"/>
      <c r="DN40" s="34" t="n"/>
      <c r="DO40" s="41" t="n"/>
      <c r="DP40" s="41" t="n"/>
      <c r="DQ40" s="41" t="n"/>
      <c r="DR40" s="355" t="n"/>
      <c r="DS40" s="355" t="n"/>
      <c r="DT40" s="34" t="n"/>
      <c r="DU40" s="34" t="n"/>
      <c r="DV40" s="34" t="n"/>
      <c r="DW40" s="34" t="n"/>
      <c r="DX40" s="355" t="n"/>
      <c r="DY40" s="355" t="n"/>
      <c r="DZ40" s="34" t="n"/>
      <c r="EA40" s="355" t="n"/>
      <c r="EB40" s="34" t="n"/>
      <c r="EC40" s="355" t="n"/>
      <c r="ED40" s="34" t="n"/>
      <c r="EE40" s="355" t="n"/>
      <c r="EF40" s="355" t="n"/>
      <c r="EG40" s="34" t="n"/>
      <c r="EH40" s="355" t="n"/>
      <c r="EI40" s="355" t="n"/>
      <c r="EJ40" s="34" t="n"/>
      <c r="EK40" s="355" t="n"/>
      <c r="EL40" s="355" t="n"/>
      <c r="EM40" s="355" t="n"/>
      <c r="EN40" s="373" t="n"/>
      <c r="EO40" s="355" t="n"/>
      <c r="EP40" s="154" t="n"/>
      <c r="EQ40" s="355" t="n"/>
      <c r="ER40" s="154" t="n"/>
      <c r="ES40" s="355" t="n"/>
      <c r="ET40" s="154" t="n"/>
      <c r="EU40" s="355" t="n"/>
      <c r="EV40" s="355" t="n"/>
      <c r="EW40" s="355" t="n"/>
      <c r="EX40" s="355" t="n"/>
      <c r="EY40" s="154" t="n"/>
      <c r="EZ40" s="355" t="n"/>
      <c r="FA40" s="154" t="n"/>
      <c r="FB40" s="355" t="n"/>
      <c r="FC40" s="154" t="n"/>
      <c r="FD40" s="355" t="n"/>
      <c r="FE40" s="355" t="n"/>
      <c r="FF40" s="355" t="n"/>
      <c r="FG40" s="355" t="n"/>
      <c r="FH40" s="154" t="n"/>
      <c r="FI40" s="154" t="n"/>
      <c r="FJ40" s="355" t="n"/>
      <c r="FK40" s="154" t="n"/>
      <c r="FL40" s="154" t="n"/>
      <c r="FM40" s="355" t="n"/>
      <c r="FN40" s="355" t="n"/>
      <c r="FO40" s="154" t="n"/>
      <c r="FP40" s="154" t="n"/>
      <c r="FQ40" s="355" t="n"/>
      <c r="FR40" s="355" t="n"/>
      <c r="FS40" s="154" t="n"/>
      <c r="FT40" s="154" t="n"/>
      <c r="FU40" s="355" t="n"/>
      <c r="FV40" s="355" t="n"/>
      <c r="FW40" s="154" t="n"/>
      <c r="FX40" s="355" t="n"/>
      <c r="FY40" s="154" t="n"/>
      <c r="FZ40" s="355" t="n"/>
      <c r="GA40" s="355" t="n"/>
      <c r="GB40" s="355" t="n"/>
      <c r="GC40" s="154" t="n"/>
      <c r="GD40" s="355" t="n"/>
      <c r="GE40" s="355" t="n"/>
      <c r="GF40" s="355" t="n"/>
      <c r="GG40" s="355" t="n"/>
      <c r="GH40" s="355" t="n"/>
      <c r="GI40" s="355" t="n"/>
      <c r="GJ40" s="355" t="n"/>
      <c r="GK40" s="355" t="n"/>
      <c r="GL40" s="355" t="n"/>
      <c r="GM40" s="355" t="n"/>
    </row>
    <row r="41">
      <c r="A41" s="294" t="n"/>
      <c r="B41" s="378" t="n"/>
      <c r="C41" s="365" t="n"/>
      <c r="E41" s="41" t="n"/>
      <c r="F41" s="41" t="n"/>
      <c r="G41" s="41" t="n"/>
      <c r="H41" s="41" t="n"/>
      <c r="I41" s="41" t="n"/>
      <c r="J41" s="41" t="n"/>
      <c r="K41" s="41" t="n"/>
      <c r="L41" s="41" t="n"/>
      <c r="M41" s="41" t="n"/>
      <c r="N41" s="41" t="n"/>
      <c r="O41" s="41" t="n"/>
      <c r="P41" s="41" t="n"/>
      <c r="Q41" s="41" t="n"/>
      <c r="R41" s="41" t="n"/>
      <c r="S41" s="41" t="n"/>
      <c r="T41" s="41" t="n"/>
      <c r="U41" s="41" t="n"/>
      <c r="V41" s="41" t="n"/>
      <c r="W41" s="41" t="n"/>
      <c r="X41" s="41" t="n"/>
      <c r="Y41" s="41" t="n"/>
      <c r="Z41" s="41" t="n"/>
      <c r="AA41" s="41" t="n"/>
      <c r="AB41" s="41" t="n"/>
      <c r="AC41" s="41" t="n"/>
      <c r="AD41" s="41" t="n"/>
      <c r="AE41" s="41" t="n"/>
      <c r="AF41" s="41" t="n"/>
      <c r="AG41" s="409" t="n"/>
      <c r="AH41" s="41" t="n"/>
      <c r="AI41" s="41" t="n"/>
      <c r="AJ41" s="41" t="n"/>
      <c r="AK41" s="41" t="n"/>
      <c r="AL41" s="41" t="n"/>
      <c r="AM41" s="41" t="n"/>
      <c r="AN41" s="41" t="n"/>
      <c r="AO41" s="41" t="n"/>
      <c r="AP41" s="41" t="n"/>
      <c r="AQ41" s="41" t="n"/>
      <c r="AR41" s="41" t="n"/>
      <c r="AS41" s="41" t="n"/>
      <c r="AT41" s="41" t="n"/>
      <c r="AU41" s="41" t="n"/>
      <c r="AV41" s="41" t="n"/>
      <c r="AW41" s="41" t="n"/>
      <c r="AX41" s="41" t="n"/>
      <c r="AY41" s="41" t="n"/>
      <c r="AZ41" s="41" t="n"/>
      <c r="BA41" s="41" t="n"/>
      <c r="BB41" s="41" t="n"/>
      <c r="BC41" s="41" t="n"/>
      <c r="BD41" s="41" t="n"/>
      <c r="BE41" s="41" t="n"/>
      <c r="BF41" s="41" t="n"/>
      <c r="BG41" s="41" t="n"/>
      <c r="BH41" s="41" t="n"/>
      <c r="BI41" s="41" t="n"/>
      <c r="BJ41" s="34" t="n"/>
      <c r="BK41" s="34" t="n"/>
      <c r="BL41" s="34" t="n"/>
      <c r="BM41" s="34" t="n"/>
      <c r="BN41" s="34" t="n"/>
      <c r="BO41" s="34" t="n"/>
      <c r="BP41" s="34" t="n"/>
      <c r="BQ41" s="34" t="n"/>
      <c r="BR41" s="34" t="n"/>
      <c r="BS41" s="34" t="n"/>
      <c r="BT41" s="34" t="n"/>
      <c r="BU41" s="34" t="n"/>
      <c r="BV41" s="34" t="n"/>
      <c r="BW41" s="34" t="n"/>
      <c r="BX41" s="34" t="n"/>
      <c r="BY41" s="34" t="n"/>
      <c r="BZ41" s="34" t="n"/>
      <c r="CA41" s="34" t="n"/>
      <c r="CB41" s="34" t="n"/>
      <c r="CC41" s="34" t="n"/>
      <c r="CD41" s="34" t="n"/>
      <c r="CE41" s="34" t="n"/>
      <c r="CF41" s="34" t="n"/>
      <c r="CG41" s="34" t="n"/>
      <c r="CH41" s="34" t="n"/>
      <c r="CI41" s="34" t="n"/>
      <c r="CJ41" s="34" t="n"/>
      <c r="CK41" s="34" t="n"/>
      <c r="CL41" s="34" t="n"/>
      <c r="CM41" s="34" t="n"/>
      <c r="CN41" s="34" t="n"/>
      <c r="CO41" s="34" t="n"/>
      <c r="CP41" s="34" t="n"/>
      <c r="CQ41" s="34" t="n"/>
      <c r="CR41" s="34" t="n"/>
      <c r="CS41" s="34" t="n"/>
      <c r="CT41" s="34" t="n"/>
      <c r="CU41" s="34" t="n"/>
      <c r="CV41" s="34" t="n"/>
      <c r="CW41" s="34" t="n"/>
      <c r="CX41" s="34" t="n"/>
      <c r="CY41" s="34" t="n"/>
      <c r="CZ41" s="34" t="n"/>
      <c r="DA41" s="34" t="n"/>
      <c r="DB41" s="34" t="n"/>
      <c r="DC41" s="34" t="n"/>
      <c r="DD41" s="34" t="n"/>
      <c r="DE41" s="34" t="n"/>
      <c r="DF41" s="34" t="n"/>
      <c r="DG41" s="34" t="n"/>
      <c r="DH41" s="34" t="n"/>
      <c r="DI41" s="34" t="n"/>
      <c r="DJ41" s="34" t="n"/>
      <c r="DK41" s="34" t="n"/>
      <c r="DL41" s="34" t="n"/>
      <c r="DM41" s="34" t="n"/>
      <c r="DN41" s="34" t="n"/>
      <c r="DO41" s="41" t="n"/>
      <c r="DP41" s="41" t="n"/>
      <c r="DQ41" s="41" t="n"/>
      <c r="DR41" s="34" t="n"/>
      <c r="DS41" s="34" t="n"/>
      <c r="DT41" s="34" t="n"/>
      <c r="DU41" s="34" t="n"/>
      <c r="DV41" s="34" t="n"/>
      <c r="DW41" s="34" t="n"/>
      <c r="DX41" s="34" t="n"/>
      <c r="DY41" s="34" t="n"/>
      <c r="DZ41" s="34" t="n"/>
      <c r="EA41" s="34" t="n"/>
      <c r="EB41" s="34" t="n"/>
      <c r="EC41" s="34" t="n"/>
      <c r="ED41" s="34" t="n"/>
      <c r="EE41" s="34" t="n"/>
      <c r="EF41" s="34" t="n"/>
      <c r="EG41" s="34" t="n"/>
      <c r="EH41" s="34" t="n"/>
      <c r="EI41" s="34" t="n"/>
      <c r="EJ41" s="34" t="n"/>
      <c r="EK41" s="34" t="n"/>
      <c r="EL41" s="34" t="n"/>
      <c r="EM41" s="34" t="n"/>
      <c r="EN41" s="373" t="n"/>
      <c r="EO41" s="34" t="n"/>
      <c r="EP41" s="154" t="n"/>
      <c r="EQ41" s="34" t="n"/>
      <c r="ER41" s="154" t="n"/>
      <c r="ES41" s="34" t="n"/>
      <c r="ET41" s="154" t="n"/>
      <c r="EU41" s="34" t="n"/>
      <c r="EV41" s="34" t="n"/>
      <c r="EW41" s="34" t="n"/>
      <c r="EX41" s="34" t="n"/>
      <c r="EY41" s="154" t="n"/>
      <c r="EZ41" s="34" t="n"/>
      <c r="FA41" s="154" t="n"/>
      <c r="FB41" s="34" t="n"/>
      <c r="FC41" s="154" t="n"/>
      <c r="FD41" s="34" t="n"/>
      <c r="FE41" s="34" t="n"/>
      <c r="FF41" s="34" t="n"/>
      <c r="FG41" s="34" t="n"/>
      <c r="FH41" s="154" t="n"/>
      <c r="FI41" s="154" t="n"/>
      <c r="FJ41" s="34" t="n"/>
      <c r="FK41" s="154" t="n"/>
      <c r="FL41" s="154" t="n"/>
      <c r="FM41" s="34" t="n"/>
      <c r="FN41" s="34" t="n"/>
      <c r="FO41" s="154" t="n"/>
      <c r="FP41" s="154" t="n"/>
      <c r="FQ41" s="34" t="n"/>
      <c r="FR41" s="34" t="n"/>
      <c r="FS41" s="154" t="n"/>
      <c r="FT41" s="154" t="n"/>
      <c r="FU41" s="34" t="n"/>
      <c r="FV41" s="34" t="n"/>
      <c r="FW41" s="154" t="n"/>
      <c r="FX41" s="34" t="n"/>
      <c r="FY41" s="154" t="n"/>
      <c r="FZ41" s="34" t="n"/>
      <c r="GA41" s="34" t="n"/>
      <c r="GB41" s="34" t="n"/>
      <c r="GC41" s="154" t="n"/>
      <c r="GD41" s="34" t="n"/>
      <c r="GE41" s="34" t="n"/>
      <c r="GF41" s="34" t="n"/>
      <c r="GG41" s="34" t="n"/>
      <c r="GH41" s="34" t="n"/>
      <c r="GI41" s="34" t="n"/>
      <c r="GJ41" s="34" t="n"/>
      <c r="GK41" s="34" t="n"/>
      <c r="GL41" s="34" t="n"/>
      <c r="GM41" s="34" t="n"/>
    </row>
    <row r="42">
      <c r="A42" s="406" t="n"/>
      <c r="B42" s="625" t="n"/>
      <c r="C42" s="641" t="n"/>
      <c r="E42" s="41" t="n"/>
      <c r="F42" s="41" t="n"/>
      <c r="G42" s="41" t="n"/>
      <c r="H42" s="41" t="n"/>
      <c r="I42" s="41" t="n"/>
      <c r="J42" s="41" t="n"/>
      <c r="K42" s="41" t="n"/>
      <c r="L42" s="41" t="n"/>
      <c r="M42" s="41" t="n"/>
      <c r="N42" s="41" t="n"/>
      <c r="O42" s="41" t="n"/>
      <c r="P42" s="41" t="n"/>
      <c r="Q42" s="41" t="n"/>
      <c r="R42" s="41" t="n"/>
      <c r="S42" s="41" t="n"/>
      <c r="T42" s="41" t="n"/>
      <c r="U42" s="41" t="n"/>
      <c r="V42" s="41" t="n"/>
      <c r="W42" s="41" t="n"/>
      <c r="X42" s="41" t="n"/>
      <c r="Y42" s="41" t="n"/>
      <c r="Z42" s="41" t="n"/>
      <c r="AA42" s="41" t="n"/>
      <c r="AB42" s="41" t="n"/>
      <c r="AC42" s="41" t="n"/>
      <c r="AD42" s="41" t="n"/>
      <c r="AE42" s="41" t="n"/>
      <c r="AF42" s="41" t="n"/>
      <c r="AG42" s="41" t="n"/>
      <c r="AH42" s="41" t="n"/>
      <c r="AI42" s="41" t="n"/>
      <c r="AJ42" s="41" t="n"/>
      <c r="AK42" s="41" t="n"/>
      <c r="AL42" s="41" t="n"/>
      <c r="AM42" s="41" t="n"/>
      <c r="AN42" s="41" t="n"/>
      <c r="AO42" s="41" t="n"/>
      <c r="AP42" s="41" t="n"/>
      <c r="AQ42" s="41" t="n"/>
      <c r="AR42" s="41" t="n"/>
      <c r="AS42" s="41" t="n"/>
      <c r="AT42" s="41" t="n"/>
      <c r="AU42" s="41" t="n"/>
      <c r="AV42" s="41" t="n"/>
      <c r="AW42" s="41" t="n"/>
      <c r="AX42" s="41" t="n"/>
      <c r="AY42" s="41" t="n"/>
      <c r="AZ42" s="41" t="n"/>
      <c r="BA42" s="41" t="n"/>
      <c r="BB42" s="41" t="n"/>
      <c r="BC42" s="41" t="n"/>
      <c r="BD42" s="41" t="n"/>
      <c r="BE42" s="41" t="n"/>
      <c r="BF42" s="41" t="n"/>
      <c r="BG42" s="41" t="n"/>
      <c r="BH42" s="41" t="n"/>
      <c r="BI42" s="41" t="n"/>
      <c r="BJ42" s="34" t="n"/>
      <c r="BK42" s="34" t="n"/>
      <c r="BL42" s="34" t="n"/>
      <c r="BM42" s="34" t="n"/>
      <c r="BN42" s="34" t="n"/>
      <c r="BO42" s="34" t="n"/>
      <c r="BP42" s="34" t="n"/>
      <c r="BQ42" s="34" t="n"/>
      <c r="BR42" s="34" t="n"/>
      <c r="BS42" s="34" t="n"/>
      <c r="BT42" s="34" t="n"/>
      <c r="BU42" s="34" t="n"/>
      <c r="BV42" s="34" t="n"/>
      <c r="BW42" s="34" t="n"/>
      <c r="BX42" s="34" t="n"/>
      <c r="BY42" s="34" t="n"/>
      <c r="BZ42" s="34" t="n"/>
      <c r="CA42" s="34" t="n"/>
      <c r="CB42" s="34" t="n"/>
      <c r="CC42" s="34" t="n"/>
      <c r="CD42" s="34" t="n"/>
      <c r="CE42" s="34" t="n"/>
      <c r="CF42" s="34" t="n"/>
      <c r="CG42" s="34" t="n"/>
      <c r="CH42" s="34" t="n"/>
      <c r="CI42" s="34" t="n"/>
      <c r="CJ42" s="34" t="n"/>
      <c r="CK42" s="370" t="n"/>
      <c r="CL42" s="370" t="n"/>
      <c r="CM42" s="370" t="n"/>
      <c r="CN42" s="370" t="n"/>
      <c r="CO42" s="370" t="n"/>
      <c r="CP42" s="370" t="n"/>
      <c r="CQ42" s="370" t="n"/>
      <c r="CR42" s="370" t="n"/>
      <c r="CS42" s="370" t="n"/>
      <c r="CT42" s="370" t="n"/>
      <c r="CU42" s="370" t="n"/>
      <c r="CV42" s="370" t="n"/>
      <c r="CW42" s="370" t="n"/>
      <c r="CX42" s="370" t="n"/>
      <c r="CY42" s="370" t="n"/>
      <c r="CZ42" s="370" t="n"/>
      <c r="DA42" s="370" t="n"/>
      <c r="DB42" s="370" t="n"/>
      <c r="DC42" s="370" t="n"/>
      <c r="DD42" s="370" t="n"/>
      <c r="DE42" s="370" t="n"/>
      <c r="DF42" s="370" t="n"/>
      <c r="DG42" s="370" t="n"/>
      <c r="DH42" s="370" t="n"/>
      <c r="DI42" s="370" t="n"/>
      <c r="DJ42" s="370" t="n"/>
      <c r="DK42" s="370" t="n"/>
      <c r="DL42" s="370" t="n"/>
      <c r="DM42" s="370" t="n"/>
      <c r="DN42" s="34" t="n"/>
      <c r="DO42" s="41" t="n"/>
      <c r="DP42" s="41" t="n"/>
      <c r="DQ42" s="41" t="n"/>
      <c r="DR42" s="34" t="n"/>
      <c r="DS42" s="34" t="n"/>
      <c r="DT42" s="34" t="n"/>
      <c r="DX42" s="34" t="n"/>
      <c r="DY42" s="34" t="n"/>
      <c r="EA42" s="34" t="n"/>
      <c r="EC42" s="34" t="n"/>
      <c r="EE42" s="34" t="n"/>
      <c r="EF42" s="34" t="n"/>
      <c r="EH42" s="34" t="n"/>
      <c r="EI42" s="34" t="n"/>
      <c r="EK42" s="34" t="n"/>
      <c r="EL42" s="34" t="n"/>
      <c r="EM42" s="34" t="n"/>
      <c r="EN42" s="34" t="n"/>
      <c r="EO42" s="34" t="n"/>
      <c r="EP42" s="71" t="n"/>
      <c r="EQ42" s="34" t="n"/>
      <c r="ER42" s="71" t="n"/>
      <c r="ES42" s="34" t="n"/>
      <c r="ET42" s="71" t="n"/>
      <c r="EU42" s="34" t="n"/>
      <c r="EV42" s="34" t="n"/>
      <c r="EW42" s="34" t="n"/>
      <c r="EX42" s="34" t="n"/>
      <c r="EY42" s="71" t="n"/>
      <c r="EZ42" s="34" t="n"/>
      <c r="FA42" s="71" t="n"/>
      <c r="FB42" s="34" t="n"/>
      <c r="FC42" s="71" t="n"/>
      <c r="FD42" s="34" t="n"/>
      <c r="FE42" s="34" t="n"/>
      <c r="FF42" s="34" t="n"/>
      <c r="FG42" s="34" t="n"/>
      <c r="FH42" s="71" t="n"/>
      <c r="FI42" s="71" t="n"/>
      <c r="FJ42" s="34" t="n"/>
      <c r="FK42" s="71" t="n"/>
      <c r="FL42" s="71" t="n"/>
      <c r="FM42" s="34" t="n"/>
      <c r="FN42" s="34" t="n"/>
      <c r="FO42" s="71" t="n"/>
      <c r="FP42" s="71" t="n"/>
      <c r="FQ42" s="34" t="n"/>
      <c r="FR42" s="34" t="n"/>
      <c r="FS42" s="71" t="n"/>
      <c r="FT42" s="71" t="n"/>
      <c r="FU42" s="34" t="n"/>
      <c r="FV42" s="34" t="n"/>
      <c r="FW42" s="71" t="n"/>
      <c r="FX42" s="34" t="n"/>
      <c r="FY42" s="71" t="n"/>
      <c r="FZ42" s="34" t="n"/>
      <c r="GA42" s="34" t="n"/>
      <c r="GB42" s="34" t="n"/>
      <c r="GC42" s="71" t="n"/>
      <c r="GD42" s="34" t="n"/>
      <c r="GE42" s="34" t="n"/>
      <c r="GF42" s="34" t="n"/>
      <c r="GG42" s="34" t="n"/>
      <c r="GH42" s="34" t="n"/>
      <c r="GI42" s="34" t="n"/>
      <c r="GJ42" s="34" t="n"/>
      <c r="GK42" s="34" t="n"/>
      <c r="GL42" s="34" t="n"/>
      <c r="GM42" s="34" t="n"/>
    </row>
    <row r="43">
      <c r="E43" s="41" t="n"/>
      <c r="F43" s="41" t="n"/>
      <c r="G43" s="41" t="n"/>
      <c r="H43" s="41" t="n"/>
      <c r="I43" s="41" t="n"/>
      <c r="J43" s="41" t="n"/>
      <c r="K43" s="41" t="n"/>
      <c r="L43" s="41" t="n"/>
      <c r="M43" s="41" t="n"/>
      <c r="N43" s="41" t="n"/>
      <c r="O43" s="41" t="n"/>
      <c r="P43" s="41" t="n"/>
      <c r="Q43" s="41" t="n"/>
      <c r="R43" s="41" t="n"/>
      <c r="S43" s="41" t="n"/>
      <c r="T43" s="41" t="n"/>
      <c r="U43" s="41" t="n"/>
      <c r="V43" s="41" t="n"/>
      <c r="W43" s="41" t="n"/>
      <c r="X43" s="41" t="n"/>
      <c r="Y43" s="41" t="n"/>
      <c r="Z43" s="41" t="n"/>
      <c r="AA43" s="41" t="n"/>
      <c r="AB43" s="41" t="n"/>
      <c r="AC43" s="355" t="n"/>
      <c r="AD43" s="41" t="n"/>
      <c r="AE43" s="41" t="n"/>
      <c r="AF43" s="41" t="n"/>
      <c r="AG43" s="41" t="n"/>
      <c r="AH43" s="41" t="n"/>
      <c r="AI43" s="41" t="n"/>
      <c r="AJ43" s="41" t="n"/>
      <c r="AK43" s="41" t="n"/>
      <c r="AL43" s="41" t="n"/>
      <c r="AM43" s="41" t="n"/>
      <c r="AN43" s="41" t="n"/>
      <c r="AO43" s="41" t="n"/>
      <c r="AZ43" s="41" t="n"/>
      <c r="BA43" s="41" t="n"/>
      <c r="BB43" s="41" t="n"/>
      <c r="BC43" s="41" t="n"/>
      <c r="BD43" s="41" t="n"/>
      <c r="BE43" s="41" t="n"/>
      <c r="BF43" s="41" t="n"/>
      <c r="BG43" s="41" t="n"/>
      <c r="BH43" s="41" t="n"/>
      <c r="BI43" s="41" t="n"/>
      <c r="BJ43" s="34" t="n"/>
      <c r="BK43" s="34" t="n"/>
      <c r="BL43" s="34" t="n"/>
      <c r="BM43" s="34" t="n"/>
      <c r="BN43" s="34" t="n"/>
      <c r="BO43" s="34" t="n"/>
      <c r="BP43" s="34" t="n"/>
      <c r="BQ43" s="34" t="n"/>
      <c r="BR43" s="34" t="n"/>
      <c r="BS43" s="34" t="n"/>
      <c r="BT43" s="34" t="n"/>
      <c r="BU43" s="34" t="n"/>
      <c r="BV43" s="34" t="n"/>
      <c r="BW43" s="34" t="n"/>
      <c r="BX43" s="34" t="n"/>
      <c r="BY43" s="34" t="n"/>
      <c r="BZ43" s="34" t="n"/>
      <c r="CA43" s="34" t="n"/>
      <c r="CB43" s="34" t="n"/>
      <c r="CC43" s="34" t="n"/>
      <c r="CD43" s="34" t="n"/>
      <c r="CE43" s="34" t="n"/>
      <c r="CF43" s="34" t="n"/>
      <c r="CG43" s="34" t="n"/>
      <c r="CH43" s="34" t="n"/>
      <c r="CI43" s="34" t="n"/>
      <c r="CJ43" s="34" t="n"/>
      <c r="CK43" s="370" t="n"/>
      <c r="CL43" s="370" t="n"/>
      <c r="CM43" s="370" t="n"/>
      <c r="CN43" s="370" t="n"/>
      <c r="CO43" s="370" t="n"/>
      <c r="CP43" s="370" t="n"/>
      <c r="CQ43" s="370" t="n"/>
      <c r="CR43" s="370" t="n"/>
      <c r="CS43" s="370" t="n"/>
      <c r="CT43" s="370" t="n"/>
      <c r="CU43" s="370" t="n"/>
      <c r="CV43" s="370" t="n"/>
      <c r="CW43" s="370" t="n"/>
      <c r="CX43" s="370" t="n"/>
      <c r="CY43" s="370" t="n"/>
      <c r="CZ43" s="370" t="n"/>
      <c r="DA43" s="370" t="n"/>
      <c r="DB43" s="370" t="n"/>
      <c r="DC43" s="370" t="n"/>
      <c r="DD43" s="370" t="n"/>
      <c r="DE43" s="370" t="n"/>
      <c r="DF43" s="370" t="n"/>
      <c r="DG43" s="370" t="n"/>
      <c r="DH43" s="370" t="n"/>
      <c r="DI43" s="370" t="n"/>
      <c r="DJ43" s="370" t="n"/>
      <c r="DK43" s="370" t="n"/>
      <c r="DL43" s="370" t="n"/>
      <c r="DM43" s="370" t="n"/>
      <c r="DN43" s="34" t="n"/>
      <c r="DO43" s="41" t="n"/>
      <c r="DP43" s="41" t="n"/>
      <c r="DQ43" s="41" t="n"/>
      <c r="DR43" s="34" t="n"/>
      <c r="DS43" s="34" t="n"/>
      <c r="DT43" s="34" t="n"/>
      <c r="DX43" s="34" t="n"/>
      <c r="DY43" s="34" t="n"/>
      <c r="EA43" s="34" t="n"/>
      <c r="EC43" s="34" t="n"/>
      <c r="EE43" s="34" t="n"/>
      <c r="EF43" s="34" t="n"/>
      <c r="EH43" s="34" t="n"/>
      <c r="EI43" s="34" t="n"/>
      <c r="EK43" s="34" t="n"/>
      <c r="EL43" s="34" t="n"/>
      <c r="EM43" s="34" t="n"/>
      <c r="EN43" s="34" t="n"/>
      <c r="EO43" s="34" t="n"/>
      <c r="EP43" s="71" t="n"/>
      <c r="EQ43" s="34" t="n"/>
      <c r="ER43" s="71" t="n"/>
      <c r="ES43" s="34" t="n"/>
      <c r="ET43" s="71" t="n"/>
      <c r="EU43" s="34" t="n"/>
      <c r="EV43" s="34" t="n"/>
      <c r="EW43" s="34" t="n"/>
      <c r="EX43" s="34" t="n"/>
      <c r="EY43" s="71" t="n"/>
      <c r="EZ43" s="34" t="n"/>
      <c r="FA43" s="71" t="n"/>
      <c r="FB43" s="34" t="n"/>
      <c r="FC43" s="71" t="n"/>
      <c r="FD43" s="34" t="n"/>
      <c r="FE43" s="34" t="n"/>
      <c r="FF43" s="34" t="n"/>
      <c r="FG43" s="34" t="n"/>
      <c r="FH43" s="71" t="n"/>
      <c r="FI43" s="71" t="n"/>
      <c r="FJ43" s="34" t="n"/>
      <c r="FK43" s="71" t="n"/>
      <c r="FL43" s="71" t="n"/>
      <c r="FM43" s="34" t="n"/>
      <c r="FN43" s="34" t="n"/>
      <c r="FO43" s="71" t="n"/>
      <c r="FP43" s="71" t="n"/>
      <c r="FQ43" s="34" t="n"/>
      <c r="FR43" s="34" t="n"/>
      <c r="FS43" s="71" t="n"/>
      <c r="FT43" s="71" t="n"/>
      <c r="FU43" s="34" t="n"/>
      <c r="FV43" s="34" t="n"/>
      <c r="FW43" s="71" t="n"/>
      <c r="FX43" s="34" t="n"/>
      <c r="FY43" s="71" t="n"/>
      <c r="FZ43" s="34" t="n"/>
      <c r="GA43" s="34" t="n"/>
      <c r="GB43" s="34" t="n"/>
      <c r="GC43" s="71" t="n"/>
      <c r="GD43" s="34" t="n"/>
      <c r="GE43" s="34" t="n"/>
      <c r="GF43" s="34" t="n"/>
      <c r="GG43" s="34" t="n"/>
      <c r="GH43" s="34" t="n"/>
      <c r="GI43" s="34" t="n"/>
      <c r="GJ43" s="34" t="n"/>
      <c r="GK43" s="34" t="n"/>
      <c r="GL43" s="34" t="n"/>
      <c r="GM43" s="34" t="n"/>
    </row>
    <row r="44">
      <c r="A44" s="642" t="inlineStr">
        <is>
          <t>FLACONETES</t>
        </is>
      </c>
      <c r="B44" s="625" t="n"/>
      <c r="C44" s="625" t="n"/>
      <c r="D44" s="641" t="n"/>
      <c r="F44" s="643" t="n">
        <v>46013</v>
      </c>
      <c r="G44" s="643" t="n">
        <v>46020</v>
      </c>
      <c r="H44" s="643" t="n">
        <v>46027</v>
      </c>
      <c r="I44" s="643" t="n">
        <v>46034</v>
      </c>
      <c r="J44" s="643" t="n">
        <v>46041</v>
      </c>
      <c r="K44" s="643" t="n">
        <v>46048</v>
      </c>
      <c r="L44" s="643" t="n">
        <v>46055</v>
      </c>
      <c r="M44" s="643" t="n">
        <v>46062</v>
      </c>
      <c r="N44" s="643" t="n">
        <v>46069</v>
      </c>
      <c r="O44" s="643" t="n">
        <v>46076</v>
      </c>
      <c r="P44" s="643" t="n">
        <v>46083</v>
      </c>
      <c r="Q44" s="643" t="n">
        <v>46090</v>
      </c>
      <c r="R44" s="643" t="n">
        <v>46097</v>
      </c>
      <c r="S44" s="643" t="n">
        <v>46104</v>
      </c>
      <c r="T44" s="643" t="n">
        <v>46111</v>
      </c>
      <c r="U44" s="643" t="n">
        <v>46118</v>
      </c>
      <c r="V44" s="643" t="n">
        <v>46125</v>
      </c>
      <c r="W44" s="643" t="n">
        <v>46132</v>
      </c>
      <c r="X44" s="643" t="n">
        <v>46139</v>
      </c>
      <c r="Y44" s="643" t="n">
        <v>46146</v>
      </c>
      <c r="Z44" s="643" t="n">
        <v>46154</v>
      </c>
      <c r="AD44" s="355" t="n"/>
      <c r="AE44" s="355" t="n"/>
      <c r="AF44" s="355" t="n"/>
      <c r="AG44" s="41" t="n"/>
      <c r="AH44" s="41" t="n"/>
      <c r="AI44" s="41" t="n"/>
      <c r="AJ44" s="41" t="n"/>
      <c r="AK44" s="41" t="n"/>
      <c r="AL44" s="41" t="n"/>
      <c r="AM44" s="41" t="n"/>
      <c r="AN44" s="41" t="n"/>
      <c r="AO44" s="41" t="n"/>
      <c r="BA44" s="41" t="n"/>
      <c r="BB44" s="41" t="n"/>
      <c r="BC44" s="41" t="n"/>
      <c r="BD44" s="41" t="n"/>
      <c r="BE44" s="41" t="n"/>
      <c r="BF44" s="41" t="n"/>
      <c r="BG44" s="41" t="n"/>
      <c r="BH44" s="41" t="n"/>
      <c r="BI44" s="41" t="n"/>
    </row>
    <row r="45" hidden="1" ht="18.75" customHeight="1">
      <c r="A45" s="645" t="inlineStr">
        <is>
          <t>ARBO ATLANTICA</t>
        </is>
      </c>
      <c r="B45" s="625" t="n"/>
      <c r="C45" s="625" t="n"/>
      <c r="D45" s="641" t="n"/>
      <c r="F45" s="366" t="n">
        <v>20</v>
      </c>
      <c r="G45" s="366" t="n">
        <v>16</v>
      </c>
      <c r="H45" s="366" t="n">
        <v>18</v>
      </c>
      <c r="I45" s="366" t="n">
        <v>18</v>
      </c>
      <c r="J45" s="366" t="n">
        <v>11</v>
      </c>
      <c r="K45" s="366" t="n">
        <v>11</v>
      </c>
      <c r="L45" s="366" t="n">
        <v>11</v>
      </c>
      <c r="M45" s="366" t="n">
        <v>11</v>
      </c>
      <c r="N45" s="366" t="n">
        <v>11</v>
      </c>
      <c r="O45" s="366" t="n">
        <v>11</v>
      </c>
      <c r="P45" s="366" t="n">
        <v>11</v>
      </c>
      <c r="Q45" s="366" t="n">
        <v>3</v>
      </c>
      <c r="R45" s="366" t="n">
        <v>3</v>
      </c>
      <c r="S45" s="366" t="n">
        <v>3</v>
      </c>
      <c r="T45" s="366" t="n">
        <v>3</v>
      </c>
      <c r="U45" s="366" t="n">
        <v>3</v>
      </c>
      <c r="V45" s="366" t="n">
        <v>0</v>
      </c>
      <c r="W45" s="366" t="n">
        <v>0</v>
      </c>
      <c r="X45" s="366" t="n">
        <v>0</v>
      </c>
      <c r="Y45" s="366" t="n">
        <v>0</v>
      </c>
      <c r="Z45" s="366" t="n"/>
      <c r="AG45" s="41" t="n"/>
    </row>
    <row r="46" hidden="1" ht="18.75" customHeight="1">
      <c r="A46" s="645" t="inlineStr">
        <is>
          <t>QUASAR DEEP BLUE</t>
        </is>
      </c>
      <c r="B46" s="625" t="n"/>
      <c r="C46" s="625" t="n"/>
      <c r="D46" s="641" t="n"/>
      <c r="F46" s="366" t="n">
        <v>7</v>
      </c>
      <c r="G46" s="366" t="n">
        <v>5</v>
      </c>
      <c r="H46" s="366" t="n">
        <v>8</v>
      </c>
      <c r="I46" s="366" t="n">
        <v>8</v>
      </c>
      <c r="J46" s="366" t="n">
        <v>4</v>
      </c>
      <c r="K46" s="366" t="n">
        <v>4</v>
      </c>
      <c r="L46" s="366" t="n">
        <v>5</v>
      </c>
      <c r="M46" s="366" t="n">
        <v>5</v>
      </c>
      <c r="N46" s="366" t="n">
        <v>5</v>
      </c>
      <c r="O46" s="366" t="n">
        <v>5</v>
      </c>
      <c r="P46" s="366" t="n">
        <v>5</v>
      </c>
      <c r="Q46" s="366" t="n">
        <v>0</v>
      </c>
      <c r="R46" s="366" t="n">
        <v>0</v>
      </c>
      <c r="S46" s="366" t="n">
        <v>0</v>
      </c>
      <c r="T46" s="366" t="n">
        <v>0</v>
      </c>
      <c r="U46" s="366" t="n">
        <v>0</v>
      </c>
      <c r="V46" s="366" t="n">
        <v>0</v>
      </c>
      <c r="W46" s="366" t="n">
        <v>0</v>
      </c>
      <c r="X46" s="366" t="n">
        <v>0</v>
      </c>
      <c r="Y46" s="366" t="n">
        <v>0</v>
      </c>
      <c r="Z46" s="366" t="n"/>
    </row>
    <row r="47">
      <c r="A47" s="645" t="inlineStr">
        <is>
          <t>PROTETOR DE COR 7.0</t>
        </is>
      </c>
      <c r="B47" s="625" t="n"/>
      <c r="C47" s="625" t="n"/>
      <c r="D47" s="641" t="n"/>
      <c r="F47" s="366" t="n">
        <v>1</v>
      </c>
      <c r="G47" s="366" t="n">
        <v>1</v>
      </c>
      <c r="H47" s="366" t="n">
        <v>2</v>
      </c>
      <c r="I47" s="366" t="n">
        <v>2</v>
      </c>
      <c r="J47" s="366" t="n">
        <v>2</v>
      </c>
      <c r="K47" s="366" t="n">
        <v>2</v>
      </c>
      <c r="L47" s="366" t="n">
        <v>2</v>
      </c>
      <c r="M47" s="366" t="n">
        <v>2</v>
      </c>
      <c r="N47" s="366" t="n">
        <v>2</v>
      </c>
      <c r="O47" s="366" t="n">
        <v>2</v>
      </c>
      <c r="P47" s="366" t="n">
        <v>2</v>
      </c>
      <c r="Q47" s="366" t="n">
        <v>2</v>
      </c>
      <c r="R47" s="366" t="n">
        <v>2</v>
      </c>
      <c r="S47" s="366" t="n">
        <v>2</v>
      </c>
      <c r="T47" s="366" t="n">
        <v>2</v>
      </c>
      <c r="U47" s="366" t="n">
        <v>2</v>
      </c>
      <c r="V47" s="366" t="n">
        <v>2</v>
      </c>
      <c r="W47" s="366" t="n">
        <v>2</v>
      </c>
      <c r="X47" s="366" t="n">
        <v>2</v>
      </c>
      <c r="Y47" s="366" t="n">
        <v>2</v>
      </c>
      <c r="Z47" s="366" t="n">
        <v>2</v>
      </c>
      <c r="AH47" s="11" t="n"/>
      <c r="AI47" s="11" t="n"/>
      <c r="AJ47" s="11" t="n"/>
      <c r="AK47" s="11" t="n"/>
      <c r="AL47" s="11" t="n"/>
      <c r="AM47" s="11" t="n"/>
      <c r="AN47" s="11" t="n"/>
      <c r="AO47" s="11" t="n"/>
    </row>
    <row r="48">
      <c r="A48" s="645" t="inlineStr">
        <is>
          <t>AMOURUDA</t>
        </is>
      </c>
      <c r="B48" s="625" t="n"/>
      <c r="C48" s="625" t="n"/>
      <c r="D48" s="641" t="n"/>
      <c r="F48" s="366" t="n">
        <v>31</v>
      </c>
      <c r="G48" s="366" t="n">
        <v>31</v>
      </c>
      <c r="H48" s="366" t="n">
        <v>27</v>
      </c>
      <c r="I48" s="366" t="n">
        <v>27</v>
      </c>
      <c r="J48" s="366" t="n">
        <v>19</v>
      </c>
      <c r="K48" s="366" t="n">
        <v>19</v>
      </c>
      <c r="L48" s="366" t="n">
        <v>14</v>
      </c>
      <c r="M48" s="366" t="n">
        <v>14</v>
      </c>
      <c r="N48" s="366" t="n">
        <v>14</v>
      </c>
      <c r="O48" s="366" t="n">
        <v>14</v>
      </c>
      <c r="P48" s="366" t="n">
        <v>12</v>
      </c>
      <c r="Q48" s="366" t="n">
        <v>10</v>
      </c>
      <c r="R48" s="366" t="n">
        <v>10</v>
      </c>
      <c r="S48" s="366" t="n">
        <v>10</v>
      </c>
      <c r="T48" s="366" t="n">
        <v>10</v>
      </c>
      <c r="U48" s="366" t="n">
        <v>9</v>
      </c>
      <c r="V48" s="366" t="n">
        <v>2</v>
      </c>
      <c r="W48" s="366" t="n">
        <v>2</v>
      </c>
      <c r="X48" s="366" t="n">
        <v>1</v>
      </c>
      <c r="Y48" s="366" t="n">
        <v>1</v>
      </c>
      <c r="Z48" s="366" t="n">
        <v>1</v>
      </c>
      <c r="AG48" s="11" t="n"/>
    </row>
    <row r="49">
      <c r="A49" s="645" t="inlineStr">
        <is>
          <t>SHAMPOO UVA</t>
        </is>
      </c>
      <c r="B49" s="625" t="n"/>
      <c r="C49" s="625" t="n"/>
      <c r="D49" s="641" t="n"/>
      <c r="F49" s="366" t="n">
        <v>4</v>
      </c>
      <c r="G49" s="366" t="n">
        <v>4</v>
      </c>
      <c r="H49" s="366" t="n">
        <v>5</v>
      </c>
      <c r="I49" s="366" t="n">
        <v>5</v>
      </c>
      <c r="J49" s="366" t="n">
        <v>13</v>
      </c>
      <c r="K49" s="366" t="n">
        <v>13</v>
      </c>
      <c r="L49" s="366" t="n">
        <v>13</v>
      </c>
      <c r="M49" s="366" t="n">
        <v>13</v>
      </c>
      <c r="N49" s="366" t="n">
        <v>13</v>
      </c>
      <c r="O49" s="366" t="n">
        <v>13</v>
      </c>
      <c r="P49" s="366" t="n">
        <v>13</v>
      </c>
      <c r="Q49" s="366" t="n">
        <v>4</v>
      </c>
      <c r="R49" s="366" t="n">
        <v>4</v>
      </c>
      <c r="S49" s="366" t="n">
        <v>4</v>
      </c>
      <c r="T49" s="366" t="n">
        <v>4</v>
      </c>
      <c r="U49" s="366" t="n">
        <v>4</v>
      </c>
      <c r="V49" s="366" t="n">
        <v>4</v>
      </c>
      <c r="W49" s="366" t="n">
        <v>4</v>
      </c>
      <c r="X49" s="366" t="n">
        <v>4</v>
      </c>
      <c r="Y49" s="366" t="n">
        <v>4</v>
      </c>
      <c r="Z49" s="366" t="n">
        <v>4</v>
      </c>
    </row>
    <row r="50">
      <c r="A50" s="645" t="inlineStr">
        <is>
          <t>MASCARA UVA</t>
        </is>
      </c>
      <c r="B50" s="625" t="n"/>
      <c r="C50" s="625" t="n"/>
      <c r="D50" s="641" t="n"/>
      <c r="F50" s="366" t="n">
        <v>4</v>
      </c>
      <c r="G50" s="366" t="n">
        <v>4</v>
      </c>
      <c r="H50" s="366" t="n">
        <v>4</v>
      </c>
      <c r="I50" s="366" t="n">
        <v>4</v>
      </c>
      <c r="J50" s="366" t="n">
        <v>0</v>
      </c>
      <c r="K50" s="366" t="n">
        <v>0</v>
      </c>
      <c r="L50" s="366" t="n">
        <v>0</v>
      </c>
      <c r="M50" s="366" t="n">
        <v>0</v>
      </c>
      <c r="N50" s="366" t="n">
        <v>0</v>
      </c>
      <c r="O50" s="366" t="n">
        <v>0</v>
      </c>
      <c r="P50" s="366" t="n">
        <v>0</v>
      </c>
      <c r="Q50" s="366" t="n">
        <v>4</v>
      </c>
      <c r="R50" s="366" t="n">
        <v>4</v>
      </c>
      <c r="S50" s="366" t="n">
        <v>4</v>
      </c>
      <c r="T50" s="366" t="n">
        <v>4</v>
      </c>
      <c r="U50" s="366" t="n">
        <v>4</v>
      </c>
      <c r="V50" s="366" t="n">
        <v>4</v>
      </c>
      <c r="W50" s="366" t="n">
        <v>4</v>
      </c>
      <c r="X50" s="366" t="n">
        <v>4</v>
      </c>
      <c r="Y50" s="366" t="n">
        <v>4</v>
      </c>
      <c r="Z50" s="366" t="n">
        <v>4</v>
      </c>
    </row>
    <row r="51" hidden="1" ht="18.75" customHeight="1">
      <c r="A51" s="645" t="inlineStr">
        <is>
          <t>CONDICIONADOR</t>
        </is>
      </c>
      <c r="B51" s="625" t="n"/>
      <c r="C51" s="625" t="n"/>
      <c r="D51" s="641" t="n"/>
      <c r="F51" s="366" t="n">
        <v>4</v>
      </c>
      <c r="G51" s="366" t="n">
        <v>4</v>
      </c>
      <c r="H51" s="366" t="n">
        <v>4</v>
      </c>
      <c r="I51" s="366" t="n">
        <v>4</v>
      </c>
      <c r="J51" s="366" t="n">
        <v>0</v>
      </c>
      <c r="K51" s="366" t="n">
        <v>0</v>
      </c>
      <c r="L51" s="366" t="n">
        <v>0</v>
      </c>
      <c r="M51" s="366" t="n">
        <v>0</v>
      </c>
      <c r="N51" s="366" t="n">
        <v>0</v>
      </c>
      <c r="O51" s="366" t="n">
        <v>0</v>
      </c>
      <c r="P51" s="366" t="n">
        <v>0</v>
      </c>
      <c r="Q51" s="366" t="n">
        <v>0</v>
      </c>
      <c r="R51" s="366" t="n">
        <v>0</v>
      </c>
      <c r="S51" s="366" t="n">
        <v>0</v>
      </c>
      <c r="T51" s="366" t="n">
        <v>0</v>
      </c>
      <c r="U51" s="366" t="n">
        <v>0</v>
      </c>
      <c r="V51" s="366" t="n">
        <v>0</v>
      </c>
      <c r="W51" s="366" t="n">
        <v>0</v>
      </c>
      <c r="X51" s="366" t="n">
        <v>0</v>
      </c>
      <c r="Y51" s="366" t="n">
        <v>0</v>
      </c>
      <c r="Z51" s="366" t="n"/>
    </row>
    <row r="52">
      <c r="A52" s="645" t="inlineStr">
        <is>
          <t>CREME PARA PENTEAR CACHOS</t>
        </is>
      </c>
      <c r="B52" s="625" t="n"/>
      <c r="C52" s="625" t="n"/>
      <c r="D52" s="641" t="n"/>
      <c r="F52" s="366" t="n">
        <v>23</v>
      </c>
      <c r="G52" s="366" t="n">
        <v>23</v>
      </c>
      <c r="H52" s="366" t="n">
        <v>24</v>
      </c>
      <c r="I52" s="366" t="n">
        <v>24</v>
      </c>
      <c r="J52" s="366" t="n">
        <v>21</v>
      </c>
      <c r="K52" s="366" t="n">
        <v>21</v>
      </c>
      <c r="L52" s="366" t="n">
        <v>21</v>
      </c>
      <c r="M52" s="366" t="n">
        <v>21</v>
      </c>
      <c r="N52" s="366" t="n">
        <v>21</v>
      </c>
      <c r="O52" s="366" t="n">
        <v>21</v>
      </c>
      <c r="P52" s="366" t="n">
        <v>21</v>
      </c>
      <c r="Q52" s="366" t="n">
        <v>21</v>
      </c>
      <c r="R52" s="366" t="n">
        <v>21</v>
      </c>
      <c r="S52" s="366" t="n">
        <v>21</v>
      </c>
      <c r="T52" s="366" t="n">
        <v>21</v>
      </c>
      <c r="U52" s="366" t="n">
        <v>20</v>
      </c>
      <c r="V52" s="366" t="n">
        <v>20</v>
      </c>
      <c r="W52" s="366" t="n">
        <v>20</v>
      </c>
      <c r="X52" s="366" t="n">
        <v>20</v>
      </c>
      <c r="Y52" s="366" t="n">
        <v>20</v>
      </c>
      <c r="Z52" s="366" t="n">
        <v>20</v>
      </c>
    </row>
    <row r="53">
      <c r="A53" s="645" t="inlineStr">
        <is>
          <t>EGEO DOLCE ILUSION</t>
        </is>
      </c>
      <c r="B53" s="625" t="n"/>
      <c r="C53" s="625" t="n"/>
      <c r="D53" s="641" t="n"/>
      <c r="F53" s="366" t="n">
        <v>71</v>
      </c>
      <c r="G53" s="366" t="n">
        <v>53</v>
      </c>
      <c r="H53" s="366" t="n">
        <v>63</v>
      </c>
      <c r="I53" s="366" t="n">
        <v>63</v>
      </c>
      <c r="J53" s="366" t="n">
        <v>57</v>
      </c>
      <c r="K53" s="366" t="n">
        <v>57</v>
      </c>
      <c r="L53" s="366" t="n">
        <v>48</v>
      </c>
      <c r="M53" s="366" t="n">
        <v>48</v>
      </c>
      <c r="N53" s="366" t="n">
        <v>48</v>
      </c>
      <c r="O53" s="366" t="n">
        <v>45</v>
      </c>
      <c r="P53" s="366" t="n">
        <v>38</v>
      </c>
      <c r="Q53" s="366" t="n">
        <v>28</v>
      </c>
      <c r="R53" s="366" t="n">
        <v>25</v>
      </c>
      <c r="S53" s="366" t="n">
        <v>18</v>
      </c>
      <c r="T53" s="366" t="n">
        <v>18</v>
      </c>
      <c r="U53" s="366" t="n">
        <v>12</v>
      </c>
      <c r="V53" s="366" t="n">
        <v>10</v>
      </c>
      <c r="W53" s="366" t="n">
        <v>10</v>
      </c>
      <c r="X53" s="366" t="n">
        <v>9</v>
      </c>
      <c r="Y53" s="366" t="n">
        <v>9</v>
      </c>
      <c r="Z53" s="366" t="n">
        <v>0</v>
      </c>
    </row>
    <row r="54" hidden="1" ht="18.75" customHeight="1">
      <c r="A54" s="645" t="inlineStr">
        <is>
          <t>HADYA</t>
        </is>
      </c>
      <c r="B54" s="625" t="n"/>
      <c r="C54" s="625" t="n"/>
      <c r="D54" s="641" t="n"/>
      <c r="F54" s="366" t="n">
        <v>28</v>
      </c>
      <c r="G54" s="366" t="n">
        <v>19</v>
      </c>
      <c r="H54" s="366" t="n">
        <v>18</v>
      </c>
      <c r="I54" s="366" t="n">
        <v>18</v>
      </c>
      <c r="J54" s="366" t="n">
        <v>13</v>
      </c>
      <c r="K54" s="366" t="n">
        <v>13</v>
      </c>
      <c r="L54" s="366" t="n">
        <v>6</v>
      </c>
      <c r="M54" s="366" t="n">
        <v>6</v>
      </c>
      <c r="N54" s="366" t="n">
        <v>6</v>
      </c>
      <c r="O54" s="366" t="n">
        <v>2</v>
      </c>
      <c r="P54" s="366" t="n">
        <v>0</v>
      </c>
      <c r="Q54" s="366" t="n">
        <v>0</v>
      </c>
      <c r="R54" s="366" t="n">
        <v>0</v>
      </c>
      <c r="S54" s="366" t="n">
        <v>0</v>
      </c>
      <c r="T54" s="366" t="n">
        <v>0</v>
      </c>
      <c r="U54" s="366" t="n">
        <v>0</v>
      </c>
      <c r="V54" s="366" t="n">
        <v>0</v>
      </c>
      <c r="W54" s="366" t="n">
        <v>0</v>
      </c>
      <c r="X54" s="366" t="n">
        <v>0</v>
      </c>
      <c r="Y54" s="366" t="n">
        <v>0</v>
      </c>
      <c r="Z54" s="366" t="n"/>
    </row>
    <row r="55" hidden="1" ht="18.75" customHeight="1">
      <c r="A55" s="645" t="inlineStr">
        <is>
          <t>MEN NBA</t>
        </is>
      </c>
      <c r="B55" s="625" t="n"/>
      <c r="C55" s="625" t="n"/>
      <c r="D55" s="641" t="n"/>
      <c r="F55" s="366" t="n">
        <v>0</v>
      </c>
      <c r="G55" s="366" t="n">
        <v>0</v>
      </c>
      <c r="H55" s="366" t="n">
        <v>7</v>
      </c>
      <c r="I55" s="366" t="n">
        <v>7</v>
      </c>
      <c r="J55" s="366" t="n">
        <v>7</v>
      </c>
      <c r="K55" s="366" t="n">
        <v>7</v>
      </c>
      <c r="L55" s="366" t="n">
        <v>6</v>
      </c>
      <c r="M55" s="366" t="n">
        <v>6</v>
      </c>
      <c r="N55" s="366" t="n">
        <v>6</v>
      </c>
      <c r="O55" s="366" t="n">
        <v>6</v>
      </c>
      <c r="P55" s="366" t="n">
        <v>6</v>
      </c>
      <c r="Q55" s="366" t="n">
        <v>1</v>
      </c>
      <c r="R55" s="366" t="n">
        <v>0</v>
      </c>
      <c r="S55" s="366" t="n">
        <v>0</v>
      </c>
      <c r="T55" s="366" t="n">
        <v>0</v>
      </c>
      <c r="U55" s="366" t="n">
        <v>0</v>
      </c>
      <c r="V55" s="366" t="n">
        <v>0</v>
      </c>
      <c r="W55" s="366" t="n">
        <v>0</v>
      </c>
      <c r="X55" s="366" t="n">
        <v>0</v>
      </c>
      <c r="Y55" s="366" t="n">
        <v>0</v>
      </c>
      <c r="Z55" s="366" t="n"/>
    </row>
    <row r="56">
      <c r="A56" s="645" t="inlineStr">
        <is>
          <t>PROTETOR DE COR 6.0</t>
        </is>
      </c>
      <c r="B56" s="625" t="n"/>
      <c r="C56" s="625" t="n"/>
      <c r="D56" s="641" t="n"/>
      <c r="F56" s="366" t="n">
        <v>0</v>
      </c>
      <c r="G56" s="366" t="n">
        <v>0</v>
      </c>
      <c r="H56" s="366" t="n">
        <v>3</v>
      </c>
      <c r="I56" s="366" t="n">
        <v>3</v>
      </c>
      <c r="J56" s="366" t="n">
        <v>3</v>
      </c>
      <c r="K56" s="366" t="n">
        <v>3</v>
      </c>
      <c r="L56" s="366" t="n">
        <v>3</v>
      </c>
      <c r="M56" s="366" t="n">
        <v>3</v>
      </c>
      <c r="N56" s="366" t="n">
        <v>3</v>
      </c>
      <c r="O56" s="366" t="n">
        <v>3</v>
      </c>
      <c r="P56" s="366" t="n">
        <v>3</v>
      </c>
      <c r="Q56" s="366" t="n">
        <v>3</v>
      </c>
      <c r="R56" s="366" t="n">
        <v>3</v>
      </c>
      <c r="S56" s="366" t="n">
        <v>3</v>
      </c>
      <c r="T56" s="366" t="n">
        <v>3</v>
      </c>
      <c r="U56" s="366" t="n">
        <v>3</v>
      </c>
      <c r="V56" s="366" t="n">
        <v>3</v>
      </c>
      <c r="W56" s="366" t="n">
        <v>3</v>
      </c>
      <c r="X56" s="366" t="n">
        <v>3</v>
      </c>
      <c r="Y56" s="366" t="n">
        <v>3</v>
      </c>
      <c r="Z56" s="366" t="n">
        <v>3</v>
      </c>
    </row>
    <row r="57">
      <c r="A57" s="645" t="inlineStr">
        <is>
          <t>PROTETOR DE COR 5.0</t>
        </is>
      </c>
      <c r="B57" s="625" t="n"/>
      <c r="C57" s="625" t="n"/>
      <c r="D57" s="641" t="n"/>
      <c r="F57" s="366" t="n">
        <v>0</v>
      </c>
      <c r="G57" s="366" t="n">
        <v>0</v>
      </c>
      <c r="H57" s="366" t="n">
        <v>7</v>
      </c>
      <c r="I57" s="366" t="n">
        <v>7</v>
      </c>
      <c r="J57" s="366" t="n">
        <v>7</v>
      </c>
      <c r="K57" s="366" t="n">
        <v>7</v>
      </c>
      <c r="L57" s="366" t="n">
        <v>7</v>
      </c>
      <c r="M57" s="366" t="n">
        <v>7</v>
      </c>
      <c r="N57" s="366" t="n">
        <v>5</v>
      </c>
      <c r="O57" s="366" t="n">
        <v>7</v>
      </c>
      <c r="P57" s="366" t="n">
        <v>7</v>
      </c>
      <c r="Q57" s="366" t="n">
        <v>7</v>
      </c>
      <c r="R57" s="366" t="n">
        <v>7</v>
      </c>
      <c r="S57" s="366" t="n">
        <v>7</v>
      </c>
      <c r="T57" s="366" t="n">
        <v>7</v>
      </c>
      <c r="U57" s="366" t="n">
        <v>7</v>
      </c>
      <c r="V57" s="366" t="n">
        <v>7</v>
      </c>
      <c r="W57" s="366" t="n">
        <v>7</v>
      </c>
      <c r="X57" s="366" t="n">
        <v>7</v>
      </c>
      <c r="Y57" s="366" t="n">
        <v>7</v>
      </c>
      <c r="Z57" s="366" t="n">
        <v>7</v>
      </c>
    </row>
    <row r="58" hidden="1" ht="18.75" customHeight="1">
      <c r="A58" s="645" t="inlineStr">
        <is>
          <t>EGEO COGU</t>
        </is>
      </c>
      <c r="B58" s="625" t="n"/>
      <c r="C58" s="625" t="n"/>
      <c r="D58" s="641" t="n"/>
      <c r="F58" s="366" t="n">
        <v>0</v>
      </c>
      <c r="G58" s="366" t="n">
        <v>0</v>
      </c>
      <c r="H58" s="366" t="n">
        <v>1</v>
      </c>
      <c r="I58" s="366" t="n">
        <v>1</v>
      </c>
      <c r="J58" s="366" t="n">
        <v>0</v>
      </c>
      <c r="K58" s="366" t="n">
        <v>0</v>
      </c>
      <c r="L58" s="366" t="n">
        <v>0</v>
      </c>
      <c r="M58" s="366" t="n">
        <v>0</v>
      </c>
      <c r="N58" s="366" t="n">
        <v>0</v>
      </c>
      <c r="O58" s="366" t="n">
        <v>0</v>
      </c>
      <c r="P58" s="366" t="n">
        <v>0</v>
      </c>
      <c r="Q58" s="366" t="n">
        <v>0</v>
      </c>
      <c r="R58" s="366" t="n">
        <v>0</v>
      </c>
      <c r="S58" s="366" t="n">
        <v>0</v>
      </c>
      <c r="T58" s="366" t="n">
        <v>0</v>
      </c>
      <c r="U58" s="366" t="n">
        <v>0</v>
      </c>
      <c r="V58" s="366" t="n">
        <v>0</v>
      </c>
      <c r="W58" s="366" t="n">
        <v>0</v>
      </c>
      <c r="X58" s="366" t="n">
        <v>0</v>
      </c>
      <c r="Y58" s="366" t="n">
        <v>0</v>
      </c>
      <c r="Z58" s="366" t="n"/>
    </row>
    <row r="59">
      <c r="A59" s="645" t="inlineStr">
        <is>
          <t>ÁCIDO HIALURÔNICO</t>
        </is>
      </c>
      <c r="B59" s="625" t="n"/>
      <c r="C59" s="625" t="n"/>
      <c r="D59" s="641" t="n"/>
      <c r="N59" s="366" t="n">
        <v>0</v>
      </c>
      <c r="O59" s="366" t="n">
        <v>0</v>
      </c>
      <c r="P59" s="366" t="n">
        <v>0</v>
      </c>
      <c r="Q59" s="366" t="n">
        <v>0</v>
      </c>
      <c r="R59" s="366" t="n">
        <v>30</v>
      </c>
      <c r="S59" s="366" t="n">
        <v>30</v>
      </c>
      <c r="T59" s="366" t="n">
        <v>30</v>
      </c>
      <c r="U59" s="366" t="n">
        <v>30</v>
      </c>
      <c r="V59" s="366" t="n">
        <v>60</v>
      </c>
      <c r="W59" s="366" t="n">
        <v>60</v>
      </c>
      <c r="X59" s="366" t="n">
        <v>60</v>
      </c>
      <c r="Y59" s="366" t="n">
        <v>60</v>
      </c>
      <c r="Z59" s="366" t="n">
        <v>45</v>
      </c>
    </row>
    <row r="60">
      <c r="A60" s="645" t="inlineStr">
        <is>
          <t>HIDRATANTE CEREJA DE FASES</t>
        </is>
      </c>
      <c r="B60" s="625" t="n"/>
      <c r="C60" s="625" t="n"/>
      <c r="D60" s="641" t="n"/>
      <c r="N60" s="366" t="n">
        <v>0</v>
      </c>
      <c r="O60" s="366" t="n">
        <v>0</v>
      </c>
      <c r="P60" s="366" t="n">
        <v>0</v>
      </c>
      <c r="Q60" s="366" t="n">
        <v>0</v>
      </c>
      <c r="R60" s="366" t="n">
        <v>0</v>
      </c>
      <c r="S60" s="366" t="n">
        <v>38</v>
      </c>
      <c r="T60" s="366" t="n">
        <v>38</v>
      </c>
      <c r="U60" s="366" t="n">
        <v>38</v>
      </c>
      <c r="V60" s="366" t="n">
        <v>30</v>
      </c>
      <c r="W60" s="366" t="n">
        <v>30</v>
      </c>
      <c r="X60" s="366" t="n">
        <v>30</v>
      </c>
      <c r="Y60" s="366" t="n">
        <v>30</v>
      </c>
      <c r="Z60" s="366" t="n">
        <v>22</v>
      </c>
    </row>
    <row r="61" hidden="1">
      <c r="A61" s="450" t="inlineStr">
        <is>
          <t xml:space="preserve">SERUM ACIDO HIALURONICO </t>
        </is>
      </c>
      <c r="B61" s="451" t="n"/>
      <c r="C61" s="451" t="n"/>
      <c r="D61" s="452" t="n"/>
      <c r="N61" s="366" t="n">
        <v>0</v>
      </c>
      <c r="O61" s="366" t="n">
        <v>0</v>
      </c>
      <c r="P61" s="366" t="n">
        <v>0</v>
      </c>
      <c r="Q61" s="366" t="n">
        <v>0</v>
      </c>
      <c r="R61" s="366" t="n">
        <v>0</v>
      </c>
      <c r="S61" s="366" t="n">
        <v>0</v>
      </c>
      <c r="T61" s="366" t="n">
        <v>29</v>
      </c>
      <c r="U61" s="366" t="n">
        <v>29</v>
      </c>
      <c r="V61" s="366" t="n">
        <v>0</v>
      </c>
      <c r="W61" s="366" t="n">
        <v>0</v>
      </c>
      <c r="X61" s="366" t="n">
        <v>0</v>
      </c>
      <c r="Y61" s="366" t="n">
        <v>0</v>
      </c>
      <c r="Z61" s="366" t="n"/>
    </row>
    <row r="62">
      <c r="A62" s="450" t="inlineStr">
        <is>
          <t xml:space="preserve"> ARABIAN OASIS FEM.</t>
        </is>
      </c>
      <c r="B62" s="451" t="n"/>
      <c r="C62" s="451" t="n"/>
      <c r="D62" s="452" t="n"/>
      <c r="N62" s="366" t="n"/>
      <c r="O62" s="366" t="n"/>
      <c r="P62" s="366" t="n"/>
      <c r="Q62" s="366" t="n"/>
      <c r="R62" s="366" t="n">
        <v>0</v>
      </c>
      <c r="S62" s="366" t="n">
        <v>0</v>
      </c>
      <c r="T62" s="366" t="n">
        <v>0</v>
      </c>
      <c r="U62" s="366" t="n">
        <v>0</v>
      </c>
      <c r="V62" s="366" t="n">
        <v>0</v>
      </c>
      <c r="W62" s="366" t="n">
        <v>60</v>
      </c>
      <c r="X62" s="366" t="n">
        <v>51</v>
      </c>
      <c r="Y62" s="366" t="n">
        <v>42</v>
      </c>
      <c r="Z62" s="366" t="n">
        <v>12</v>
      </c>
    </row>
    <row r="63">
      <c r="A63" s="450" t="inlineStr">
        <is>
          <t>ARABIAN OASIS MASC.</t>
        </is>
      </c>
      <c r="B63" s="451" t="n"/>
      <c r="C63" s="451" t="n"/>
      <c r="D63" s="452" t="n"/>
      <c r="R63" s="366" t="n">
        <v>0</v>
      </c>
      <c r="S63" s="366" t="n">
        <v>0</v>
      </c>
      <c r="T63" s="366" t="n">
        <v>0</v>
      </c>
      <c r="U63" s="366" t="n">
        <v>0</v>
      </c>
      <c r="V63" s="366" t="n">
        <v>0</v>
      </c>
      <c r="W63" s="366" t="n">
        <v>65</v>
      </c>
      <c r="X63" s="366" t="n">
        <v>50</v>
      </c>
      <c r="Y63" s="366" t="n">
        <v>39</v>
      </c>
      <c r="Z63" s="366" t="n">
        <v>20</v>
      </c>
    </row>
    <row r="64">
      <c r="A64" s="645" t="n"/>
      <c r="B64" s="625" t="n"/>
      <c r="C64" s="625" t="n"/>
      <c r="D64" s="641" t="n"/>
      <c r="R64" s="366" t="n"/>
      <c r="S64" s="366" t="n"/>
      <c r="T64" s="366" t="n"/>
      <c r="U64" s="366" t="n"/>
      <c r="V64" s="366" t="n"/>
      <c r="W64" s="366" t="n"/>
      <c r="X64" s="366" t="n"/>
      <c r="Y64" s="366" t="n"/>
      <c r="Z64" s="366" t="n"/>
    </row>
  </sheetData>
  <mergeCells count="28">
    <mergeCell ref="BA7:BI7"/>
    <mergeCell ref="A53:D53"/>
    <mergeCell ref="A52:D52"/>
    <mergeCell ref="A44:D44"/>
    <mergeCell ref="A42:C42"/>
    <mergeCell ref="A58:D58"/>
    <mergeCell ref="A48:D48"/>
    <mergeCell ref="A64:D64"/>
    <mergeCell ref="A59:D59"/>
    <mergeCell ref="A51:D51"/>
    <mergeCell ref="A49:D49"/>
    <mergeCell ref="A60:D60"/>
    <mergeCell ref="A5:A6"/>
    <mergeCell ref="A45:D45"/>
    <mergeCell ref="A54:D54"/>
    <mergeCell ref="A1:AB1"/>
    <mergeCell ref="A39:C39"/>
    <mergeCell ref="A46:D46"/>
    <mergeCell ref="B5:B6"/>
    <mergeCell ref="D5:D6"/>
    <mergeCell ref="B3:D3"/>
    <mergeCell ref="A56:D56"/>
    <mergeCell ref="A50:D50"/>
    <mergeCell ref="A55:D55"/>
    <mergeCell ref="A57:D57"/>
    <mergeCell ref="A47:D47"/>
    <mergeCell ref="B2:D2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64" fitToHeight="0"/>
</worksheet>
</file>

<file path=xl/worksheets/sheet9.xml><?xml version="1.0" encoding="utf-8"?>
<worksheet xmlns="http://schemas.openxmlformats.org/spreadsheetml/2006/main">
  <sheetPr codeName="Planilha43">
    <tabColor theme="9"/>
    <outlinePr summaryBelow="1" summaryRight="1"/>
    <pageSetUpPr/>
  </sheetPr>
  <dimension ref="A1:EV57"/>
  <sheetViews>
    <sheetView showGridLines="0" zoomScale="80" zoomScaleNormal="80" workbookViewId="0">
      <selection activeCell="AG35" sqref="AG35"/>
    </sheetView>
  </sheetViews>
  <sheetFormatPr baseColWidth="8" defaultColWidth="9.140625" defaultRowHeight="18.75"/>
  <cols>
    <col width="29.5703125" customWidth="1" min="1" max="1"/>
    <col width="9.42578125" customWidth="1" min="2" max="2"/>
    <col width="16.42578125" customWidth="1" min="3" max="3"/>
    <col width="14.42578125" customWidth="1" min="4" max="4"/>
    <col width="1.85546875" customWidth="1" min="5" max="5"/>
    <col hidden="1" width="8.42578125" customWidth="1" min="6" max="6"/>
    <col hidden="1" width="13" customWidth="1" min="7" max="7"/>
    <col hidden="1" width="13" customWidth="1" min="8" max="8"/>
    <col hidden="1" width="13" customWidth="1" min="9" max="9"/>
    <col hidden="1" width="13" customWidth="1" min="10" max="10"/>
    <col hidden="1" width="13" customWidth="1" min="11" max="11"/>
    <col hidden="1" width="13" customWidth="1" min="12" max="12"/>
    <col hidden="1" width="13" customWidth="1" min="13" max="13"/>
    <col hidden="1" width="13" customWidth="1" min="14" max="14"/>
    <col hidden="1" width="1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8.42578125" customWidth="1" min="26" max="26"/>
    <col hidden="1" width="13" customWidth="1" min="27" max="27"/>
    <col hidden="1" width="13" customWidth="1" min="28" max="28"/>
    <col width="13" customWidth="1" min="29" max="29"/>
    <col width="13" customWidth="1" min="30" max="30"/>
    <col width="7.85546875" customWidth="1" min="31" max="31"/>
    <col width="2" customWidth="1" min="32" max="32"/>
    <col width="18.42578125" customWidth="1" min="33" max="33"/>
    <col hidden="1" width="17.42578125" customWidth="1" min="34" max="34"/>
    <col width="1.7109375" customWidth="1" min="35" max="35"/>
    <col width="15.85546875" customWidth="1" min="36" max="36"/>
    <col width="2.5703125" customWidth="1" min="37" max="37"/>
    <col width="8.7109375" customWidth="1" min="38" max="38"/>
    <col width="13" customWidth="1" min="39" max="39"/>
    <col width="13" customWidth="1" min="40" max="40"/>
    <col hidden="1" width="13" customWidth="1" min="41" max="41"/>
    <col hidden="1" width="13" customWidth="1" min="42" max="42"/>
    <col hidden="1" width="13" customWidth="1" min="43" max="43"/>
    <col hidden="1" width="13" customWidth="1" min="44" max="44"/>
    <col hidden="1" width="13" customWidth="1" min="45" max="45"/>
    <col hidden="1" width="8.7109375" customWidth="1" min="46" max="46"/>
    <col hidden="1" width="13" customWidth="1" min="47" max="47"/>
    <col hidden="1" width="13" customWidth="1" min="48" max="48"/>
    <col hidden="1" width="13" customWidth="1" min="49" max="49"/>
    <col hidden="1" width="13" customWidth="1" min="50" max="50"/>
    <col hidden="1" width="13" customWidth="1" min="51" max="51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width="9.140625" customWidth="1" min="56" max="56"/>
    <col width="21.85546875" customWidth="1" min="57" max="57"/>
    <col width="9.140625" customWidth="1" min="58" max="58"/>
    <col hidden="1" width="13" customWidth="1" min="59" max="59"/>
    <col hidden="1" width="13" customWidth="1" min="60" max="60"/>
    <col hidden="1" width="13" customWidth="1" min="61" max="61"/>
    <col hidden="1" width="13" customWidth="1" min="62" max="62"/>
    <col hidden="1" width="13" customWidth="1" min="63" max="63"/>
    <col hidden="1" width="9.140625" customWidth="1" min="64" max="64"/>
    <col hidden="1" width="13" customWidth="1" min="65" max="65"/>
    <col hidden="1" width="13" customWidth="1" min="66" max="66"/>
    <col width="13" customWidth="1" min="67" max="67"/>
    <col width="13" customWidth="1" min="68" max="68"/>
  </cols>
  <sheetData>
    <row r="1" ht="23.25" customHeight="1">
      <c r="A1" s="477" t="inlineStr">
        <is>
          <t>Controle de Contagem Semanal - Antilhas</t>
        </is>
      </c>
      <c r="AF1" s="477" t="n"/>
      <c r="AG1" s="361" t="n"/>
      <c r="AH1" s="361" t="n"/>
      <c r="AI1" s="361" t="n"/>
      <c r="AJ1" s="361" t="n"/>
      <c r="AK1" s="361" t="n"/>
      <c r="AL1" s="361" t="n"/>
      <c r="AM1" s="361" t="n"/>
      <c r="AN1" s="361" t="n"/>
      <c r="AO1" s="361" t="n"/>
      <c r="AP1" s="361" t="n"/>
      <c r="AQ1" s="361" t="n"/>
      <c r="AR1" s="361" t="n"/>
      <c r="AS1" s="361" t="n"/>
      <c r="AT1" s="361" t="n"/>
      <c r="AU1" s="361" t="n"/>
      <c r="AV1" s="361" t="n"/>
      <c r="AW1" s="361" t="n"/>
      <c r="AX1" s="361" t="n"/>
      <c r="AY1" s="361" t="n"/>
      <c r="AZ1" s="361" t="n"/>
      <c r="BA1" s="361" t="n"/>
      <c r="BB1" s="361" t="n"/>
      <c r="BC1" s="361" t="n"/>
    </row>
    <row r="2">
      <c r="A2" s="63" t="inlineStr">
        <is>
          <t>LOJA:</t>
        </is>
      </c>
      <c r="B2" s="604" t="inlineStr">
        <is>
          <t>BARRA BONITA</t>
        </is>
      </c>
      <c r="C2" s="605" t="n"/>
      <c r="D2" s="606" t="n"/>
      <c r="AG2" s="11" t="n"/>
      <c r="AH2" s="11" t="n"/>
      <c r="AJ2" s="11" t="n"/>
    </row>
    <row r="3">
      <c r="A3" s="63" t="inlineStr">
        <is>
          <t>Responsável:</t>
        </is>
      </c>
      <c r="B3" s="607" t="inlineStr">
        <is>
          <t>CAROLINE</t>
        </is>
      </c>
      <c r="C3" s="605" t="n"/>
      <c r="D3" s="606" t="n"/>
      <c r="E3" s="608" t="n"/>
      <c r="F3" s="608" t="n"/>
      <c r="G3" s="608" t="n"/>
      <c r="H3" s="608" t="n"/>
      <c r="I3" s="608" t="n"/>
      <c r="J3" s="608" t="n"/>
      <c r="K3" s="608" t="n"/>
      <c r="L3" s="608" t="n"/>
      <c r="M3" s="608" t="n"/>
      <c r="N3" s="608" t="n"/>
      <c r="O3" s="608" t="n"/>
      <c r="P3" s="608" t="n"/>
      <c r="Q3" s="608" t="n"/>
      <c r="R3" s="608" t="n"/>
      <c r="S3" s="608" t="n"/>
      <c r="T3" s="608" t="n"/>
      <c r="U3" s="608" t="n"/>
      <c r="V3" s="608" t="n"/>
      <c r="W3" s="608" t="n"/>
      <c r="X3" s="608" t="n"/>
      <c r="Y3" s="608" t="n"/>
      <c r="Z3" s="608" t="n"/>
      <c r="AA3" s="608" t="n"/>
      <c r="AB3" s="609" t="n"/>
      <c r="AC3" s="609" t="n"/>
      <c r="AD3" s="609" t="n"/>
      <c r="AE3" s="608" t="n"/>
      <c r="AF3" s="608" t="n"/>
      <c r="AG3" s="11" t="n"/>
      <c r="AH3" s="11" t="n"/>
      <c r="AI3" s="608" t="n"/>
    </row>
    <row r="4">
      <c r="AJ4" s="11" t="n"/>
      <c r="AK4" s="158" t="n"/>
      <c r="AL4" s="395" t="n"/>
      <c r="AM4" s="395" t="n"/>
      <c r="AN4" s="395" t="n"/>
      <c r="AO4" s="395" t="n"/>
      <c r="AP4" s="395" t="n"/>
      <c r="AQ4" s="395" t="n"/>
      <c r="AR4" s="395" t="n"/>
      <c r="AS4" s="395" t="n"/>
      <c r="AT4" s="395" t="n"/>
      <c r="AU4" s="395" t="n"/>
      <c r="AV4" s="395" t="n"/>
      <c r="AW4" s="395" t="n"/>
      <c r="AX4" s="395" t="n"/>
      <c r="AY4" s="395" t="n"/>
      <c r="AZ4" s="395" t="n"/>
      <c r="BA4" s="395" t="n"/>
      <c r="BB4" s="395" t="n"/>
      <c r="BC4" s="395" t="n"/>
    </row>
    <row r="5" ht="18.75" customHeight="1">
      <c r="A5" s="610" t="inlineStr">
        <is>
          <t>Descrição</t>
        </is>
      </c>
      <c r="B5" s="611" t="inlineStr">
        <is>
          <t>PCT</t>
        </is>
      </c>
      <c r="C5" s="611" t="inlineStr">
        <is>
          <t xml:space="preserve">R$ </t>
        </is>
      </c>
      <c r="D5" s="612" t="inlineStr">
        <is>
          <t>Estoque Ideal</t>
        </is>
      </c>
      <c r="F5" s="40" t="n"/>
      <c r="G5" s="40" t="n"/>
      <c r="H5" s="40" t="n"/>
      <c r="I5" s="40" t="n"/>
      <c r="J5" s="40" t="n"/>
      <c r="K5" s="40" t="n"/>
      <c r="L5" s="40" t="n"/>
      <c r="M5" s="40" t="n"/>
      <c r="N5" s="40" t="n"/>
      <c r="O5" s="40" t="n"/>
      <c r="P5" s="40" t="n"/>
      <c r="Q5" s="40" t="n"/>
      <c r="R5" s="40" t="n"/>
      <c r="S5" s="40" t="n"/>
      <c r="T5" s="40" t="n"/>
      <c r="U5" s="40" t="n"/>
      <c r="V5" s="40" t="n"/>
      <c r="W5" s="40" t="n"/>
      <c r="X5" s="40" t="n"/>
      <c r="Y5" s="40" t="n"/>
      <c r="Z5" s="40" t="n"/>
      <c r="AA5" s="40" t="n"/>
      <c r="AB5" s="40" t="n"/>
      <c r="AC5" s="40" t="n"/>
      <c r="AD5" s="40" t="n"/>
      <c r="AE5" s="40" t="n"/>
      <c r="AG5" s="29" t="inlineStr">
        <is>
          <t>Pendências</t>
        </is>
      </c>
      <c r="AH5" s="29" t="inlineStr">
        <is>
          <t>Pendências</t>
        </is>
      </c>
      <c r="AJ5" s="9" t="inlineStr">
        <is>
          <t>Novo Pedido</t>
        </is>
      </c>
      <c r="AK5" s="613" t="n">
        <v>46161.48295690758</v>
      </c>
      <c r="AL5" s="614" t="n"/>
      <c r="AM5" s="614" t="n">
        <v>46142</v>
      </c>
      <c r="AN5" s="614" t="n">
        <v>46114</v>
      </c>
      <c r="AO5" s="614" t="n">
        <v>46107</v>
      </c>
      <c r="AP5" s="614" t="n">
        <v>46099</v>
      </c>
      <c r="AQ5" s="616" t="n">
        <v>46065</v>
      </c>
      <c r="AR5" s="614" t="n">
        <v>46092</v>
      </c>
      <c r="AS5" s="614" t="n">
        <v>46084</v>
      </c>
      <c r="AT5" s="614" t="n">
        <v>46071</v>
      </c>
      <c r="AU5" s="614" t="n">
        <v>46056</v>
      </c>
      <c r="AV5" s="614" t="n">
        <v>46048</v>
      </c>
      <c r="AW5" s="614" t="n">
        <v>46043</v>
      </c>
      <c r="AX5" s="614" t="n">
        <v>46035</v>
      </c>
      <c r="AY5" s="614" t="n">
        <v>46024</v>
      </c>
      <c r="AZ5" s="614" t="n">
        <v>46017</v>
      </c>
      <c r="BA5" s="614" t="n">
        <v>46007</v>
      </c>
      <c r="BB5" s="614" t="n">
        <v>46001</v>
      </c>
      <c r="BC5" s="614" t="n">
        <v>45994</v>
      </c>
    </row>
    <row r="6" customFormat="1" s="3">
      <c r="A6" s="618" t="n"/>
      <c r="B6" s="618" t="n"/>
      <c r="C6" s="618" t="n"/>
      <c r="D6" s="618" t="n"/>
      <c r="E6" s="30" t="n"/>
      <c r="F6" s="619" t="n">
        <v>46013</v>
      </c>
      <c r="G6" s="619" t="n">
        <v>46020</v>
      </c>
      <c r="H6" s="619" t="n">
        <v>46027</v>
      </c>
      <c r="I6" s="619" t="n">
        <v>46034</v>
      </c>
      <c r="J6" s="619" t="n">
        <v>46041</v>
      </c>
      <c r="K6" s="619" t="n">
        <v>46048</v>
      </c>
      <c r="L6" s="619" t="n">
        <v>46055</v>
      </c>
      <c r="M6" s="619" t="n">
        <v>46062</v>
      </c>
      <c r="N6" s="619" t="n">
        <v>46069</v>
      </c>
      <c r="O6" s="619" t="n">
        <v>46076</v>
      </c>
      <c r="P6" s="619" t="n">
        <v>46083</v>
      </c>
      <c r="Q6" s="619" t="n">
        <v>46090</v>
      </c>
      <c r="R6" s="619" t="n">
        <v>46097</v>
      </c>
      <c r="S6" s="619" t="n">
        <v>46104</v>
      </c>
      <c r="T6" s="619" t="n">
        <v>46111</v>
      </c>
      <c r="U6" s="619" t="n">
        <v>46118</v>
      </c>
      <c r="V6" s="619" t="n">
        <v>46125</v>
      </c>
      <c r="W6" s="619" t="n">
        <v>46132</v>
      </c>
      <c r="X6" s="619" t="n">
        <v>46139</v>
      </c>
      <c r="Y6" s="619" t="n">
        <v>46146</v>
      </c>
      <c r="Z6" s="619" t="n">
        <v>46154</v>
      </c>
      <c r="AA6" s="619" t="n">
        <v>46160</v>
      </c>
      <c r="AB6" s="620" t="n">
        <v>46161.48012625</v>
      </c>
      <c r="AC6" s="620" t="n">
        <v>46161.48079984954</v>
      </c>
      <c r="AD6" s="620" t="n">
        <v>46161.48295749915</v>
      </c>
      <c r="AE6" s="621" t="inlineStr">
        <is>
          <t>USOU</t>
        </is>
      </c>
      <c r="AF6" s="30" t="n"/>
      <c r="AG6" s="622" t="n">
        <v>46142</v>
      </c>
      <c r="AH6" s="622" t="n">
        <v>45965</v>
      </c>
      <c r="AI6" s="623" t="n"/>
      <c r="AJ6" s="624" t="n"/>
      <c r="AK6" s="613" t="n">
        <v>46161.48295690786</v>
      </c>
      <c r="AL6" s="614" t="n"/>
      <c r="AM6" s="614" t="n">
        <v>46153</v>
      </c>
      <c r="AN6" s="614" t="n">
        <v>46125</v>
      </c>
      <c r="AO6" s="614" t="n">
        <v>46113</v>
      </c>
      <c r="AP6" s="614" t="n">
        <v>46106</v>
      </c>
      <c r="AQ6" s="616" t="n">
        <v>46107</v>
      </c>
      <c r="AR6" s="614" t="n">
        <v>46099</v>
      </c>
      <c r="AS6" s="614" t="n">
        <v>46092</v>
      </c>
      <c r="AT6" s="614" t="n">
        <v>46078</v>
      </c>
      <c r="AU6" s="614" t="n">
        <v>46062</v>
      </c>
      <c r="AV6" s="614" t="n">
        <v>46055</v>
      </c>
      <c r="AW6" s="614" t="n">
        <v>46055</v>
      </c>
      <c r="AX6" s="614" t="n">
        <v>46038</v>
      </c>
      <c r="AY6" s="614" t="n">
        <v>46031</v>
      </c>
      <c r="AZ6" s="614" t="n">
        <v>46029</v>
      </c>
      <c r="BA6" s="614" t="n">
        <v>46013</v>
      </c>
      <c r="BB6" s="614" t="n">
        <v>45978</v>
      </c>
      <c r="BC6" s="614" t="n">
        <v>45999</v>
      </c>
      <c r="BE6" s="11" t="n"/>
      <c r="BF6" s="11" t="n"/>
      <c r="BG6" s="11" t="n"/>
      <c r="BH6" s="11" t="n"/>
      <c r="BI6" s="11" t="n"/>
      <c r="BJ6" s="11" t="n"/>
      <c r="BK6" s="11" t="n"/>
      <c r="BL6" s="11" t="n"/>
      <c r="BM6" s="11" t="n"/>
      <c r="BN6" s="11" t="n"/>
      <c r="BO6" s="11" t="n"/>
      <c r="BP6" s="11" t="n"/>
      <c r="BQ6" s="11" t="n"/>
    </row>
    <row r="7" ht="21.75" customFormat="1" customHeight="1" s="3">
      <c r="A7" s="68" t="inlineStr">
        <is>
          <t xml:space="preserve">SACOLAS </t>
        </is>
      </c>
      <c r="B7" s="5" t="n"/>
      <c r="C7" s="5" t="n"/>
      <c r="D7" s="239" t="n"/>
      <c r="E7" s="11" t="n"/>
      <c r="F7" s="12" t="n"/>
      <c r="G7" s="12" t="n"/>
      <c r="H7" s="12" t="n"/>
      <c r="I7" s="12" t="n"/>
      <c r="J7" s="12" t="n"/>
      <c r="K7" s="12" t="n"/>
      <c r="L7" s="12" t="n"/>
      <c r="M7" s="12" t="n"/>
      <c r="N7" s="12" t="n"/>
      <c r="O7" s="12" t="n"/>
      <c r="P7" s="12" t="n"/>
      <c r="Q7" s="12" t="n"/>
      <c r="R7" s="12" t="n"/>
      <c r="S7" s="12" t="n"/>
      <c r="T7" s="12" t="n"/>
      <c r="U7" s="12" t="n"/>
      <c r="V7" s="12" t="n"/>
      <c r="W7" s="12" t="n"/>
      <c r="X7" s="12" t="n"/>
      <c r="Y7" s="12" t="n"/>
      <c r="Z7" s="12" t="n"/>
      <c r="AA7" s="12" t="n"/>
      <c r="AB7" s="12" t="n"/>
      <c r="AC7" s="12" t="n"/>
      <c r="AD7" s="12" t="n"/>
      <c r="AE7" s="12" t="n"/>
      <c r="AF7" s="11" t="n"/>
      <c r="AG7" s="389" t="inlineStr">
        <is>
          <t>FALTOU FÍSICO</t>
        </is>
      </c>
      <c r="AH7" s="85" t="inlineStr">
        <is>
          <t>FALTOU FÍSICO</t>
        </is>
      </c>
      <c r="AI7" s="11" t="n"/>
      <c r="AJ7" s="12" t="n"/>
      <c r="AK7" s="12" t="n"/>
      <c r="AL7" s="12" t="n"/>
      <c r="AM7" s="12" t="n"/>
      <c r="AN7" s="12" t="n"/>
      <c r="AO7" s="12" t="n"/>
      <c r="AP7" s="12" t="n"/>
      <c r="AQ7" s="12" t="inlineStr">
        <is>
          <t>MÃES</t>
        </is>
      </c>
      <c r="AR7" s="12" t="n"/>
      <c r="AS7" s="12" t="n"/>
      <c r="AT7" s="12" t="n"/>
      <c r="AU7" s="12" t="n"/>
      <c r="AV7" s="12" t="n"/>
      <c r="AW7" s="12" t="n"/>
      <c r="AX7" s="12" t="n"/>
      <c r="AY7" s="12" t="n"/>
      <c r="AZ7" s="12" t="n"/>
      <c r="BA7" s="12" t="n"/>
      <c r="BB7" s="12" t="n"/>
      <c r="BC7" s="12" t="n"/>
      <c r="BD7" s="625" t="n"/>
      <c r="BE7" s="625" t="n"/>
      <c r="BF7" s="625" t="n"/>
      <c r="BG7" s="625" t="n"/>
      <c r="BH7" s="625" t="n"/>
      <c r="BI7" s="625" t="n"/>
      <c r="BJ7" s="625" t="n"/>
      <c r="BK7" s="641" t="n"/>
      <c r="BL7" s="652" t="n"/>
      <c r="BM7" s="625" t="n"/>
      <c r="BN7" s="626" t="n"/>
      <c r="BO7" s="626" t="n"/>
      <c r="BP7" s="626" t="n"/>
      <c r="BQ7" s="476" t="n"/>
    </row>
    <row r="8" customFormat="1" s="3">
      <c r="A8" s="21" t="inlineStr">
        <is>
          <t>SACOLA PP VERDE</t>
        </is>
      </c>
      <c r="B8" s="6" t="n">
        <v>300</v>
      </c>
      <c r="C8" s="627" t="n">
        <v>187.12</v>
      </c>
      <c r="D8" s="240" t="n">
        <v>300</v>
      </c>
      <c r="E8" s="11" t="n"/>
      <c r="F8" s="39">
        <f>440+AX8</f>
        <v/>
      </c>
      <c r="G8" s="39" t="n">
        <v>600</v>
      </c>
      <c r="H8" s="39" t="n">
        <v>600</v>
      </c>
      <c r="I8" s="39" t="n">
        <v>520</v>
      </c>
      <c r="J8" s="39" t="n">
        <v>500</v>
      </c>
      <c r="K8" s="39" t="n">
        <v>440</v>
      </c>
      <c r="L8" s="39" t="n">
        <v>380</v>
      </c>
      <c r="M8" s="39">
        <f>320+AR8</f>
        <v/>
      </c>
      <c r="N8" s="39" t="n">
        <v>580</v>
      </c>
      <c r="O8" s="39" t="n">
        <v>480</v>
      </c>
      <c r="P8" s="39" t="n">
        <v>420</v>
      </c>
      <c r="Q8" s="39" t="n">
        <v>360</v>
      </c>
      <c r="R8" s="39">
        <f>300+AO8</f>
        <v/>
      </c>
      <c r="S8" s="39" t="n">
        <v>220</v>
      </c>
      <c r="T8" s="39">
        <f>160+AL8</f>
        <v/>
      </c>
      <c r="U8" s="39" t="n">
        <v>700</v>
      </c>
      <c r="V8" s="39" t="n">
        <v>620</v>
      </c>
      <c r="W8" s="39" t="n">
        <v>480</v>
      </c>
      <c r="X8" s="39" t="n">
        <v>400</v>
      </c>
      <c r="Y8" s="39">
        <f>360+AJ8</f>
        <v/>
      </c>
      <c r="Z8" s="39">
        <f>320+AJ8</f>
        <v/>
      </c>
      <c r="AA8" s="39" t="n"/>
      <c r="AB8" s="6" t="n"/>
      <c r="AC8" s="6" t="n"/>
      <c r="AD8" s="6" t="n"/>
      <c r="AE8" s="380">
        <f>AC8+IF(NOT(ISBLANK(OFFSET(AE8,0,6))),N(OFFSET(AE8,0,6)),N(OFFSET(AE8,0,7)))-AD8</f>
        <v/>
      </c>
      <c r="AF8" s="11" t="n"/>
      <c r="AG8" s="78" t="n"/>
      <c r="AH8" s="78" t="n"/>
      <c r="AI8" s="11" t="n"/>
      <c r="AJ8" s="32" t="n"/>
      <c r="AK8" s="628" t="n">
        <v>0</v>
      </c>
      <c r="AL8" s="19" t="n">
        <v>0</v>
      </c>
      <c r="AM8" s="19" t="n">
        <v>300</v>
      </c>
      <c r="AN8" s="19" t="n"/>
      <c r="AO8" s="19" t="n">
        <v>300</v>
      </c>
      <c r="AP8" s="19" t="n"/>
      <c r="AQ8" s="19" t="n"/>
      <c r="AR8" s="19" t="n">
        <v>300</v>
      </c>
      <c r="AS8" s="19" t="n"/>
      <c r="AT8" s="19" t="n"/>
      <c r="AU8" s="19" t="n">
        <v>300</v>
      </c>
      <c r="AV8" s="19" t="n"/>
      <c r="AW8" s="19" t="n"/>
      <c r="AX8" s="19" t="n"/>
      <c r="AY8" s="19" t="n"/>
      <c r="AZ8" s="19" t="n"/>
      <c r="BA8" s="19" t="n">
        <v>300</v>
      </c>
      <c r="BB8" s="19" t="n">
        <v>300</v>
      </c>
      <c r="BC8" s="19" t="n">
        <v>300</v>
      </c>
      <c r="BE8" s="397" t="inlineStr">
        <is>
          <t xml:space="preserve">SACOLAS </t>
        </is>
      </c>
      <c r="BF8" s="384" t="inlineStr">
        <is>
          <t>PCT</t>
        </is>
      </c>
      <c r="BG8" s="619" t="n">
        <v>46118</v>
      </c>
      <c r="BH8" s="619" t="n">
        <v>46125</v>
      </c>
      <c r="BI8" s="619" t="n">
        <v>46132</v>
      </c>
      <c r="BJ8" s="619" t="n">
        <v>46139</v>
      </c>
      <c r="BK8" s="619" t="n">
        <v>46146</v>
      </c>
      <c r="BL8" s="619" t="n">
        <v>46154</v>
      </c>
      <c r="BM8" s="619" t="n">
        <v>46160</v>
      </c>
      <c r="BN8" s="620" t="n">
        <v>46161.48012586805</v>
      </c>
      <c r="BO8" s="620" t="n">
        <v>46161.48079945602</v>
      </c>
      <c r="BP8" s="620" t="n">
        <v>46161.48295716124</v>
      </c>
      <c r="BQ8" s="621" t="inlineStr">
        <is>
          <t>USOU</t>
        </is>
      </c>
    </row>
    <row r="9" ht="18.75" customFormat="1" customHeight="1" s="3">
      <c r="A9" s="21" t="inlineStr">
        <is>
          <t xml:space="preserve">SACOLA P VERDE </t>
        </is>
      </c>
      <c r="B9" s="6" t="n">
        <v>200</v>
      </c>
      <c r="C9" s="627" t="n">
        <v>193.08</v>
      </c>
      <c r="D9" s="240" t="n">
        <v>700</v>
      </c>
      <c r="E9" s="11" t="n"/>
      <c r="F9" s="39">
        <f>180+AX9</f>
        <v/>
      </c>
      <c r="G9" s="39" t="n">
        <v>320</v>
      </c>
      <c r="H9" s="39" t="n">
        <v>100</v>
      </c>
      <c r="I9" s="39" t="n">
        <v>920</v>
      </c>
      <c r="J9" s="39" t="n">
        <v>980</v>
      </c>
      <c r="K9" s="39" t="n">
        <v>740</v>
      </c>
      <c r="L9" s="39" t="n">
        <v>980</v>
      </c>
      <c r="M9" s="39">
        <f>800+AR9</f>
        <v/>
      </c>
      <c r="N9" s="39" t="n">
        <v>760</v>
      </c>
      <c r="O9" s="39" t="n">
        <v>620</v>
      </c>
      <c r="P9" s="39" t="n">
        <v>620</v>
      </c>
      <c r="Q9" s="39">
        <f>400+AP9</f>
        <v/>
      </c>
      <c r="R9" s="39" t="n">
        <v>560</v>
      </c>
      <c r="S9" s="39">
        <f>420+AM9</f>
        <v/>
      </c>
      <c r="T9" s="39" t="n">
        <v>400</v>
      </c>
      <c r="U9" s="39" t="n">
        <v>240</v>
      </c>
      <c r="V9" s="39">
        <f>100+AH9</f>
        <v/>
      </c>
      <c r="W9" s="39" t="n">
        <v>500</v>
      </c>
      <c r="X9" s="39" t="n">
        <v>500</v>
      </c>
      <c r="Y9" s="39">
        <f>480+AJ9</f>
        <v/>
      </c>
      <c r="Z9" s="39">
        <f>480+AJ9</f>
        <v/>
      </c>
      <c r="AA9" s="39" t="n"/>
      <c r="AB9" s="6" t="n"/>
      <c r="AC9" s="6" t="n"/>
      <c r="AD9" s="6" t="n"/>
      <c r="AE9" s="380">
        <f>AC9+IF(NOT(ISBLANK(OFFSET(AE9,0,6))),N(OFFSET(AE9,0,6)),N(OFFSET(AE9,0,7)))-AD9</f>
        <v/>
      </c>
      <c r="AF9" s="11" t="n"/>
      <c r="AG9" s="78" t="n">
        <v>200</v>
      </c>
      <c r="AH9" s="78" t="n"/>
      <c r="AI9" s="11" t="n"/>
      <c r="AJ9" s="32" t="n"/>
      <c r="AK9" s="629" t="n">
        <v>0</v>
      </c>
      <c r="AL9" s="304" t="n">
        <v>0</v>
      </c>
      <c r="AM9" s="304" t="n">
        <v>200</v>
      </c>
      <c r="AN9" s="19" t="n">
        <v>400</v>
      </c>
      <c r="AO9" s="19" t="n"/>
      <c r="AP9" s="19" t="n">
        <v>200</v>
      </c>
      <c r="AQ9" s="119" t="n">
        <v>1400</v>
      </c>
      <c r="AR9" s="19" t="n"/>
      <c r="AS9" s="19" t="n">
        <v>400</v>
      </c>
      <c r="AT9" s="19" t="n">
        <v>200</v>
      </c>
      <c r="AU9" s="19" t="n">
        <v>200</v>
      </c>
      <c r="AV9" s="19" t="n">
        <v>400</v>
      </c>
      <c r="AW9" s="19" t="n"/>
      <c r="AX9" s="19" t="n">
        <v>200</v>
      </c>
      <c r="AY9" s="19" t="n">
        <v>200</v>
      </c>
      <c r="AZ9" s="19" t="n">
        <v>800</v>
      </c>
      <c r="BA9" s="19" t="n">
        <v>800</v>
      </c>
      <c r="BB9" s="19" t="n">
        <v>400</v>
      </c>
      <c r="BC9" s="19" t="n"/>
      <c r="BE9" s="372" t="inlineStr">
        <is>
          <t xml:space="preserve">SACOLA P </t>
        </is>
      </c>
      <c r="BF9" s="139" t="n">
        <v>200</v>
      </c>
      <c r="BG9" s="39">
        <f>AN9</f>
        <v/>
      </c>
      <c r="BH9" s="39" t="n">
        <v>1380</v>
      </c>
      <c r="BI9" s="39" t="n">
        <v>1220</v>
      </c>
      <c r="BJ9" s="39" t="n">
        <v>1040</v>
      </c>
      <c r="BK9" s="39" t="n">
        <v>840</v>
      </c>
      <c r="BL9" s="39" t="n">
        <v>480</v>
      </c>
      <c r="BM9" s="39" t="n"/>
      <c r="BN9" s="6" t="n"/>
      <c r="BO9" s="6" t="n"/>
      <c r="BP9" s="6" t="n"/>
      <c r="BQ9" s="26">
        <f>BO9+IF(NOT(ISBLANK(OFFSET(BQ9,0,6))),N(OFFSET(BQ9,0,6)),N(OFFSET(BQ9,0,7)))-BP9</f>
        <v/>
      </c>
    </row>
    <row r="10" customFormat="1" s="3">
      <c r="A10" s="21" t="inlineStr">
        <is>
          <t>SACOLA M VERDE</t>
        </is>
      </c>
      <c r="B10" s="6" t="n">
        <v>200</v>
      </c>
      <c r="C10" s="627" t="n">
        <v>253.83</v>
      </c>
      <c r="D10" s="240" t="n">
        <v>350</v>
      </c>
      <c r="E10" s="11" t="n"/>
      <c r="F10" s="39">
        <f>120+AX10</f>
        <v/>
      </c>
      <c r="G10" s="39" t="n">
        <v>580</v>
      </c>
      <c r="H10" s="39" t="n">
        <v>420</v>
      </c>
      <c r="I10" s="39" t="n">
        <v>800</v>
      </c>
      <c r="J10" s="39" t="n">
        <v>800</v>
      </c>
      <c r="K10" s="39" t="n">
        <v>720</v>
      </c>
      <c r="L10" s="39" t="n">
        <v>680</v>
      </c>
      <c r="M10" s="39" t="n">
        <v>600</v>
      </c>
      <c r="N10" s="39" t="n">
        <v>500</v>
      </c>
      <c r="O10" s="39" t="n">
        <v>440</v>
      </c>
      <c r="P10" s="39" t="n">
        <v>380</v>
      </c>
      <c r="Q10" s="39" t="n">
        <v>300</v>
      </c>
      <c r="R10" s="39">
        <f>220+AO10</f>
        <v/>
      </c>
      <c r="S10" s="39" t="n">
        <v>140</v>
      </c>
      <c r="T10" s="39">
        <f>60+AL10</f>
        <v/>
      </c>
      <c r="U10" s="39" t="n">
        <v>200</v>
      </c>
      <c r="V10" s="39">
        <f>300+AH10</f>
        <v/>
      </c>
      <c r="W10" s="39" t="n">
        <v>500</v>
      </c>
      <c r="X10" s="39" t="n">
        <v>500</v>
      </c>
      <c r="Y10" s="39" t="n">
        <v>500</v>
      </c>
      <c r="Z10" s="39" t="n">
        <v>480</v>
      </c>
      <c r="AA10" s="39" t="n"/>
      <c r="AB10" s="6" t="n"/>
      <c r="AC10" s="6" t="n"/>
      <c r="AD10" s="6" t="n"/>
      <c r="AE10" s="380">
        <f>AC10+IF(NOT(ISBLANK(OFFSET(AE10,0,6))),N(OFFSET(AE10,0,6)),N(OFFSET(AE10,0,7)))-AD10</f>
        <v/>
      </c>
      <c r="AF10" s="11" t="n"/>
      <c r="AG10" s="78" t="n"/>
      <c r="AH10" s="78" t="n"/>
      <c r="AI10" s="11" t="n"/>
      <c r="AJ10" s="32" t="n"/>
      <c r="AK10" s="629" t="n">
        <v>0</v>
      </c>
      <c r="AL10" s="304" t="n">
        <v>0</v>
      </c>
      <c r="AM10" s="304" t="n">
        <v>0</v>
      </c>
      <c r="AN10" s="19" t="n">
        <v>200</v>
      </c>
      <c r="AO10" s="19" t="n">
        <v>200</v>
      </c>
      <c r="AP10" s="19" t="n"/>
      <c r="AQ10" s="119" t="n">
        <v>800</v>
      </c>
      <c r="AR10" s="19" t="n">
        <v>200</v>
      </c>
      <c r="AS10" s="19" t="n"/>
      <c r="AT10" s="19" t="n"/>
      <c r="AU10" s="19" t="n"/>
      <c r="AV10" s="19" t="n"/>
      <c r="AW10" s="19" t="n"/>
      <c r="AX10" s="19" t="n"/>
      <c r="AY10" s="19" t="n"/>
      <c r="AZ10" s="19" t="n">
        <v>400</v>
      </c>
      <c r="BA10" s="19" t="n">
        <v>600</v>
      </c>
      <c r="BB10" s="19" t="n">
        <v>200</v>
      </c>
      <c r="BC10" s="19" t="n"/>
      <c r="BE10" s="21" t="inlineStr">
        <is>
          <t xml:space="preserve">SACOLA M </t>
        </is>
      </c>
      <c r="BF10" s="6" t="n">
        <v>200</v>
      </c>
      <c r="BG10" s="39">
        <f>AN10</f>
        <v/>
      </c>
      <c r="BH10" s="39" t="n">
        <v>760</v>
      </c>
      <c r="BI10" s="39" t="n">
        <v>700</v>
      </c>
      <c r="BJ10" s="39" t="n">
        <v>540</v>
      </c>
      <c r="BK10" s="39" t="n">
        <v>440</v>
      </c>
      <c r="BL10" s="39" t="n">
        <v>0</v>
      </c>
      <c r="BM10" s="39" t="n"/>
      <c r="BN10" s="6" t="n"/>
      <c r="BO10" s="6" t="n"/>
      <c r="BP10" s="6" t="n"/>
      <c r="BQ10" s="26">
        <f>BO10+IF(NOT(ISBLANK(OFFSET(BQ10,0,6))),N(OFFSET(BQ10,0,6)),N(OFFSET(BQ10,0,7)))-BP10</f>
        <v/>
      </c>
    </row>
    <row r="11" customFormat="1" s="3">
      <c r="A11" s="22" t="inlineStr">
        <is>
          <t xml:space="preserve">SACOLA G VERDE </t>
        </is>
      </c>
      <c r="B11" s="6" t="n">
        <v>100</v>
      </c>
      <c r="C11" s="627" t="n">
        <v>184.57</v>
      </c>
      <c r="D11" s="240" t="n">
        <v>50</v>
      </c>
      <c r="E11" s="11" t="n"/>
      <c r="F11" s="39" t="n">
        <v>100</v>
      </c>
      <c r="G11" s="39" t="n">
        <v>60</v>
      </c>
      <c r="H11" s="39" t="n">
        <v>60</v>
      </c>
      <c r="I11" s="39" t="n">
        <v>100</v>
      </c>
      <c r="J11" s="39" t="n">
        <v>80</v>
      </c>
      <c r="K11" s="39" t="n">
        <v>60</v>
      </c>
      <c r="L11" s="39" t="n">
        <v>40</v>
      </c>
      <c r="M11" s="39">
        <f>20+AR11</f>
        <v/>
      </c>
      <c r="N11" s="39" t="n">
        <v>120</v>
      </c>
      <c r="O11" s="39" t="n">
        <v>100</v>
      </c>
      <c r="P11" s="39" t="n">
        <v>100</v>
      </c>
      <c r="Q11" s="39" t="n">
        <v>60</v>
      </c>
      <c r="R11" s="39">
        <f>40+AO11</f>
        <v/>
      </c>
      <c r="S11" s="39" t="n">
        <v>40</v>
      </c>
      <c r="T11" s="39">
        <f>40+AL11</f>
        <v/>
      </c>
      <c r="U11" s="39" t="n">
        <v>220</v>
      </c>
      <c r="V11" s="39" t="n">
        <v>220</v>
      </c>
      <c r="W11" s="39" t="n">
        <v>220</v>
      </c>
      <c r="X11" s="39" t="n">
        <v>220</v>
      </c>
      <c r="Y11" s="39" t="n">
        <v>220</v>
      </c>
      <c r="Z11" s="39" t="n">
        <v>120</v>
      </c>
      <c r="AA11" s="39" t="n"/>
      <c r="AB11" s="6" t="n"/>
      <c r="AC11" s="6" t="n"/>
      <c r="AD11" s="6" t="n"/>
      <c r="AE11" s="380">
        <f>AC11+IF(NOT(ISBLANK(OFFSET(AE11,0,6))),N(OFFSET(AE11,0,6)),N(OFFSET(AE11,0,7)))-AD11</f>
        <v/>
      </c>
      <c r="AF11" s="11" t="n"/>
      <c r="AG11" s="78" t="n"/>
      <c r="AH11" s="78" t="n"/>
      <c r="AI11" s="11" t="n"/>
      <c r="AJ11" s="32" t="n"/>
      <c r="AK11" s="629" t="n">
        <v>0</v>
      </c>
      <c r="AL11" s="304" t="n">
        <v>0</v>
      </c>
      <c r="AM11" s="304" t="n">
        <v>0</v>
      </c>
      <c r="AN11" s="19" t="n"/>
      <c r="AO11" s="19" t="n">
        <v>100</v>
      </c>
      <c r="AP11" s="19" t="n"/>
      <c r="AQ11" s="119" t="n">
        <v>100</v>
      </c>
      <c r="AR11" s="19" t="n">
        <v>100</v>
      </c>
      <c r="AS11" s="19" t="n"/>
      <c r="AT11" s="19" t="n"/>
      <c r="AU11" s="19" t="n">
        <v>100</v>
      </c>
      <c r="AV11" s="19" t="n"/>
      <c r="AW11" s="19" t="n"/>
      <c r="AX11" s="19" t="n"/>
      <c r="AY11" s="19" t="n">
        <v>100</v>
      </c>
      <c r="AZ11" s="19" t="n"/>
      <c r="BA11" s="19" t="n"/>
      <c r="BB11" s="19" t="n"/>
      <c r="BC11" s="19" t="n"/>
      <c r="BE11" s="22" t="inlineStr">
        <is>
          <t xml:space="preserve">SACOLA G </t>
        </is>
      </c>
      <c r="BF11" s="6" t="n">
        <v>100</v>
      </c>
      <c r="BG11" s="39">
        <f>AN11</f>
        <v/>
      </c>
      <c r="BH11" s="39" t="n">
        <v>80</v>
      </c>
      <c r="BI11" s="39" t="n">
        <v>80</v>
      </c>
      <c r="BJ11" s="39" t="n">
        <v>40</v>
      </c>
      <c r="BK11" s="39" t="n">
        <v>0</v>
      </c>
      <c r="BL11" s="39" t="n">
        <v>0</v>
      </c>
      <c r="BM11" s="39" t="n"/>
      <c r="BN11" s="6" t="n"/>
      <c r="BO11" s="6" t="n"/>
      <c r="BP11" s="6" t="n"/>
      <c r="BQ11" s="26">
        <f>BO11+IF(NOT(ISBLANK(OFFSET(BQ11,0,6))),N(OFFSET(BQ11,0,6)),N(OFFSET(BQ11,0,7)))-BP11</f>
        <v/>
      </c>
    </row>
    <row r="12" ht="16.5" customFormat="1" customHeight="1" s="3">
      <c r="A12" s="23" t="n"/>
      <c r="B12" s="1" t="n"/>
      <c r="C12" s="630" t="n"/>
      <c r="D12" s="277" t="n"/>
      <c r="E12" s="11" t="n"/>
      <c r="F12" s="2" t="n"/>
      <c r="G12" s="2" t="n"/>
      <c r="H12" s="2" t="n"/>
      <c r="I12" s="2" t="n"/>
      <c r="J12" s="2" t="n"/>
      <c r="K12" s="2" t="n"/>
      <c r="L12" s="2" t="n"/>
      <c r="M12" s="2" t="n"/>
      <c r="N12" s="2" t="n"/>
      <c r="O12" s="2" t="n"/>
      <c r="P12" s="2" t="n"/>
      <c r="Q12" s="2" t="n"/>
      <c r="R12" s="2" t="n"/>
      <c r="S12" s="2" t="n"/>
      <c r="T12" s="2" t="n"/>
      <c r="U12" s="2" t="n"/>
      <c r="V12" s="2" t="n"/>
      <c r="W12" s="2" t="n"/>
      <c r="X12" s="2" t="n"/>
      <c r="Y12" s="2" t="n"/>
      <c r="Z12" s="2" t="n"/>
      <c r="AA12" s="2" t="n"/>
      <c r="AB12" s="1" t="n"/>
      <c r="AC12" s="1" t="n"/>
      <c r="AD12" s="1" t="n"/>
      <c r="AE12" s="2" t="n"/>
      <c r="AF12" s="11" t="n"/>
      <c r="AG12" s="350" t="n"/>
      <c r="AH12" s="350" t="n"/>
      <c r="AI12" s="11" t="n"/>
      <c r="AJ12" s="73" t="n"/>
      <c r="AK12" s="396" t="n"/>
      <c r="AL12" s="75" t="n"/>
      <c r="AM12" s="75" t="n"/>
      <c r="AN12" s="75" t="n"/>
      <c r="AO12" s="75" t="n"/>
      <c r="AP12" s="75" t="n"/>
      <c r="AQ12" s="75" t="n"/>
      <c r="AR12" s="75" t="n"/>
      <c r="AS12" s="75" t="n"/>
      <c r="AT12" s="75" t="n"/>
      <c r="AU12" s="75" t="n"/>
      <c r="AV12" s="75" t="n"/>
      <c r="AW12" s="75" t="n"/>
      <c r="AX12" s="75" t="n"/>
      <c r="AY12" s="75" t="n"/>
      <c r="AZ12" s="75" t="n"/>
      <c r="BA12" s="75" t="n"/>
      <c r="BB12" s="75" t="n"/>
      <c r="BC12" s="75" t="n"/>
      <c r="BE12" s="23" t="n"/>
      <c r="BF12" s="1" t="n"/>
      <c r="BG12" s="2" t="n"/>
      <c r="BH12" s="2" t="n"/>
      <c r="BI12" s="2" t="n"/>
      <c r="BJ12" s="2" t="n"/>
      <c r="BK12" s="2" t="n"/>
      <c r="BL12" s="2" t="n"/>
      <c r="BM12" s="2" t="n"/>
      <c r="BN12" s="1" t="n"/>
      <c r="BO12" s="1" t="n"/>
      <c r="BP12" s="1" t="n"/>
    </row>
    <row r="13" customFormat="1" s="3">
      <c r="A13" s="69" t="inlineStr">
        <is>
          <t>DIVERSOS</t>
        </is>
      </c>
      <c r="B13" s="368" t="n"/>
      <c r="C13" s="631" t="n"/>
      <c r="D13" s="403" t="n"/>
      <c r="E13" s="608" t="n"/>
      <c r="F13" s="619" t="n">
        <v>46013</v>
      </c>
      <c r="G13" s="619" t="n">
        <v>46020</v>
      </c>
      <c r="H13" s="619" t="n">
        <v>46027</v>
      </c>
      <c r="I13" s="619" t="n">
        <v>46034</v>
      </c>
      <c r="J13" s="619" t="n">
        <v>46041</v>
      </c>
      <c r="K13" s="619" t="n">
        <v>46048</v>
      </c>
      <c r="L13" s="619" t="n">
        <v>46055</v>
      </c>
      <c r="M13" s="619" t="n">
        <v>46062</v>
      </c>
      <c r="N13" s="619" t="n">
        <v>46069</v>
      </c>
      <c r="O13" s="619" t="n">
        <v>46076</v>
      </c>
      <c r="P13" s="619" t="n">
        <v>46083</v>
      </c>
      <c r="Q13" s="619" t="n">
        <v>46090</v>
      </c>
      <c r="R13" s="619" t="n">
        <v>46097</v>
      </c>
      <c r="S13" s="619" t="n">
        <v>46104</v>
      </c>
      <c r="T13" s="619" t="n">
        <v>46111</v>
      </c>
      <c r="U13" s="619" t="n">
        <v>46118</v>
      </c>
      <c r="V13" s="619" t="n">
        <v>46125</v>
      </c>
      <c r="W13" s="619" t="n">
        <v>46132</v>
      </c>
      <c r="X13" s="619" t="n">
        <v>46139</v>
      </c>
      <c r="Y13" s="619" t="n">
        <v>46146</v>
      </c>
      <c r="Z13" s="619" t="n">
        <v>46154</v>
      </c>
      <c r="AA13" s="619" t="n">
        <v>46160</v>
      </c>
      <c r="AB13" s="620" t="n">
        <v>46161.48012625</v>
      </c>
      <c r="AC13" s="620" t="n">
        <v>46161.48079984954</v>
      </c>
      <c r="AD13" s="620" t="n">
        <v>46161.48295749948</v>
      </c>
      <c r="AE13" s="621" t="inlineStr">
        <is>
          <t>USOU</t>
        </is>
      </c>
      <c r="AF13" s="608" t="n"/>
      <c r="AG13" s="29" t="inlineStr">
        <is>
          <t>Pendências</t>
        </is>
      </c>
      <c r="AH13" s="29" t="inlineStr">
        <is>
          <t>Pendências</t>
        </is>
      </c>
      <c r="AI13" s="11" t="n"/>
      <c r="AJ13" s="9" t="inlineStr">
        <is>
          <t>Novo Pedido</t>
        </is>
      </c>
      <c r="AK13" s="613" t="n">
        <v>46161.48295690831</v>
      </c>
      <c r="AL13" s="614" t="n"/>
      <c r="AM13" s="614" t="n">
        <v>46142</v>
      </c>
      <c r="AN13" s="614" t="n">
        <v>46114</v>
      </c>
      <c r="AO13" s="614" t="n">
        <v>46107</v>
      </c>
      <c r="AP13" s="614" t="n">
        <v>46099</v>
      </c>
      <c r="AQ13" s="616" t="n">
        <v>46065</v>
      </c>
      <c r="AR13" s="614" t="n">
        <v>46092</v>
      </c>
      <c r="AS13" s="614" t="n">
        <v>46084</v>
      </c>
      <c r="AT13" s="614" t="n">
        <v>46071</v>
      </c>
      <c r="AU13" s="614" t="n">
        <v>46056</v>
      </c>
      <c r="AV13" s="614" t="n">
        <v>46048</v>
      </c>
      <c r="AW13" s="614" t="n">
        <v>46043</v>
      </c>
      <c r="AX13" s="614" t="n">
        <v>46035</v>
      </c>
      <c r="AY13" s="614" t="n">
        <v>46024</v>
      </c>
      <c r="AZ13" s="614" t="n">
        <v>46017</v>
      </c>
      <c r="BA13" s="614" t="n">
        <v>46007</v>
      </c>
      <c r="BB13" s="614" t="n">
        <v>46001</v>
      </c>
      <c r="BC13" s="614" t="n">
        <v>45994</v>
      </c>
      <c r="BE13" s="397" t="inlineStr">
        <is>
          <t>DIVERSOS</t>
        </is>
      </c>
      <c r="BF13" s="384" t="inlineStr">
        <is>
          <t>PCT</t>
        </is>
      </c>
      <c r="BG13" s="619" t="n">
        <v>46118</v>
      </c>
      <c r="BH13" s="619" t="n">
        <v>46125</v>
      </c>
      <c r="BI13" s="619" t="n">
        <v>46132</v>
      </c>
      <c r="BJ13" s="619" t="n">
        <v>46139</v>
      </c>
      <c r="BK13" s="619" t="n">
        <v>46146</v>
      </c>
      <c r="BL13" s="619" t="n">
        <v>46154</v>
      </c>
      <c r="BM13" s="619" t="n">
        <v>46160</v>
      </c>
      <c r="BN13" s="620" t="n">
        <v>46161.48012586805</v>
      </c>
      <c r="BO13" s="620" t="n">
        <v>46161.48079945602</v>
      </c>
      <c r="BP13" s="620" t="n">
        <v>46161.48295716152</v>
      </c>
      <c r="BQ13" s="621" t="inlineStr">
        <is>
          <t>USOU</t>
        </is>
      </c>
    </row>
    <row r="14" customFormat="1" s="3">
      <c r="A14" s="25" t="inlineStr">
        <is>
          <t>PAPEL DE SEDA 2025</t>
        </is>
      </c>
      <c r="B14" s="6" t="n">
        <v>200</v>
      </c>
      <c r="C14" s="632" t="n">
        <v>38</v>
      </c>
      <c r="D14" s="240" t="n">
        <v>3</v>
      </c>
      <c r="E14" s="608" t="n"/>
      <c r="F14" s="39">
        <f>3+AX14</f>
        <v/>
      </c>
      <c r="G14" s="39" t="n">
        <v>2</v>
      </c>
      <c r="H14" s="39" t="n">
        <v>0</v>
      </c>
      <c r="I14" s="39" t="n">
        <v>7</v>
      </c>
      <c r="J14" s="39" t="n">
        <v>9</v>
      </c>
      <c r="K14" s="39" t="n">
        <v>6</v>
      </c>
      <c r="L14" s="39" t="n">
        <v>11</v>
      </c>
      <c r="M14" s="39" t="n">
        <v>10</v>
      </c>
      <c r="N14" s="39" t="n">
        <v>8</v>
      </c>
      <c r="O14" s="39" t="n">
        <v>7</v>
      </c>
      <c r="P14" s="39" t="n">
        <v>9</v>
      </c>
      <c r="Q14" s="39" t="n">
        <v>7</v>
      </c>
      <c r="R14" s="39" t="n">
        <v>5</v>
      </c>
      <c r="S14" s="39">
        <f>4+AM14</f>
        <v/>
      </c>
      <c r="T14" s="39" t="n">
        <v>5</v>
      </c>
      <c r="U14" s="39" t="n">
        <v>3</v>
      </c>
      <c r="V14" s="39">
        <f>2+AH14</f>
        <v/>
      </c>
      <c r="W14" s="39" t="n">
        <v>4</v>
      </c>
      <c r="X14" s="39" t="n">
        <v>3</v>
      </c>
      <c r="Y14" s="39">
        <f>3+AJ14</f>
        <v/>
      </c>
      <c r="Z14" s="39">
        <f>1+AJ14</f>
        <v/>
      </c>
      <c r="AA14" s="39" t="n"/>
      <c r="AB14" s="6" t="n"/>
      <c r="AC14" s="6" t="n"/>
      <c r="AD14" s="6" t="n"/>
      <c r="AE14" s="380">
        <f>AC14+IF(NOT(ISBLANK(OFFSET(AE14,0,6))),N(OFFSET(AE14,0,6)),N(OFFSET(AE14,0,7)))-AD14</f>
        <v/>
      </c>
      <c r="AF14" s="608" t="n"/>
      <c r="AG14" s="78" t="n"/>
      <c r="AH14" s="78" t="n"/>
      <c r="AI14" s="11" t="n"/>
      <c r="AJ14" s="32" t="n"/>
      <c r="AK14" s="629" t="n">
        <v>0</v>
      </c>
      <c r="AL14" s="304" t="n">
        <v>0</v>
      </c>
      <c r="AM14" s="304" t="n">
        <v>6</v>
      </c>
      <c r="AN14" s="19" t="n">
        <v>3</v>
      </c>
      <c r="AO14" s="19" t="n"/>
      <c r="AP14" s="19" t="n">
        <v>3</v>
      </c>
      <c r="AQ14" s="119" t="n">
        <v>7</v>
      </c>
      <c r="AR14" s="19" t="n"/>
      <c r="AS14" s="19" t="n"/>
      <c r="AT14" s="19" t="n">
        <v>2</v>
      </c>
      <c r="AU14" s="19" t="n"/>
      <c r="AV14" s="19" t="n">
        <v>5</v>
      </c>
      <c r="AW14" s="19" t="n"/>
      <c r="AX14" s="19" t="n">
        <v>2</v>
      </c>
      <c r="AY14" s="19" t="n"/>
      <c r="AZ14" s="19" t="n">
        <v>8</v>
      </c>
      <c r="BA14" s="19" t="n">
        <v>3</v>
      </c>
      <c r="BB14" s="19" t="n"/>
      <c r="BC14" s="19" t="n"/>
      <c r="BE14" s="372" t="inlineStr">
        <is>
          <t>PAPEL DE SEDA</t>
        </is>
      </c>
      <c r="BF14" s="139" t="n">
        <v>200</v>
      </c>
      <c r="BG14" s="39">
        <f>AN14</f>
        <v/>
      </c>
      <c r="BH14" s="39" t="n">
        <v>6</v>
      </c>
      <c r="BI14" s="39" t="n">
        <v>6</v>
      </c>
      <c r="BJ14" s="39" t="n">
        <v>4</v>
      </c>
      <c r="BK14" s="39" t="n">
        <v>3</v>
      </c>
      <c r="BL14" s="39" t="n">
        <v>0</v>
      </c>
      <c r="BM14" s="39" t="n"/>
      <c r="BN14" s="6" t="n"/>
      <c r="BO14" s="6" t="n"/>
      <c r="BP14" s="6" t="n"/>
      <c r="BQ14" s="26">
        <f>BO14+IF(NOT(ISBLANK(OFFSET(BQ14,0,6))),N(OFFSET(BQ14,0,6)),N(OFFSET(BQ14,0,7)))-BP14</f>
        <v/>
      </c>
    </row>
    <row r="15" customFormat="1" s="3">
      <c r="A15" s="25" t="inlineStr">
        <is>
          <t>ADESIVOS 2025</t>
        </is>
      </c>
      <c r="B15" s="6" t="n">
        <v>200</v>
      </c>
      <c r="C15" s="632" t="n">
        <v>18</v>
      </c>
      <c r="D15" s="240" t="n">
        <v>2</v>
      </c>
      <c r="E15" s="608" t="n"/>
      <c r="F15" s="39">
        <f>2+AX15</f>
        <v/>
      </c>
      <c r="G15" s="39" t="n">
        <v>4</v>
      </c>
      <c r="H15" s="39" t="n">
        <v>4</v>
      </c>
      <c r="I15" s="39" t="n">
        <v>6</v>
      </c>
      <c r="J15" s="39" t="n">
        <v>6</v>
      </c>
      <c r="K15" s="39" t="n">
        <v>6</v>
      </c>
      <c r="L15" s="39" t="n">
        <v>6</v>
      </c>
      <c r="M15" s="39" t="n">
        <v>6</v>
      </c>
      <c r="N15" s="39" t="n">
        <v>6</v>
      </c>
      <c r="O15" s="39" t="n">
        <v>6</v>
      </c>
      <c r="P15" s="39" t="n">
        <v>6</v>
      </c>
      <c r="Q15" s="39" t="n">
        <v>6</v>
      </c>
      <c r="R15" s="39" t="n">
        <v>6</v>
      </c>
      <c r="S15" s="39" t="n">
        <v>6</v>
      </c>
      <c r="T15" s="39" t="n">
        <v>6</v>
      </c>
      <c r="U15" s="39" t="n">
        <v>6</v>
      </c>
      <c r="V15" s="39" t="n">
        <v>6</v>
      </c>
      <c r="W15" s="39" t="n">
        <v>6</v>
      </c>
      <c r="X15" s="39" t="n">
        <v>6</v>
      </c>
      <c r="Y15" s="39" t="n">
        <v>6</v>
      </c>
      <c r="Z15" s="39" t="n">
        <v>4</v>
      </c>
      <c r="AA15" s="39" t="n"/>
      <c r="AB15" s="6" t="n"/>
      <c r="AC15" s="6" t="n"/>
      <c r="AD15" s="6" t="n"/>
      <c r="AE15" s="380">
        <f>AC15+IF(NOT(ISBLANK(OFFSET(AE15,0,6))),N(OFFSET(AE15,0,6)),N(OFFSET(AE15,0,7)))-AD15</f>
        <v/>
      </c>
      <c r="AF15" s="608" t="n"/>
      <c r="AG15" s="78" t="n"/>
      <c r="AH15" s="78" t="n">
        <v>1</v>
      </c>
      <c r="AI15" s="608" t="n"/>
      <c r="AJ15" s="32" t="n"/>
      <c r="AK15" s="629" t="n">
        <v>0</v>
      </c>
      <c r="AL15" s="304" t="n">
        <v>0</v>
      </c>
      <c r="AM15" s="304" t="n">
        <v>0</v>
      </c>
      <c r="AN15" s="19" t="n"/>
      <c r="AO15" s="19" t="n"/>
      <c r="AP15" s="19" t="n"/>
      <c r="AQ15" s="119" t="n">
        <v>3</v>
      </c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>
        <v>2</v>
      </c>
      <c r="BA15" s="19" t="n">
        <v>3</v>
      </c>
      <c r="BB15" s="19" t="n">
        <v>2</v>
      </c>
      <c r="BC15" s="19" t="n"/>
      <c r="BE15" s="21" t="inlineStr">
        <is>
          <t>ADESIVOS</t>
        </is>
      </c>
      <c r="BF15" s="6" t="n">
        <v>200</v>
      </c>
      <c r="BG15" s="39">
        <f>AN15</f>
        <v/>
      </c>
      <c r="BH15" s="39" t="n">
        <v>2</v>
      </c>
      <c r="BI15" s="39" t="n">
        <v>2</v>
      </c>
      <c r="BJ15" s="39" t="n">
        <v>0</v>
      </c>
      <c r="BK15" s="39" t="n">
        <v>0</v>
      </c>
      <c r="BL15" s="39" t="n">
        <v>0</v>
      </c>
      <c r="BM15" s="39" t="n"/>
      <c r="BN15" s="6" t="n"/>
      <c r="BO15" s="6" t="n"/>
      <c r="BP15" s="6" t="n"/>
      <c r="BQ15" s="26">
        <f>BO15+IF(NOT(ISBLANK(OFFSET(BQ15,0,6))),N(OFFSET(BQ15,0,6)),N(OFFSET(BQ15,0,7)))-BP15</f>
        <v/>
      </c>
    </row>
    <row r="16" customFormat="1" s="3">
      <c r="A16" s="25" t="inlineStr">
        <is>
          <t xml:space="preserve">TAGS </t>
        </is>
      </c>
      <c r="B16" s="6" t="n">
        <v>200</v>
      </c>
      <c r="C16" s="632" t="n">
        <v>10.28</v>
      </c>
      <c r="D16" s="240" t="n">
        <v>3</v>
      </c>
      <c r="E16" s="1" t="n"/>
      <c r="F16" s="39">
        <f>2+AX16</f>
        <v/>
      </c>
      <c r="G16" s="39" t="n">
        <v>4</v>
      </c>
      <c r="H16" s="39" t="n">
        <v>4</v>
      </c>
      <c r="I16" s="39" t="n">
        <v>7</v>
      </c>
      <c r="J16" s="39" t="n">
        <v>7</v>
      </c>
      <c r="K16" s="39" t="n">
        <v>6</v>
      </c>
      <c r="L16" s="39" t="n">
        <v>6</v>
      </c>
      <c r="M16" s="39" t="n">
        <v>5</v>
      </c>
      <c r="N16" s="39" t="n">
        <v>5</v>
      </c>
      <c r="O16" s="39" t="n">
        <v>4</v>
      </c>
      <c r="P16" s="39" t="n">
        <v>3</v>
      </c>
      <c r="Q16" s="39" t="n">
        <v>3</v>
      </c>
      <c r="R16" s="39" t="n">
        <v>2</v>
      </c>
      <c r="S16" s="39">
        <f>1+AM16</f>
        <v/>
      </c>
      <c r="T16" s="39" t="n">
        <v>2</v>
      </c>
      <c r="U16" s="39" t="n">
        <v>2</v>
      </c>
      <c r="V16" s="39">
        <f>1+AH16</f>
        <v/>
      </c>
      <c r="W16" s="39" t="n">
        <v>3</v>
      </c>
      <c r="X16" s="39" t="n">
        <v>3</v>
      </c>
      <c r="Y16" s="39">
        <f>3+AJ16</f>
        <v/>
      </c>
      <c r="Z16" s="39">
        <f>0+AJ16</f>
        <v/>
      </c>
      <c r="AA16" s="39" t="n"/>
      <c r="AB16" s="6" t="n"/>
      <c r="AC16" s="6" t="n"/>
      <c r="AD16" s="6" t="n"/>
      <c r="AE16" s="380">
        <f>AC16+IF(NOT(ISBLANK(OFFSET(AE16,0,6))),N(OFFSET(AE16,0,6)),N(OFFSET(AE16,0,7)))-AD16</f>
        <v/>
      </c>
      <c r="AF16" s="1" t="n"/>
      <c r="AG16" s="78" t="n"/>
      <c r="AH16" s="78" t="n"/>
      <c r="AI16" s="1" t="n"/>
      <c r="AJ16" s="32" t="n"/>
      <c r="AK16" s="628" t="n">
        <v>0</v>
      </c>
      <c r="AL16" s="19" t="n">
        <v>0</v>
      </c>
      <c r="AM16" s="19" t="n">
        <v>2</v>
      </c>
      <c r="AN16" s="19" t="n">
        <v>2</v>
      </c>
      <c r="AO16" s="19" t="n"/>
      <c r="AP16" s="19" t="n">
        <v>2</v>
      </c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>
        <v>3</v>
      </c>
      <c r="BA16" s="19" t="n">
        <v>4</v>
      </c>
      <c r="BB16" s="19" t="n"/>
      <c r="BC16" s="19" t="n">
        <v>1</v>
      </c>
    </row>
    <row r="17" customFormat="1" s="3">
      <c r="A17" s="25" t="inlineStr">
        <is>
          <t>LÂMINA OLFATIVA</t>
        </is>
      </c>
      <c r="B17" s="6" t="n">
        <v>3000</v>
      </c>
      <c r="C17" s="632" t="n">
        <v>71.8</v>
      </c>
      <c r="D17" s="240" t="n">
        <v>2</v>
      </c>
      <c r="E17" s="1" t="n"/>
      <c r="F17" s="39">
        <f>3+AX17</f>
        <v/>
      </c>
      <c r="G17" s="39" t="n">
        <v>3</v>
      </c>
      <c r="H17" s="39" t="n">
        <v>3</v>
      </c>
      <c r="I17" s="39" t="n">
        <v>5</v>
      </c>
      <c r="J17" s="39" t="n">
        <v>5</v>
      </c>
      <c r="K17" s="39" t="n">
        <v>4</v>
      </c>
      <c r="L17" s="39" t="n">
        <v>4</v>
      </c>
      <c r="M17" s="39" t="n">
        <v>3</v>
      </c>
      <c r="N17" s="39" t="n">
        <v>3</v>
      </c>
      <c r="O17" s="39" t="n">
        <v>2</v>
      </c>
      <c r="P17" s="39" t="n">
        <v>2</v>
      </c>
      <c r="Q17" s="39" t="n">
        <v>2</v>
      </c>
      <c r="R17" s="39" t="n">
        <v>1</v>
      </c>
      <c r="S17" s="39" t="n">
        <v>1</v>
      </c>
      <c r="T17" s="39" t="n">
        <v>1</v>
      </c>
      <c r="U17" s="39" t="n">
        <v>0</v>
      </c>
      <c r="V17" s="39" t="n">
        <v>1</v>
      </c>
      <c r="W17" s="39" t="n">
        <v>1</v>
      </c>
      <c r="X17" s="39" t="n">
        <v>1</v>
      </c>
      <c r="Y17" s="39">
        <f>0+AJ17</f>
        <v/>
      </c>
      <c r="Z17" s="39">
        <f>0+AJ17</f>
        <v/>
      </c>
      <c r="AA17" s="39" t="n"/>
      <c r="AB17" s="6" t="n"/>
      <c r="AC17" s="6" t="n"/>
      <c r="AD17" s="6" t="n"/>
      <c r="AE17" s="380">
        <f>AC17+IF(NOT(ISBLANK(OFFSET(AE17,0,6))),N(OFFSET(AE17,0,6)),N(OFFSET(AE17,0,7)))-AD17</f>
        <v/>
      </c>
      <c r="AF17" s="1" t="n"/>
      <c r="AG17" s="78" t="n"/>
      <c r="AH17" s="78" t="n"/>
      <c r="AI17" s="1" t="n"/>
      <c r="AJ17" s="32" t="n"/>
      <c r="AK17" s="628" t="n">
        <v>0</v>
      </c>
      <c r="AL17" s="19" t="n">
        <v>0</v>
      </c>
      <c r="AM17" s="19" t="n">
        <v>2</v>
      </c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>
        <v>2</v>
      </c>
      <c r="AZ17" s="19" t="n"/>
      <c r="BA17" s="19" t="n">
        <v>2</v>
      </c>
      <c r="BB17" s="19" t="n">
        <v>1</v>
      </c>
      <c r="BC17" s="19" t="n">
        <v>3</v>
      </c>
    </row>
    <row r="18" ht="19.5" customFormat="1" customHeight="1" s="3">
      <c r="D18" s="277" t="n"/>
      <c r="AG18" s="398" t="n"/>
      <c r="AH18" s="398" t="n"/>
      <c r="AJ18" s="352" t="n"/>
      <c r="AK18" s="396" t="n"/>
      <c r="AL18" s="396" t="n"/>
      <c r="AM18" s="396" t="n"/>
      <c r="AN18" s="396" t="n"/>
      <c r="AO18" s="396" t="n"/>
      <c r="AP18" s="396" t="n"/>
      <c r="AQ18" s="396" t="n"/>
      <c r="AR18" s="396" t="n"/>
      <c r="AS18" s="396" t="n"/>
      <c r="AT18" s="396" t="n"/>
      <c r="AU18" s="396" t="n"/>
      <c r="AV18" s="396" t="n"/>
      <c r="AW18" s="396" t="n"/>
      <c r="AX18" s="396" t="n"/>
      <c r="AY18" s="396" t="n"/>
      <c r="AZ18" s="396" t="n"/>
      <c r="BA18" s="396" t="n"/>
      <c r="BB18" s="396" t="n"/>
      <c r="BC18" s="396" t="n"/>
    </row>
    <row r="19" customFormat="1" s="3">
      <c r="A19" s="548" t="inlineStr">
        <is>
          <t>CAIXAS</t>
        </is>
      </c>
      <c r="B19" s="12" t="inlineStr">
        <is>
          <t>PC</t>
        </is>
      </c>
      <c r="C19" s="631" t="inlineStr">
        <is>
          <t>R$</t>
        </is>
      </c>
      <c r="D19" s="403" t="n"/>
      <c r="E19" s="1" t="n"/>
      <c r="F19" s="619" t="n">
        <v>46013</v>
      </c>
      <c r="G19" s="619" t="n">
        <v>46020</v>
      </c>
      <c r="H19" s="619" t="n">
        <v>46027</v>
      </c>
      <c r="I19" s="619" t="n">
        <v>46034</v>
      </c>
      <c r="J19" s="619" t="n">
        <v>46041</v>
      </c>
      <c r="K19" s="619" t="n">
        <v>46048</v>
      </c>
      <c r="L19" s="619" t="n">
        <v>46055</v>
      </c>
      <c r="M19" s="619" t="n">
        <v>46062</v>
      </c>
      <c r="N19" s="619" t="n">
        <v>46069</v>
      </c>
      <c r="O19" s="619" t="n">
        <v>46076</v>
      </c>
      <c r="P19" s="619" t="n">
        <v>46083</v>
      </c>
      <c r="Q19" s="619" t="n">
        <v>46090</v>
      </c>
      <c r="R19" s="619" t="n">
        <v>46097</v>
      </c>
      <c r="S19" s="619" t="n">
        <v>46104</v>
      </c>
      <c r="T19" s="619" t="n">
        <v>46111</v>
      </c>
      <c r="U19" s="619" t="n">
        <v>46118</v>
      </c>
      <c r="V19" s="619" t="n">
        <v>46125</v>
      </c>
      <c r="W19" s="619" t="n">
        <v>46132</v>
      </c>
      <c r="X19" s="619" t="n">
        <v>46139</v>
      </c>
      <c r="Y19" s="619" t="n">
        <v>46146</v>
      </c>
      <c r="Z19" s="619" t="n">
        <v>46154</v>
      </c>
      <c r="AA19" s="619" t="n">
        <v>46160</v>
      </c>
      <c r="AB19" s="620" t="n">
        <v>46161.48012625</v>
      </c>
      <c r="AC19" s="620" t="n">
        <v>46161.48079984954</v>
      </c>
      <c r="AD19" s="620" t="n">
        <v>46161.48295749962</v>
      </c>
      <c r="AE19" s="621" t="inlineStr">
        <is>
          <t>USOU</t>
        </is>
      </c>
      <c r="AF19" s="11" t="n"/>
      <c r="AG19" s="29" t="inlineStr">
        <is>
          <t>Pendências</t>
        </is>
      </c>
      <c r="AH19" s="29" t="inlineStr">
        <is>
          <t>Pendências</t>
        </is>
      </c>
      <c r="AI19" s="11" t="n"/>
      <c r="AJ19" s="9" t="inlineStr">
        <is>
          <t>Novo Pedido</t>
        </is>
      </c>
      <c r="AK19" s="613" t="n">
        <v>46161.4829569087</v>
      </c>
      <c r="AL19" s="614" t="n"/>
      <c r="AM19" s="614" t="n">
        <v>46142</v>
      </c>
      <c r="AN19" s="614" t="n">
        <v>46114</v>
      </c>
      <c r="AO19" s="614" t="n">
        <v>46107</v>
      </c>
      <c r="AP19" s="614" t="n">
        <v>46099</v>
      </c>
      <c r="AQ19" s="616" t="n">
        <v>46065</v>
      </c>
      <c r="AR19" s="614" t="n">
        <v>46092</v>
      </c>
      <c r="AS19" s="614" t="n">
        <v>46084</v>
      </c>
      <c r="AT19" s="614" t="n">
        <v>46071</v>
      </c>
      <c r="AU19" s="614" t="n">
        <v>46056</v>
      </c>
      <c r="AV19" s="614" t="n">
        <v>46048</v>
      </c>
      <c r="AW19" s="614" t="n">
        <v>46043</v>
      </c>
      <c r="AX19" s="614" t="n">
        <v>46035</v>
      </c>
      <c r="AY19" s="614" t="n">
        <v>46024</v>
      </c>
      <c r="AZ19" s="614" t="n">
        <v>46017</v>
      </c>
      <c r="BA19" s="614" t="n">
        <v>46007</v>
      </c>
      <c r="BB19" s="614" t="n">
        <v>46001</v>
      </c>
      <c r="BC19" s="614" t="n">
        <v>45994</v>
      </c>
      <c r="BE19" s="397" t="inlineStr">
        <is>
          <t>CAIXAS</t>
        </is>
      </c>
      <c r="BF19" s="384" t="inlineStr">
        <is>
          <t>PCT</t>
        </is>
      </c>
      <c r="BG19" s="619" t="n">
        <v>46118</v>
      </c>
      <c r="BH19" s="619" t="n">
        <v>46125</v>
      </c>
      <c r="BI19" s="619" t="n">
        <v>46132</v>
      </c>
      <c r="BJ19" s="619" t="n">
        <v>46139</v>
      </c>
      <c r="BK19" s="619" t="n">
        <v>46146</v>
      </c>
      <c r="BL19" s="619" t="n">
        <v>46154</v>
      </c>
      <c r="BM19" s="619" t="n">
        <v>46160</v>
      </c>
      <c r="BN19" s="620" t="n">
        <v>46161.48012586805</v>
      </c>
      <c r="BO19" s="620" t="n">
        <v>46161.48079945602</v>
      </c>
      <c r="BP19" s="620" t="n">
        <v>46161.48295716164</v>
      </c>
      <c r="BQ19" s="621" t="inlineStr">
        <is>
          <t>USOU</t>
        </is>
      </c>
    </row>
    <row r="20" customFormat="1" s="3">
      <c r="A20" s="25" t="inlineStr">
        <is>
          <t>CAIXA P VERDE</t>
        </is>
      </c>
      <c r="B20" s="6" t="n">
        <v>150</v>
      </c>
      <c r="C20" s="627" t="n">
        <v>334.31</v>
      </c>
      <c r="D20" s="240" t="n">
        <v>120</v>
      </c>
      <c r="E20" s="1" t="n"/>
      <c r="F20" s="27" t="n">
        <v>103</v>
      </c>
      <c r="G20" s="27" t="n">
        <v>91</v>
      </c>
      <c r="H20" s="27" t="n">
        <v>76</v>
      </c>
      <c r="I20" s="27" t="n">
        <v>57</v>
      </c>
      <c r="J20" s="27">
        <f>50+AU20</f>
        <v/>
      </c>
      <c r="K20" s="27" t="n">
        <v>170</v>
      </c>
      <c r="L20" s="27" t="n">
        <v>294</v>
      </c>
      <c r="M20" s="27" t="n">
        <v>277</v>
      </c>
      <c r="N20" s="27" t="n">
        <v>268</v>
      </c>
      <c r="O20" s="27" t="n">
        <v>257</v>
      </c>
      <c r="P20" s="27" t="n">
        <v>249</v>
      </c>
      <c r="Q20" s="27" t="n">
        <v>239</v>
      </c>
      <c r="R20" s="27" t="n">
        <v>232</v>
      </c>
      <c r="S20" s="27" t="n">
        <v>229</v>
      </c>
      <c r="T20" s="27" t="n">
        <v>226</v>
      </c>
      <c r="U20" s="27" t="n"/>
      <c r="V20" s="27" t="n"/>
      <c r="W20" s="27" t="n"/>
      <c r="X20" s="27" t="n">
        <v>210</v>
      </c>
      <c r="Y20" s="27" t="n">
        <v>208</v>
      </c>
      <c r="Z20" s="27" t="n">
        <v>204</v>
      </c>
      <c r="AA20" s="27" t="n">
        <v>198</v>
      </c>
      <c r="AB20" s="651" t="n">
        <v>198</v>
      </c>
      <c r="AC20" s="651" t="n">
        <v>198</v>
      </c>
      <c r="AD20" s="651" t="n">
        <v>198</v>
      </c>
      <c r="AE20" s="380">
        <f>AC20+IF(NOT(ISBLANK(OFFSET(AE20,0,6))),N(OFFSET(AE20,0,6)),N(OFFSET(AE20,0,7)))-AD20</f>
        <v/>
      </c>
      <c r="AF20" s="11" t="n"/>
      <c r="AG20" s="78" t="n"/>
      <c r="AH20" s="78" t="n"/>
      <c r="AI20" s="1" t="n"/>
      <c r="AJ20" s="32" t="n"/>
      <c r="AK20" s="628" t="n">
        <v>0</v>
      </c>
      <c r="AL20" s="19" t="n">
        <v>0</v>
      </c>
      <c r="AM20" s="19" t="n">
        <v>0</v>
      </c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>
        <v>150</v>
      </c>
      <c r="AW20" s="19" t="n"/>
      <c r="AX20" s="19" t="n">
        <v>150</v>
      </c>
      <c r="AY20" s="19" t="n"/>
      <c r="AZ20" s="19" t="n"/>
      <c r="BA20" s="19" t="n"/>
      <c r="BB20" s="19" t="n"/>
      <c r="BC20" s="19" t="n"/>
      <c r="BE20" s="372" t="inlineStr">
        <is>
          <t>CAIXA P</t>
        </is>
      </c>
      <c r="BF20" s="139" t="n">
        <v>150</v>
      </c>
      <c r="BG20" s="39" t="n">
        <v>0</v>
      </c>
      <c r="BH20" s="39" t="n">
        <v>0</v>
      </c>
      <c r="BI20" s="39" t="n">
        <v>0</v>
      </c>
      <c r="BJ20" s="39" t="n">
        <v>0</v>
      </c>
      <c r="BK20" s="39" t="n">
        <v>0</v>
      </c>
      <c r="BL20" s="39" t="n">
        <v>0</v>
      </c>
      <c r="BM20" s="39" t="n">
        <v>0</v>
      </c>
      <c r="BN20" s="6" t="n"/>
      <c r="BO20" s="6" t="n"/>
      <c r="BP20" s="6" t="n"/>
      <c r="BQ20" s="26">
        <f>BO20+IF(NOT(ISBLANK(OFFSET(BQ20,0,6))),N(OFFSET(BQ20,0,6)),N(OFFSET(BQ20,0,7)))-BP20</f>
        <v/>
      </c>
    </row>
    <row r="21" customFormat="1" s="3">
      <c r="A21" s="25" t="inlineStr">
        <is>
          <t>CAIXA M VERDE</t>
        </is>
      </c>
      <c r="B21" s="6" t="n">
        <v>100</v>
      </c>
      <c r="C21" s="634" t="n">
        <v>292.25</v>
      </c>
      <c r="D21" s="243" t="n">
        <v>120</v>
      </c>
      <c r="E21" s="1" t="n"/>
      <c r="F21" s="27" t="n">
        <v>108</v>
      </c>
      <c r="G21" s="27" t="n">
        <v>92</v>
      </c>
      <c r="H21" s="27" t="n">
        <v>77</v>
      </c>
      <c r="I21" s="27" t="n">
        <v>73</v>
      </c>
      <c r="J21" s="27">
        <f>64+AU21</f>
        <v/>
      </c>
      <c r="K21" s="27" t="n">
        <v>138</v>
      </c>
      <c r="L21" s="27" t="n">
        <v>232</v>
      </c>
      <c r="M21" s="27" t="n">
        <v>223</v>
      </c>
      <c r="N21" s="27" t="n">
        <v>221</v>
      </c>
      <c r="O21" s="27" t="n">
        <v>211</v>
      </c>
      <c r="P21" s="27" t="n">
        <v>210</v>
      </c>
      <c r="Q21" s="27" t="n">
        <v>203</v>
      </c>
      <c r="R21" s="27" t="n">
        <v>197</v>
      </c>
      <c r="S21" s="27" t="n">
        <v>196</v>
      </c>
      <c r="T21" s="27" t="n">
        <v>182</v>
      </c>
      <c r="U21" s="27" t="n"/>
      <c r="V21" s="27" t="n"/>
      <c r="W21" s="27" t="n"/>
      <c r="X21" s="27" t="n">
        <v>258</v>
      </c>
      <c r="Y21" s="27" t="n">
        <v>253</v>
      </c>
      <c r="Z21" s="27" t="n">
        <v>248</v>
      </c>
      <c r="AA21" s="27" t="n">
        <v>248</v>
      </c>
      <c r="AB21" s="651" t="n">
        <v>248</v>
      </c>
      <c r="AC21" s="651" t="n">
        <v>248</v>
      </c>
      <c r="AD21" s="651" t="n">
        <v>248</v>
      </c>
      <c r="AE21" s="380">
        <f>AC21+IF(NOT(ISBLANK(OFFSET(AE21,0,6))),N(OFFSET(AE21,0,6)),N(OFFSET(AE21,0,7)))-AD21</f>
        <v/>
      </c>
      <c r="AF21" s="11" t="n"/>
      <c r="AG21" s="78" t="n"/>
      <c r="AH21" s="78" t="n"/>
      <c r="AI21" s="1" t="n"/>
      <c r="AJ21" s="32" t="n"/>
      <c r="AK21" s="628" t="n">
        <v>0</v>
      </c>
      <c r="AL21" s="19" t="n">
        <v>0</v>
      </c>
      <c r="AM21" s="19" t="n">
        <v>0</v>
      </c>
      <c r="AN21" s="19" t="n">
        <v>100</v>
      </c>
      <c r="AO21" s="19" t="n"/>
      <c r="AP21" s="19" t="n"/>
      <c r="AQ21" s="119" t="n">
        <v>100</v>
      </c>
      <c r="AR21" s="19" t="n"/>
      <c r="AS21" s="19" t="n"/>
      <c r="AT21" s="19" t="n"/>
      <c r="AU21" s="19" t="n"/>
      <c r="AV21" s="19" t="n">
        <v>100</v>
      </c>
      <c r="AW21" s="19" t="n"/>
      <c r="AX21" s="19" t="n">
        <v>100</v>
      </c>
      <c r="AY21" s="19" t="n"/>
      <c r="AZ21" s="19" t="n"/>
      <c r="BA21" s="19" t="n"/>
      <c r="BB21" s="19" t="n"/>
      <c r="BC21" s="19" t="n"/>
      <c r="BE21" s="21" t="inlineStr">
        <is>
          <t>CAIXA M</t>
        </is>
      </c>
      <c r="BF21" s="6" t="n">
        <v>100</v>
      </c>
      <c r="BG21" s="39">
        <f>AN21</f>
        <v/>
      </c>
      <c r="BH21" s="39" t="n"/>
      <c r="BI21" s="39" t="n"/>
      <c r="BJ21" s="39" t="n">
        <v>77</v>
      </c>
      <c r="BK21" s="39" t="n">
        <v>65</v>
      </c>
      <c r="BL21" s="39" t="n">
        <v>9</v>
      </c>
      <c r="BM21" s="39" t="n">
        <v>5</v>
      </c>
      <c r="BN21" s="6" t="n"/>
      <c r="BO21" s="6" t="n"/>
      <c r="BP21" s="6" t="n"/>
      <c r="BQ21" s="26">
        <f>BO21+IF(NOT(ISBLANK(OFFSET(BQ21,0,6))),N(OFFSET(BQ21,0,6)),N(OFFSET(BQ21,0,7)))-BP21</f>
        <v/>
      </c>
    </row>
    <row r="22" customFormat="1" s="3">
      <c r="A22" s="25" t="inlineStr">
        <is>
          <t>CAIXA G VERDE</t>
        </is>
      </c>
      <c r="B22" s="6" t="n">
        <v>75</v>
      </c>
      <c r="C22" s="632" t="n">
        <v>425.38</v>
      </c>
      <c r="D22" s="240" t="n">
        <v>25</v>
      </c>
      <c r="E22" s="608" t="n"/>
      <c r="F22" s="27" t="n">
        <v>65</v>
      </c>
      <c r="G22" s="27" t="n">
        <v>63</v>
      </c>
      <c r="H22" s="27" t="n">
        <v>63</v>
      </c>
      <c r="I22" s="27" t="n">
        <v>63</v>
      </c>
      <c r="J22" s="27" t="n">
        <v>63</v>
      </c>
      <c r="K22" s="27" t="n">
        <v>63</v>
      </c>
      <c r="L22" s="27" t="n">
        <v>63</v>
      </c>
      <c r="M22" s="27" t="n">
        <v>62</v>
      </c>
      <c r="N22" s="27" t="n">
        <v>61</v>
      </c>
      <c r="O22" s="27" t="n">
        <v>60</v>
      </c>
      <c r="P22" s="27" t="n">
        <v>60</v>
      </c>
      <c r="Q22" s="27" t="n">
        <v>60</v>
      </c>
      <c r="R22" s="27" t="n">
        <v>60</v>
      </c>
      <c r="S22" s="27" t="n">
        <v>60</v>
      </c>
      <c r="T22" s="27" t="n">
        <v>60</v>
      </c>
      <c r="U22" s="27" t="n">
        <v>60</v>
      </c>
      <c r="V22" s="27" t="n">
        <v>60</v>
      </c>
      <c r="W22" s="27" t="n">
        <v>60</v>
      </c>
      <c r="X22" s="27" t="n">
        <v>60</v>
      </c>
      <c r="Y22" s="27" t="n">
        <v>60</v>
      </c>
      <c r="Z22" s="27" t="n">
        <v>48</v>
      </c>
      <c r="AA22" s="27" t="n">
        <v>47</v>
      </c>
      <c r="AB22" s="651" t="n">
        <v>47</v>
      </c>
      <c r="AC22" s="651" t="n">
        <v>47</v>
      </c>
      <c r="AD22" s="651" t="n">
        <v>47</v>
      </c>
      <c r="AE22" s="380">
        <f>AC22+IF(NOT(ISBLANK(OFFSET(AE22,0,6))),N(OFFSET(AE22,0,6)),N(OFFSET(AE22,0,7)))-AD22</f>
        <v/>
      </c>
      <c r="AF22" s="11" t="n"/>
      <c r="AG22" s="78" t="n"/>
      <c r="AH22" s="78" t="n"/>
      <c r="AI22" s="608" t="n"/>
      <c r="AJ22" s="32" t="n"/>
      <c r="AK22" s="628" t="n">
        <v>0</v>
      </c>
      <c r="AL22" s="19" t="n">
        <v>0</v>
      </c>
      <c r="AM22" s="19" t="n">
        <v>0</v>
      </c>
      <c r="AN22" s="19" t="n"/>
      <c r="AO22" s="19" t="n"/>
      <c r="AP22" s="19" t="n"/>
      <c r="AQ22" s="119" t="n">
        <v>200</v>
      </c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E22" s="22" t="inlineStr">
        <is>
          <t>CARTUCHO P</t>
        </is>
      </c>
      <c r="BF22" s="6" t="n">
        <v>200</v>
      </c>
      <c r="BG22" s="39">
        <f>AN22</f>
        <v/>
      </c>
      <c r="BH22" s="39" t="n"/>
      <c r="BI22" s="39" t="n"/>
      <c r="BJ22" s="39" t="n">
        <v>159</v>
      </c>
      <c r="BK22" s="39" t="n">
        <v>129</v>
      </c>
      <c r="BL22" s="39" t="n">
        <v>7</v>
      </c>
      <c r="BM22" s="39" t="n">
        <v>1</v>
      </c>
      <c r="BN22" s="6" t="n"/>
      <c r="BO22" s="6" t="n"/>
      <c r="BP22" s="6" t="n"/>
      <c r="BQ22" s="26">
        <f>BO22+IF(NOT(ISBLANK(OFFSET(BQ22,0,6))),N(OFFSET(BQ22,0,6)),N(OFFSET(BQ22,0,7)))-BP22</f>
        <v/>
      </c>
    </row>
    <row r="23" customFormat="1" s="3">
      <c r="A23" s="25" t="inlineStr">
        <is>
          <t>CARTUCHO M VERDE</t>
        </is>
      </c>
      <c r="B23" s="6" t="n">
        <v>150</v>
      </c>
      <c r="C23" s="632" t="n">
        <v>427.5</v>
      </c>
      <c r="D23" s="240" t="n">
        <v>150</v>
      </c>
      <c r="E23" s="608" t="n"/>
      <c r="F23" s="2" t="n"/>
      <c r="G23" s="2" t="n"/>
      <c r="H23" s="2" t="n"/>
      <c r="I23" s="27" t="n">
        <v>0</v>
      </c>
      <c r="J23" s="27" t="n">
        <v>0</v>
      </c>
      <c r="K23" s="27" t="n">
        <v>0</v>
      </c>
      <c r="L23" s="27" t="n">
        <v>143</v>
      </c>
      <c r="M23" s="27" t="n">
        <v>110</v>
      </c>
      <c r="N23" s="27" t="n">
        <v>96</v>
      </c>
      <c r="O23" s="27" t="n">
        <v>65</v>
      </c>
      <c r="P23" s="27" t="n">
        <v>192</v>
      </c>
      <c r="Q23" s="27" t="n">
        <v>162</v>
      </c>
      <c r="R23" s="27" t="n">
        <v>136</v>
      </c>
      <c r="S23" s="27" t="n">
        <v>106</v>
      </c>
      <c r="T23" s="27" t="n">
        <v>89</v>
      </c>
      <c r="U23" s="27" t="n"/>
      <c r="V23" s="27" t="n"/>
      <c r="W23" s="27" t="n"/>
      <c r="X23" s="27" t="n">
        <v>186</v>
      </c>
      <c r="Y23" s="27" t="n">
        <v>186</v>
      </c>
      <c r="Z23" s="27" t="n">
        <v>184</v>
      </c>
      <c r="AA23" s="27" t="n">
        <v>168</v>
      </c>
      <c r="AB23" s="651" t="n">
        <v>168</v>
      </c>
      <c r="AC23" s="651" t="n">
        <v>168</v>
      </c>
      <c r="AD23" s="651" t="n">
        <v>168</v>
      </c>
      <c r="AE23" s="380">
        <f>AC23+IF(NOT(ISBLANK(OFFSET(AE23,0,6))),N(OFFSET(AE23,0,6)),N(OFFSET(AE23,0,7)))-AD23</f>
        <v/>
      </c>
      <c r="AF23" s="11" t="n"/>
      <c r="AG23" s="78" t="n"/>
      <c r="AH23" s="10" t="n"/>
      <c r="AI23" s="608" t="n"/>
      <c r="AJ23" s="32" t="n"/>
      <c r="AK23" s="628" t="n">
        <v>0</v>
      </c>
      <c r="AL23" s="19" t="n">
        <v>0</v>
      </c>
      <c r="AM23" s="19" t="n">
        <v>0</v>
      </c>
      <c r="AN23" s="19" t="n">
        <v>150</v>
      </c>
      <c r="AO23" s="19" t="n"/>
      <c r="AP23" s="19" t="n"/>
      <c r="AQ23" s="119" t="n">
        <v>150</v>
      </c>
      <c r="AR23" s="19" t="n"/>
      <c r="AS23" s="19" t="n"/>
      <c r="AT23" s="19" t="n">
        <v>150</v>
      </c>
      <c r="AU23" s="19" t="n"/>
      <c r="AV23" s="19" t="n"/>
      <c r="AW23" s="19" t="n">
        <v>150</v>
      </c>
      <c r="AX23" s="19" t="n"/>
      <c r="AY23" s="19" t="n"/>
      <c r="AZ23" s="19" t="n"/>
      <c r="BA23" s="19" t="n"/>
      <c r="BB23" s="19" t="n"/>
      <c r="BC23" s="19" t="n"/>
      <c r="BE23" s="22" t="inlineStr">
        <is>
          <t>CARTUCHO M</t>
        </is>
      </c>
      <c r="BF23" s="6" t="n">
        <v>150</v>
      </c>
      <c r="BG23" s="39">
        <f>AN23</f>
        <v/>
      </c>
      <c r="BH23" s="39" t="n"/>
      <c r="BI23" s="39" t="n"/>
      <c r="BJ23" s="39" t="n">
        <v>113</v>
      </c>
      <c r="BK23" s="39" t="n">
        <v>89</v>
      </c>
      <c r="BL23" s="39" t="n">
        <v>4</v>
      </c>
      <c r="BM23" s="39" t="n">
        <v>0</v>
      </c>
      <c r="BN23" s="6" t="n"/>
      <c r="BO23" s="6" t="n"/>
      <c r="BP23" s="6" t="n"/>
      <c r="BQ23" s="26">
        <f>BO23+IF(NOT(ISBLANK(OFFSET(BQ23,0,6))),N(OFFSET(BQ23,0,6)),N(OFFSET(BQ23,0,7)))-BP23</f>
        <v/>
      </c>
    </row>
    <row r="24">
      <c r="AJ24" s="11" t="n"/>
      <c r="AK24" s="11" t="n"/>
      <c r="AL24" s="11" t="n"/>
      <c r="AM24" s="11" t="n"/>
      <c r="AN24" s="11" t="n"/>
      <c r="AO24" s="11" t="n"/>
      <c r="AP24" s="11" t="n"/>
      <c r="AQ24" s="11" t="n"/>
      <c r="AR24" s="11" t="n"/>
      <c r="AS24" s="11" t="n"/>
      <c r="AT24" s="11" t="n"/>
      <c r="AU24" s="11" t="n"/>
      <c r="AV24" s="11" t="n"/>
      <c r="AW24" s="11" t="n"/>
      <c r="AX24" s="11" t="n"/>
      <c r="AY24" s="11" t="n"/>
      <c r="AZ24" s="11" t="n"/>
      <c r="BA24" s="11" t="n"/>
      <c r="BB24" s="11" t="n"/>
      <c r="BC24" s="11" t="n"/>
    </row>
    <row r="25">
      <c r="A25" s="386" t="inlineStr">
        <is>
          <t>SOBRAS CAIXAS</t>
        </is>
      </c>
      <c r="B25" s="387" t="inlineStr">
        <is>
          <t>PCT</t>
        </is>
      </c>
      <c r="C25" s="387" t="inlineStr">
        <is>
          <t xml:space="preserve">R$ </t>
        </is>
      </c>
      <c r="D25" s="387" t="n"/>
      <c r="F25" s="619" t="n">
        <v>46013</v>
      </c>
      <c r="G25" s="619" t="n">
        <v>46020</v>
      </c>
      <c r="H25" s="619" t="n">
        <v>46027</v>
      </c>
      <c r="I25" s="619" t="n">
        <v>46034</v>
      </c>
      <c r="J25" s="619" t="n">
        <v>46041</v>
      </c>
      <c r="K25" s="619" t="n">
        <v>46048</v>
      </c>
      <c r="L25" s="619" t="n">
        <v>46055</v>
      </c>
      <c r="M25" s="619" t="n">
        <v>46062</v>
      </c>
      <c r="N25" s="619" t="n">
        <v>46069</v>
      </c>
      <c r="O25" s="619" t="n">
        <v>46076</v>
      </c>
      <c r="P25" s="619" t="n">
        <v>46083</v>
      </c>
      <c r="Q25" s="619" t="n">
        <v>46090</v>
      </c>
      <c r="R25" s="619" t="n">
        <v>46097</v>
      </c>
      <c r="S25" s="619" t="n">
        <v>46104</v>
      </c>
      <c r="T25" s="619" t="n">
        <v>46111</v>
      </c>
      <c r="U25" s="619" t="n">
        <v>46118</v>
      </c>
      <c r="V25" s="619" t="n">
        <v>46125</v>
      </c>
      <c r="W25" s="619" t="n">
        <v>46132</v>
      </c>
      <c r="X25" s="619" t="n">
        <v>46139</v>
      </c>
      <c r="Y25" s="619" t="n">
        <v>46146</v>
      </c>
      <c r="Z25" s="619" t="n">
        <v>46154</v>
      </c>
      <c r="AA25" s="619" t="n">
        <v>46160</v>
      </c>
      <c r="AB25" s="620" t="n">
        <v>46161.48012625</v>
      </c>
      <c r="AC25" s="620" t="n">
        <v>46161.48079984954</v>
      </c>
      <c r="AD25" s="620" t="n">
        <v>46161.48295749989</v>
      </c>
      <c r="AE25" s="621" t="inlineStr">
        <is>
          <t>USOU</t>
        </is>
      </c>
      <c r="AJ25" s="11" t="n"/>
      <c r="AK25" s="11" t="n"/>
      <c r="AL25" s="11" t="n"/>
      <c r="AM25" s="11" t="n"/>
      <c r="AN25" s="11" t="n"/>
      <c r="AO25" s="11" t="n"/>
      <c r="AP25" s="11" t="n"/>
      <c r="AQ25" s="11" t="n"/>
      <c r="AR25" s="11" t="n"/>
      <c r="AS25" s="11" t="n"/>
      <c r="AT25" s="11" t="n"/>
      <c r="AU25" s="11" t="n"/>
      <c r="AV25" s="11" t="n"/>
      <c r="AW25" s="11" t="n"/>
      <c r="AX25" s="11" t="n"/>
      <c r="AY25" s="11" t="n"/>
      <c r="AZ25" s="11" t="n"/>
      <c r="BA25" s="11" t="n"/>
      <c r="BB25" s="11" t="n"/>
      <c r="BC25" s="11" t="n"/>
    </row>
    <row r="26">
      <c r="A26" s="392" t="inlineStr">
        <is>
          <t>CAIXA M DIVERT./24</t>
        </is>
      </c>
      <c r="B26" s="393" t="n">
        <v>100</v>
      </c>
      <c r="C26" s="635" t="n">
        <v>790</v>
      </c>
      <c r="D26" s="404" t="n"/>
      <c r="F26" s="39" t="n">
        <v>127</v>
      </c>
      <c r="G26" s="39" t="n">
        <v>118</v>
      </c>
      <c r="H26" s="39" t="n">
        <v>102</v>
      </c>
      <c r="I26" s="39" t="n">
        <v>102</v>
      </c>
      <c r="J26" s="39" t="n">
        <v>102</v>
      </c>
      <c r="K26" s="39" t="n">
        <v>106</v>
      </c>
      <c r="L26" s="39" t="n">
        <v>105</v>
      </c>
      <c r="M26" s="39" t="n">
        <v>103</v>
      </c>
      <c r="N26" s="39" t="n">
        <v>101</v>
      </c>
      <c r="O26" s="39" t="n">
        <v>98</v>
      </c>
      <c r="P26" s="39" t="n">
        <v>96</v>
      </c>
      <c r="Q26" s="39" t="n">
        <v>93</v>
      </c>
      <c r="R26" s="39" t="n">
        <v>90</v>
      </c>
      <c r="S26" s="39" t="n">
        <v>90</v>
      </c>
      <c r="T26" s="39" t="n">
        <v>88</v>
      </c>
      <c r="U26" s="39" t="n">
        <v>85</v>
      </c>
      <c r="V26" s="39" t="n">
        <v>80</v>
      </c>
      <c r="W26" s="39" t="n">
        <v>80</v>
      </c>
      <c r="X26" s="39" t="n">
        <v>80</v>
      </c>
      <c r="Y26" s="39" t="n">
        <v>80</v>
      </c>
      <c r="Z26" s="39" t="n">
        <v>80</v>
      </c>
      <c r="AA26" s="39" t="n">
        <v>80</v>
      </c>
      <c r="AB26" s="6" t="n">
        <v>80</v>
      </c>
      <c r="AC26" s="6" t="n">
        <v>80</v>
      </c>
      <c r="AD26" s="6" t="n">
        <v>80</v>
      </c>
      <c r="AE26" s="380">
        <f>AC26+IF(NOT(ISBLANK(OFFSET(AE26,0,6))),N(OFFSET(AE26,0,6)),N(OFFSET(AE26,0,7)))-AD26</f>
        <v/>
      </c>
      <c r="AG26" s="355" t="n"/>
      <c r="AH26" s="355" t="n"/>
      <c r="AJ26" s="11" t="n"/>
      <c r="AK26" s="11" t="n"/>
      <c r="AL26" s="11" t="n"/>
      <c r="AM26" s="11" t="n"/>
      <c r="AN26" s="11" t="n"/>
      <c r="AO26" s="11" t="n"/>
      <c r="AP26" s="11" t="n"/>
      <c r="AQ26" s="11" t="n"/>
      <c r="AR26" s="11" t="n"/>
      <c r="AS26" s="11" t="n"/>
      <c r="AT26" s="11" t="n"/>
      <c r="AU26" s="11" t="n"/>
      <c r="AV26" s="11" t="n"/>
      <c r="AW26" s="11" t="n"/>
      <c r="AX26" s="11" t="n"/>
      <c r="AY26" s="11" t="n"/>
      <c r="AZ26" s="11" t="n"/>
      <c r="BA26" s="11" t="n"/>
      <c r="BB26" s="11" t="n"/>
      <c r="BC26" s="11" t="n"/>
    </row>
    <row r="27" hidden="1">
      <c r="A27" s="394" t="inlineStr">
        <is>
          <t>ÁRVORE</t>
        </is>
      </c>
      <c r="B27" s="163" t="n">
        <v>100</v>
      </c>
      <c r="C27" s="636" t="n">
        <v>295</v>
      </c>
      <c r="D27" s="404" t="n"/>
      <c r="F27" s="39" t="n">
        <v>4</v>
      </c>
      <c r="G27" s="39" t="n">
        <v>4</v>
      </c>
      <c r="H27" s="39" t="n">
        <v>4</v>
      </c>
      <c r="I27" s="39" t="n">
        <v>0</v>
      </c>
      <c r="J27" s="39" t="n">
        <v>0</v>
      </c>
      <c r="K27" s="39" t="n">
        <v>0</v>
      </c>
      <c r="L27" s="39" t="n"/>
      <c r="M27" s="39" t="n"/>
      <c r="N27" s="39" t="n"/>
      <c r="O27" s="39" t="n"/>
      <c r="P27" s="39" t="n"/>
      <c r="Q27" s="39" t="n"/>
      <c r="R27" s="39" t="n"/>
      <c r="S27" s="39" t="n"/>
      <c r="T27" s="39" t="n"/>
      <c r="U27" s="39" t="n"/>
      <c r="V27" s="39" t="n"/>
      <c r="W27" s="39" t="n"/>
      <c r="X27" s="39" t="n"/>
      <c r="Y27" s="39" t="n"/>
      <c r="Z27" s="39" t="n"/>
      <c r="AA27" s="39" t="n"/>
      <c r="AB27" s="6" t="n"/>
      <c r="AC27" s="6" t="n"/>
      <c r="AD27" s="6" t="n"/>
      <c r="AE27" s="380">
        <f>AC27+IF(NOT(ISBLANK(OFFSET(AE27,0,6))),N(OFFSET(AE27,0,6)),N(OFFSET(AE27,0,7)))-AD27</f>
        <v/>
      </c>
      <c r="AG27" s="355" t="n"/>
      <c r="AH27" s="355" t="n"/>
      <c r="AJ27" s="11" t="n"/>
      <c r="AK27" s="11" t="n"/>
      <c r="AL27" s="11" t="n"/>
      <c r="AM27" s="11" t="n"/>
      <c r="AN27" s="11" t="n"/>
      <c r="AO27" s="11" t="n"/>
      <c r="AP27" s="11" t="n"/>
      <c r="AQ27" s="11" t="n"/>
      <c r="AR27" s="11" t="n"/>
      <c r="AS27" s="11" t="n"/>
      <c r="AT27" s="11" t="n"/>
      <c r="AU27" s="11" t="n"/>
      <c r="AV27" s="11" t="n"/>
      <c r="AW27" s="11" t="n"/>
      <c r="AX27" s="11" t="n"/>
      <c r="AY27" s="11" t="n"/>
      <c r="AZ27" s="11" t="n"/>
      <c r="BA27" s="11" t="n"/>
      <c r="BB27" s="11" t="n"/>
      <c r="BC27" s="11" t="n"/>
    </row>
    <row r="28" hidden="1">
      <c r="A28" s="394" t="inlineStr">
        <is>
          <t>BOLA</t>
        </is>
      </c>
      <c r="B28" s="163" t="n">
        <v>100</v>
      </c>
      <c r="C28" s="636" t="n">
        <v>283</v>
      </c>
      <c r="D28" s="404" t="n"/>
      <c r="F28" s="39" t="n">
        <v>5</v>
      </c>
      <c r="G28" s="39" t="n">
        <v>4</v>
      </c>
      <c r="H28" s="39" t="n">
        <v>4</v>
      </c>
      <c r="I28" s="39" t="n">
        <v>0</v>
      </c>
      <c r="J28" s="39" t="n">
        <v>0</v>
      </c>
      <c r="K28" s="39" t="n">
        <v>0</v>
      </c>
      <c r="L28" s="39" t="n"/>
      <c r="M28" s="39" t="n"/>
      <c r="N28" s="39" t="n"/>
      <c r="O28" s="39" t="n"/>
      <c r="P28" s="39" t="n"/>
      <c r="Q28" s="39" t="n"/>
      <c r="R28" s="39" t="n"/>
      <c r="S28" s="39" t="n"/>
      <c r="T28" s="39" t="n"/>
      <c r="U28" s="39" t="n"/>
      <c r="V28" s="39" t="n"/>
      <c r="W28" s="39" t="n"/>
      <c r="X28" s="39" t="n"/>
      <c r="Y28" s="39" t="n"/>
      <c r="Z28" s="39" t="n"/>
      <c r="AA28" s="39" t="n"/>
      <c r="AB28" s="6" t="n"/>
      <c r="AC28" s="6" t="n"/>
      <c r="AD28" s="6" t="n"/>
      <c r="AE28" s="380">
        <f>AC28+IF(NOT(ISBLANK(OFFSET(AE28,0,6))),N(OFFSET(AE28,0,6)),N(OFFSET(AE28,0,7)))-AD28</f>
        <v/>
      </c>
      <c r="AG28" s="355" t="n"/>
      <c r="AH28" s="355" t="n"/>
      <c r="AJ28" s="11" t="n"/>
      <c r="AK28" s="11" t="n"/>
      <c r="AL28" s="11" t="n"/>
      <c r="AM28" s="11" t="n"/>
      <c r="AN28" s="11" t="n"/>
      <c r="AO28" s="11" t="n"/>
      <c r="AP28" s="11" t="n"/>
      <c r="AQ28" s="11" t="n"/>
      <c r="AR28" s="11" t="n"/>
      <c r="AS28" s="11" t="n"/>
      <c r="AT28" s="11" t="n"/>
      <c r="AU28" s="11" t="n"/>
      <c r="AV28" s="11" t="n"/>
      <c r="AW28" s="11" t="n"/>
      <c r="AX28" s="11" t="n"/>
      <c r="AY28" s="11" t="n"/>
      <c r="AZ28" s="11" t="n"/>
      <c r="BA28" s="11" t="n"/>
      <c r="BB28" s="11" t="n"/>
      <c r="BC28" s="11" t="n"/>
    </row>
    <row r="29" ht="18.75" customHeight="1">
      <c r="A29" s="25" t="inlineStr">
        <is>
          <t>CAIXA P NATAL/25</t>
        </is>
      </c>
      <c r="B29" s="6" t="n">
        <v>150</v>
      </c>
      <c r="C29" s="639" t="n">
        <v>805.35</v>
      </c>
      <c r="D29" s="404" t="n"/>
      <c r="F29" s="6" t="n">
        <v>206</v>
      </c>
      <c r="G29" s="6" t="n">
        <v>112</v>
      </c>
      <c r="H29" s="6" t="n">
        <v>108</v>
      </c>
      <c r="I29" s="6" t="n">
        <v>105</v>
      </c>
      <c r="J29" s="6" t="n">
        <v>98</v>
      </c>
      <c r="K29" s="6" t="n">
        <v>88</v>
      </c>
      <c r="L29" s="6" t="n">
        <v>84</v>
      </c>
      <c r="M29" s="6" t="n">
        <v>81</v>
      </c>
      <c r="N29" s="6" t="n">
        <v>81</v>
      </c>
      <c r="O29" s="6" t="n">
        <v>80</v>
      </c>
      <c r="P29" s="6" t="n">
        <v>80</v>
      </c>
      <c r="Q29" s="6" t="n">
        <v>79</v>
      </c>
      <c r="R29" s="6" t="n">
        <v>77</v>
      </c>
      <c r="S29" s="6" t="n">
        <v>77</v>
      </c>
      <c r="T29" s="6" t="n">
        <v>73</v>
      </c>
      <c r="U29" s="6" t="n"/>
      <c r="V29" s="6" t="n"/>
      <c r="W29" s="6" t="n"/>
      <c r="X29" s="6" t="n">
        <v>62</v>
      </c>
      <c r="Y29" s="6" t="n">
        <v>62</v>
      </c>
      <c r="Z29" s="6" t="n">
        <v>41</v>
      </c>
      <c r="AA29" s="6" t="n">
        <v>40</v>
      </c>
      <c r="AB29" s="6" t="n">
        <v>40</v>
      </c>
      <c r="AC29" s="6" t="n">
        <v>40</v>
      </c>
      <c r="AD29" s="6" t="n">
        <v>40</v>
      </c>
      <c r="AE29" s="380">
        <f>AC29+IF(NOT(ISBLANK(OFFSET(AE29,0,6))),N(OFFSET(AE29,0,6)),N(OFFSET(AE29,0,7)))-AD29</f>
        <v/>
      </c>
      <c r="AG29" s="355" t="n"/>
      <c r="AH29" s="355" t="n"/>
      <c r="AK29" s="11" t="n"/>
      <c r="AL29" s="11" t="n"/>
      <c r="AM29" s="11" t="n"/>
      <c r="AN29" s="11" t="n"/>
      <c r="AO29" s="11" t="n"/>
      <c r="AP29" s="11" t="n"/>
      <c r="AQ29" s="11" t="n"/>
      <c r="AR29" s="11" t="n"/>
      <c r="AS29" s="11" t="n"/>
      <c r="AT29" s="11" t="n"/>
      <c r="AU29" s="11" t="n"/>
      <c r="AV29" s="11" t="n"/>
      <c r="AW29" s="11" t="n"/>
      <c r="AX29" s="11" t="n"/>
      <c r="AY29" s="11" t="n"/>
      <c r="AZ29" s="11" t="n"/>
      <c r="BA29" s="11" t="n"/>
      <c r="BB29" s="11" t="n"/>
      <c r="BC29" s="11" t="n"/>
    </row>
    <row r="30" ht="18.75" customHeight="1">
      <c r="A30" s="25" t="inlineStr">
        <is>
          <t>CAIXA M NATAL/25</t>
        </is>
      </c>
      <c r="B30" s="6" t="n">
        <v>100</v>
      </c>
      <c r="C30" s="639" t="n">
        <v>792.2</v>
      </c>
      <c r="D30" s="404" t="n"/>
      <c r="F30" s="6" t="n">
        <v>164</v>
      </c>
      <c r="G30" s="6" t="n">
        <v>105</v>
      </c>
      <c r="H30" s="6" t="n">
        <v>98</v>
      </c>
      <c r="I30" s="6" t="n">
        <v>82</v>
      </c>
      <c r="J30" s="6" t="n">
        <v>69</v>
      </c>
      <c r="K30" s="6" t="n">
        <v>62</v>
      </c>
      <c r="L30" s="6" t="n">
        <v>55</v>
      </c>
      <c r="M30" s="6" t="n">
        <v>35</v>
      </c>
      <c r="N30" s="6" t="n">
        <v>30</v>
      </c>
      <c r="O30" s="6" t="n">
        <v>25</v>
      </c>
      <c r="P30" s="6" t="n">
        <v>24</v>
      </c>
      <c r="Q30" s="6" t="n">
        <v>15</v>
      </c>
      <c r="R30" s="6" t="n">
        <v>10</v>
      </c>
      <c r="S30" s="6" t="n">
        <v>7</v>
      </c>
      <c r="T30" s="6" t="n">
        <v>7</v>
      </c>
      <c r="U30" s="6" t="n"/>
      <c r="V30" s="6" t="n"/>
      <c r="W30" s="6" t="n"/>
      <c r="X30" s="6" t="n">
        <v>0</v>
      </c>
      <c r="Y30" s="6" t="n">
        <v>0</v>
      </c>
      <c r="Z30" s="6" t="n">
        <v>0</v>
      </c>
      <c r="AA30" s="6" t="n">
        <v>0</v>
      </c>
      <c r="AB30" s="6" t="n">
        <v>0</v>
      </c>
      <c r="AC30" s="6" t="n">
        <v>0</v>
      </c>
      <c r="AD30" s="6" t="n">
        <v>0</v>
      </c>
      <c r="AE30" s="380">
        <f>AC30+IF(NOT(ISBLANK(OFFSET(AE30,0,6))),N(OFFSET(AE30,0,6)),N(OFFSET(AE30,0,7)))-AD30</f>
        <v/>
      </c>
      <c r="AG30" s="355" t="n"/>
      <c r="AH30" s="355" t="n"/>
      <c r="AK30" s="11" t="n"/>
      <c r="AL30" s="11" t="n"/>
      <c r="AM30" s="11" t="n"/>
      <c r="AN30" s="11" t="n"/>
      <c r="AO30" s="11" t="n"/>
      <c r="AP30" s="11" t="n"/>
      <c r="AQ30" s="11" t="n"/>
      <c r="AR30" s="11" t="n"/>
      <c r="AS30" s="11" t="n"/>
      <c r="AT30" s="11" t="n"/>
      <c r="AU30" s="11" t="n"/>
      <c r="AV30" s="11" t="n"/>
      <c r="AW30" s="11" t="n"/>
      <c r="AX30" s="11" t="n"/>
      <c r="AY30" s="11" t="n"/>
      <c r="AZ30" s="11" t="n"/>
      <c r="BA30" s="11" t="n"/>
      <c r="BB30" s="11" t="n"/>
      <c r="BC30" s="11" t="n"/>
    </row>
    <row r="31" hidden="1" ht="18.75" customHeight="1">
      <c r="A31" s="25" t="inlineStr">
        <is>
          <t>CARTUCHO P NATAL/25</t>
        </is>
      </c>
      <c r="B31" s="6" t="n">
        <v>200</v>
      </c>
      <c r="C31" s="639" t="n">
        <v>487.2</v>
      </c>
      <c r="D31" s="404" t="n"/>
      <c r="F31" s="6" t="n">
        <v>-12</v>
      </c>
      <c r="G31" s="6" t="n">
        <v>-12</v>
      </c>
      <c r="H31" s="6" t="n">
        <v>0</v>
      </c>
      <c r="I31" s="6" t="n">
        <v>0</v>
      </c>
      <c r="J31" s="6" t="n">
        <v>0</v>
      </c>
      <c r="K31" s="6" t="n">
        <v>0</v>
      </c>
      <c r="L31" s="6" t="n">
        <v>0</v>
      </c>
      <c r="M31" s="6" t="n">
        <v>0</v>
      </c>
      <c r="N31" s="6" t="n">
        <v>0</v>
      </c>
      <c r="O31" s="6" t="n">
        <v>0</v>
      </c>
      <c r="P31" s="6" t="n">
        <v>0</v>
      </c>
      <c r="Q31" s="6" t="n">
        <v>0</v>
      </c>
      <c r="R31" s="6" t="n">
        <v>0</v>
      </c>
      <c r="S31" s="6" t="n"/>
      <c r="T31" s="6" t="n"/>
      <c r="U31" s="6" t="n"/>
      <c r="V31" s="6" t="n"/>
      <c r="W31" s="6" t="n"/>
      <c r="X31" s="6" t="n"/>
      <c r="Y31" s="6" t="n"/>
      <c r="Z31" s="6" t="n"/>
      <c r="AA31" s="6" t="n"/>
      <c r="AB31" s="6" t="n"/>
      <c r="AC31" s="6" t="n"/>
      <c r="AD31" s="6" t="n"/>
      <c r="AE31" s="380">
        <f>AC31+IF(NOT(ISBLANK(OFFSET(AE31,0,6))),N(OFFSET(AE31,0,6)),N(OFFSET(AE31,0,7)))-AD31</f>
        <v/>
      </c>
      <c r="AG31" s="355" t="n"/>
      <c r="AH31" s="355" t="n"/>
      <c r="AK31" s="11" t="n"/>
      <c r="AL31" s="11" t="n"/>
      <c r="AM31" s="11" t="n"/>
      <c r="AN31" s="11" t="n"/>
      <c r="AO31" s="11" t="n"/>
      <c r="AP31" s="11" t="n"/>
      <c r="AQ31" s="11" t="n"/>
      <c r="AR31" s="11" t="n"/>
      <c r="AS31" s="11" t="n"/>
      <c r="AT31" s="11" t="n"/>
      <c r="AU31" s="11" t="n"/>
      <c r="AV31" s="11" t="n"/>
      <c r="AW31" s="11" t="n"/>
      <c r="AX31" s="11" t="n"/>
      <c r="AY31" s="11" t="n"/>
      <c r="AZ31" s="11" t="n"/>
      <c r="BA31" s="11" t="n"/>
      <c r="BB31" s="11" t="n"/>
      <c r="BC31" s="11" t="n"/>
    </row>
    <row r="32" hidden="1" ht="18.75" customHeight="1">
      <c r="A32" s="25" t="inlineStr">
        <is>
          <t>CARTUCHO M NATAL/25</t>
        </is>
      </c>
      <c r="B32" s="6" t="n">
        <v>150</v>
      </c>
      <c r="C32" s="639" t="n">
        <v>460.35</v>
      </c>
      <c r="D32" s="404" t="n"/>
      <c r="F32" s="6" t="n">
        <v>-12</v>
      </c>
      <c r="G32" s="6" t="n">
        <v>-12</v>
      </c>
      <c r="H32" s="6" t="n">
        <v>0</v>
      </c>
      <c r="I32" s="6" t="n">
        <v>0</v>
      </c>
      <c r="J32" s="6" t="n">
        <v>0</v>
      </c>
      <c r="K32" s="6" t="n">
        <v>0</v>
      </c>
      <c r="L32" s="6" t="n">
        <v>0</v>
      </c>
      <c r="M32" s="6" t="n">
        <v>0</v>
      </c>
      <c r="N32" s="6" t="n">
        <v>0</v>
      </c>
      <c r="O32" s="6" t="n">
        <v>0</v>
      </c>
      <c r="P32" s="6" t="n">
        <v>0</v>
      </c>
      <c r="Q32" s="6" t="n">
        <v>0</v>
      </c>
      <c r="R32" s="6" t="n">
        <v>0</v>
      </c>
      <c r="S32" s="6" t="n"/>
      <c r="T32" s="6" t="n"/>
      <c r="U32" s="6" t="n"/>
      <c r="V32" s="6" t="n"/>
      <c r="W32" s="6" t="n"/>
      <c r="X32" s="6" t="n"/>
      <c r="Y32" s="6" t="n"/>
      <c r="Z32" s="6" t="n"/>
      <c r="AA32" s="6" t="n"/>
      <c r="AB32" s="6" t="n"/>
      <c r="AC32" s="6" t="n"/>
      <c r="AD32" s="6" t="n"/>
      <c r="AE32" s="380">
        <f>AC32+IF(NOT(ISBLANK(OFFSET(AE32,0,6))),N(OFFSET(AE32,0,6)),N(OFFSET(AE32,0,7)))-AD32</f>
        <v/>
      </c>
      <c r="AG32" s="355" t="n"/>
      <c r="AH32" s="355" t="n"/>
      <c r="AK32" s="11" t="n"/>
      <c r="AL32" s="11" t="n"/>
      <c r="AM32" s="11" t="n"/>
      <c r="AN32" s="11" t="n"/>
      <c r="AO32" s="11" t="n"/>
      <c r="AP32" s="11" t="n"/>
      <c r="AQ32" s="11" t="n"/>
      <c r="AR32" s="11" t="n"/>
      <c r="AS32" s="11" t="n"/>
      <c r="AT32" s="11" t="n"/>
      <c r="AU32" s="11" t="n"/>
      <c r="AV32" s="11" t="n"/>
      <c r="AW32" s="11" t="n"/>
      <c r="AX32" s="11" t="n"/>
      <c r="AY32" s="11" t="n"/>
      <c r="AZ32" s="11" t="n"/>
      <c r="BA32" s="11" t="n"/>
      <c r="BB32" s="11" t="n"/>
      <c r="BC32" s="11" t="n"/>
    </row>
    <row r="33" ht="18.75" customHeight="1">
      <c r="A33" s="25" t="inlineStr">
        <is>
          <t>PIN NATAL/25</t>
        </is>
      </c>
      <c r="B33" s="6" t="n">
        <v>10</v>
      </c>
      <c r="C33" s="639" t="n">
        <v>120</v>
      </c>
      <c r="D33" s="404" t="n"/>
      <c r="F33" s="39" t="n">
        <v>17</v>
      </c>
      <c r="G33" s="39" t="n">
        <v>15</v>
      </c>
      <c r="H33" s="39" t="n">
        <v>5</v>
      </c>
      <c r="I33" s="39" t="n">
        <v>5</v>
      </c>
      <c r="J33" s="39" t="n">
        <v>5</v>
      </c>
      <c r="K33" s="39" t="n">
        <v>5</v>
      </c>
      <c r="L33" s="39" t="n">
        <v>5</v>
      </c>
      <c r="M33" s="39" t="n">
        <v>5</v>
      </c>
      <c r="N33" s="39" t="n">
        <v>5</v>
      </c>
      <c r="O33" s="39" t="n">
        <v>5</v>
      </c>
      <c r="P33" s="39" t="n">
        <v>5</v>
      </c>
      <c r="Q33" s="39" t="n">
        <v>5</v>
      </c>
      <c r="R33" s="39" t="n">
        <v>5</v>
      </c>
      <c r="S33" s="39" t="n">
        <v>5</v>
      </c>
      <c r="T33" s="39" t="n">
        <v>5</v>
      </c>
      <c r="U33" s="39" t="n"/>
      <c r="V33" s="39" t="n"/>
      <c r="W33" s="39" t="n"/>
      <c r="X33" s="39" t="n">
        <v>5</v>
      </c>
      <c r="Y33" s="39" t="n">
        <v>5</v>
      </c>
      <c r="Z33" s="39" t="n">
        <v>5</v>
      </c>
      <c r="AA33" s="39" t="n">
        <v>5</v>
      </c>
      <c r="AB33" s="6" t="n">
        <v>5</v>
      </c>
      <c r="AC33" s="6" t="n">
        <v>5</v>
      </c>
      <c r="AD33" s="6" t="n">
        <v>5</v>
      </c>
      <c r="AE33" s="380">
        <f>AC33+IF(NOT(ISBLANK(OFFSET(AE33,0,6))),N(OFFSET(AE33,0,6)),N(OFFSET(AE33,0,7)))-AD33</f>
        <v/>
      </c>
      <c r="AG33" s="355" t="n"/>
      <c r="AH33" s="355" t="n"/>
      <c r="AK33" s="11" t="n"/>
      <c r="AL33" s="11" t="n"/>
      <c r="AM33" s="11" t="n"/>
      <c r="AN33" s="11" t="n"/>
      <c r="AO33" s="11" t="n"/>
      <c r="AP33" s="11" t="n"/>
      <c r="AQ33" s="11" t="n"/>
      <c r="AR33" s="11" t="n"/>
      <c r="AS33" s="11" t="n"/>
      <c r="AT33" s="11" t="n"/>
      <c r="AU33" s="11" t="n"/>
      <c r="AV33" s="11" t="n"/>
      <c r="AW33" s="11" t="n"/>
      <c r="AX33" s="11" t="n"/>
      <c r="AY33" s="11" t="n"/>
      <c r="AZ33" s="11" t="n"/>
      <c r="BA33" s="11" t="n"/>
      <c r="BB33" s="11" t="n"/>
      <c r="BC33" s="11" t="n"/>
    </row>
    <row r="34" ht="18.75" customHeight="1">
      <c r="A34" s="291" t="inlineStr">
        <is>
          <t>CAIXA M HOMEM ARANHA</t>
        </is>
      </c>
      <c r="B34" s="292" t="n">
        <v>100</v>
      </c>
      <c r="C34" s="638" t="n">
        <v>1490</v>
      </c>
      <c r="D34" s="404" t="n"/>
      <c r="F34" s="2" t="n"/>
      <c r="G34" s="2" t="n"/>
      <c r="H34" s="2" t="n"/>
      <c r="I34" s="2" t="n"/>
      <c r="J34" s="2" t="n"/>
      <c r="K34" s="2" t="n"/>
      <c r="L34" s="2" t="n"/>
      <c r="M34" s="2" t="n"/>
      <c r="N34" s="2" t="n"/>
      <c r="O34" s="2" t="n"/>
      <c r="P34" s="2" t="n"/>
      <c r="Q34" s="2" t="n"/>
      <c r="R34" s="39" t="n">
        <v>0</v>
      </c>
      <c r="S34" s="39" t="n">
        <v>0</v>
      </c>
      <c r="T34" s="39" t="n">
        <v>0</v>
      </c>
      <c r="U34" s="39" t="n"/>
      <c r="V34" s="39" t="n"/>
      <c r="W34" s="39" t="n"/>
      <c r="X34" s="39" t="n">
        <v>0</v>
      </c>
      <c r="Y34" s="39" t="n">
        <v>4</v>
      </c>
      <c r="Z34" s="39" t="n">
        <v>4</v>
      </c>
      <c r="AA34" s="39" t="n">
        <v>4</v>
      </c>
      <c r="AB34" s="6" t="n">
        <v>4</v>
      </c>
      <c r="AC34" s="6" t="n">
        <v>4</v>
      </c>
      <c r="AD34" s="6" t="n">
        <v>4</v>
      </c>
      <c r="AE34" s="380">
        <f>AC34+IF(NOT(ISBLANK(OFFSET(AE34,0,6))),N(OFFSET(AE34,0,6)),N(OFFSET(AE34,0,7)))-AD34</f>
        <v/>
      </c>
      <c r="AG34" s="355" t="n"/>
      <c r="AH34" s="355" t="n"/>
      <c r="AK34" s="11" t="n"/>
      <c r="AL34" s="11" t="n"/>
      <c r="AM34" s="11" t="n"/>
      <c r="AN34" s="11" t="n"/>
      <c r="AO34" s="11" t="n"/>
      <c r="AP34" s="11" t="n"/>
      <c r="AQ34" s="11" t="n"/>
      <c r="AR34" s="11" t="n"/>
      <c r="AS34" s="11" t="n"/>
      <c r="AT34" s="11" t="n"/>
      <c r="AU34" s="11" t="n"/>
      <c r="AV34" s="11" t="n"/>
      <c r="AW34" s="11" t="n"/>
      <c r="AX34" s="11" t="n"/>
      <c r="AY34" s="11" t="n"/>
      <c r="AZ34" s="11" t="n"/>
      <c r="BA34" s="11" t="n"/>
      <c r="BB34" s="11" t="n"/>
      <c r="BC34" s="11" t="n"/>
    </row>
    <row r="35" ht="18.75" customHeight="1">
      <c r="AG35" s="355" t="n"/>
      <c r="AH35" s="355" t="n"/>
      <c r="AK35" s="11" t="n"/>
      <c r="AL35" s="11" t="n"/>
      <c r="AM35" s="11" t="n"/>
      <c r="AN35" s="11" t="n"/>
      <c r="AO35" s="11" t="n"/>
      <c r="AP35" s="11" t="n"/>
      <c r="AQ35" s="11" t="n"/>
      <c r="AR35" s="11" t="n"/>
      <c r="AS35" s="11" t="n"/>
      <c r="AT35" s="11" t="n"/>
      <c r="AU35" s="11" t="n"/>
      <c r="AV35" s="11" t="n"/>
      <c r="AW35" s="11" t="n"/>
      <c r="AX35" s="11" t="n"/>
      <c r="AY35" s="11" t="n"/>
      <c r="AZ35" s="11" t="n"/>
      <c r="BA35" s="11" t="n"/>
      <c r="BB35" s="11" t="n"/>
      <c r="BC35" s="11" t="n"/>
    </row>
    <row r="36" ht="21" customHeight="1">
      <c r="A36" s="402" t="inlineStr">
        <is>
          <t>SOBRAS DATAS COMEMORATIVAS</t>
        </is>
      </c>
      <c r="B36" s="402" t="n"/>
      <c r="C36" s="402" t="n"/>
      <c r="AG36" s="355" t="n"/>
      <c r="AH36" s="355" t="n"/>
      <c r="AK36" s="11" t="n"/>
      <c r="AL36" s="11" t="n"/>
      <c r="AM36" s="11" t="n"/>
      <c r="AN36" s="11" t="n"/>
      <c r="AO36" s="11" t="n"/>
      <c r="AP36" s="11" t="n"/>
      <c r="AQ36" s="11" t="n"/>
      <c r="AR36" s="11" t="n"/>
      <c r="AS36" s="11" t="n"/>
      <c r="AT36" s="11" t="n"/>
      <c r="AU36" s="11" t="n"/>
      <c r="AV36" s="11" t="n"/>
      <c r="AW36" s="11" t="n"/>
      <c r="AX36" s="11" t="n"/>
      <c r="AY36" s="11" t="n"/>
      <c r="AZ36" s="11" t="n"/>
      <c r="BA36" s="11" t="n"/>
      <c r="BB36" s="11" t="n"/>
      <c r="BC36" s="11" t="n"/>
    </row>
    <row r="37">
      <c r="A37" s="369" t="inlineStr">
        <is>
          <t>ITENS</t>
        </is>
      </c>
      <c r="B37" s="369" t="n"/>
      <c r="C37" s="369" t="inlineStr">
        <is>
          <t>ESTOQUE</t>
        </is>
      </c>
      <c r="E37" s="41" t="n"/>
      <c r="F37" s="41" t="n"/>
      <c r="G37" s="41" t="n"/>
      <c r="H37" s="41" t="n"/>
      <c r="I37" s="41" t="n"/>
      <c r="J37" s="41" t="n"/>
      <c r="K37" s="41" t="n"/>
      <c r="L37" s="41" t="n"/>
      <c r="M37" s="41" t="n"/>
      <c r="N37" s="41" t="n"/>
      <c r="O37" s="41" t="n"/>
      <c r="P37" s="41" t="n"/>
      <c r="Q37" s="41" t="n"/>
      <c r="R37" s="41" t="n"/>
      <c r="S37" s="41" t="n"/>
      <c r="T37" s="41" t="n"/>
      <c r="U37" s="41" t="n"/>
      <c r="V37" s="41" t="n"/>
      <c r="W37" s="41" t="n"/>
      <c r="X37" s="41" t="n"/>
      <c r="Y37" s="41" t="n"/>
      <c r="Z37" s="41" t="n"/>
      <c r="AA37" s="41" t="n"/>
      <c r="AB37" s="41" t="n"/>
      <c r="AC37" s="41" t="n"/>
      <c r="AD37" s="41" t="n"/>
      <c r="AE37" s="41" t="n"/>
      <c r="AF37" s="41" t="n"/>
      <c r="AG37" s="355" t="n"/>
      <c r="AH37" s="355" t="n"/>
      <c r="AI37" s="41" t="n"/>
      <c r="AK37" s="11" t="n"/>
      <c r="AL37" s="11" t="n"/>
      <c r="AM37" s="11" t="n"/>
      <c r="AN37" s="11" t="n"/>
      <c r="AO37" s="11" t="n"/>
      <c r="AP37" s="11" t="n"/>
      <c r="AQ37" s="11" t="n"/>
      <c r="AR37" s="11" t="n"/>
      <c r="AS37" s="11" t="n"/>
      <c r="AT37" s="11" t="n"/>
      <c r="AU37" s="11" t="n"/>
      <c r="AV37" s="11" t="n"/>
      <c r="AW37" s="11" t="n"/>
      <c r="AX37" s="11" t="n"/>
      <c r="AY37" s="11" t="n"/>
      <c r="AZ37" s="11" t="n"/>
      <c r="BA37" s="11" t="n"/>
      <c r="BB37" s="11" t="n"/>
      <c r="BC37" s="11" t="n"/>
    </row>
    <row r="38">
      <c r="A38" s="294" t="n"/>
      <c r="B38" s="378" t="n"/>
      <c r="C38" s="365" t="n"/>
      <c r="E38" s="41" t="n"/>
      <c r="F38" s="41" t="n"/>
      <c r="G38" s="41" t="n"/>
      <c r="H38" s="41" t="n"/>
      <c r="I38" s="41" t="n"/>
      <c r="J38" s="41" t="n"/>
      <c r="K38" s="41" t="n"/>
      <c r="L38" s="41" t="n"/>
      <c r="M38" s="41" t="n"/>
      <c r="N38" s="41" t="n"/>
      <c r="O38" s="41" t="n"/>
      <c r="P38" s="41" t="n"/>
      <c r="Q38" s="41" t="n"/>
      <c r="R38" s="41" t="n"/>
      <c r="S38" s="41" t="n"/>
      <c r="T38" s="41" t="n"/>
      <c r="U38" s="41" t="n"/>
      <c r="V38" s="41" t="n"/>
      <c r="W38" s="41" t="n"/>
      <c r="X38" s="41" t="n"/>
      <c r="Y38" s="41" t="n"/>
      <c r="Z38" s="41" t="n"/>
      <c r="AA38" s="41" t="n"/>
      <c r="AB38" s="41" t="n"/>
      <c r="AC38" s="41" t="n"/>
      <c r="AD38" s="41" t="n"/>
      <c r="AE38" s="41" t="n"/>
      <c r="AF38" s="41" t="n"/>
      <c r="AG38" s="355" t="n"/>
      <c r="AH38" s="355" t="n"/>
      <c r="AI38" s="41" t="n"/>
      <c r="AJ38" s="41" t="n"/>
      <c r="AK38" s="11" t="n"/>
      <c r="AL38" s="11" t="n"/>
      <c r="AM38" s="11" t="n"/>
      <c r="AN38" s="11" t="n"/>
      <c r="AO38" s="11" t="n"/>
      <c r="AP38" s="11" t="n"/>
      <c r="AQ38" s="11" t="n"/>
      <c r="AR38" s="11" t="n"/>
      <c r="AS38" s="11" t="n"/>
      <c r="AT38" s="11" t="n"/>
      <c r="AU38" s="11" t="n"/>
      <c r="AV38" s="11" t="n"/>
      <c r="AW38" s="11" t="n"/>
      <c r="AX38" s="11" t="n"/>
      <c r="AY38" s="11" t="n"/>
      <c r="AZ38" s="11" t="n"/>
      <c r="BA38" s="11" t="n"/>
      <c r="BB38" s="11" t="n"/>
      <c r="BC38" s="11" t="n"/>
      <c r="BD38" s="370" t="n"/>
      <c r="BR38" s="370" t="n"/>
      <c r="BS38" s="370" t="n"/>
      <c r="BT38" s="370" t="n"/>
      <c r="BU38" s="370" t="n"/>
      <c r="BV38" s="370" t="n"/>
      <c r="BW38" s="370" t="n"/>
      <c r="BX38" s="370" t="n"/>
      <c r="BY38" s="370" t="n"/>
      <c r="BZ38" s="370" t="n"/>
      <c r="CA38" s="370" t="n"/>
      <c r="CB38" s="71" t="n"/>
      <c r="CC38" s="41" t="n"/>
      <c r="CD38" s="34" t="n"/>
      <c r="CE38" s="41" t="n"/>
      <c r="CG38" s="409" t="n"/>
      <c r="CH38" s="409" t="n"/>
      <c r="CI38" s="409" t="n"/>
      <c r="CJ38" s="409" t="n"/>
      <c r="CK38" s="409" t="n"/>
      <c r="CL38" s="409" t="n"/>
      <c r="CM38" s="409" t="n"/>
      <c r="CN38" s="409" t="n"/>
      <c r="CO38" s="409" t="n"/>
      <c r="CP38" s="409" t="n"/>
      <c r="CQ38" s="409" t="n"/>
      <c r="CR38" s="409" t="n"/>
      <c r="CS38" s="409" t="n"/>
      <c r="CT38" s="409" t="n"/>
      <c r="CU38" s="409" t="n"/>
      <c r="CV38" s="409" t="n"/>
      <c r="CW38" s="409" t="n"/>
      <c r="CX38" s="409" t="n"/>
      <c r="CY38" s="409" t="n"/>
      <c r="CZ38" s="374" t="n"/>
      <c r="DA38" s="409" t="n"/>
      <c r="DB38" s="356" t="n"/>
      <c r="DC38" s="409" t="n"/>
      <c r="DD38" s="409" t="n"/>
      <c r="DE38" s="409" t="n"/>
      <c r="DF38" s="409" t="n"/>
      <c r="DG38" s="409" t="n"/>
      <c r="DH38" s="409" t="n"/>
      <c r="DI38" s="409" t="n"/>
      <c r="DJ38" s="409" t="n"/>
      <c r="DK38" s="409" t="n"/>
      <c r="DL38" s="409" t="n"/>
      <c r="DM38" s="409" t="n"/>
      <c r="DN38" s="409" t="n"/>
      <c r="DO38" s="409" t="n"/>
      <c r="DP38" s="409" t="n"/>
      <c r="DQ38" s="409" t="n"/>
      <c r="DR38" s="409" t="n"/>
      <c r="DS38" s="409" t="n"/>
      <c r="DT38" s="409" t="n"/>
      <c r="DU38" s="409" t="n"/>
      <c r="DV38" s="409" t="n"/>
      <c r="DW38" s="409" t="n"/>
      <c r="DX38" s="409" t="n"/>
      <c r="DY38" s="409" t="n"/>
      <c r="DZ38" s="409" t="n"/>
      <c r="EA38" s="409" t="n"/>
      <c r="EB38" s="409" t="n"/>
      <c r="EC38" s="409" t="n"/>
      <c r="ED38" s="409" t="n"/>
      <c r="EE38" s="409" t="n"/>
      <c r="EF38" s="409" t="n"/>
      <c r="EG38" s="409" t="n"/>
      <c r="EH38" s="409" t="n"/>
      <c r="EI38" s="409" t="n"/>
      <c r="EJ38" s="409" t="n"/>
      <c r="EK38" s="409" t="n"/>
      <c r="EL38" s="409" t="n"/>
      <c r="EM38" s="409" t="n"/>
      <c r="EN38" s="409" t="n"/>
      <c r="EO38" s="409" t="n"/>
      <c r="EP38" s="409" t="n"/>
      <c r="EQ38" s="409" t="n"/>
      <c r="ER38" s="409" t="n"/>
      <c r="ES38" s="409" t="n"/>
      <c r="ET38" s="409" t="n"/>
      <c r="EU38" s="409" t="n"/>
      <c r="EV38" s="409" t="n"/>
    </row>
    <row r="39">
      <c r="A39" s="365" t="n"/>
      <c r="B39" s="605" t="n"/>
      <c r="C39" s="606" t="n"/>
      <c r="E39" s="41" t="n"/>
      <c r="F39" s="41" t="n"/>
      <c r="G39" s="41" t="n"/>
      <c r="H39" s="41" t="n"/>
      <c r="I39" s="41" t="n"/>
      <c r="J39" s="41" t="n"/>
      <c r="K39" s="41" t="n"/>
      <c r="L39" s="41" t="n"/>
      <c r="M39" s="41" t="n"/>
      <c r="N39" s="41" t="n"/>
      <c r="O39" s="41" t="n"/>
      <c r="P39" s="41" t="n"/>
      <c r="Q39" s="41" t="n"/>
      <c r="R39" s="41" t="n"/>
      <c r="S39" s="41" t="n"/>
      <c r="T39" s="41" t="n"/>
      <c r="U39" s="41" t="n"/>
      <c r="V39" s="41" t="n"/>
      <c r="W39" s="41" t="n"/>
      <c r="X39" s="41" t="n"/>
      <c r="Y39" s="41" t="n"/>
      <c r="Z39" s="41" t="n"/>
      <c r="AA39" s="41" t="n"/>
      <c r="AB39" s="41" t="n"/>
      <c r="AC39" s="41" t="n"/>
      <c r="AD39" s="41" t="n"/>
      <c r="AE39" s="158" t="n"/>
      <c r="AF39" s="41" t="n"/>
      <c r="AG39" s="355" t="n"/>
      <c r="AH39" s="355" t="n"/>
      <c r="AI39" s="41" t="n"/>
      <c r="AJ39" s="41" t="n"/>
      <c r="AK39" s="11" t="n"/>
      <c r="AL39" s="11" t="n"/>
      <c r="AM39" s="11" t="n"/>
      <c r="AN39" s="11" t="n"/>
      <c r="AO39" s="11" t="n"/>
      <c r="AP39" s="11" t="n"/>
      <c r="AQ39" s="11" t="n"/>
      <c r="AR39" s="11" t="n"/>
      <c r="AS39" s="11" t="n"/>
      <c r="AT39" s="11" t="n"/>
      <c r="AU39" s="11" t="n"/>
      <c r="AV39" s="11" t="n"/>
      <c r="AW39" s="11" t="n"/>
      <c r="AX39" s="11" t="n"/>
      <c r="AY39" s="11" t="n"/>
      <c r="AZ39" s="11" t="n"/>
      <c r="BA39" s="11" t="n"/>
      <c r="BB39" s="11" t="n"/>
      <c r="BC39" s="11" t="n"/>
      <c r="BD39" s="34" t="n"/>
      <c r="BR39" s="34" t="n"/>
      <c r="BS39" s="34" t="n"/>
      <c r="BT39" s="34" t="n"/>
      <c r="BU39" s="34" t="n"/>
      <c r="BV39" s="34" t="n"/>
      <c r="BW39" s="34" t="n"/>
      <c r="BX39" s="34" t="n"/>
      <c r="BY39" s="34" t="n"/>
      <c r="BZ39" s="34" t="n"/>
      <c r="CA39" s="34" t="n"/>
      <c r="CB39" s="71" t="n"/>
      <c r="CC39" s="41" t="n"/>
      <c r="CD39" s="34" t="n"/>
      <c r="CE39" s="41" t="n"/>
      <c r="CG39" s="34" t="n"/>
      <c r="CH39" s="34" t="n"/>
      <c r="CI39" s="34" t="n"/>
      <c r="CJ39" s="34" t="n"/>
      <c r="CK39" s="34" t="n"/>
      <c r="CL39" s="34" t="n"/>
      <c r="CM39" s="34" t="n"/>
      <c r="CN39" s="34" t="n"/>
      <c r="CO39" s="34" t="n"/>
      <c r="CP39" s="34" t="n"/>
      <c r="CQ39" s="34" t="n"/>
      <c r="CR39" s="34" t="n"/>
      <c r="CS39" s="34" t="n"/>
      <c r="CT39" s="34" t="n"/>
      <c r="CU39" s="34" t="n"/>
      <c r="CV39" s="34" t="n"/>
      <c r="CW39" s="34" t="n"/>
      <c r="CX39" s="34" t="n"/>
      <c r="CY39" s="34" t="n"/>
      <c r="CZ39" s="374" t="n"/>
      <c r="DA39" s="34" t="n"/>
      <c r="DB39" s="358" t="n"/>
      <c r="DC39" s="34" t="n"/>
      <c r="DD39" s="34" t="n"/>
      <c r="DE39" s="34" t="n"/>
      <c r="DF39" s="34" t="n"/>
      <c r="DG39" s="34" t="n"/>
      <c r="DH39" s="34" t="n"/>
      <c r="DI39" s="34" t="n"/>
      <c r="DJ39" s="34" t="n"/>
      <c r="DK39" s="34" t="n"/>
      <c r="DL39" s="34" t="n"/>
      <c r="DM39" s="34" t="n"/>
      <c r="DN39" s="34" t="n"/>
      <c r="DO39" s="34" t="n"/>
      <c r="DP39" s="34" t="n"/>
      <c r="DQ39" s="34" t="n"/>
      <c r="DR39" s="34" t="n"/>
      <c r="DS39" s="34" t="n"/>
      <c r="DT39" s="34" t="n"/>
      <c r="DU39" s="34" t="n"/>
      <c r="DV39" s="34" t="n"/>
      <c r="DW39" s="34" t="n"/>
      <c r="DX39" s="34" t="n"/>
      <c r="DY39" s="34" t="n"/>
      <c r="DZ39" s="154" t="n"/>
      <c r="EA39" s="34" t="n"/>
      <c r="EB39" s="154" t="n"/>
      <c r="EC39" s="34" t="n"/>
      <c r="ED39" s="34" t="n"/>
      <c r="EE39" s="34" t="n"/>
      <c r="EF39" s="154" t="n"/>
      <c r="EG39" s="34" t="n"/>
      <c r="EH39" s="154" t="n"/>
      <c r="EI39" s="34" t="n"/>
      <c r="EJ39" s="34" t="n"/>
      <c r="EK39" s="34" t="n"/>
      <c r="EL39" s="34" t="n"/>
      <c r="EM39" s="34" t="n"/>
      <c r="EN39" s="34" t="n"/>
      <c r="EO39" s="34" t="n"/>
      <c r="EP39" s="34" t="n"/>
      <c r="EQ39" s="34" t="n"/>
      <c r="ER39" s="34" t="n"/>
      <c r="ES39" s="34" t="n"/>
      <c r="ET39" s="34" t="n"/>
      <c r="EU39" s="34" t="n"/>
      <c r="EV39" s="34" t="n"/>
    </row>
    <row r="40">
      <c r="A40" s="294" t="n"/>
      <c r="B40" s="378" t="n"/>
      <c r="C40" s="365" t="n"/>
      <c r="E40" s="41" t="n"/>
      <c r="F40" s="41" t="n"/>
      <c r="G40" s="41" t="n"/>
      <c r="H40" s="41" t="n"/>
      <c r="I40" s="41" t="n"/>
      <c r="J40" s="41" t="n"/>
      <c r="K40" s="41" t="n"/>
      <c r="L40" s="41" t="n"/>
      <c r="M40" s="41" t="n"/>
      <c r="N40" s="41" t="n"/>
      <c r="O40" s="41" t="n"/>
      <c r="P40" s="41" t="n"/>
      <c r="Q40" s="41" t="n"/>
      <c r="R40" s="41" t="n"/>
      <c r="S40" s="41" t="n"/>
      <c r="T40" s="41" t="n"/>
      <c r="U40" s="41" t="n"/>
      <c r="V40" s="41" t="n"/>
      <c r="W40" s="41" t="n"/>
      <c r="X40" s="41" t="n"/>
      <c r="Y40" s="41" t="n"/>
      <c r="Z40" s="41" t="n"/>
      <c r="AA40" s="41" t="n"/>
      <c r="AB40" s="41" t="n"/>
      <c r="AC40" s="41" t="n"/>
      <c r="AD40" s="41" t="n"/>
      <c r="AE40" s="41" t="n"/>
      <c r="AF40" s="41" t="n"/>
      <c r="AI40" s="41" t="n"/>
      <c r="AJ40" s="41" t="n"/>
      <c r="AK40" s="409" t="n"/>
      <c r="AL40" s="409" t="n"/>
      <c r="AM40" s="409" t="n"/>
      <c r="AN40" s="409" t="n"/>
      <c r="AO40" s="409" t="n"/>
      <c r="AP40" s="409" t="n"/>
      <c r="AQ40" s="409" t="n"/>
      <c r="AR40" s="409" t="n"/>
      <c r="AS40" s="409" t="n"/>
      <c r="AT40" s="409" t="n"/>
      <c r="AU40" s="409" t="n"/>
      <c r="AV40" s="409" t="n"/>
      <c r="AW40" s="409" t="n"/>
      <c r="AX40" s="409" t="n"/>
      <c r="AY40" s="409" t="n"/>
      <c r="AZ40" s="409" t="n"/>
      <c r="BA40" s="409" t="n"/>
      <c r="BB40" s="409" t="n"/>
      <c r="BC40" s="409" t="n"/>
      <c r="BD40" s="34" t="n"/>
      <c r="BR40" s="34" t="n"/>
      <c r="BS40" s="34" t="n"/>
      <c r="BT40" s="34" t="n"/>
      <c r="BU40" s="34" t="n"/>
      <c r="BV40" s="34" t="n"/>
      <c r="BW40" s="34" t="n"/>
      <c r="BX40" s="34" t="n"/>
      <c r="BY40" s="34" t="n"/>
      <c r="BZ40" s="34" t="n"/>
      <c r="CA40" s="34" t="n"/>
      <c r="CB40" s="71" t="n"/>
      <c r="CC40" s="41" t="n"/>
      <c r="CD40" s="34" t="n"/>
      <c r="CE40" s="41" t="n"/>
      <c r="CG40" s="34" t="n"/>
      <c r="CH40" s="34" t="n"/>
      <c r="CI40" s="34" t="n"/>
      <c r="CJ40" s="34" t="n"/>
      <c r="CK40" s="34" t="n"/>
      <c r="CL40" s="34" t="n"/>
      <c r="CM40" s="34" t="n"/>
      <c r="CN40" s="34" t="n"/>
      <c r="CO40" s="34" t="n"/>
      <c r="CP40" s="34" t="n"/>
      <c r="CQ40" s="34" t="n"/>
      <c r="CR40" s="34" t="n"/>
      <c r="CS40" s="34" t="n"/>
      <c r="CT40" s="34" t="n"/>
      <c r="CU40" s="34" t="n"/>
      <c r="CV40" s="34" t="n"/>
      <c r="CW40" s="34" t="n"/>
      <c r="CX40" s="34" t="n"/>
      <c r="CY40" s="34" t="n"/>
      <c r="CZ40" s="374" t="n"/>
      <c r="DA40" s="34" t="n"/>
      <c r="DB40" s="373" t="n"/>
      <c r="DC40" s="34" t="n"/>
      <c r="DD40" s="34" t="n"/>
      <c r="DE40" s="34" t="n"/>
      <c r="DF40" s="34" t="n"/>
      <c r="DG40" s="34" t="n"/>
      <c r="DH40" s="34" t="n"/>
      <c r="DI40" s="34" t="n"/>
      <c r="DJ40" s="34" t="n"/>
      <c r="DK40" s="34" t="n"/>
      <c r="DL40" s="34" t="n"/>
      <c r="DM40" s="34" t="n"/>
      <c r="DN40" s="34" t="n"/>
      <c r="DO40" s="34" t="n"/>
      <c r="DP40" s="34" t="n"/>
      <c r="DQ40" s="34" t="n"/>
      <c r="DR40" s="34" t="n"/>
      <c r="DS40" s="34" t="n"/>
      <c r="DT40" s="34" t="n"/>
      <c r="DU40" s="34" t="n"/>
      <c r="DV40" s="34" t="n"/>
      <c r="DW40" s="34" t="n"/>
      <c r="DX40" s="34" t="n"/>
      <c r="DY40" s="34" t="n"/>
      <c r="DZ40" s="154" t="n"/>
      <c r="EA40" s="34" t="n"/>
      <c r="EB40" s="154" t="n"/>
      <c r="EC40" s="34" t="n"/>
      <c r="ED40" s="34" t="n"/>
      <c r="EE40" s="34" t="n"/>
      <c r="EF40" s="154" t="n"/>
      <c r="EG40" s="34" t="n"/>
      <c r="EH40" s="154" t="n"/>
      <c r="EI40" s="34" t="n"/>
      <c r="EJ40" s="34" t="n"/>
      <c r="EK40" s="34" t="n"/>
      <c r="EL40" s="34" t="n"/>
      <c r="EM40" s="34" t="n"/>
      <c r="EN40" s="34" t="n"/>
      <c r="EO40" s="34" t="n"/>
      <c r="EP40" s="34" t="n"/>
      <c r="EQ40" s="34" t="n"/>
      <c r="ER40" s="34" t="n"/>
      <c r="ES40" s="34" t="n"/>
      <c r="ET40" s="34" t="n"/>
      <c r="EU40" s="34" t="n"/>
      <c r="EV40" s="34" t="n"/>
    </row>
    <row r="41">
      <c r="A41" s="294" t="n"/>
      <c r="B41" s="378" t="n"/>
      <c r="C41" s="365" t="n"/>
      <c r="E41" s="41" t="n"/>
      <c r="F41" s="41" t="n"/>
      <c r="G41" s="41" t="n"/>
      <c r="H41" s="41" t="n"/>
      <c r="I41" s="41" t="n"/>
      <c r="J41" s="41" t="n"/>
      <c r="K41" s="41" t="n"/>
      <c r="L41" s="41" t="n"/>
      <c r="M41" s="41" t="n"/>
      <c r="N41" s="41" t="n"/>
      <c r="O41" s="41" t="n"/>
      <c r="P41" s="41" t="n"/>
      <c r="Q41" s="41" t="n"/>
      <c r="R41" s="41" t="n"/>
      <c r="S41" s="41" t="n"/>
      <c r="T41" s="41" t="n"/>
      <c r="U41" s="41" t="n"/>
      <c r="V41" s="41" t="n"/>
      <c r="W41" s="41" t="n"/>
      <c r="X41" s="41" t="n"/>
      <c r="Y41" s="41" t="n"/>
      <c r="Z41" s="41" t="n"/>
      <c r="AA41" s="41" t="n"/>
      <c r="AB41" s="41" t="n"/>
      <c r="AC41" s="41" t="n"/>
      <c r="AD41" s="41" t="n"/>
      <c r="AE41" s="41" t="n"/>
      <c r="AF41" s="41" t="n"/>
      <c r="AI41" s="41" t="n"/>
      <c r="AJ41" s="41" t="n"/>
      <c r="AK41" s="409" t="n"/>
      <c r="AL41" s="409" t="n"/>
      <c r="AM41" s="409" t="n"/>
      <c r="AN41" s="409" t="n"/>
      <c r="AO41" s="409" t="n"/>
      <c r="AP41" s="409" t="n"/>
      <c r="AQ41" s="409" t="n"/>
      <c r="AR41" s="409" t="n"/>
      <c r="AS41" s="409" t="n"/>
      <c r="AT41" s="409" t="n"/>
      <c r="AU41" s="409" t="n"/>
      <c r="AV41" s="409" t="n"/>
      <c r="AW41" s="409" t="n"/>
      <c r="AX41" s="409" t="n"/>
      <c r="AY41" s="409" t="n"/>
      <c r="AZ41" s="409" t="n"/>
      <c r="BA41" s="409" t="n"/>
      <c r="BB41" s="409" t="n"/>
      <c r="BC41" s="409" t="n"/>
      <c r="BD41" s="34" t="n"/>
      <c r="BL41" s="41" t="n"/>
      <c r="BM41" s="41" t="n"/>
      <c r="BN41" s="41" t="n"/>
      <c r="BO41" s="41" t="n"/>
      <c r="BP41" s="41" t="n"/>
      <c r="BR41" s="34" t="n"/>
      <c r="BS41" s="34" t="n"/>
      <c r="BT41" s="34" t="n"/>
      <c r="BU41" s="34" t="n"/>
      <c r="BV41" s="34" t="n"/>
      <c r="BW41" s="34" t="n"/>
      <c r="BX41" s="34" t="n"/>
      <c r="BY41" s="34" t="n"/>
      <c r="BZ41" s="34" t="n"/>
      <c r="CA41" s="34" t="n"/>
      <c r="CB41" s="71" t="n"/>
      <c r="CC41" s="41" t="n"/>
      <c r="CD41" s="34" t="n"/>
      <c r="CE41" s="41" t="n"/>
      <c r="CG41" s="34" t="n"/>
      <c r="CH41" s="34" t="n"/>
      <c r="CI41" s="34" t="n"/>
      <c r="CJ41" s="34" t="n"/>
      <c r="CK41" s="34" t="n"/>
      <c r="CL41" s="34" t="n"/>
      <c r="CM41" s="34" t="n"/>
      <c r="CN41" s="34" t="n"/>
      <c r="CO41" s="34" t="n"/>
      <c r="CP41" s="34" t="n"/>
      <c r="CQ41" s="34" t="n"/>
      <c r="CR41" s="34" t="n"/>
      <c r="CS41" s="34" t="n"/>
      <c r="CT41" s="34" t="n"/>
      <c r="CU41" s="34" t="n"/>
      <c r="CV41" s="34" t="n"/>
      <c r="CW41" s="34" t="n"/>
      <c r="CX41" s="34" t="n"/>
      <c r="CY41" s="34" t="n"/>
      <c r="CZ41" s="374" t="n"/>
      <c r="DA41" s="34" t="n"/>
      <c r="DB41" s="356" t="n"/>
      <c r="DC41" s="34" t="n"/>
      <c r="DD41" s="34" t="n"/>
      <c r="DE41" s="34" t="n"/>
      <c r="DF41" s="34" t="n"/>
      <c r="DG41" s="34" t="n"/>
      <c r="DH41" s="34" t="n"/>
      <c r="DI41" s="34" t="n"/>
      <c r="DJ41" s="34" t="n"/>
      <c r="DK41" s="34" t="n"/>
      <c r="DL41" s="34" t="n"/>
      <c r="DM41" s="34" t="n"/>
      <c r="DN41" s="34" t="n"/>
      <c r="DO41" s="34" t="n"/>
      <c r="DP41" s="34" t="n"/>
      <c r="DQ41" s="34" t="n"/>
      <c r="DR41" s="34" t="n"/>
      <c r="DS41" s="34" t="n"/>
      <c r="DT41" s="34" t="n"/>
      <c r="DU41" s="34" t="n"/>
      <c r="DV41" s="34" t="n"/>
      <c r="DW41" s="34" t="n"/>
      <c r="DX41" s="34" t="n"/>
      <c r="DY41" s="34" t="n"/>
      <c r="DZ41" s="154" t="n"/>
      <c r="EA41" s="34" t="n"/>
      <c r="EB41" s="154" t="n"/>
      <c r="EC41" s="34" t="n"/>
      <c r="ED41" s="34" t="n"/>
      <c r="EE41" s="34" t="n"/>
      <c r="EF41" s="154" t="n"/>
      <c r="EG41" s="34" t="n"/>
      <c r="EH41" s="154" t="n"/>
      <c r="EI41" s="34" t="n"/>
      <c r="EJ41" s="34" t="n"/>
      <c r="EK41" s="34" t="n"/>
      <c r="EL41" s="34" t="n"/>
      <c r="EM41" s="34" t="n"/>
      <c r="EN41" s="34" t="n"/>
      <c r="EO41" s="34" t="n"/>
      <c r="EP41" s="34" t="n"/>
      <c r="EQ41" s="34" t="n"/>
      <c r="ER41" s="34" t="n"/>
      <c r="ES41" s="34" t="n"/>
      <c r="ET41" s="34" t="n"/>
      <c r="EU41" s="34" t="n"/>
      <c r="EV41" s="34" t="n"/>
    </row>
    <row r="42">
      <c r="A42" s="406" t="n"/>
      <c r="B42" s="625" t="n"/>
      <c r="C42" s="641" t="n"/>
      <c r="E42" s="41" t="n"/>
      <c r="F42" s="41" t="n"/>
      <c r="G42" s="41" t="n"/>
      <c r="H42" s="41" t="n"/>
      <c r="I42" s="41" t="n"/>
      <c r="J42" s="41" t="n"/>
      <c r="K42" s="41" t="n"/>
      <c r="L42" s="41" t="n"/>
      <c r="M42" s="41" t="n"/>
      <c r="N42" s="41" t="n"/>
      <c r="O42" s="41" t="n"/>
      <c r="P42" s="41" t="n"/>
      <c r="Q42" s="41" t="n"/>
      <c r="R42" s="41" t="n"/>
      <c r="S42" s="41" t="n"/>
      <c r="T42" s="41" t="n"/>
      <c r="U42" s="41" t="n"/>
      <c r="V42" s="41" t="n"/>
      <c r="W42" s="41" t="n"/>
      <c r="X42" s="41" t="n"/>
      <c r="Y42" s="41" t="n"/>
      <c r="Z42" s="41" t="n"/>
      <c r="AA42" s="41" t="n"/>
      <c r="AB42" s="41" t="n"/>
      <c r="AC42" s="41" t="n"/>
      <c r="AD42" s="41" t="n"/>
      <c r="AE42" s="41" t="n"/>
      <c r="AF42" s="41" t="n"/>
      <c r="AG42" s="41" t="n"/>
      <c r="AH42" s="41" t="n"/>
      <c r="AI42" s="41" t="n"/>
      <c r="AJ42" s="41" t="n"/>
      <c r="AK42" s="41" t="n"/>
      <c r="AL42" s="41" t="n"/>
      <c r="AM42" s="41" t="n"/>
      <c r="AN42" s="41" t="n"/>
      <c r="AO42" s="41" t="n"/>
      <c r="AP42" s="41" t="n"/>
      <c r="AQ42" s="41" t="n"/>
      <c r="AR42" s="41" t="n"/>
      <c r="AS42" s="41" t="n"/>
      <c r="AT42" s="41" t="n"/>
      <c r="AU42" s="41" t="n"/>
      <c r="AV42" s="41" t="n"/>
      <c r="AW42" s="41" t="n"/>
      <c r="AX42" s="41" t="n"/>
      <c r="AY42" s="41" t="n"/>
      <c r="AZ42" s="41" t="n"/>
      <c r="BA42" s="41" t="n"/>
      <c r="BB42" s="41" t="n"/>
      <c r="BC42" s="41" t="n"/>
      <c r="BD42" s="34" t="n"/>
      <c r="BE42" s="41" t="n"/>
      <c r="BF42" s="41" t="n"/>
      <c r="BG42" s="41" t="n"/>
      <c r="BH42" s="41" t="n"/>
      <c r="BI42" s="41" t="n"/>
      <c r="BJ42" s="41" t="n"/>
      <c r="BK42" s="41" t="n"/>
      <c r="BL42" s="41" t="n"/>
      <c r="BM42" s="41" t="n"/>
      <c r="BN42" s="41" t="n"/>
      <c r="BO42" s="41" t="n"/>
      <c r="BP42" s="41" t="n"/>
      <c r="BQ42" s="41" t="n"/>
      <c r="BR42" s="34" t="n"/>
      <c r="BS42" s="34" t="n"/>
      <c r="BT42" s="34" t="n"/>
      <c r="BU42" s="34" t="n"/>
      <c r="BV42" s="34" t="n"/>
      <c r="BW42" s="34" t="n"/>
      <c r="BX42" s="34" t="n"/>
      <c r="BY42" s="34" t="n"/>
      <c r="BZ42" s="34" t="n"/>
      <c r="CA42" s="34" t="n"/>
      <c r="CB42" s="71" t="n"/>
      <c r="CC42" s="41" t="n"/>
      <c r="CD42" s="34" t="n"/>
      <c r="CE42" s="41" t="n"/>
      <c r="CG42" s="34" t="n"/>
      <c r="CH42" s="34" t="n"/>
      <c r="CI42" s="34" t="n"/>
      <c r="CJ42" s="34" t="n"/>
      <c r="CK42" s="34" t="n"/>
      <c r="CL42" s="34" t="n"/>
      <c r="CM42" s="34" t="n"/>
      <c r="CN42" s="34" t="n"/>
      <c r="CO42" s="34" t="n"/>
      <c r="CP42" s="34" t="n"/>
      <c r="CQ42" s="34" t="n"/>
      <c r="CR42" s="34" t="n"/>
      <c r="CS42" s="34" t="n"/>
      <c r="CT42" s="34" t="n"/>
      <c r="CU42" s="34" t="n"/>
      <c r="CV42" s="34" t="n"/>
      <c r="CW42" s="34" t="n"/>
      <c r="CX42" s="34" t="n"/>
      <c r="CY42" s="34" t="n"/>
      <c r="CZ42" s="374" t="n"/>
      <c r="DA42" s="34" t="n"/>
      <c r="DB42" s="356" t="n"/>
      <c r="DC42" s="34" t="n"/>
      <c r="DD42" s="34" t="n"/>
      <c r="DE42" s="34" t="n"/>
      <c r="DF42" s="34" t="n"/>
      <c r="DG42" s="34" t="n"/>
      <c r="DH42" s="34" t="n"/>
      <c r="DI42" s="34" t="n"/>
      <c r="DJ42" s="34" t="n"/>
      <c r="DK42" s="34" t="n"/>
      <c r="DL42" s="34" t="n"/>
      <c r="DM42" s="34" t="n"/>
      <c r="DN42" s="34" t="n"/>
      <c r="DO42" s="34" t="n"/>
      <c r="DP42" s="34" t="n"/>
      <c r="DQ42" s="34" t="n"/>
      <c r="DR42" s="34" t="n"/>
      <c r="DS42" s="34" t="n"/>
      <c r="DT42" s="34" t="n"/>
      <c r="DU42" s="34" t="n"/>
      <c r="DV42" s="34" t="n"/>
      <c r="DW42" s="34" t="n"/>
      <c r="DX42" s="34" t="n"/>
      <c r="DY42" s="34" t="n"/>
      <c r="DZ42" s="154" t="n"/>
      <c r="EA42" s="34" t="n"/>
      <c r="EB42" s="154" t="n"/>
      <c r="EC42" s="34" t="n"/>
      <c r="ED42" s="34" t="n"/>
      <c r="EE42" s="34" t="n"/>
      <c r="EF42" s="154" t="n"/>
      <c r="EG42" s="34" t="n"/>
      <c r="EH42" s="154" t="n"/>
      <c r="EI42" s="34" t="n"/>
      <c r="EJ42" s="34" t="n"/>
      <c r="EK42" s="34" t="n"/>
      <c r="EL42" s="34" t="n"/>
      <c r="EM42" s="34" t="n"/>
      <c r="EN42" s="34" t="n"/>
      <c r="EO42" s="34" t="n"/>
      <c r="EP42" s="34" t="n"/>
      <c r="EQ42" s="34" t="n"/>
      <c r="ER42" s="34" t="n"/>
      <c r="ES42" s="34" t="n"/>
      <c r="ET42" s="34" t="n"/>
      <c r="EU42" s="34" t="n"/>
      <c r="EV42" s="34" t="n"/>
    </row>
    <row r="43">
      <c r="E43" s="41" t="n"/>
      <c r="F43" s="41" t="n"/>
      <c r="G43" s="41" t="n"/>
      <c r="H43" s="41" t="n"/>
      <c r="I43" s="41" t="n"/>
      <c r="J43" s="41" t="n"/>
      <c r="K43" s="41" t="n"/>
      <c r="L43" s="41" t="n"/>
      <c r="M43" s="41" t="n"/>
      <c r="N43" s="41" t="n"/>
      <c r="O43" s="41" t="n"/>
      <c r="P43" s="41" t="n"/>
      <c r="Q43" s="41" t="n"/>
      <c r="R43" s="41" t="n"/>
      <c r="S43" s="41" t="n"/>
      <c r="T43" s="41" t="n"/>
      <c r="U43" s="41" t="n"/>
      <c r="V43" s="41" t="n"/>
      <c r="W43" s="41" t="n"/>
      <c r="X43" s="41" t="n"/>
      <c r="Y43" s="41" t="n"/>
      <c r="Z43" s="41" t="n"/>
      <c r="AA43" s="41" t="n"/>
      <c r="AB43" s="41" t="n"/>
      <c r="AC43" s="41" t="n"/>
      <c r="AD43" s="41" t="n"/>
      <c r="AE43" s="41" t="n"/>
      <c r="AF43" s="41" t="n"/>
      <c r="AG43" s="41" t="n"/>
      <c r="AH43" s="41" t="n"/>
      <c r="AI43" s="41" t="n"/>
      <c r="AK43" s="41" t="n"/>
      <c r="AL43" s="41" t="n"/>
      <c r="AM43" s="41" t="n"/>
      <c r="AN43" s="41" t="n"/>
      <c r="AO43" s="41" t="n"/>
      <c r="AP43" s="41" t="n"/>
      <c r="AQ43" s="41" t="n"/>
      <c r="AR43" s="41" t="n"/>
      <c r="AS43" s="41" t="n"/>
      <c r="AT43" s="41" t="n"/>
      <c r="AU43" s="41" t="n"/>
      <c r="AV43" s="41" t="n"/>
      <c r="AW43" s="41" t="n"/>
      <c r="AX43" s="41" t="n"/>
      <c r="AY43" s="41" t="n"/>
      <c r="AZ43" s="41" t="n"/>
      <c r="BA43" s="41" t="n"/>
      <c r="BB43" s="41" t="n"/>
      <c r="BC43" s="41" t="n"/>
      <c r="BE43" s="41" t="n"/>
      <c r="BF43" s="41" t="n"/>
      <c r="BG43" s="41" t="n"/>
      <c r="BH43" s="41" t="n"/>
      <c r="BI43" s="41" t="n"/>
      <c r="BJ43" s="41" t="n"/>
      <c r="BK43" s="41" t="n"/>
      <c r="BL43" s="41" t="n"/>
      <c r="BM43" s="41" t="n"/>
      <c r="BN43" s="41" t="n"/>
      <c r="BO43" s="41" t="n"/>
      <c r="BP43" s="41" t="n"/>
      <c r="BQ43" s="41" t="n"/>
    </row>
    <row r="44">
      <c r="A44" s="642" t="inlineStr">
        <is>
          <t>FLACONETES</t>
        </is>
      </c>
      <c r="B44" s="625" t="n"/>
      <c r="C44" s="625" t="n"/>
      <c r="D44" s="641" t="n"/>
      <c r="F44" s="643" t="n">
        <v>46013</v>
      </c>
      <c r="G44" s="643" t="n">
        <v>46020</v>
      </c>
      <c r="H44" s="643" t="n">
        <v>46027</v>
      </c>
      <c r="I44" s="643" t="n">
        <v>46034</v>
      </c>
      <c r="J44" s="643" t="n">
        <v>46041</v>
      </c>
      <c r="K44" s="643" t="n">
        <v>46048</v>
      </c>
      <c r="L44" s="643" t="n">
        <v>46055</v>
      </c>
      <c r="M44" s="643" t="n">
        <v>46062</v>
      </c>
      <c r="N44" s="643" t="n">
        <v>46069</v>
      </c>
      <c r="O44" s="643" t="n">
        <v>46076</v>
      </c>
      <c r="P44" s="643" t="n">
        <v>46083</v>
      </c>
      <c r="Q44" s="643" t="n">
        <v>46090</v>
      </c>
      <c r="R44" s="643" t="n">
        <v>46097</v>
      </c>
      <c r="S44" s="643" t="n">
        <v>46104</v>
      </c>
      <c r="T44" s="643" t="n">
        <v>46111</v>
      </c>
      <c r="U44" s="643" t="n">
        <v>46118</v>
      </c>
      <c r="V44" s="643" t="n">
        <v>46125</v>
      </c>
      <c r="W44" s="643" t="n">
        <v>46132</v>
      </c>
      <c r="X44" s="643" t="n">
        <v>46139</v>
      </c>
      <c r="Y44" s="643" t="n">
        <v>46146</v>
      </c>
      <c r="Z44" s="643" t="n">
        <v>46154</v>
      </c>
      <c r="AA44" s="643" t="n">
        <v>46160</v>
      </c>
      <c r="AB44" s="644" t="n">
        <v>46161.48012625</v>
      </c>
      <c r="AC44" s="644" t="n">
        <v>46161.48079984954</v>
      </c>
      <c r="AD44" s="644" t="n">
        <v>46161.48295750022</v>
      </c>
      <c r="AG44" s="41" t="n"/>
      <c r="AH44" s="41" t="n"/>
      <c r="AJ44" s="11" t="n"/>
      <c r="AK44" s="41" t="n"/>
      <c r="AL44" s="41" t="n"/>
      <c r="AM44" s="41" t="n"/>
      <c r="AN44" s="41" t="n"/>
      <c r="AO44" s="41" t="n"/>
      <c r="AP44" s="41" t="n"/>
      <c r="AQ44" s="41" t="n"/>
      <c r="AR44" s="41" t="n"/>
      <c r="AS44" s="41" t="n"/>
      <c r="AT44" s="41" t="n"/>
      <c r="AU44" s="41" t="n"/>
      <c r="AV44" s="41" t="n"/>
      <c r="AW44" s="41" t="n"/>
      <c r="AX44" s="41" t="n"/>
      <c r="AY44" s="41" t="n"/>
      <c r="AZ44" s="41" t="n"/>
      <c r="BA44" s="41" t="n"/>
      <c r="BB44" s="41" t="n"/>
      <c r="BC44" s="41" t="n"/>
      <c r="BE44" s="41" t="n"/>
      <c r="BF44" s="41" t="n"/>
      <c r="BG44" s="41" t="n"/>
      <c r="BH44" s="41" t="n"/>
      <c r="BI44" s="41" t="n"/>
      <c r="BJ44" s="41" t="n"/>
      <c r="BK44" s="41" t="n"/>
      <c r="BL44" s="41" t="n"/>
      <c r="BM44" s="41" t="n"/>
      <c r="BN44" s="41" t="n"/>
      <c r="BO44" s="41" t="n"/>
      <c r="BP44" s="41" t="n"/>
      <c r="BQ44" s="41" t="n"/>
    </row>
    <row r="45">
      <c r="A45" s="645" t="inlineStr">
        <is>
          <t>PROTETOR BOTI SUN FPS70 COR 1.0</t>
        </is>
      </c>
      <c r="B45" s="625" t="n"/>
      <c r="C45" s="625" t="n"/>
      <c r="D45" s="641" t="n"/>
      <c r="F45" s="366" t="n">
        <v>0</v>
      </c>
      <c r="G45" s="366" t="n">
        <v>0</v>
      </c>
      <c r="H45" s="366" t="n">
        <v>0</v>
      </c>
      <c r="I45" s="366" t="n">
        <v>0</v>
      </c>
      <c r="J45" s="366" t="n">
        <v>0</v>
      </c>
      <c r="K45" s="366" t="n">
        <v>0</v>
      </c>
      <c r="L45" s="366" t="n">
        <v>0</v>
      </c>
      <c r="M45" s="366" t="n">
        <v>0</v>
      </c>
      <c r="N45" s="366" t="n">
        <v>0</v>
      </c>
      <c r="O45" s="366" t="n">
        <v>0</v>
      </c>
      <c r="P45" s="366" t="n">
        <v>0</v>
      </c>
      <c r="Q45" s="366" t="n">
        <v>0</v>
      </c>
      <c r="R45" s="366" t="n">
        <v>0</v>
      </c>
      <c r="S45" s="366" t="n">
        <v>0</v>
      </c>
      <c r="T45" s="366" t="n">
        <v>0</v>
      </c>
      <c r="U45" s="366" t="n">
        <v>0</v>
      </c>
      <c r="V45" s="366" t="n">
        <v>0</v>
      </c>
      <c r="W45" s="366" t="n">
        <v>0</v>
      </c>
      <c r="X45" s="366" t="n">
        <v>0</v>
      </c>
      <c r="Y45" s="366" t="n">
        <v>0</v>
      </c>
      <c r="Z45" s="366" t="n">
        <v>0</v>
      </c>
      <c r="AA45" s="366" t="n"/>
      <c r="AB45" s="646" t="n"/>
      <c r="AC45" s="646" t="n"/>
      <c r="AD45" s="646" t="n"/>
      <c r="AK45" s="41" t="n"/>
      <c r="AL45" s="41" t="n"/>
      <c r="AM45" s="41" t="n"/>
      <c r="AN45" s="41" t="n"/>
      <c r="AO45" s="41" t="n"/>
      <c r="AP45" s="41" t="n"/>
      <c r="AQ45" s="41" t="n"/>
      <c r="AR45" s="41" t="n"/>
      <c r="AS45" s="41" t="n"/>
      <c r="AT45" s="41" t="n"/>
      <c r="AU45" s="41" t="n"/>
      <c r="AV45" s="41" t="n"/>
      <c r="BE45" s="41" t="n"/>
      <c r="BF45" s="41" t="n"/>
      <c r="BG45" s="41" t="n"/>
      <c r="BH45" s="41" t="n"/>
      <c r="BI45" s="41" t="n"/>
      <c r="BJ45" s="41" t="n"/>
      <c r="BK45" s="41" t="n"/>
      <c r="BQ45" s="41" t="n"/>
    </row>
    <row r="46">
      <c r="A46" s="645" t="inlineStr">
        <is>
          <t>PROTETOR BOTI SUN FPS70 COR 2.0</t>
        </is>
      </c>
      <c r="B46" s="625" t="n"/>
      <c r="C46" s="625" t="n"/>
      <c r="D46" s="641" t="n"/>
      <c r="F46" s="366" t="n">
        <v>0</v>
      </c>
      <c r="G46" s="366" t="n">
        <v>0</v>
      </c>
      <c r="H46" s="366" t="n">
        <v>0</v>
      </c>
      <c r="I46" s="366" t="n">
        <v>0</v>
      </c>
      <c r="J46" s="366" t="n">
        <v>0</v>
      </c>
      <c r="K46" s="366" t="n">
        <v>0</v>
      </c>
      <c r="L46" s="366" t="n">
        <v>0</v>
      </c>
      <c r="M46" s="366" t="n">
        <v>0</v>
      </c>
      <c r="N46" s="366" t="n">
        <v>0</v>
      </c>
      <c r="O46" s="366" t="n">
        <v>0</v>
      </c>
      <c r="P46" s="366" t="n">
        <v>0</v>
      </c>
      <c r="Q46" s="366" t="n">
        <v>0</v>
      </c>
      <c r="R46" s="366" t="n">
        <v>0</v>
      </c>
      <c r="S46" s="366" t="n">
        <v>0</v>
      </c>
      <c r="T46" s="366" t="n">
        <v>0</v>
      </c>
      <c r="U46" s="366" t="n">
        <v>0</v>
      </c>
      <c r="V46" s="366" t="n">
        <v>0</v>
      </c>
      <c r="W46" s="366" t="n">
        <v>0</v>
      </c>
      <c r="X46" s="366" t="n">
        <v>0</v>
      </c>
      <c r="Y46" s="366" t="n">
        <v>0</v>
      </c>
      <c r="Z46" s="366" t="n">
        <v>0</v>
      </c>
      <c r="AA46" s="366" t="n"/>
      <c r="AB46" s="646" t="n"/>
      <c r="AC46" s="646" t="n"/>
      <c r="AD46" s="646" t="n"/>
    </row>
    <row r="47">
      <c r="A47" s="645" t="inlineStr">
        <is>
          <t>PROTETOR BOTI SUN FPS70 COR 3.0</t>
        </is>
      </c>
      <c r="B47" s="625" t="n"/>
      <c r="C47" s="625" t="n"/>
      <c r="D47" s="641" t="n"/>
      <c r="F47" s="366" t="n">
        <v>0</v>
      </c>
      <c r="G47" s="366" t="n">
        <v>0</v>
      </c>
      <c r="H47" s="366" t="n">
        <v>0</v>
      </c>
      <c r="I47" s="366" t="n">
        <v>0</v>
      </c>
      <c r="J47" s="366" t="n">
        <v>0</v>
      </c>
      <c r="K47" s="366" t="n">
        <v>0</v>
      </c>
      <c r="L47" s="366" t="n">
        <v>0</v>
      </c>
      <c r="M47" s="366" t="n">
        <v>0</v>
      </c>
      <c r="N47" s="366" t="n">
        <v>0</v>
      </c>
      <c r="O47" s="366" t="n">
        <v>0</v>
      </c>
      <c r="P47" s="366" t="n">
        <v>0</v>
      </c>
      <c r="Q47" s="366" t="n">
        <v>0</v>
      </c>
      <c r="R47" s="366" t="n">
        <v>0</v>
      </c>
      <c r="S47" s="366" t="n">
        <v>0</v>
      </c>
      <c r="T47" s="366" t="n">
        <v>0</v>
      </c>
      <c r="U47" s="366" t="n">
        <v>0</v>
      </c>
      <c r="V47" s="366" t="n">
        <v>0</v>
      </c>
      <c r="W47" s="366" t="n">
        <v>0</v>
      </c>
      <c r="X47" s="366" t="n">
        <v>0</v>
      </c>
      <c r="Y47" s="366" t="n">
        <v>0</v>
      </c>
      <c r="Z47" s="366" t="n">
        <v>0</v>
      </c>
      <c r="AA47" s="366" t="n"/>
      <c r="AB47" s="646" t="n"/>
      <c r="AC47" s="646" t="n"/>
      <c r="AD47" s="646" t="n"/>
    </row>
    <row r="48">
      <c r="A48" s="645" t="inlineStr">
        <is>
          <t>PROTETOR BOTI SUN FPS70 COR 4.0</t>
        </is>
      </c>
      <c r="B48" s="625" t="n"/>
      <c r="C48" s="625" t="n"/>
      <c r="D48" s="641" t="n"/>
      <c r="F48" s="366" t="n">
        <v>0</v>
      </c>
      <c r="G48" s="366" t="n">
        <v>0</v>
      </c>
      <c r="H48" s="366" t="n">
        <v>0</v>
      </c>
      <c r="I48" s="366" t="n">
        <v>0</v>
      </c>
      <c r="J48" s="366" t="n">
        <v>0</v>
      </c>
      <c r="K48" s="366" t="n">
        <v>0</v>
      </c>
      <c r="L48" s="366" t="n">
        <v>0</v>
      </c>
      <c r="M48" s="366" t="n">
        <v>0</v>
      </c>
      <c r="N48" s="366" t="n">
        <v>0</v>
      </c>
      <c r="O48" s="366" t="n">
        <v>0</v>
      </c>
      <c r="P48" s="366" t="n">
        <v>0</v>
      </c>
      <c r="Q48" s="366" t="n">
        <v>0</v>
      </c>
      <c r="R48" s="366" t="n">
        <v>0</v>
      </c>
      <c r="S48" s="366" t="n">
        <v>0</v>
      </c>
      <c r="T48" s="366" t="n">
        <v>0</v>
      </c>
      <c r="U48" s="366" t="n">
        <v>0</v>
      </c>
      <c r="V48" s="366" t="n">
        <v>0</v>
      </c>
      <c r="W48" s="366" t="n">
        <v>0</v>
      </c>
      <c r="X48" s="366" t="n">
        <v>0</v>
      </c>
      <c r="Y48" s="366" t="n">
        <v>0</v>
      </c>
      <c r="Z48" s="366" t="n">
        <v>0</v>
      </c>
      <c r="AA48" s="366" t="n"/>
      <c r="AB48" s="646" t="n"/>
      <c r="AC48" s="646" t="n"/>
      <c r="AD48" s="646" t="n"/>
      <c r="AK48" s="11" t="n"/>
      <c r="AL48" s="11" t="n"/>
      <c r="AM48" s="11" t="n"/>
      <c r="AN48" s="11" t="n"/>
      <c r="AO48" s="11" t="n"/>
      <c r="AP48" s="11" t="n"/>
      <c r="AQ48" s="11" t="n"/>
      <c r="AR48" s="11" t="n"/>
      <c r="AS48" s="11" t="n"/>
      <c r="AT48" s="11" t="n"/>
      <c r="AU48" s="11" t="n"/>
      <c r="AV48" s="11" t="n"/>
    </row>
    <row r="49">
      <c r="A49" s="645" t="inlineStr">
        <is>
          <t>PROTETOR BOTI SUN FPS70 COR 5.0</t>
        </is>
      </c>
      <c r="B49" s="625" t="n"/>
      <c r="C49" s="625" t="n"/>
      <c r="D49" s="641" t="n"/>
      <c r="F49" s="366" t="n">
        <v>0</v>
      </c>
      <c r="G49" s="366" t="n">
        <v>0</v>
      </c>
      <c r="H49" s="366" t="n">
        <v>0</v>
      </c>
      <c r="I49" s="366" t="n">
        <v>0</v>
      </c>
      <c r="J49" s="366" t="n">
        <v>0</v>
      </c>
      <c r="K49" s="366" t="n">
        <v>0</v>
      </c>
      <c r="L49" s="366" t="n">
        <v>0</v>
      </c>
      <c r="M49" s="366" t="n">
        <v>0</v>
      </c>
      <c r="N49" s="366" t="n">
        <v>0</v>
      </c>
      <c r="O49" s="366" t="n">
        <v>0</v>
      </c>
      <c r="P49" s="366" t="n">
        <v>0</v>
      </c>
      <c r="Q49" s="366" t="n">
        <v>0</v>
      </c>
      <c r="R49" s="366" t="n">
        <v>0</v>
      </c>
      <c r="S49" s="366" t="n">
        <v>0</v>
      </c>
      <c r="T49" s="366" t="n">
        <v>0</v>
      </c>
      <c r="U49" s="366" t="n">
        <v>0</v>
      </c>
      <c r="V49" s="366" t="n">
        <v>0</v>
      </c>
      <c r="W49" s="366" t="n">
        <v>0</v>
      </c>
      <c r="X49" s="366" t="n">
        <v>0</v>
      </c>
      <c r="Y49" s="366" t="n">
        <v>0</v>
      </c>
      <c r="Z49" s="366" t="n">
        <v>0</v>
      </c>
      <c r="AA49" s="366" t="n"/>
      <c r="AB49" s="646" t="n"/>
      <c r="AC49" s="646" t="n"/>
      <c r="AD49" s="646" t="n"/>
    </row>
    <row r="50">
      <c r="A50" s="645" t="inlineStr">
        <is>
          <t>PROTETOR BOTI SUN FPS70 COR 6.0</t>
        </is>
      </c>
      <c r="B50" s="625" t="n"/>
      <c r="C50" s="625" t="n"/>
      <c r="D50" s="641" t="n"/>
      <c r="F50" s="366" t="n">
        <v>0</v>
      </c>
      <c r="G50" s="366" t="n">
        <v>0</v>
      </c>
      <c r="H50" s="366" t="n">
        <v>0</v>
      </c>
      <c r="I50" s="366" t="n">
        <v>0</v>
      </c>
      <c r="J50" s="366" t="n">
        <v>0</v>
      </c>
      <c r="K50" s="366" t="n">
        <v>0</v>
      </c>
      <c r="L50" s="366" t="n">
        <v>0</v>
      </c>
      <c r="M50" s="366" t="n">
        <v>0</v>
      </c>
      <c r="N50" s="366" t="n">
        <v>0</v>
      </c>
      <c r="O50" s="366" t="n">
        <v>0</v>
      </c>
      <c r="P50" s="366" t="n">
        <v>0</v>
      </c>
      <c r="Q50" s="366" t="n">
        <v>0</v>
      </c>
      <c r="R50" s="366" t="n">
        <v>0</v>
      </c>
      <c r="S50" s="366" t="n">
        <v>0</v>
      </c>
      <c r="T50" s="366" t="n">
        <v>0</v>
      </c>
      <c r="U50" s="366" t="n">
        <v>0</v>
      </c>
      <c r="V50" s="366" t="n">
        <v>0</v>
      </c>
      <c r="W50" s="366" t="n">
        <v>0</v>
      </c>
      <c r="X50" s="366" t="n">
        <v>0</v>
      </c>
      <c r="Y50" s="366" t="n">
        <v>0</v>
      </c>
      <c r="Z50" s="366" t="n">
        <v>0</v>
      </c>
      <c r="AA50" s="366" t="n"/>
      <c r="AB50" s="646" t="n"/>
      <c r="AC50" s="646" t="n"/>
      <c r="AD50" s="646" t="n"/>
    </row>
    <row r="51">
      <c r="A51" s="645" t="inlineStr">
        <is>
          <t>PROTETOR BOTI SUN FPS70 COR 7.0</t>
        </is>
      </c>
      <c r="B51" s="625" t="n"/>
      <c r="C51" s="625" t="n"/>
      <c r="D51" s="641" t="n"/>
      <c r="F51" s="366" t="n">
        <v>0</v>
      </c>
      <c r="G51" s="366" t="n">
        <v>0</v>
      </c>
      <c r="H51" s="366" t="n">
        <v>0</v>
      </c>
      <c r="I51" s="366" t="n">
        <v>0</v>
      </c>
      <c r="J51" s="366" t="n">
        <v>0</v>
      </c>
      <c r="K51" s="366" t="n">
        <v>0</v>
      </c>
      <c r="L51" s="366" t="n">
        <v>0</v>
      </c>
      <c r="M51" s="366" t="n">
        <v>0</v>
      </c>
      <c r="N51" s="366" t="n">
        <v>0</v>
      </c>
      <c r="O51" s="366" t="n">
        <v>0</v>
      </c>
      <c r="P51" s="366" t="n">
        <v>0</v>
      </c>
      <c r="Q51" s="366" t="n">
        <v>0</v>
      </c>
      <c r="R51" s="366" t="n">
        <v>0</v>
      </c>
      <c r="S51" s="366" t="n">
        <v>0</v>
      </c>
      <c r="T51" s="366" t="n">
        <v>0</v>
      </c>
      <c r="U51" s="366" t="n">
        <v>0</v>
      </c>
      <c r="V51" s="366" t="n">
        <v>0</v>
      </c>
      <c r="W51" s="366" t="n">
        <v>0</v>
      </c>
      <c r="X51" s="366" t="n">
        <v>0</v>
      </c>
      <c r="Y51" s="366" t="n">
        <v>0</v>
      </c>
      <c r="Z51" s="366" t="n">
        <v>0</v>
      </c>
      <c r="AA51" s="366" t="n"/>
      <c r="AB51" s="646" t="n"/>
      <c r="AC51" s="646" t="n"/>
      <c r="AD51" s="646" t="n"/>
    </row>
    <row r="52">
      <c r="A52" s="645" t="inlineStr">
        <is>
          <t>ZAAD INTENSE</t>
        </is>
      </c>
      <c r="B52" s="625" t="n"/>
      <c r="C52" s="625" t="n"/>
      <c r="D52" s="641" t="n"/>
      <c r="F52" s="366" t="n">
        <v>0</v>
      </c>
      <c r="G52" s="366" t="n">
        <v>0</v>
      </c>
      <c r="H52" s="366" t="n">
        <v>0</v>
      </c>
      <c r="I52" s="366" t="n">
        <v>0</v>
      </c>
      <c r="J52" s="366" t="n">
        <v>0</v>
      </c>
      <c r="K52" s="366" t="n">
        <v>0</v>
      </c>
      <c r="L52" s="366" t="n">
        <v>0</v>
      </c>
      <c r="M52" s="366" t="n">
        <v>0</v>
      </c>
      <c r="N52" s="366" t="n">
        <v>0</v>
      </c>
      <c r="O52" s="366" t="n">
        <v>0</v>
      </c>
      <c r="P52" s="366" t="n">
        <v>0</v>
      </c>
      <c r="Q52" s="366" t="n">
        <v>0</v>
      </c>
      <c r="R52" s="366" t="n">
        <v>0</v>
      </c>
      <c r="S52" s="366" t="n">
        <v>0</v>
      </c>
      <c r="T52" s="366" t="n">
        <v>0</v>
      </c>
      <c r="U52" s="366" t="n">
        <v>0</v>
      </c>
      <c r="V52" s="366" t="n">
        <v>0</v>
      </c>
      <c r="W52" s="366" t="n">
        <v>0</v>
      </c>
      <c r="X52" s="366" t="n">
        <v>0</v>
      </c>
      <c r="Y52" s="366" t="n">
        <v>0</v>
      </c>
      <c r="Z52" s="366" t="n">
        <v>0</v>
      </c>
      <c r="AA52" s="366" t="n"/>
      <c r="AB52" s="646" t="n"/>
      <c r="AC52" s="646" t="n"/>
      <c r="AD52" s="646" t="n"/>
    </row>
    <row r="53">
      <c r="A53" s="645" t="inlineStr">
        <is>
          <t>EGEO COGU</t>
        </is>
      </c>
      <c r="B53" s="625" t="n"/>
      <c r="C53" s="625" t="n"/>
      <c r="D53" s="641" t="n"/>
      <c r="F53" s="366" t="n">
        <v>0</v>
      </c>
      <c r="G53" s="366" t="n">
        <v>0</v>
      </c>
      <c r="H53" s="366" t="n">
        <v>0</v>
      </c>
      <c r="I53" s="366" t="n">
        <v>0</v>
      </c>
      <c r="J53" s="366" t="n">
        <v>0</v>
      </c>
      <c r="K53" s="366" t="n">
        <v>0</v>
      </c>
      <c r="L53" s="366" t="n">
        <v>0</v>
      </c>
      <c r="M53" s="366" t="n">
        <v>0</v>
      </c>
      <c r="N53" s="366" t="n">
        <v>0</v>
      </c>
      <c r="O53" s="366" t="n">
        <v>0</v>
      </c>
      <c r="P53" s="366" t="n">
        <v>0</v>
      </c>
      <c r="Q53" s="366" t="n">
        <v>0</v>
      </c>
      <c r="R53" s="366" t="n">
        <v>0</v>
      </c>
      <c r="S53" s="366" t="n">
        <v>0</v>
      </c>
      <c r="T53" s="366" t="n">
        <v>0</v>
      </c>
      <c r="U53" s="366" t="n">
        <v>0</v>
      </c>
      <c r="V53" s="366" t="n">
        <v>0</v>
      </c>
      <c r="W53" s="366" t="n">
        <v>0</v>
      </c>
      <c r="X53" s="366" t="n">
        <v>0</v>
      </c>
      <c r="Y53" s="366" t="n">
        <v>0</v>
      </c>
      <c r="Z53" s="366" t="n">
        <v>0</v>
      </c>
      <c r="AA53" s="366" t="n"/>
      <c r="AB53" s="646" t="n"/>
      <c r="AC53" s="646" t="n"/>
      <c r="AD53" s="646" t="n"/>
    </row>
    <row r="54">
      <c r="A54" s="645" t="inlineStr">
        <is>
          <t>HER CODE CLIMAX</t>
        </is>
      </c>
      <c r="B54" s="625" t="n"/>
      <c r="C54" s="625" t="n"/>
      <c r="D54" s="641" t="n"/>
      <c r="F54" s="366" t="n">
        <v>0</v>
      </c>
      <c r="G54" s="366" t="n">
        <v>0</v>
      </c>
      <c r="H54" s="366" t="n">
        <v>0</v>
      </c>
      <c r="I54" s="366" t="n">
        <v>0</v>
      </c>
      <c r="J54" s="366" t="n">
        <v>0</v>
      </c>
      <c r="K54" s="366" t="n">
        <v>0</v>
      </c>
      <c r="L54" s="366" t="n">
        <v>0</v>
      </c>
      <c r="M54" s="366" t="n">
        <v>0</v>
      </c>
      <c r="N54" s="366" t="n">
        <v>0</v>
      </c>
      <c r="O54" s="366" t="n">
        <v>0</v>
      </c>
      <c r="P54" s="366" t="n">
        <v>0</v>
      </c>
      <c r="Q54" s="366" t="n">
        <v>0</v>
      </c>
      <c r="R54" s="366" t="n">
        <v>0</v>
      </c>
      <c r="S54" s="366" t="n">
        <v>0</v>
      </c>
      <c r="T54" s="366" t="n">
        <v>0</v>
      </c>
      <c r="U54" s="366" t="n">
        <v>0</v>
      </c>
      <c r="V54" s="366" t="n">
        <v>0</v>
      </c>
      <c r="W54" s="366" t="n">
        <v>0</v>
      </c>
      <c r="X54" s="366" t="n">
        <v>0</v>
      </c>
      <c r="Y54" s="366" t="n">
        <v>0</v>
      </c>
      <c r="Z54" s="366" t="n">
        <v>0</v>
      </c>
      <c r="AA54" s="366" t="n"/>
      <c r="AB54" s="646" t="n"/>
      <c r="AC54" s="646" t="n"/>
      <c r="AD54" s="646" t="n"/>
    </row>
    <row r="55">
      <c r="A55" s="645" t="inlineStr">
        <is>
          <t>FLORATTA ROSE BOUQUET</t>
        </is>
      </c>
      <c r="B55" s="625" t="n"/>
      <c r="C55" s="625" t="n"/>
      <c r="D55" s="641" t="n"/>
      <c r="F55" s="366" t="n">
        <v>0</v>
      </c>
      <c r="G55" s="366" t="n">
        <v>0</v>
      </c>
      <c r="H55" s="366" t="n">
        <v>0</v>
      </c>
      <c r="I55" s="366" t="n">
        <v>0</v>
      </c>
      <c r="J55" s="366" t="n">
        <v>0</v>
      </c>
      <c r="K55" s="366" t="n">
        <v>0</v>
      </c>
      <c r="L55" s="366" t="n">
        <v>0</v>
      </c>
      <c r="M55" s="366" t="n">
        <v>0</v>
      </c>
      <c r="N55" s="366" t="n">
        <v>0</v>
      </c>
      <c r="O55" s="366" t="n">
        <v>0</v>
      </c>
      <c r="P55" s="366" t="n">
        <v>0</v>
      </c>
      <c r="Q55" s="366" t="n">
        <v>0</v>
      </c>
      <c r="R55" s="366" t="n">
        <v>0</v>
      </c>
      <c r="S55" s="366" t="n">
        <v>0</v>
      </c>
      <c r="T55" s="366" t="n">
        <v>0</v>
      </c>
      <c r="U55" s="366" t="n">
        <v>0</v>
      </c>
      <c r="V55" s="366" t="n">
        <v>0</v>
      </c>
      <c r="W55" s="366" t="n">
        <v>0</v>
      </c>
      <c r="X55" s="366" t="n">
        <v>0</v>
      </c>
      <c r="Y55" s="366" t="n">
        <v>0</v>
      </c>
      <c r="Z55" s="366" t="n">
        <v>0</v>
      </c>
      <c r="AA55" s="366" t="n"/>
      <c r="AB55" s="646" t="n"/>
      <c r="AC55" s="646" t="n"/>
      <c r="AD55" s="646" t="n"/>
    </row>
    <row r="56">
      <c r="A56" s="645" t="inlineStr">
        <is>
          <t>HADYA</t>
        </is>
      </c>
      <c r="B56" s="625" t="n"/>
      <c r="C56" s="625" t="n"/>
      <c r="D56" s="641" t="n"/>
      <c r="F56" s="366" t="n">
        <v>0</v>
      </c>
      <c r="G56" s="366" t="n">
        <v>0</v>
      </c>
      <c r="H56" s="366" t="n">
        <v>0</v>
      </c>
      <c r="I56" s="366" t="n">
        <v>0</v>
      </c>
      <c r="J56" s="366" t="n">
        <v>0</v>
      </c>
      <c r="K56" s="366" t="n">
        <v>0</v>
      </c>
      <c r="L56" s="366" t="n">
        <v>0</v>
      </c>
      <c r="M56" s="366" t="n">
        <v>0</v>
      </c>
      <c r="N56" s="366" t="n">
        <v>0</v>
      </c>
      <c r="O56" s="366" t="n">
        <v>0</v>
      </c>
      <c r="P56" s="366" t="n">
        <v>0</v>
      </c>
      <c r="Q56" s="366" t="n">
        <v>0</v>
      </c>
      <c r="R56" s="366" t="n">
        <v>0</v>
      </c>
      <c r="S56" s="366" t="n">
        <v>0</v>
      </c>
      <c r="T56" s="366" t="n">
        <v>0</v>
      </c>
      <c r="U56" s="366" t="n">
        <v>0</v>
      </c>
      <c r="V56" s="366" t="n">
        <v>0</v>
      </c>
      <c r="W56" s="366" t="n">
        <v>0</v>
      </c>
      <c r="X56" s="366" t="n">
        <v>0</v>
      </c>
      <c r="Y56" s="366" t="n">
        <v>0</v>
      </c>
      <c r="Z56" s="366" t="n">
        <v>0</v>
      </c>
      <c r="AA56" s="366" t="n"/>
      <c r="AB56" s="646" t="n"/>
      <c r="AC56" s="646" t="n"/>
      <c r="AD56" s="646" t="n"/>
    </row>
    <row r="57">
      <c r="A57" s="645" t="inlineStr">
        <is>
          <t>EGEO DOLCE ILUSION</t>
        </is>
      </c>
      <c r="B57" s="625" t="n"/>
      <c r="C57" s="625" t="n"/>
      <c r="D57" s="641" t="n"/>
      <c r="F57" s="366" t="n">
        <v>0</v>
      </c>
      <c r="G57" s="366" t="n">
        <v>0</v>
      </c>
      <c r="H57" s="366" t="n">
        <v>0</v>
      </c>
      <c r="I57" s="366" t="n">
        <v>0</v>
      </c>
      <c r="J57" s="366" t="n">
        <v>0</v>
      </c>
      <c r="K57" s="366" t="n">
        <v>0</v>
      </c>
      <c r="L57" s="366" t="n">
        <v>0</v>
      </c>
      <c r="M57" s="366" t="n">
        <v>0</v>
      </c>
      <c r="N57" s="366" t="n">
        <v>0</v>
      </c>
      <c r="O57" s="366" t="n">
        <v>0</v>
      </c>
      <c r="P57" s="366" t="n">
        <v>0</v>
      </c>
      <c r="Q57" s="366" t="n">
        <v>0</v>
      </c>
      <c r="R57" s="366" t="n">
        <v>0</v>
      </c>
      <c r="S57" s="366" t="n">
        <v>0</v>
      </c>
      <c r="T57" s="366" t="n">
        <v>0</v>
      </c>
      <c r="U57" s="366" t="n">
        <v>0</v>
      </c>
      <c r="V57" s="366" t="n">
        <v>0</v>
      </c>
      <c r="W57" s="366" t="n">
        <v>0</v>
      </c>
      <c r="X57" s="366" t="n">
        <v>0</v>
      </c>
      <c r="Y57" s="366" t="n">
        <v>0</v>
      </c>
      <c r="Z57" s="366" t="n">
        <v>0</v>
      </c>
      <c r="AA57" s="366" t="n"/>
      <c r="AB57" s="646" t="n"/>
      <c r="AC57" s="646" t="n"/>
      <c r="AD57" s="646" t="n"/>
    </row>
  </sheetData>
  <mergeCells count="24">
    <mergeCell ref="A53:D53"/>
    <mergeCell ref="A52:D52"/>
    <mergeCell ref="A44:D44"/>
    <mergeCell ref="A42:C42"/>
    <mergeCell ref="A48:D48"/>
    <mergeCell ref="A51:D51"/>
    <mergeCell ref="A49:D49"/>
    <mergeCell ref="A5:A6"/>
    <mergeCell ref="A45:D45"/>
    <mergeCell ref="A54:D54"/>
    <mergeCell ref="A1:AB1"/>
    <mergeCell ref="A39:C39"/>
    <mergeCell ref="A46:D46"/>
    <mergeCell ref="B5:B6"/>
    <mergeCell ref="D5:D6"/>
    <mergeCell ref="A56:D56"/>
    <mergeCell ref="BB7:BJ7"/>
    <mergeCell ref="B3:D3"/>
    <mergeCell ref="A50:D50"/>
    <mergeCell ref="A55:D55"/>
    <mergeCell ref="A57:D57"/>
    <mergeCell ref="A47:D47"/>
    <mergeCell ref="B2:D2"/>
    <mergeCell ref="C5:C6"/>
  </mergeCells>
  <printOptions horizontalCentered="1" verticalCentered="1"/>
  <pageMargins left="0.1574803149606299" right="0.2362204724409449" top="0.7480314960629921" bottom="0.7480314960629921" header="0.3149606299212598" footer="0.3149606299212598"/>
  <pageSetup orientation="landscape" paperSize="9" scale="63" fitToHeight="0"/>
</worksheet>
</file>

<file path=xl/worksheets/sheet10.xml><?xml version="1.0" encoding="utf-8"?>
<worksheet xmlns="http://schemas.openxmlformats.org/spreadsheetml/2006/main">
  <sheetPr codeName="Planilha57">
    <tabColor theme="9"/>
    <outlinePr summaryBelow="1" summaryRight="1"/>
    <pageSetUpPr/>
  </sheetPr>
  <dimension ref="A1:EN57"/>
  <sheetViews>
    <sheetView showGridLines="0" zoomScale="80" zoomScaleNormal="80" workbookViewId="0">
      <selection activeCell="AA14" activeCellId="1" sqref="AA8:AA11 AA14:AA17"/>
    </sheetView>
  </sheetViews>
  <sheetFormatPr baseColWidth="8" defaultColWidth="9.140625" defaultRowHeight="18.75"/>
  <cols>
    <col width="29.5703125" customWidth="1" style="62" min="1" max="1"/>
    <col width="9.42578125" customWidth="1" style="11" min="2" max="2"/>
    <col width="16.42578125" customWidth="1" style="11" min="3" max="3"/>
    <col width="14.42578125" customWidth="1" style="11" min="4" max="4"/>
    <col width="1.85546875" customWidth="1" style="11" min="5" max="5"/>
    <col hidden="1" width="8.42578125" customWidth="1" style="11" min="6" max="24"/>
    <col width="8.42578125" customWidth="1" style="11" min="25" max="26"/>
    <col width="7.85546875" bestFit="1" customWidth="1" style="11" min="27" max="27"/>
    <col width="2" customWidth="1" style="11" min="28" max="28"/>
    <col width="18.42578125" customWidth="1" style="34" min="29" max="29"/>
    <col hidden="1" width="17.42578125" customWidth="1" style="34" min="30" max="30"/>
    <col width="1.7109375" customWidth="1" style="11" min="31" max="31"/>
    <col width="15.85546875" bestFit="1" customWidth="1" style="34" min="32" max="32"/>
    <col width="2.5703125" customWidth="1" min="33" max="33"/>
    <col width="8.7109375" customWidth="1" style="71" min="34" max="41"/>
    <col hidden="1" width="8.7109375" customWidth="1" style="71" min="42" max="51"/>
    <col width="9.140625" customWidth="1" style="11" min="52" max="52"/>
    <col width="21.85546875" bestFit="1" customWidth="1" style="11" min="53" max="53"/>
    <col width="9.140625" customWidth="1" style="11" min="54" max="54"/>
    <col hidden="1" width="13" customWidth="1" style="11" min="55" max="58"/>
    <col width="9.140625" customWidth="1" style="11" min="59" max="16384"/>
  </cols>
  <sheetData>
    <row r="1" ht="23.25" customHeight="1">
      <c r="A1" s="477" t="inlineStr">
        <is>
          <t>Controle de Contagem Semanal - Antilhas</t>
        </is>
      </c>
      <c r="AC1" s="361" t="n"/>
      <c r="AD1" s="361" t="n"/>
      <c r="AE1" s="361" t="n"/>
      <c r="AF1" s="361" t="n"/>
      <c r="AG1" s="361" t="n"/>
      <c r="AH1" s="361" t="n"/>
      <c r="AI1" s="361" t="n"/>
      <c r="AJ1" s="361" t="n"/>
      <c r="AK1" s="361" t="n"/>
      <c r="AL1" s="361" t="n"/>
      <c r="AM1" s="361" t="n"/>
      <c r="AN1" s="361" t="n"/>
      <c r="AO1" s="361" t="n"/>
      <c r="AP1" s="361" t="n"/>
      <c r="AQ1" s="361" t="n"/>
      <c r="AR1" s="361" t="n"/>
      <c r="AS1" s="361" t="n"/>
      <c r="AT1" s="361" t="n"/>
      <c r="AU1" s="361" t="n"/>
      <c r="AV1" s="361" t="n"/>
      <c r="AW1" s="361" t="n"/>
      <c r="AX1" s="361" t="n"/>
      <c r="AY1" s="361" t="n"/>
    </row>
    <row r="2">
      <c r="A2" s="63" t="inlineStr">
        <is>
          <t>LOJA:</t>
        </is>
      </c>
      <c r="B2" s="604" t="inlineStr">
        <is>
          <t>BARRA BONITA</t>
        </is>
      </c>
      <c r="C2" s="605" t="n"/>
      <c r="D2" s="606" t="n"/>
      <c r="AC2" s="11" t="n"/>
      <c r="AD2" s="11" t="n"/>
      <c r="AF2" s="11" t="n"/>
    </row>
    <row r="3">
      <c r="A3" s="63" t="inlineStr">
        <is>
          <t>Responsável:</t>
        </is>
      </c>
      <c r="B3" s="607" t="inlineStr">
        <is>
          <t>CAROLINE</t>
        </is>
      </c>
      <c r="C3" s="605" t="n"/>
      <c r="D3" s="606" t="n"/>
      <c r="E3" s="608" t="n"/>
      <c r="F3" s="608" t="n"/>
      <c r="G3" s="608" t="n"/>
      <c r="H3" s="608" t="n"/>
      <c r="I3" s="608" t="n"/>
      <c r="J3" s="608" t="n"/>
      <c r="K3" s="608" t="n"/>
      <c r="L3" s="608" t="n"/>
      <c r="M3" s="608" t="n"/>
      <c r="N3" s="608" t="n"/>
      <c r="O3" s="608" t="n"/>
      <c r="P3" s="608" t="n"/>
      <c r="Q3" s="608" t="n"/>
      <c r="R3" s="608" t="n"/>
      <c r="S3" s="608" t="n"/>
      <c r="T3" s="608" t="n"/>
      <c r="U3" s="608" t="n"/>
      <c r="V3" s="608" t="n"/>
      <c r="W3" s="608" t="n"/>
      <c r="X3" s="608" t="n"/>
      <c r="Y3" s="608" t="n"/>
      <c r="Z3" s="608" t="n"/>
      <c r="AA3" s="608" t="n"/>
      <c r="AB3" s="608" t="n"/>
      <c r="AC3" s="11" t="n"/>
      <c r="AD3" s="11" t="n"/>
      <c r="AE3" s="608" t="n"/>
    </row>
    <row r="4">
      <c r="AF4" s="11" t="n"/>
      <c r="AH4" s="395" t="n"/>
      <c r="AI4" s="395" t="n"/>
      <c r="AJ4" s="395" t="n"/>
      <c r="AK4" s="395" t="n"/>
      <c r="AL4" s="395" t="n"/>
      <c r="AM4" s="395" t="n"/>
      <c r="AN4" s="395" t="n"/>
      <c r="AO4" s="395" t="n"/>
      <c r="AP4" s="395" t="n"/>
      <c r="AQ4" s="395" t="n"/>
      <c r="AR4" s="395" t="n"/>
      <c r="AS4" s="395" t="n"/>
      <c r="AT4" s="395" t="n"/>
      <c r="AU4" s="395" t="n"/>
      <c r="AV4" s="395" t="n"/>
      <c r="AW4" s="395" t="n"/>
      <c r="AX4" s="395" t="n"/>
      <c r="AY4" s="395" t="n"/>
    </row>
    <row r="5" ht="18.75" customHeight="1">
      <c r="A5" s="610" t="inlineStr">
        <is>
          <t>Descrição</t>
        </is>
      </c>
      <c r="B5" s="611" t="inlineStr">
        <is>
          <t>PCT</t>
        </is>
      </c>
      <c r="C5" s="611" t="inlineStr">
        <is>
          <t xml:space="preserve">R$ </t>
        </is>
      </c>
      <c r="D5" s="612" t="inlineStr">
        <is>
          <t>Estoque Ideal</t>
        </is>
      </c>
      <c r="F5" s="40" t="n"/>
      <c r="G5" s="40" t="n"/>
      <c r="H5" s="40" t="n"/>
      <c r="I5" s="40" t="n"/>
      <c r="J5" s="40" t="n"/>
      <c r="K5" s="40" t="n"/>
      <c r="L5" s="40" t="n"/>
      <c r="M5" s="40" t="n"/>
      <c r="N5" s="40" t="n"/>
      <c r="O5" s="40" t="n"/>
      <c r="P5" s="40" t="n"/>
      <c r="Q5" s="40" t="n"/>
      <c r="R5" s="40" t="n"/>
      <c r="S5" s="40" t="n"/>
      <c r="T5" s="40" t="n"/>
      <c r="U5" s="40" t="n"/>
      <c r="V5" s="40" t="n"/>
      <c r="W5" s="40" t="n"/>
      <c r="X5" s="40" t="n"/>
      <c r="Y5" s="40" t="n"/>
      <c r="Z5" s="40" t="n"/>
      <c r="AA5" s="40" t="n"/>
      <c r="AC5" s="29" t="inlineStr">
        <is>
          <t>Pendências</t>
        </is>
      </c>
      <c r="AD5" s="29" t="inlineStr">
        <is>
          <t>Pendências</t>
        </is>
      </c>
      <c r="AF5" s="9" t="inlineStr">
        <is>
          <t>Novo Pedido</t>
        </is>
      </c>
      <c r="AH5" s="614" t="n"/>
      <c r="AI5" s="614" t="n">
        <v>46142</v>
      </c>
      <c r="AJ5" s="614" t="n">
        <v>46114</v>
      </c>
      <c r="AK5" s="614" t="n">
        <v>46107</v>
      </c>
      <c r="AL5" s="614" t="n">
        <v>46099</v>
      </c>
      <c r="AM5" s="616" t="n">
        <v>46065</v>
      </c>
      <c r="AN5" s="614" t="n">
        <v>46092</v>
      </c>
      <c r="AO5" s="614" t="n">
        <v>46084</v>
      </c>
      <c r="AP5" s="614" t="n">
        <v>46071</v>
      </c>
      <c r="AQ5" s="614" t="n">
        <v>46056</v>
      </c>
      <c r="AR5" s="614" t="n">
        <v>46048</v>
      </c>
      <c r="AS5" s="614" t="n">
        <v>46043</v>
      </c>
      <c r="AT5" s="614" t="n">
        <v>46035</v>
      </c>
      <c r="AU5" s="614" t="n">
        <v>46024</v>
      </c>
      <c r="AV5" s="614" t="n">
        <v>46017</v>
      </c>
      <c r="AW5" s="614" t="n">
        <v>46007</v>
      </c>
      <c r="AX5" s="614" t="n">
        <v>46001</v>
      </c>
      <c r="AY5" s="614" t="n">
        <v>45994</v>
      </c>
    </row>
    <row r="6" customFormat="1" s="3">
      <c r="A6" s="618" t="n"/>
      <c r="B6" s="618" t="n"/>
      <c r="C6" s="618" t="n"/>
      <c r="D6" s="618" t="n"/>
      <c r="E6" s="30" t="n"/>
      <c r="F6" s="619" t="n">
        <v>46013</v>
      </c>
      <c r="G6" s="619" t="n">
        <v>46020</v>
      </c>
      <c r="H6" s="619" t="n">
        <v>46027</v>
      </c>
      <c r="I6" s="619" t="n">
        <v>46034</v>
      </c>
      <c r="J6" s="619" t="n">
        <v>46041</v>
      </c>
      <c r="K6" s="619" t="n">
        <v>46048</v>
      </c>
      <c r="L6" s="619" t="n">
        <v>46055</v>
      </c>
      <c r="M6" s="619" t="n">
        <v>46062</v>
      </c>
      <c r="N6" s="619" t="n">
        <v>46069</v>
      </c>
      <c r="O6" s="619" t="n">
        <v>46076</v>
      </c>
      <c r="P6" s="619" t="n">
        <v>46083</v>
      </c>
      <c r="Q6" s="619" t="n">
        <v>46090</v>
      </c>
      <c r="R6" s="619" t="n">
        <v>46097</v>
      </c>
      <c r="S6" s="619" t="n">
        <v>46104</v>
      </c>
      <c r="T6" s="619" t="n">
        <v>46111</v>
      </c>
      <c r="U6" s="619" t="n">
        <v>46118</v>
      </c>
      <c r="V6" s="619" t="n">
        <v>46125</v>
      </c>
      <c r="W6" s="619" t="n">
        <v>46132</v>
      </c>
      <c r="X6" s="619" t="n">
        <v>46139</v>
      </c>
      <c r="Y6" s="619" t="n">
        <v>46146</v>
      </c>
      <c r="Z6" s="619" t="n">
        <v>46154</v>
      </c>
      <c r="AA6" s="621" t="inlineStr">
        <is>
          <t>USOU</t>
        </is>
      </c>
      <c r="AB6" s="30" t="n"/>
      <c r="AC6" s="622" t="n">
        <v>46142</v>
      </c>
      <c r="AD6" s="622" t="n">
        <v>45965</v>
      </c>
      <c r="AE6" s="623" t="n"/>
      <c r="AF6" s="624" t="n">
        <v>46155</v>
      </c>
      <c r="AH6" s="614" t="n"/>
      <c r="AI6" s="614" t="n">
        <v>46153</v>
      </c>
      <c r="AJ6" s="614" t="n">
        <v>46125</v>
      </c>
      <c r="AK6" s="614" t="n">
        <v>46113</v>
      </c>
      <c r="AL6" s="614" t="n">
        <v>46106</v>
      </c>
      <c r="AM6" s="616" t="n">
        <v>46107</v>
      </c>
      <c r="AN6" s="614" t="n">
        <v>46099</v>
      </c>
      <c r="AO6" s="614" t="n">
        <v>46092</v>
      </c>
      <c r="AP6" s="614" t="n">
        <v>46078</v>
      </c>
      <c r="AQ6" s="614" t="n">
        <v>46062</v>
      </c>
      <c r="AR6" s="614" t="n">
        <v>46055</v>
      </c>
      <c r="AS6" s="614" t="n">
        <v>46055</v>
      </c>
      <c r="AT6" s="614" t="n">
        <v>46038</v>
      </c>
      <c r="AU6" s="614" t="n">
        <v>46031</v>
      </c>
      <c r="AV6" s="614" t="n">
        <v>46029</v>
      </c>
      <c r="AW6" s="614" t="n">
        <v>46013</v>
      </c>
      <c r="AX6" s="614" t="n">
        <v>45978</v>
      </c>
      <c r="AY6" s="614" t="n">
        <v>45999</v>
      </c>
      <c r="BA6" s="11" t="n"/>
      <c r="BB6" s="11" t="n"/>
      <c r="BC6" s="11" t="n"/>
      <c r="BD6" s="11" t="n"/>
      <c r="BE6" s="11" t="n"/>
      <c r="BF6" s="11" t="n"/>
      <c r="BG6" s="11" t="n"/>
      <c r="BH6" s="11" t="n"/>
      <c r="BI6" s="11" t="n"/>
    </row>
    <row r="7" ht="21.75" customFormat="1" customHeight="1" s="3">
      <c r="A7" s="68" t="inlineStr">
        <is>
          <t xml:space="preserve">SACOLAS </t>
        </is>
      </c>
      <c r="B7" s="5" t="n"/>
      <c r="C7" s="5" t="n"/>
      <c r="D7" s="239" t="n"/>
      <c r="E7" s="11" t="n"/>
      <c r="F7" s="12" t="n"/>
      <c r="G7" s="12" t="n"/>
      <c r="H7" s="12" t="n"/>
      <c r="I7" s="12" t="n"/>
      <c r="J7" s="12" t="n"/>
      <c r="K7" s="12" t="n"/>
      <c r="L7" s="12" t="n"/>
      <c r="M7" s="12" t="n"/>
      <c r="N7" s="12" t="n"/>
      <c r="O7" s="12" t="n"/>
      <c r="P7" s="12" t="n"/>
      <c r="Q7" s="12" t="n"/>
      <c r="R7" s="12" t="n"/>
      <c r="S7" s="12" t="n"/>
      <c r="T7" s="12" t="n"/>
      <c r="U7" s="12" t="n"/>
      <c r="V7" s="12" t="n"/>
      <c r="W7" s="12" t="n"/>
      <c r="X7" s="12" t="n"/>
      <c r="Y7" s="12" t="n"/>
      <c r="Z7" s="12" t="n"/>
      <c r="AA7" s="12" t="n"/>
      <c r="AB7" s="11" t="n"/>
      <c r="AC7" s="389" t="inlineStr">
        <is>
          <t>FALTOU FÍSICO</t>
        </is>
      </c>
      <c r="AD7" s="85" t="inlineStr">
        <is>
          <t>FALTOU FÍSICO</t>
        </is>
      </c>
      <c r="AE7" s="11" t="n"/>
      <c r="AF7" s="12" t="n"/>
      <c r="AH7" s="12" t="n"/>
      <c r="AI7" s="12" t="n"/>
      <c r="AJ7" s="12" t="n"/>
      <c r="AK7" s="12" t="n"/>
      <c r="AL7" s="12" t="n"/>
      <c r="AM7" s="12" t="inlineStr">
        <is>
          <t>MÃES</t>
        </is>
      </c>
      <c r="AN7" s="12" t="n"/>
      <c r="AO7" s="12" t="n"/>
      <c r="AP7" s="12" t="n"/>
      <c r="AQ7" s="12" t="n"/>
      <c r="AR7" s="12" t="n"/>
      <c r="AS7" s="12" t="n"/>
      <c r="AT7" s="12" t="n"/>
      <c r="AU7" s="12" t="n"/>
      <c r="AV7" s="12" t="n"/>
      <c r="AW7" s="12" t="n"/>
      <c r="AX7" s="12" t="n"/>
      <c r="AY7" s="12" t="n"/>
      <c r="BA7" s="384" t="inlineStr">
        <is>
          <t>MÃES 2026</t>
        </is>
      </c>
      <c r="BB7" s="625" t="n"/>
      <c r="BC7" s="625" t="n"/>
      <c r="BD7" s="625" t="n"/>
      <c r="BE7" s="625" t="n"/>
      <c r="BF7" s="625" t="n"/>
      <c r="BG7" s="625" t="n"/>
      <c r="BH7" s="625" t="n"/>
      <c r="BI7" s="641" t="n"/>
    </row>
    <row r="8" customFormat="1" s="3">
      <c r="A8" s="21" t="inlineStr">
        <is>
          <t>SACOLA PP VERDE</t>
        </is>
      </c>
      <c r="B8" s="6" t="n">
        <v>300</v>
      </c>
      <c r="C8" s="627" t="n">
        <v>187.12</v>
      </c>
      <c r="D8" s="240" t="n">
        <v>300</v>
      </c>
      <c r="E8" s="11" t="n"/>
      <c r="F8" s="39">
        <f>440+AW8</f>
        <v/>
      </c>
      <c r="G8" s="39" t="n">
        <v>600</v>
      </c>
      <c r="H8" s="39" t="n">
        <v>600</v>
      </c>
      <c r="I8" s="39" t="n">
        <v>520</v>
      </c>
      <c r="J8" s="39" t="n">
        <v>500</v>
      </c>
      <c r="K8" s="39" t="n">
        <v>440</v>
      </c>
      <c r="L8" s="39" t="n">
        <v>380</v>
      </c>
      <c r="M8" s="39">
        <f>320+AQ8</f>
        <v/>
      </c>
      <c r="N8" s="39" t="n">
        <v>580</v>
      </c>
      <c r="O8" s="39" t="n">
        <v>480</v>
      </c>
      <c r="P8" s="39" t="n">
        <v>420</v>
      </c>
      <c r="Q8" s="39" t="n">
        <v>360</v>
      </c>
      <c r="R8" s="39">
        <f>300+AN8</f>
        <v/>
      </c>
      <c r="S8" s="39" t="n">
        <v>220</v>
      </c>
      <c r="T8" s="39">
        <f>160+AK8</f>
        <v/>
      </c>
      <c r="U8" s="39" t="n">
        <v>700</v>
      </c>
      <c r="V8" s="39" t="n">
        <v>620</v>
      </c>
      <c r="W8" s="39" t="n">
        <v>480</v>
      </c>
      <c r="X8" s="39" t="n">
        <v>400</v>
      </c>
      <c r="Y8" s="39">
        <f>360+AI8</f>
        <v/>
      </c>
      <c r="Z8" s="39">
        <f>320+AI8</f>
        <v/>
      </c>
      <c r="AA8" s="380">
        <f>Y8+IF(NOT(ISBLANK(OFFSET(AA8,0,6))),N(OFFSET(AA8,0,6)),N(OFFSET(AA8,0,7)))-Z8</f>
        <v/>
      </c>
      <c r="AB8" s="11" t="n"/>
      <c r="AC8" s="78" t="n"/>
      <c r="AD8" s="78" t="n"/>
      <c r="AE8" s="11" t="n"/>
      <c r="AF8" s="32" t="n"/>
      <c r="AH8" s="19" t="n">
        <v>0</v>
      </c>
      <c r="AI8" s="19" t="n">
        <v>300</v>
      </c>
      <c r="AJ8" s="19" t="n"/>
      <c r="AK8" s="19" t="n">
        <v>300</v>
      </c>
      <c r="AL8" s="19" t="n"/>
      <c r="AM8" s="19" t="n"/>
      <c r="AN8" s="19" t="n">
        <v>300</v>
      </c>
      <c r="AO8" s="19" t="n"/>
      <c r="AP8" s="19" t="n"/>
      <c r="AQ8" s="19" t="n">
        <v>300</v>
      </c>
      <c r="AR8" s="19" t="n"/>
      <c r="AS8" s="19" t="n"/>
      <c r="AT8" s="19" t="n"/>
      <c r="AU8" s="19" t="n"/>
      <c r="AV8" s="19" t="n"/>
      <c r="AW8" s="19" t="n">
        <v>300</v>
      </c>
      <c r="AX8" s="19" t="n">
        <v>300</v>
      </c>
      <c r="AY8" s="19" t="n">
        <v>300</v>
      </c>
      <c r="BA8" s="397" t="inlineStr">
        <is>
          <t xml:space="preserve">SACOLAS </t>
        </is>
      </c>
      <c r="BB8" s="384" t="inlineStr">
        <is>
          <t>PCT</t>
        </is>
      </c>
      <c r="BC8" s="619" t="n">
        <v>46118</v>
      </c>
      <c r="BD8" s="619" t="n">
        <v>46125</v>
      </c>
      <c r="BE8" s="619" t="n">
        <v>46132</v>
      </c>
      <c r="BF8" s="619" t="n">
        <v>46139</v>
      </c>
      <c r="BG8" s="619" t="n">
        <v>46146</v>
      </c>
      <c r="BH8" s="619" t="n">
        <v>46154</v>
      </c>
      <c r="BI8" s="621" t="inlineStr">
        <is>
          <t>USOU</t>
        </is>
      </c>
    </row>
    <row r="9" ht="18.75" customFormat="1" customHeight="1" s="3">
      <c r="A9" s="21" t="inlineStr">
        <is>
          <t xml:space="preserve">SACOLA P VERDE </t>
        </is>
      </c>
      <c r="B9" s="6" t="n">
        <v>200</v>
      </c>
      <c r="C9" s="627" t="n">
        <v>193.08</v>
      </c>
      <c r="D9" s="240" t="n">
        <v>700</v>
      </c>
      <c r="E9" s="11" t="n"/>
      <c r="F9" s="39">
        <f>180+AW9</f>
        <v/>
      </c>
      <c r="G9" s="39" t="n">
        <v>320</v>
      </c>
      <c r="H9" s="39" t="n">
        <v>100</v>
      </c>
      <c r="I9" s="39" t="n">
        <v>920</v>
      </c>
      <c r="J9" s="39" t="n">
        <v>980</v>
      </c>
      <c r="K9" s="39" t="n">
        <v>740</v>
      </c>
      <c r="L9" s="39" t="n">
        <v>980</v>
      </c>
      <c r="M9" s="39">
        <f>800+AQ9</f>
        <v/>
      </c>
      <c r="N9" s="39" t="n">
        <v>760</v>
      </c>
      <c r="O9" s="39" t="n">
        <v>620</v>
      </c>
      <c r="P9" s="39" t="n">
        <v>620</v>
      </c>
      <c r="Q9" s="39">
        <f>400+AO9</f>
        <v/>
      </c>
      <c r="R9" s="39" t="n">
        <v>560</v>
      </c>
      <c r="S9" s="39">
        <f>420+AL9</f>
        <v/>
      </c>
      <c r="T9" s="39" t="n">
        <v>400</v>
      </c>
      <c r="U9" s="39" t="n">
        <v>240</v>
      </c>
      <c r="V9" s="39">
        <f>100+AG9</f>
        <v/>
      </c>
      <c r="W9" s="39" t="n">
        <v>500</v>
      </c>
      <c r="X9" s="39" t="n">
        <v>500</v>
      </c>
      <c r="Y9" s="39">
        <f>480+AI9</f>
        <v/>
      </c>
      <c r="Z9" s="39">
        <f>480+AI9</f>
        <v/>
      </c>
      <c r="AA9" s="380">
        <f>Y9+IF(NOT(ISBLANK(OFFSET(AA9,0,6))),N(OFFSET(AA9,0,6)),N(OFFSET(AA9,0,7)))-Z9</f>
        <v/>
      </c>
      <c r="AB9" s="11" t="n"/>
      <c r="AC9" s="78" t="n">
        <v>200</v>
      </c>
      <c r="AD9" s="78" t="n"/>
      <c r="AE9" s="11" t="n"/>
      <c r="AF9" s="32" t="n"/>
      <c r="AH9" s="304" t="n">
        <v>0</v>
      </c>
      <c r="AI9" s="304" t="n">
        <v>200</v>
      </c>
      <c r="AJ9" s="19" t="n">
        <v>400</v>
      </c>
      <c r="AK9" s="19" t="n"/>
      <c r="AL9" s="19" t="n">
        <v>200</v>
      </c>
      <c r="AM9" s="119" t="n">
        <v>1400</v>
      </c>
      <c r="AN9" s="19" t="n"/>
      <c r="AO9" s="19" t="n">
        <v>400</v>
      </c>
      <c r="AP9" s="19" t="n">
        <v>200</v>
      </c>
      <c r="AQ9" s="19" t="n">
        <v>200</v>
      </c>
      <c r="AR9" s="19" t="n">
        <v>400</v>
      </c>
      <c r="AS9" s="19" t="n"/>
      <c r="AT9" s="19" t="n">
        <v>200</v>
      </c>
      <c r="AU9" s="19" t="n">
        <v>200</v>
      </c>
      <c r="AV9" s="19" t="n">
        <v>800</v>
      </c>
      <c r="AW9" s="19" t="n">
        <v>800</v>
      </c>
      <c r="AX9" s="19" t="n">
        <v>400</v>
      </c>
      <c r="AY9" s="19" t="n"/>
      <c r="BA9" s="372" t="inlineStr">
        <is>
          <t xml:space="preserve">SACOLA P </t>
        </is>
      </c>
      <c r="BB9" s="139" t="n">
        <v>200</v>
      </c>
      <c r="BC9" s="39">
        <f>AM9</f>
        <v/>
      </c>
      <c r="BD9" s="39" t="n">
        <v>1380</v>
      </c>
      <c r="BE9" s="39" t="n">
        <v>1220</v>
      </c>
      <c r="BF9" s="39" t="n">
        <v>1040</v>
      </c>
      <c r="BG9" s="39" t="n">
        <v>840</v>
      </c>
      <c r="BH9" s="39" t="n">
        <v>480</v>
      </c>
      <c r="BI9" s="26">
        <f>BG9+IF(NOT(ISBLANK(OFFSET(BI9,0,6))),N(OFFSET(BI9,0,6)),N(OFFSET(BI9,0,7)))-BH9</f>
        <v/>
      </c>
    </row>
    <row r="10" customFormat="1" s="3">
      <c r="A10" s="21" t="inlineStr">
        <is>
          <t>SACOLA M VERDE</t>
        </is>
      </c>
      <c r="B10" s="6" t="n">
        <v>200</v>
      </c>
      <c r="C10" s="627" t="n">
        <v>253.83</v>
      </c>
      <c r="D10" s="240" t="n">
        <v>350</v>
      </c>
      <c r="E10" s="11" t="n"/>
      <c r="F10" s="39">
        <f>120+AW10</f>
        <v/>
      </c>
      <c r="G10" s="39" t="n">
        <v>580</v>
      </c>
      <c r="H10" s="39" t="n">
        <v>420</v>
      </c>
      <c r="I10" s="39" t="n">
        <v>800</v>
      </c>
      <c r="J10" s="39" t="n">
        <v>800</v>
      </c>
      <c r="K10" s="39" t="n">
        <v>720</v>
      </c>
      <c r="L10" s="39" t="n">
        <v>680</v>
      </c>
      <c r="M10" s="39" t="n">
        <v>600</v>
      </c>
      <c r="N10" s="39" t="n">
        <v>500</v>
      </c>
      <c r="O10" s="39" t="n">
        <v>440</v>
      </c>
      <c r="P10" s="39" t="n">
        <v>380</v>
      </c>
      <c r="Q10" s="39" t="n">
        <v>300</v>
      </c>
      <c r="R10" s="39">
        <f>220+AN10</f>
        <v/>
      </c>
      <c r="S10" s="39" t="n">
        <v>140</v>
      </c>
      <c r="T10" s="39">
        <f>60+AK10</f>
        <v/>
      </c>
      <c r="U10" s="39" t="n">
        <v>200</v>
      </c>
      <c r="V10" s="39">
        <f>300+AG10</f>
        <v/>
      </c>
      <c r="W10" s="39" t="n">
        <v>500</v>
      </c>
      <c r="X10" s="39" t="n">
        <v>500</v>
      </c>
      <c r="Y10" s="39" t="n">
        <v>500</v>
      </c>
      <c r="Z10" s="39" t="n">
        <v>480</v>
      </c>
      <c r="AA10" s="380">
        <f>Y10+IF(NOT(ISBLANK(OFFSET(AA10,0,6))),N(OFFSET(AA10,0,6)),N(OFFSET(AA10,0,7)))-Z10</f>
        <v/>
      </c>
      <c r="AB10" s="11" t="n"/>
      <c r="AC10" s="78" t="n"/>
      <c r="AD10" s="78" t="n"/>
      <c r="AE10" s="11" t="n"/>
      <c r="AF10" s="32" t="n"/>
      <c r="AH10" s="304" t="n">
        <v>0</v>
      </c>
      <c r="AI10" s="304" t="n">
        <v>0</v>
      </c>
      <c r="AJ10" s="19" t="n">
        <v>200</v>
      </c>
      <c r="AK10" s="19" t="n">
        <v>200</v>
      </c>
      <c r="AL10" s="19" t="n"/>
      <c r="AM10" s="119" t="n">
        <v>800</v>
      </c>
      <c r="AN10" s="19" t="n">
        <v>200</v>
      </c>
      <c r="AO10" s="19" t="n"/>
      <c r="AP10" s="19" t="n"/>
      <c r="AQ10" s="19" t="n"/>
      <c r="AR10" s="19" t="n"/>
      <c r="AS10" s="19" t="n"/>
      <c r="AT10" s="19" t="n"/>
      <c r="AU10" s="19" t="n"/>
      <c r="AV10" s="19" t="n">
        <v>400</v>
      </c>
      <c r="AW10" s="19" t="n">
        <v>600</v>
      </c>
      <c r="AX10" s="19" t="n">
        <v>200</v>
      </c>
      <c r="AY10" s="19" t="n"/>
      <c r="BA10" s="21" t="inlineStr">
        <is>
          <t xml:space="preserve">SACOLA M </t>
        </is>
      </c>
      <c r="BB10" s="6" t="n">
        <v>200</v>
      </c>
      <c r="BC10" s="39">
        <f>AM10</f>
        <v/>
      </c>
      <c r="BD10" s="39" t="n">
        <v>760</v>
      </c>
      <c r="BE10" s="39" t="n">
        <v>700</v>
      </c>
      <c r="BF10" s="39" t="n">
        <v>540</v>
      </c>
      <c r="BG10" s="39" t="n">
        <v>440</v>
      </c>
      <c r="BH10" s="39" t="n">
        <v>0</v>
      </c>
      <c r="BI10" s="26">
        <f>BG10+IF(NOT(ISBLANK(OFFSET(BI10,0,6))),N(OFFSET(BI10,0,6)),N(OFFSET(BI10,0,7)))-BH10</f>
        <v/>
      </c>
    </row>
    <row r="11" customFormat="1" s="3">
      <c r="A11" s="22" t="inlineStr">
        <is>
          <t xml:space="preserve">SACOLA G VERDE </t>
        </is>
      </c>
      <c r="B11" s="6" t="n">
        <v>100</v>
      </c>
      <c r="C11" s="627" t="n">
        <v>184.57</v>
      </c>
      <c r="D11" s="240" t="n">
        <v>50</v>
      </c>
      <c r="E11" s="11" t="n"/>
      <c r="F11" s="39" t="n">
        <v>100</v>
      </c>
      <c r="G11" s="39" t="n">
        <v>60</v>
      </c>
      <c r="H11" s="39" t="n">
        <v>60</v>
      </c>
      <c r="I11" s="39" t="n">
        <v>100</v>
      </c>
      <c r="J11" s="39" t="n">
        <v>80</v>
      </c>
      <c r="K11" s="39" t="n">
        <v>60</v>
      </c>
      <c r="L11" s="39" t="n">
        <v>40</v>
      </c>
      <c r="M11" s="39">
        <f>20+AQ11</f>
        <v/>
      </c>
      <c r="N11" s="39" t="n">
        <v>120</v>
      </c>
      <c r="O11" s="39" t="n">
        <v>100</v>
      </c>
      <c r="P11" s="39" t="n">
        <v>100</v>
      </c>
      <c r="Q11" s="39" t="n">
        <v>60</v>
      </c>
      <c r="R11" s="39">
        <f>40+AN11</f>
        <v/>
      </c>
      <c r="S11" s="39" t="n">
        <v>40</v>
      </c>
      <c r="T11" s="39">
        <f>40+AK11</f>
        <v/>
      </c>
      <c r="U11" s="39" t="n">
        <v>220</v>
      </c>
      <c r="V11" s="39" t="n">
        <v>220</v>
      </c>
      <c r="W11" s="39" t="n">
        <v>220</v>
      </c>
      <c r="X11" s="39" t="n">
        <v>220</v>
      </c>
      <c r="Y11" s="39" t="n">
        <v>220</v>
      </c>
      <c r="Z11" s="39" t="n">
        <v>120</v>
      </c>
      <c r="AA11" s="380">
        <f>Y11+IF(NOT(ISBLANK(OFFSET(AA11,0,6))),N(OFFSET(AA11,0,6)),N(OFFSET(AA11,0,7)))-Z11</f>
        <v/>
      </c>
      <c r="AB11" s="11" t="n"/>
      <c r="AC11" s="78" t="n"/>
      <c r="AD11" s="78" t="n"/>
      <c r="AE11" s="11" t="n"/>
      <c r="AF11" s="32" t="n"/>
      <c r="AH11" s="304" t="n">
        <v>0</v>
      </c>
      <c r="AI11" s="304" t="n">
        <v>0</v>
      </c>
      <c r="AJ11" s="19" t="n"/>
      <c r="AK11" s="19" t="n">
        <v>100</v>
      </c>
      <c r="AL11" s="19" t="n"/>
      <c r="AM11" s="119" t="n">
        <v>100</v>
      </c>
      <c r="AN11" s="19" t="n">
        <v>100</v>
      </c>
      <c r="AO11" s="19" t="n"/>
      <c r="AP11" s="19" t="n"/>
      <c r="AQ11" s="19" t="n">
        <v>100</v>
      </c>
      <c r="AR11" s="19" t="n"/>
      <c r="AS11" s="19" t="n"/>
      <c r="AT11" s="19" t="n"/>
      <c r="AU11" s="19" t="n">
        <v>100</v>
      </c>
      <c r="AV11" s="19" t="n"/>
      <c r="AW11" s="19" t="n"/>
      <c r="AX11" s="19" t="n"/>
      <c r="AY11" s="19" t="n"/>
      <c r="BA11" s="22" t="inlineStr">
        <is>
          <t xml:space="preserve">SACOLA G </t>
        </is>
      </c>
      <c r="BB11" s="6" t="n">
        <v>100</v>
      </c>
      <c r="BC11" s="39">
        <f>AM11</f>
        <v/>
      </c>
      <c r="BD11" s="39" t="n">
        <v>80</v>
      </c>
      <c r="BE11" s="39" t="n">
        <v>80</v>
      </c>
      <c r="BF11" s="39" t="n">
        <v>40</v>
      </c>
      <c r="BG11" s="39" t="n">
        <v>0</v>
      </c>
      <c r="BH11" s="39" t="n">
        <v>0</v>
      </c>
      <c r="BI11" s="26">
        <f>BG11+IF(NOT(ISBLANK(OFFSET(BI11,0,6))),N(OFFSET(BI11,0,6)),N(OFFSET(BI11,0,7)))-BH11</f>
        <v/>
      </c>
    </row>
    <row r="12" ht="16.5" customFormat="1" customHeight="1" s="3">
      <c r="A12" s="23" t="n"/>
      <c r="B12" s="1" t="n"/>
      <c r="C12" s="630" t="n"/>
      <c r="D12" s="277" t="n"/>
      <c r="E12" s="11" t="n"/>
      <c r="F12" s="2" t="n"/>
      <c r="G12" s="2" t="n"/>
      <c r="H12" s="2" t="n"/>
      <c r="I12" s="2" t="n"/>
      <c r="J12" s="2" t="n"/>
      <c r="K12" s="2" t="n"/>
      <c r="L12" s="2" t="n"/>
      <c r="M12" s="2" t="n"/>
      <c r="N12" s="2" t="n"/>
      <c r="O12" s="2" t="n"/>
      <c r="P12" s="2" t="n"/>
      <c r="Q12" s="2" t="n"/>
      <c r="R12" s="2" t="n"/>
      <c r="S12" s="2" t="n"/>
      <c r="T12" s="2" t="n"/>
      <c r="U12" s="2" t="n"/>
      <c r="V12" s="2" t="n"/>
      <c r="W12" s="2" t="n"/>
      <c r="X12" s="2" t="n"/>
      <c r="Y12" s="2" t="n"/>
      <c r="Z12" s="2" t="n"/>
      <c r="AA12" s="2" t="n"/>
      <c r="AB12" s="11" t="n"/>
      <c r="AC12" s="350" t="n"/>
      <c r="AD12" s="350" t="n"/>
      <c r="AE12" s="11" t="n"/>
      <c r="AF12" s="73" t="n"/>
      <c r="AH12" s="75" t="n"/>
      <c r="AI12" s="75" t="n"/>
      <c r="AJ12" s="75" t="n"/>
      <c r="AK12" s="75" t="n"/>
      <c r="AL12" s="75" t="n"/>
      <c r="AM12" s="75" t="n"/>
      <c r="AN12" s="75" t="n"/>
      <c r="AO12" s="75" t="n"/>
      <c r="AP12" s="75" t="n"/>
      <c r="AQ12" s="75" t="n"/>
      <c r="AR12" s="75" t="n"/>
      <c r="AS12" s="75" t="n"/>
      <c r="AT12" s="75" t="n"/>
      <c r="AU12" s="75" t="n"/>
      <c r="AV12" s="75" t="n"/>
      <c r="AW12" s="75" t="n"/>
      <c r="AX12" s="75" t="n"/>
      <c r="AY12" s="75" t="n"/>
      <c r="BA12" s="23" t="n"/>
      <c r="BB12" s="1" t="n"/>
      <c r="BC12" s="2" t="n"/>
      <c r="BD12" s="2" t="n"/>
      <c r="BE12" s="2" t="n"/>
      <c r="BF12" s="2" t="n"/>
      <c r="BG12" s="2" t="n"/>
      <c r="BH12" s="2" t="n"/>
    </row>
    <row r="13" customFormat="1" s="3">
      <c r="A13" s="69" t="inlineStr">
        <is>
          <t>DIVERSOS</t>
        </is>
      </c>
      <c r="B13" s="368" t="n"/>
      <c r="C13" s="631" t="n"/>
      <c r="D13" s="403" t="n"/>
      <c r="E13" s="608" t="n"/>
      <c r="F13" s="619" t="n">
        <v>46013</v>
      </c>
      <c r="G13" s="619" t="n">
        <v>46020</v>
      </c>
      <c r="H13" s="619" t="n">
        <v>46027</v>
      </c>
      <c r="I13" s="619" t="n">
        <v>46034</v>
      </c>
      <c r="J13" s="619" t="n">
        <v>46041</v>
      </c>
      <c r="K13" s="619" t="n">
        <v>46048</v>
      </c>
      <c r="L13" s="619" t="n">
        <v>46055</v>
      </c>
      <c r="M13" s="619" t="n">
        <v>46062</v>
      </c>
      <c r="N13" s="619" t="n">
        <v>46069</v>
      </c>
      <c r="O13" s="619" t="n">
        <v>46076</v>
      </c>
      <c r="P13" s="619" t="n">
        <v>46083</v>
      </c>
      <c r="Q13" s="619" t="n">
        <v>46090</v>
      </c>
      <c r="R13" s="619" t="n">
        <v>46097</v>
      </c>
      <c r="S13" s="619" t="n">
        <v>46104</v>
      </c>
      <c r="T13" s="619" t="n">
        <v>46111</v>
      </c>
      <c r="U13" s="619" t="n">
        <v>46118</v>
      </c>
      <c r="V13" s="619" t="n">
        <v>46125</v>
      </c>
      <c r="W13" s="619" t="n">
        <v>46132</v>
      </c>
      <c r="X13" s="619" t="n">
        <v>46139</v>
      </c>
      <c r="Y13" s="619" t="n">
        <v>46146</v>
      </c>
      <c r="Z13" s="619" t="n">
        <v>46154</v>
      </c>
      <c r="AA13" s="621" t="inlineStr">
        <is>
          <t>USOU</t>
        </is>
      </c>
      <c r="AB13" s="608" t="n"/>
      <c r="AC13" s="29" t="inlineStr">
        <is>
          <t>Pendências</t>
        </is>
      </c>
      <c r="AD13" s="29" t="inlineStr">
        <is>
          <t>Pendências</t>
        </is>
      </c>
      <c r="AE13" s="11" t="n"/>
      <c r="AF13" s="9" t="inlineStr">
        <is>
          <t>Novo Pedido</t>
        </is>
      </c>
      <c r="AH13" s="614" t="n"/>
      <c r="AI13" s="614" t="n">
        <v>46142</v>
      </c>
      <c r="AJ13" s="614" t="n">
        <v>46114</v>
      </c>
      <c r="AK13" s="614" t="n">
        <v>46107</v>
      </c>
      <c r="AL13" s="614" t="n">
        <v>46099</v>
      </c>
      <c r="AM13" s="616" t="n">
        <v>46065</v>
      </c>
      <c r="AN13" s="614" t="n">
        <v>46092</v>
      </c>
      <c r="AO13" s="614" t="n">
        <v>46084</v>
      </c>
      <c r="AP13" s="614" t="n">
        <v>46071</v>
      </c>
      <c r="AQ13" s="614" t="n">
        <v>46056</v>
      </c>
      <c r="AR13" s="614" t="n">
        <v>46048</v>
      </c>
      <c r="AS13" s="614" t="n">
        <v>46043</v>
      </c>
      <c r="AT13" s="614" t="n">
        <v>46035</v>
      </c>
      <c r="AU13" s="614" t="n">
        <v>46024</v>
      </c>
      <c r="AV13" s="614" t="n">
        <v>46017</v>
      </c>
      <c r="AW13" s="614" t="n">
        <v>46007</v>
      </c>
      <c r="AX13" s="614" t="n">
        <v>46001</v>
      </c>
      <c r="AY13" s="614" t="n">
        <v>45994</v>
      </c>
      <c r="BA13" s="397" t="inlineStr">
        <is>
          <t>DIVERSOS</t>
        </is>
      </c>
      <c r="BB13" s="384" t="inlineStr">
        <is>
          <t>PCT</t>
        </is>
      </c>
      <c r="BC13" s="619" t="n">
        <v>46118</v>
      </c>
      <c r="BD13" s="619" t="n">
        <v>46125</v>
      </c>
      <c r="BE13" s="619" t="n">
        <v>46132</v>
      </c>
      <c r="BF13" s="619" t="n">
        <v>46139</v>
      </c>
      <c r="BG13" s="619" t="n">
        <v>46146</v>
      </c>
      <c r="BH13" s="619" t="n">
        <v>46154</v>
      </c>
      <c r="BI13" s="621" t="inlineStr">
        <is>
          <t>USOU</t>
        </is>
      </c>
    </row>
    <row r="14" customFormat="1" s="3">
      <c r="A14" s="25" t="inlineStr">
        <is>
          <t>PAPEL DE SEDA 2025</t>
        </is>
      </c>
      <c r="B14" s="6" t="n">
        <v>200</v>
      </c>
      <c r="C14" s="632" t="n">
        <v>38</v>
      </c>
      <c r="D14" s="240" t="n">
        <v>3</v>
      </c>
      <c r="E14" s="608" t="n"/>
      <c r="F14" s="39">
        <f>3+AW14</f>
        <v/>
      </c>
      <c r="G14" s="39" t="n">
        <v>2</v>
      </c>
      <c r="H14" s="39" t="n">
        <v>0</v>
      </c>
      <c r="I14" s="39" t="n">
        <v>7</v>
      </c>
      <c r="J14" s="39" t="n">
        <v>9</v>
      </c>
      <c r="K14" s="39" t="n">
        <v>6</v>
      </c>
      <c r="L14" s="39" t="n">
        <v>11</v>
      </c>
      <c r="M14" s="39" t="n">
        <v>10</v>
      </c>
      <c r="N14" s="39" t="n">
        <v>8</v>
      </c>
      <c r="O14" s="39" t="n">
        <v>7</v>
      </c>
      <c r="P14" s="39" t="n">
        <v>9</v>
      </c>
      <c r="Q14" s="39" t="n">
        <v>7</v>
      </c>
      <c r="R14" s="39" t="n">
        <v>5</v>
      </c>
      <c r="S14" s="39">
        <f>4+AL14</f>
        <v/>
      </c>
      <c r="T14" s="39" t="n">
        <v>5</v>
      </c>
      <c r="U14" s="39" t="n">
        <v>3</v>
      </c>
      <c r="V14" s="39">
        <f>2+AG14</f>
        <v/>
      </c>
      <c r="W14" s="39" t="n">
        <v>4</v>
      </c>
      <c r="X14" s="39" t="n">
        <v>3</v>
      </c>
      <c r="Y14" s="39">
        <f>3+AI14</f>
        <v/>
      </c>
      <c r="Z14" s="39">
        <f>1+AI14</f>
        <v/>
      </c>
      <c r="AA14" s="380">
        <f>Y14+IF(NOT(ISBLANK(OFFSET(AA14,0,6))),N(OFFSET(AA14,0,6)),N(OFFSET(AA14,0,7)))-Z14</f>
        <v/>
      </c>
      <c r="AB14" s="608" t="n"/>
      <c r="AC14" s="78" t="n"/>
      <c r="AD14" s="78" t="n"/>
      <c r="AE14" s="11" t="n"/>
      <c r="AF14" s="32" t="n"/>
      <c r="AH14" s="304" t="n">
        <v>0</v>
      </c>
      <c r="AI14" s="304" t="n">
        <v>6</v>
      </c>
      <c r="AJ14" s="19" t="n">
        <v>3</v>
      </c>
      <c r="AK14" s="19" t="n"/>
      <c r="AL14" s="19" t="n">
        <v>3</v>
      </c>
      <c r="AM14" s="119" t="n">
        <v>7</v>
      </c>
      <c r="AN14" s="19" t="n"/>
      <c r="AO14" s="19" t="n"/>
      <c r="AP14" s="19" t="n">
        <v>2</v>
      </c>
      <c r="AQ14" s="19" t="n"/>
      <c r="AR14" s="19" t="n">
        <v>5</v>
      </c>
      <c r="AS14" s="19" t="n"/>
      <c r="AT14" s="19" t="n">
        <v>2</v>
      </c>
      <c r="AU14" s="19" t="n"/>
      <c r="AV14" s="19" t="n">
        <v>8</v>
      </c>
      <c r="AW14" s="19" t="n">
        <v>3</v>
      </c>
      <c r="AX14" s="19" t="n"/>
      <c r="AY14" s="19" t="n"/>
      <c r="BA14" s="372" t="inlineStr">
        <is>
          <t>PAPEL DE SEDA</t>
        </is>
      </c>
      <c r="BB14" s="139" t="n">
        <v>200</v>
      </c>
      <c r="BC14" s="39">
        <f>AM14</f>
        <v/>
      </c>
      <c r="BD14" s="39" t="n">
        <v>6</v>
      </c>
      <c r="BE14" s="39" t="n">
        <v>6</v>
      </c>
      <c r="BF14" s="39" t="n">
        <v>4</v>
      </c>
      <c r="BG14" s="39" t="n">
        <v>3</v>
      </c>
      <c r="BH14" s="39" t="n">
        <v>0</v>
      </c>
      <c r="BI14" s="26">
        <f>BG14+IF(NOT(ISBLANK(OFFSET(BI14,0,6))),N(OFFSET(BI14,0,6)),N(OFFSET(BI14,0,7)))-BH14</f>
        <v/>
      </c>
    </row>
    <row r="15" customFormat="1" s="3">
      <c r="A15" s="25" t="inlineStr">
        <is>
          <t>ADESIVOS 2025</t>
        </is>
      </c>
      <c r="B15" s="6" t="n">
        <v>200</v>
      </c>
      <c r="C15" s="632" t="n">
        <v>18</v>
      </c>
      <c r="D15" s="240" t="n">
        <v>2</v>
      </c>
      <c r="E15" s="608" t="n"/>
      <c r="F15" s="39">
        <f>2+AW15</f>
        <v/>
      </c>
      <c r="G15" s="39" t="n">
        <v>4</v>
      </c>
      <c r="H15" s="39" t="n">
        <v>4</v>
      </c>
      <c r="I15" s="39" t="n">
        <v>6</v>
      </c>
      <c r="J15" s="39" t="n">
        <v>6</v>
      </c>
      <c r="K15" s="39" t="n">
        <v>6</v>
      </c>
      <c r="L15" s="39" t="n">
        <v>6</v>
      </c>
      <c r="M15" s="39" t="n">
        <v>6</v>
      </c>
      <c r="N15" s="39" t="n">
        <v>6</v>
      </c>
      <c r="O15" s="39" t="n">
        <v>6</v>
      </c>
      <c r="P15" s="39" t="n">
        <v>6</v>
      </c>
      <c r="Q15" s="39" t="n">
        <v>6</v>
      </c>
      <c r="R15" s="39" t="n">
        <v>6</v>
      </c>
      <c r="S15" s="39" t="n">
        <v>6</v>
      </c>
      <c r="T15" s="39" t="n">
        <v>6</v>
      </c>
      <c r="U15" s="39" t="n">
        <v>6</v>
      </c>
      <c r="V15" s="39" t="n">
        <v>6</v>
      </c>
      <c r="W15" s="39" t="n">
        <v>6</v>
      </c>
      <c r="X15" s="39" t="n">
        <v>6</v>
      </c>
      <c r="Y15" s="39" t="n">
        <v>6</v>
      </c>
      <c r="Z15" s="39" t="n">
        <v>4</v>
      </c>
      <c r="AA15" s="380">
        <f>Y15+IF(NOT(ISBLANK(OFFSET(AA15,0,6))),N(OFFSET(AA15,0,6)),N(OFFSET(AA15,0,7)))-Z15</f>
        <v/>
      </c>
      <c r="AB15" s="608" t="n"/>
      <c r="AC15" s="78" t="n"/>
      <c r="AD15" s="78" t="n">
        <v>1</v>
      </c>
      <c r="AE15" s="608" t="n"/>
      <c r="AF15" s="32" t="n"/>
      <c r="AH15" s="304" t="n">
        <v>0</v>
      </c>
      <c r="AI15" s="304" t="n">
        <v>0</v>
      </c>
      <c r="AJ15" s="19" t="n"/>
      <c r="AK15" s="19" t="n"/>
      <c r="AL15" s="19" t="n"/>
      <c r="AM15" s="119" t="n">
        <v>3</v>
      </c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>
        <v>2</v>
      </c>
      <c r="AW15" s="19" t="n">
        <v>3</v>
      </c>
      <c r="AX15" s="19" t="n">
        <v>2</v>
      </c>
      <c r="AY15" s="19" t="n"/>
      <c r="BA15" s="21" t="inlineStr">
        <is>
          <t>ADESIVOS</t>
        </is>
      </c>
      <c r="BB15" s="6" t="n">
        <v>200</v>
      </c>
      <c r="BC15" s="39">
        <f>AM15</f>
        <v/>
      </c>
      <c r="BD15" s="39" t="n">
        <v>2</v>
      </c>
      <c r="BE15" s="39" t="n">
        <v>2</v>
      </c>
      <c r="BF15" s="39" t="n">
        <v>0</v>
      </c>
      <c r="BG15" s="39" t="n">
        <v>0</v>
      </c>
      <c r="BH15" s="39" t="n">
        <v>0</v>
      </c>
      <c r="BI15" s="26">
        <f>BG15+IF(NOT(ISBLANK(OFFSET(BI15,0,6))),N(OFFSET(BI15,0,6)),N(OFFSET(BI15,0,7)))-BH15</f>
        <v/>
      </c>
    </row>
    <row r="16" customFormat="1" s="3">
      <c r="A16" s="25" t="inlineStr">
        <is>
          <t xml:space="preserve">TAGS </t>
        </is>
      </c>
      <c r="B16" s="6" t="n">
        <v>200</v>
      </c>
      <c r="C16" s="632" t="n">
        <v>10.28</v>
      </c>
      <c r="D16" s="240" t="n">
        <v>3</v>
      </c>
      <c r="E16" s="1" t="n"/>
      <c r="F16" s="39">
        <f>2+AW16</f>
        <v/>
      </c>
      <c r="G16" s="39" t="n">
        <v>4</v>
      </c>
      <c r="H16" s="39" t="n">
        <v>4</v>
      </c>
      <c r="I16" s="39" t="n">
        <v>7</v>
      </c>
      <c r="J16" s="39" t="n">
        <v>7</v>
      </c>
      <c r="K16" s="39" t="n">
        <v>6</v>
      </c>
      <c r="L16" s="39" t="n">
        <v>6</v>
      </c>
      <c r="M16" s="39" t="n">
        <v>5</v>
      </c>
      <c r="N16" s="39" t="n">
        <v>5</v>
      </c>
      <c r="O16" s="39" t="n">
        <v>4</v>
      </c>
      <c r="P16" s="39" t="n">
        <v>3</v>
      </c>
      <c r="Q16" s="39" t="n">
        <v>3</v>
      </c>
      <c r="R16" s="39" t="n">
        <v>2</v>
      </c>
      <c r="S16" s="39">
        <f>1+AL16</f>
        <v/>
      </c>
      <c r="T16" s="39" t="n">
        <v>2</v>
      </c>
      <c r="U16" s="39" t="n">
        <v>2</v>
      </c>
      <c r="V16" s="39">
        <f>1+AG16</f>
        <v/>
      </c>
      <c r="W16" s="39" t="n">
        <v>3</v>
      </c>
      <c r="X16" s="39" t="n">
        <v>3</v>
      </c>
      <c r="Y16" s="39">
        <f>3+AI16</f>
        <v/>
      </c>
      <c r="Z16" s="39">
        <f>0+AI16</f>
        <v/>
      </c>
      <c r="AA16" s="380">
        <f>Y16+IF(NOT(ISBLANK(OFFSET(AA16,0,6))),N(OFFSET(AA16,0,6)),N(OFFSET(AA16,0,7)))-Z16</f>
        <v/>
      </c>
      <c r="AB16" s="1" t="n"/>
      <c r="AC16" s="78" t="n"/>
      <c r="AD16" s="78" t="n"/>
      <c r="AE16" s="1" t="n"/>
      <c r="AF16" s="32" t="n"/>
      <c r="AH16" s="19" t="n">
        <v>0</v>
      </c>
      <c r="AI16" s="19" t="n">
        <v>2</v>
      </c>
      <c r="AJ16" s="19" t="n">
        <v>2</v>
      </c>
      <c r="AK16" s="19" t="n"/>
      <c r="AL16" s="19" t="n">
        <v>2</v>
      </c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>
        <v>3</v>
      </c>
      <c r="AW16" s="19" t="n">
        <v>4</v>
      </c>
      <c r="AX16" s="19" t="n"/>
      <c r="AY16" s="19" t="n">
        <v>1</v>
      </c>
    </row>
    <row r="17" customFormat="1" s="3">
      <c r="A17" s="25" t="inlineStr">
        <is>
          <t>LÂMINA OLFATIVA</t>
        </is>
      </c>
      <c r="B17" s="6" t="n">
        <v>3000</v>
      </c>
      <c r="C17" s="632" t="n">
        <v>71.8</v>
      </c>
      <c r="D17" s="240" t="n">
        <v>2</v>
      </c>
      <c r="E17" s="1" t="n"/>
      <c r="F17" s="39">
        <f>3+AW17</f>
        <v/>
      </c>
      <c r="G17" s="39" t="n">
        <v>3</v>
      </c>
      <c r="H17" s="39" t="n">
        <v>3</v>
      </c>
      <c r="I17" s="39" t="n">
        <v>5</v>
      </c>
      <c r="J17" s="39" t="n">
        <v>5</v>
      </c>
      <c r="K17" s="39" t="n">
        <v>4</v>
      </c>
      <c r="L17" s="39" t="n">
        <v>4</v>
      </c>
      <c r="M17" s="39" t="n">
        <v>3</v>
      </c>
      <c r="N17" s="39" t="n">
        <v>3</v>
      </c>
      <c r="O17" s="39" t="n">
        <v>2</v>
      </c>
      <c r="P17" s="39" t="n">
        <v>2</v>
      </c>
      <c r="Q17" s="39" t="n">
        <v>2</v>
      </c>
      <c r="R17" s="39" t="n">
        <v>1</v>
      </c>
      <c r="S17" s="39" t="n">
        <v>1</v>
      </c>
      <c r="T17" s="39" t="n">
        <v>1</v>
      </c>
      <c r="U17" s="39" t="n">
        <v>0</v>
      </c>
      <c r="V17" s="39" t="n">
        <v>1</v>
      </c>
      <c r="W17" s="39" t="n">
        <v>1</v>
      </c>
      <c r="X17" s="39" t="n">
        <v>1</v>
      </c>
      <c r="Y17" s="39">
        <f>0+AI17</f>
        <v/>
      </c>
      <c r="Z17" s="39">
        <f>0+AI17</f>
        <v/>
      </c>
      <c r="AA17" s="380">
        <f>Y17+IF(NOT(ISBLANK(OFFSET(AA17,0,6))),N(OFFSET(AA17,0,6)),N(OFFSET(AA17,0,7)))-Z17</f>
        <v/>
      </c>
      <c r="AB17" s="1" t="n"/>
      <c r="AC17" s="78" t="n"/>
      <c r="AD17" s="78" t="n"/>
      <c r="AE17" s="1" t="n"/>
      <c r="AF17" s="32" t="n"/>
      <c r="AH17" s="19" t="n">
        <v>0</v>
      </c>
      <c r="AI17" s="19" t="n">
        <v>2</v>
      </c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>
        <v>2</v>
      </c>
      <c r="AV17" s="19" t="n"/>
      <c r="AW17" s="19" t="n">
        <v>2</v>
      </c>
      <c r="AX17" s="19" t="n">
        <v>1</v>
      </c>
      <c r="AY17" s="19" t="n">
        <v>3</v>
      </c>
    </row>
    <row r="18" ht="19.5" customFormat="1" customHeight="1" s="3">
      <c r="D18" s="277" t="n"/>
      <c r="AC18" s="398" t="n"/>
      <c r="AD18" s="398" t="n"/>
      <c r="AF18" s="352" t="n"/>
      <c r="AH18" s="396" t="n"/>
      <c r="AI18" s="396" t="n"/>
      <c r="AJ18" s="396" t="n"/>
      <c r="AK18" s="396" t="n"/>
      <c r="AL18" s="396" t="n"/>
      <c r="AM18" s="396" t="n"/>
      <c r="AN18" s="396" t="n"/>
      <c r="AO18" s="396" t="n"/>
      <c r="AP18" s="396" t="n"/>
      <c r="AQ18" s="396" t="n"/>
      <c r="AR18" s="396" t="n"/>
      <c r="AS18" s="396" t="n"/>
      <c r="AT18" s="396" t="n"/>
      <c r="AU18" s="396" t="n"/>
      <c r="AV18" s="396" t="n"/>
      <c r="AW18" s="396" t="n"/>
      <c r="AX18" s="396" t="n"/>
      <c r="AY18" s="396" t="n"/>
    </row>
    <row r="19" customFormat="1" s="3">
      <c r="A19" s="548" t="inlineStr">
        <is>
          <t>CAIXAS</t>
        </is>
      </c>
      <c r="B19" s="12" t="inlineStr">
        <is>
          <t>PC</t>
        </is>
      </c>
      <c r="C19" s="631" t="inlineStr">
        <is>
          <t>R$</t>
        </is>
      </c>
      <c r="D19" s="403" t="n"/>
      <c r="E19" s="1" t="n"/>
      <c r="F19" s="619" t="n">
        <v>46013</v>
      </c>
      <c r="G19" s="619" t="n">
        <v>46020</v>
      </c>
      <c r="H19" s="619" t="n">
        <v>46027</v>
      </c>
      <c r="I19" s="619" t="n">
        <v>46034</v>
      </c>
      <c r="J19" s="619" t="n">
        <v>46041</v>
      </c>
      <c r="K19" s="619" t="n">
        <v>46048</v>
      </c>
      <c r="L19" s="619" t="n">
        <v>46055</v>
      </c>
      <c r="M19" s="619" t="n">
        <v>46062</v>
      </c>
      <c r="N19" s="619" t="n">
        <v>46069</v>
      </c>
      <c r="O19" s="619" t="n">
        <v>46076</v>
      </c>
      <c r="P19" s="619" t="n">
        <v>46083</v>
      </c>
      <c r="Q19" s="619" t="n">
        <v>46090</v>
      </c>
      <c r="R19" s="619" t="n">
        <v>46097</v>
      </c>
      <c r="S19" s="619" t="n">
        <v>46104</v>
      </c>
      <c r="T19" s="619" t="n">
        <v>46111</v>
      </c>
      <c r="U19" s="619" t="n">
        <v>46118</v>
      </c>
      <c r="V19" s="619" t="n">
        <v>46125</v>
      </c>
      <c r="W19" s="619" t="n">
        <v>46132</v>
      </c>
      <c r="X19" s="619" t="n">
        <v>46139</v>
      </c>
      <c r="Y19" s="619" t="n">
        <v>46146</v>
      </c>
      <c r="Z19" s="619" t="n">
        <v>46154</v>
      </c>
      <c r="AA19" s="621" t="inlineStr">
        <is>
          <t>USOU</t>
        </is>
      </c>
      <c r="AB19" s="11" t="n"/>
      <c r="AC19" s="29" t="inlineStr">
        <is>
          <t>Pendências</t>
        </is>
      </c>
      <c r="AD19" s="29" t="inlineStr">
        <is>
          <t>Pendências</t>
        </is>
      </c>
      <c r="AE19" s="11" t="n"/>
      <c r="AF19" s="9" t="inlineStr">
        <is>
          <t>Novo Pedido</t>
        </is>
      </c>
      <c r="AH19" s="614" t="n"/>
      <c r="AI19" s="614" t="n">
        <v>46142</v>
      </c>
      <c r="AJ19" s="614" t="n">
        <v>46114</v>
      </c>
      <c r="AK19" s="614" t="n">
        <v>46107</v>
      </c>
      <c r="AL19" s="614" t="n">
        <v>46099</v>
      </c>
      <c r="AM19" s="616" t="n">
        <v>46065</v>
      </c>
      <c r="AN19" s="614" t="n">
        <v>46092</v>
      </c>
      <c r="AO19" s="614" t="n">
        <v>46084</v>
      </c>
      <c r="AP19" s="614" t="n">
        <v>46071</v>
      </c>
      <c r="AQ19" s="614" t="n">
        <v>46056</v>
      </c>
      <c r="AR19" s="614" t="n">
        <v>46048</v>
      </c>
      <c r="AS19" s="614" t="n">
        <v>46043</v>
      </c>
      <c r="AT19" s="614" t="n">
        <v>46035</v>
      </c>
      <c r="AU19" s="614" t="n">
        <v>46024</v>
      </c>
      <c r="AV19" s="614" t="n">
        <v>46017</v>
      </c>
      <c r="AW19" s="614" t="n">
        <v>46007</v>
      </c>
      <c r="AX19" s="614" t="n">
        <v>46001</v>
      </c>
      <c r="AY19" s="614" t="n">
        <v>45994</v>
      </c>
      <c r="BA19" s="397" t="inlineStr">
        <is>
          <t>CAIXAS</t>
        </is>
      </c>
      <c r="BB19" s="384" t="inlineStr">
        <is>
          <t>PCT</t>
        </is>
      </c>
      <c r="BC19" s="619" t="n">
        <v>46118</v>
      </c>
      <c r="BD19" s="619" t="n">
        <v>46125</v>
      </c>
      <c r="BE19" s="619" t="n">
        <v>46132</v>
      </c>
      <c r="BF19" s="619" t="n">
        <v>46139</v>
      </c>
      <c r="BG19" s="619" t="n">
        <v>46146</v>
      </c>
      <c r="BH19" s="619" t="n">
        <v>46154</v>
      </c>
      <c r="BI19" s="621" t="inlineStr">
        <is>
          <t>USOU</t>
        </is>
      </c>
    </row>
    <row r="20" customFormat="1" s="3">
      <c r="A20" s="25" t="inlineStr">
        <is>
          <t>CAIXA P VERDE</t>
        </is>
      </c>
      <c r="B20" s="6" t="n">
        <v>150</v>
      </c>
      <c r="C20" s="627" t="n">
        <v>334.31</v>
      </c>
      <c r="D20" s="240" t="n">
        <v>120</v>
      </c>
      <c r="E20" s="1" t="n"/>
      <c r="F20" s="27" t="n">
        <v>103</v>
      </c>
      <c r="G20" s="27" t="n">
        <v>91</v>
      </c>
      <c r="H20" s="27" t="n">
        <v>76</v>
      </c>
      <c r="I20" s="27" t="n">
        <v>57</v>
      </c>
      <c r="J20" s="27">
        <f>50+AT20</f>
        <v/>
      </c>
      <c r="K20" s="27" t="n">
        <v>170</v>
      </c>
      <c r="L20" s="27" t="n">
        <v>294</v>
      </c>
      <c r="M20" s="27" t="n">
        <v>277</v>
      </c>
      <c r="N20" s="27" t="n">
        <v>268</v>
      </c>
      <c r="O20" s="27" t="n">
        <v>257</v>
      </c>
      <c r="P20" s="27" t="n">
        <v>249</v>
      </c>
      <c r="Q20" s="27" t="n">
        <v>239</v>
      </c>
      <c r="R20" s="27" t="n">
        <v>232</v>
      </c>
      <c r="S20" s="27" t="n">
        <v>229</v>
      </c>
      <c r="T20" s="27" t="n">
        <v>226</v>
      </c>
      <c r="U20" s="27" t="n"/>
      <c r="V20" s="27" t="n"/>
      <c r="W20" s="27" t="n"/>
      <c r="X20" s="27" t="n">
        <v>210</v>
      </c>
      <c r="Y20" s="27" t="n">
        <v>208</v>
      </c>
      <c r="Z20" s="27" t="n">
        <v>204</v>
      </c>
      <c r="AA20" s="380">
        <f>Y20+IF(NOT(ISBLANK(OFFSET(AA20,0,6))),N(OFFSET(AA20,0,6)),N(OFFSET(AA20,0,7)))-Z20</f>
        <v/>
      </c>
      <c r="AB20" s="11" t="n"/>
      <c r="AC20" s="78" t="n"/>
      <c r="AD20" s="78" t="n"/>
      <c r="AE20" s="1" t="n"/>
      <c r="AF20" s="32" t="n"/>
      <c r="AH20" s="19" t="n">
        <v>0</v>
      </c>
      <c r="AI20" s="19" t="n">
        <v>0</v>
      </c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>
        <v>150</v>
      </c>
      <c r="AS20" s="19" t="n"/>
      <c r="AT20" s="19" t="n">
        <v>150</v>
      </c>
      <c r="AU20" s="19" t="n"/>
      <c r="AV20" s="19" t="n"/>
      <c r="AW20" s="19" t="n"/>
      <c r="AX20" s="19" t="n"/>
      <c r="AY20" s="19" t="n"/>
      <c r="BA20" s="372" t="inlineStr">
        <is>
          <t>CAIXA P</t>
        </is>
      </c>
      <c r="BB20" s="139" t="n">
        <v>150</v>
      </c>
      <c r="BC20" s="39" t="n">
        <v>0</v>
      </c>
      <c r="BD20" s="39" t="n">
        <v>0</v>
      </c>
      <c r="BE20" s="39" t="n">
        <v>0</v>
      </c>
      <c r="BF20" s="39" t="n">
        <v>0</v>
      </c>
      <c r="BG20" s="39" t="n">
        <v>0</v>
      </c>
      <c r="BH20" s="39" t="n">
        <v>0</v>
      </c>
      <c r="BI20" s="26">
        <f>BG20+IF(NOT(ISBLANK(OFFSET(BI20,0,6))),N(OFFSET(BI20,0,6)),N(OFFSET(BI20,0,7)))-BH20</f>
        <v/>
      </c>
    </row>
    <row r="21" customFormat="1" s="3">
      <c r="A21" s="25" t="inlineStr">
        <is>
          <t>CAIXA M VERDE</t>
        </is>
      </c>
      <c r="B21" s="6" t="n">
        <v>100</v>
      </c>
      <c r="C21" s="634" t="n">
        <v>292.25</v>
      </c>
      <c r="D21" s="243" t="n">
        <v>120</v>
      </c>
      <c r="E21" s="1" t="n"/>
      <c r="F21" s="27" t="n">
        <v>108</v>
      </c>
      <c r="G21" s="27" t="n">
        <v>92</v>
      </c>
      <c r="H21" s="27" t="n">
        <v>77</v>
      </c>
      <c r="I21" s="27" t="n">
        <v>73</v>
      </c>
      <c r="J21" s="27">
        <f>64+AT21</f>
        <v/>
      </c>
      <c r="K21" s="27" t="n">
        <v>138</v>
      </c>
      <c r="L21" s="27" t="n">
        <v>232</v>
      </c>
      <c r="M21" s="27" t="n">
        <v>223</v>
      </c>
      <c r="N21" s="27" t="n">
        <v>221</v>
      </c>
      <c r="O21" s="27" t="n">
        <v>211</v>
      </c>
      <c r="P21" s="27" t="n">
        <v>210</v>
      </c>
      <c r="Q21" s="27" t="n">
        <v>203</v>
      </c>
      <c r="R21" s="27" t="n">
        <v>197</v>
      </c>
      <c r="S21" s="27" t="n">
        <v>196</v>
      </c>
      <c r="T21" s="27" t="n">
        <v>182</v>
      </c>
      <c r="U21" s="27" t="n"/>
      <c r="V21" s="27" t="n"/>
      <c r="W21" s="27" t="n"/>
      <c r="X21" s="27" t="n">
        <v>258</v>
      </c>
      <c r="Y21" s="27" t="n">
        <v>253</v>
      </c>
      <c r="Z21" s="27" t="n">
        <v>248</v>
      </c>
      <c r="AA21" s="380">
        <f>Y21+IF(NOT(ISBLANK(OFFSET(AA21,0,6))),N(OFFSET(AA21,0,6)),N(OFFSET(AA21,0,7)))-Z21</f>
        <v/>
      </c>
      <c r="AB21" s="11" t="n"/>
      <c r="AC21" s="78" t="n"/>
      <c r="AD21" s="78" t="n"/>
      <c r="AE21" s="1" t="n"/>
      <c r="AF21" s="32" t="n"/>
      <c r="AH21" s="19" t="n">
        <v>0</v>
      </c>
      <c r="AI21" s="19" t="n">
        <v>0</v>
      </c>
      <c r="AJ21" s="19" t="n">
        <v>100</v>
      </c>
      <c r="AK21" s="19" t="n"/>
      <c r="AL21" s="19" t="n"/>
      <c r="AM21" s="119" t="n">
        <v>100</v>
      </c>
      <c r="AN21" s="19" t="n"/>
      <c r="AO21" s="19" t="n"/>
      <c r="AP21" s="19" t="n"/>
      <c r="AQ21" s="19" t="n"/>
      <c r="AR21" s="19" t="n">
        <v>100</v>
      </c>
      <c r="AS21" s="19" t="n"/>
      <c r="AT21" s="19" t="n">
        <v>100</v>
      </c>
      <c r="AU21" s="19" t="n"/>
      <c r="AV21" s="19" t="n"/>
      <c r="AW21" s="19" t="n"/>
      <c r="AX21" s="19" t="n"/>
      <c r="AY21" s="19" t="n"/>
      <c r="BA21" s="21" t="inlineStr">
        <is>
          <t>CAIXA M</t>
        </is>
      </c>
      <c r="BB21" s="6" t="n">
        <v>100</v>
      </c>
      <c r="BC21" s="39">
        <f>AM21</f>
        <v/>
      </c>
      <c r="BD21" s="39" t="n"/>
      <c r="BE21" s="39" t="n"/>
      <c r="BF21" s="39" t="n">
        <v>77</v>
      </c>
      <c r="BG21" s="39" t="n">
        <v>65</v>
      </c>
      <c r="BH21" s="39" t="n">
        <v>9</v>
      </c>
      <c r="BI21" s="26">
        <f>BG21+IF(NOT(ISBLANK(OFFSET(BI21,0,6))),N(OFFSET(BI21,0,6)),N(OFFSET(BI21,0,7)))-BH21</f>
        <v/>
      </c>
    </row>
    <row r="22" customFormat="1" s="3">
      <c r="A22" s="25" t="inlineStr">
        <is>
          <t>CAIXA G VERDE</t>
        </is>
      </c>
      <c r="B22" s="6" t="n">
        <v>75</v>
      </c>
      <c r="C22" s="632" t="n">
        <v>425.38</v>
      </c>
      <c r="D22" s="240" t="n">
        <v>25</v>
      </c>
      <c r="E22" s="608" t="n"/>
      <c r="F22" s="27" t="n">
        <v>65</v>
      </c>
      <c r="G22" s="27" t="n">
        <v>63</v>
      </c>
      <c r="H22" s="27" t="n">
        <v>63</v>
      </c>
      <c r="I22" s="27" t="n">
        <v>63</v>
      </c>
      <c r="J22" s="27" t="n">
        <v>63</v>
      </c>
      <c r="K22" s="27" t="n">
        <v>63</v>
      </c>
      <c r="L22" s="27" t="n">
        <v>63</v>
      </c>
      <c r="M22" s="27" t="n">
        <v>62</v>
      </c>
      <c r="N22" s="27" t="n">
        <v>61</v>
      </c>
      <c r="O22" s="27" t="n">
        <v>60</v>
      </c>
      <c r="P22" s="27" t="n">
        <v>60</v>
      </c>
      <c r="Q22" s="27" t="n">
        <v>60</v>
      </c>
      <c r="R22" s="27" t="n">
        <v>60</v>
      </c>
      <c r="S22" s="27" t="n">
        <v>60</v>
      </c>
      <c r="T22" s="27" t="n">
        <v>60</v>
      </c>
      <c r="U22" s="27" t="n">
        <v>60</v>
      </c>
      <c r="V22" s="27" t="n">
        <v>60</v>
      </c>
      <c r="W22" s="27" t="n">
        <v>60</v>
      </c>
      <c r="X22" s="27" t="n">
        <v>60</v>
      </c>
      <c r="Y22" s="27" t="n">
        <v>60</v>
      </c>
      <c r="Z22" s="27" t="n">
        <v>48</v>
      </c>
      <c r="AA22" s="380">
        <f>Y22+IF(NOT(ISBLANK(OFFSET(AA22,0,6))),N(OFFSET(AA22,0,6)),N(OFFSET(AA22,0,7)))-Z22</f>
        <v/>
      </c>
      <c r="AB22" s="11" t="n"/>
      <c r="AC22" s="78" t="n"/>
      <c r="AD22" s="78" t="n"/>
      <c r="AE22" s="608" t="n"/>
      <c r="AF22" s="32" t="n"/>
      <c r="AH22" s="19" t="n">
        <v>0</v>
      </c>
      <c r="AI22" s="19" t="n">
        <v>0</v>
      </c>
      <c r="AJ22" s="19" t="n"/>
      <c r="AK22" s="19" t="n"/>
      <c r="AL22" s="19" t="n"/>
      <c r="AM22" s="119" t="n">
        <v>200</v>
      </c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BA22" s="22" t="inlineStr">
        <is>
          <t>CARTUCHO P</t>
        </is>
      </c>
      <c r="BB22" s="6" t="n">
        <v>200</v>
      </c>
      <c r="BC22" s="39">
        <f>AM22</f>
        <v/>
      </c>
      <c r="BD22" s="39" t="n"/>
      <c r="BE22" s="39" t="n"/>
      <c r="BF22" s="39" t="n">
        <v>159</v>
      </c>
      <c r="BG22" s="39" t="n">
        <v>129</v>
      </c>
      <c r="BH22" s="39" t="n">
        <v>7</v>
      </c>
      <c r="BI22" s="26">
        <f>BG22+IF(NOT(ISBLANK(OFFSET(BI22,0,6))),N(OFFSET(BI22,0,6)),N(OFFSET(BI22,0,7)))-BH22</f>
        <v/>
      </c>
    </row>
    <row r="23" customFormat="1" s="3">
      <c r="A23" s="25" t="inlineStr">
        <is>
          <t>CARTUCHO M VERDE</t>
        </is>
      </c>
      <c r="B23" s="6" t="n">
        <v>150</v>
      </c>
      <c r="C23" s="632" t="n">
        <v>427.5</v>
      </c>
      <c r="D23" s="240" t="n">
        <v>150</v>
      </c>
      <c r="E23" s="608" t="n"/>
      <c r="F23" s="2" t="n"/>
      <c r="G23" s="2" t="n"/>
      <c r="H23" s="2" t="n"/>
      <c r="I23" s="27" t="n">
        <v>0</v>
      </c>
      <c r="J23" s="27" t="n">
        <v>0</v>
      </c>
      <c r="K23" s="27" t="n">
        <v>0</v>
      </c>
      <c r="L23" s="27" t="n">
        <v>143</v>
      </c>
      <c r="M23" s="27" t="n">
        <v>110</v>
      </c>
      <c r="N23" s="27" t="n">
        <v>96</v>
      </c>
      <c r="O23" s="27" t="n">
        <v>65</v>
      </c>
      <c r="P23" s="27" t="n">
        <v>192</v>
      </c>
      <c r="Q23" s="27" t="n">
        <v>162</v>
      </c>
      <c r="R23" s="27" t="n">
        <v>136</v>
      </c>
      <c r="S23" s="27" t="n">
        <v>106</v>
      </c>
      <c r="T23" s="27" t="n">
        <v>89</v>
      </c>
      <c r="U23" s="27" t="n"/>
      <c r="V23" s="27" t="n"/>
      <c r="W23" s="27" t="n"/>
      <c r="X23" s="27" t="n">
        <v>186</v>
      </c>
      <c r="Y23" s="27" t="n">
        <v>186</v>
      </c>
      <c r="Z23" s="27" t="n">
        <v>184</v>
      </c>
      <c r="AA23" s="380">
        <f>Y23+IF(NOT(ISBLANK(OFFSET(AA23,0,6))),N(OFFSET(AA23,0,6)),N(OFFSET(AA23,0,7)))-Z23</f>
        <v/>
      </c>
      <c r="AB23" s="11" t="n"/>
      <c r="AC23" s="78" t="n"/>
      <c r="AD23" s="10" t="n"/>
      <c r="AE23" s="608" t="n"/>
      <c r="AF23" s="32" t="n"/>
      <c r="AH23" s="19" t="n">
        <v>0</v>
      </c>
      <c r="AI23" s="19" t="n">
        <v>0</v>
      </c>
      <c r="AJ23" s="19" t="n">
        <v>150</v>
      </c>
      <c r="AK23" s="19" t="n"/>
      <c r="AL23" s="19" t="n"/>
      <c r="AM23" s="119" t="n">
        <v>150</v>
      </c>
      <c r="AN23" s="19" t="n"/>
      <c r="AO23" s="19" t="n"/>
      <c r="AP23" s="19" t="n">
        <v>150</v>
      </c>
      <c r="AQ23" s="19" t="n"/>
      <c r="AR23" s="19" t="n"/>
      <c r="AS23" s="19" t="n">
        <v>150</v>
      </c>
      <c r="AT23" s="19" t="n"/>
      <c r="AU23" s="19" t="n"/>
      <c r="AV23" s="19" t="n"/>
      <c r="AW23" s="19" t="n"/>
      <c r="AX23" s="19" t="n"/>
      <c r="AY23" s="19" t="n"/>
      <c r="BA23" s="22" t="inlineStr">
        <is>
          <t>CARTUCHO M</t>
        </is>
      </c>
      <c r="BB23" s="6" t="n">
        <v>150</v>
      </c>
      <c r="BC23" s="39">
        <f>AM23</f>
        <v/>
      </c>
      <c r="BD23" s="39" t="n"/>
      <c r="BE23" s="39" t="n"/>
      <c r="BF23" s="39" t="n">
        <v>113</v>
      </c>
      <c r="BG23" s="39" t="n">
        <v>89</v>
      </c>
      <c r="BH23" s="39" t="n">
        <v>4</v>
      </c>
      <c r="BI23" s="26">
        <f>BG23+IF(NOT(ISBLANK(OFFSET(BI23,0,6))),N(OFFSET(BI23,0,6)),N(OFFSET(BI23,0,7)))-BH23</f>
        <v/>
      </c>
    </row>
    <row r="24">
      <c r="AF24" s="11" t="n"/>
      <c r="AH24" s="11" t="n"/>
      <c r="AI24" s="11" t="n"/>
      <c r="AJ24" s="11" t="n"/>
      <c r="AK24" s="11" t="n"/>
      <c r="AL24" s="11" t="n"/>
      <c r="AM24" s="11" t="n"/>
      <c r="AN24" s="11" t="n"/>
      <c r="AO24" s="11" t="n"/>
      <c r="AP24" s="11" t="n"/>
      <c r="AQ24" s="11" t="n"/>
      <c r="AR24" s="11" t="n"/>
      <c r="AS24" s="11" t="n"/>
      <c r="AT24" s="11" t="n"/>
      <c r="AU24" s="11" t="n"/>
      <c r="AV24" s="11" t="n"/>
      <c r="AW24" s="11" t="n"/>
      <c r="AX24" s="11" t="n"/>
      <c r="AY24" s="11" t="n"/>
    </row>
    <row r="25">
      <c r="A25" s="386" t="inlineStr">
        <is>
          <t>SOBRAS CAIXAS</t>
        </is>
      </c>
      <c r="B25" s="387" t="inlineStr">
        <is>
          <t>PCT</t>
        </is>
      </c>
      <c r="C25" s="387" t="inlineStr">
        <is>
          <t xml:space="preserve">R$ </t>
        </is>
      </c>
      <c r="D25" s="387" t="n"/>
      <c r="F25" s="619" t="n">
        <v>46013</v>
      </c>
      <c r="G25" s="619" t="n">
        <v>46020</v>
      </c>
      <c r="H25" s="619" t="n">
        <v>46027</v>
      </c>
      <c r="I25" s="619" t="n">
        <v>46034</v>
      </c>
      <c r="J25" s="619" t="n">
        <v>46041</v>
      </c>
      <c r="K25" s="619" t="n">
        <v>46048</v>
      </c>
      <c r="L25" s="619" t="n">
        <v>46055</v>
      </c>
      <c r="M25" s="619" t="n">
        <v>46062</v>
      </c>
      <c r="N25" s="619" t="n">
        <v>46069</v>
      </c>
      <c r="O25" s="619" t="n">
        <v>46076</v>
      </c>
      <c r="P25" s="619" t="n">
        <v>46083</v>
      </c>
      <c r="Q25" s="619" t="n">
        <v>46090</v>
      </c>
      <c r="R25" s="619" t="n">
        <v>46097</v>
      </c>
      <c r="S25" s="619" t="n">
        <v>46104</v>
      </c>
      <c r="T25" s="619" t="n">
        <v>46111</v>
      </c>
      <c r="U25" s="619" t="n">
        <v>46118</v>
      </c>
      <c r="V25" s="619" t="n">
        <v>46125</v>
      </c>
      <c r="W25" s="619" t="n">
        <v>46132</v>
      </c>
      <c r="X25" s="619" t="n">
        <v>46139</v>
      </c>
      <c r="Y25" s="619" t="n">
        <v>46146</v>
      </c>
      <c r="Z25" s="619" t="n">
        <v>46154</v>
      </c>
      <c r="AA25" s="621" t="inlineStr">
        <is>
          <t>USOU</t>
        </is>
      </c>
      <c r="AF25" s="11" t="n"/>
      <c r="AH25" s="11" t="n"/>
      <c r="AI25" s="11" t="n"/>
      <c r="AJ25" s="11" t="n"/>
      <c r="AK25" s="11" t="n"/>
      <c r="AL25" s="11" t="n"/>
      <c r="AM25" s="11" t="n"/>
      <c r="AN25" s="11" t="n"/>
      <c r="AO25" s="11" t="n"/>
      <c r="AP25" s="11" t="n"/>
      <c r="AQ25" s="11" t="n"/>
      <c r="AR25" s="11" t="n"/>
      <c r="AS25" s="11" t="n"/>
      <c r="AT25" s="11" t="n"/>
      <c r="AU25" s="11" t="n"/>
      <c r="AV25" s="11" t="n"/>
      <c r="AW25" s="11" t="n"/>
      <c r="AX25" s="11" t="n"/>
      <c r="AY25" s="11" t="n"/>
    </row>
    <row r="26">
      <c r="A26" s="392" t="inlineStr">
        <is>
          <t>CAIXA M DIVERT./24</t>
        </is>
      </c>
      <c r="B26" s="393" t="n">
        <v>100</v>
      </c>
      <c r="C26" s="635" t="n">
        <v>790</v>
      </c>
      <c r="D26" s="404" t="n"/>
      <c r="F26" s="39" t="n">
        <v>127</v>
      </c>
      <c r="G26" s="39" t="n">
        <v>118</v>
      </c>
      <c r="H26" s="39" t="n">
        <v>102</v>
      </c>
      <c r="I26" s="39" t="n">
        <v>102</v>
      </c>
      <c r="J26" s="39" t="n">
        <v>102</v>
      </c>
      <c r="K26" s="39" t="n">
        <v>106</v>
      </c>
      <c r="L26" s="39" t="n">
        <v>105</v>
      </c>
      <c r="M26" s="39" t="n">
        <v>103</v>
      </c>
      <c r="N26" s="39" t="n">
        <v>101</v>
      </c>
      <c r="O26" s="39" t="n">
        <v>98</v>
      </c>
      <c r="P26" s="39" t="n">
        <v>96</v>
      </c>
      <c r="Q26" s="39" t="n">
        <v>93</v>
      </c>
      <c r="R26" s="39" t="n">
        <v>90</v>
      </c>
      <c r="S26" s="39" t="n">
        <v>90</v>
      </c>
      <c r="T26" s="39" t="n">
        <v>88</v>
      </c>
      <c r="U26" s="39" t="n">
        <v>85</v>
      </c>
      <c r="V26" s="39" t="n">
        <v>80</v>
      </c>
      <c r="W26" s="39" t="n">
        <v>80</v>
      </c>
      <c r="X26" s="39" t="n">
        <v>80</v>
      </c>
      <c r="Y26" s="39" t="n">
        <v>80</v>
      </c>
      <c r="Z26" s="39" t="n">
        <v>80</v>
      </c>
      <c r="AA26" s="380">
        <f>Y26+IF(NOT(ISBLANK(OFFSET(AA26,0,6))),N(OFFSET(AA26,0,6)),N(OFFSET(AA26,0,7)))-Z26</f>
        <v/>
      </c>
      <c r="AC26" s="355" t="n"/>
      <c r="AD26" s="355" t="n"/>
      <c r="AF26" s="11" t="n"/>
      <c r="AH26" s="11" t="n"/>
      <c r="AI26" s="11" t="n"/>
      <c r="AJ26" s="11" t="n"/>
      <c r="AK26" s="11" t="n"/>
      <c r="AL26" s="11" t="n"/>
      <c r="AM26" s="11" t="n"/>
      <c r="AN26" s="11" t="n"/>
      <c r="AO26" s="11" t="n"/>
      <c r="AP26" s="11" t="n"/>
      <c r="AQ26" s="11" t="n"/>
      <c r="AR26" s="11" t="n"/>
      <c r="AS26" s="11" t="n"/>
      <c r="AT26" s="11" t="n"/>
      <c r="AU26" s="11" t="n"/>
      <c r="AV26" s="11" t="n"/>
      <c r="AW26" s="11" t="n"/>
      <c r="AX26" s="11" t="n"/>
      <c r="AY26" s="11" t="n"/>
    </row>
    <row r="27" hidden="1">
      <c r="A27" s="394" t="inlineStr">
        <is>
          <t>ÁRVORE</t>
        </is>
      </c>
      <c r="B27" s="163" t="n">
        <v>100</v>
      </c>
      <c r="C27" s="636" t="n">
        <v>295</v>
      </c>
      <c r="D27" s="404" t="n"/>
      <c r="F27" s="39" t="n">
        <v>4</v>
      </c>
      <c r="G27" s="39" t="n">
        <v>4</v>
      </c>
      <c r="H27" s="39" t="n">
        <v>4</v>
      </c>
      <c r="I27" s="39" t="n">
        <v>0</v>
      </c>
      <c r="J27" s="39" t="n">
        <v>0</v>
      </c>
      <c r="K27" s="39" t="n">
        <v>0</v>
      </c>
      <c r="L27" s="39" t="n"/>
      <c r="M27" s="39" t="n"/>
      <c r="N27" s="39" t="n"/>
      <c r="O27" s="39" t="n"/>
      <c r="P27" s="39" t="n"/>
      <c r="Q27" s="39" t="n"/>
      <c r="R27" s="39" t="n"/>
      <c r="S27" s="39" t="n"/>
      <c r="T27" s="39" t="n"/>
      <c r="U27" s="39" t="n"/>
      <c r="V27" s="39" t="n"/>
      <c r="W27" s="39" t="n"/>
      <c r="X27" s="39" t="n"/>
      <c r="Y27" s="39" t="n"/>
      <c r="Z27" s="39" t="n"/>
      <c r="AA27" s="380">
        <f>Y27+IF(NOT(ISBLANK(OFFSET(AA27,0,6))),N(OFFSET(AA27,0,6)),N(OFFSET(AA27,0,7)))-Z27</f>
        <v/>
      </c>
      <c r="AC27" s="355" t="n"/>
      <c r="AD27" s="355" t="n"/>
      <c r="AF27" s="11" t="n"/>
      <c r="AH27" s="11" t="n"/>
      <c r="AI27" s="11" t="n"/>
      <c r="AJ27" s="11" t="n"/>
      <c r="AK27" s="11" t="n"/>
      <c r="AL27" s="11" t="n"/>
      <c r="AM27" s="11" t="n"/>
      <c r="AN27" s="11" t="n"/>
      <c r="AO27" s="11" t="n"/>
      <c r="AP27" s="11" t="n"/>
      <c r="AQ27" s="11" t="n"/>
      <c r="AR27" s="11" t="n"/>
      <c r="AS27" s="11" t="n"/>
      <c r="AT27" s="11" t="n"/>
      <c r="AU27" s="11" t="n"/>
      <c r="AV27" s="11" t="n"/>
      <c r="AW27" s="11" t="n"/>
      <c r="AX27" s="11" t="n"/>
      <c r="AY27" s="11" t="n"/>
    </row>
    <row r="28" hidden="1">
      <c r="A28" s="394" t="inlineStr">
        <is>
          <t>BOLA</t>
        </is>
      </c>
      <c r="B28" s="163" t="n">
        <v>100</v>
      </c>
      <c r="C28" s="636" t="n">
        <v>283</v>
      </c>
      <c r="D28" s="404" t="n"/>
      <c r="F28" s="39" t="n">
        <v>5</v>
      </c>
      <c r="G28" s="39" t="n">
        <v>4</v>
      </c>
      <c r="H28" s="39" t="n">
        <v>4</v>
      </c>
      <c r="I28" s="39" t="n">
        <v>0</v>
      </c>
      <c r="J28" s="39" t="n">
        <v>0</v>
      </c>
      <c r="K28" s="39" t="n">
        <v>0</v>
      </c>
      <c r="L28" s="39" t="n"/>
      <c r="M28" s="39" t="n"/>
      <c r="N28" s="39" t="n"/>
      <c r="O28" s="39" t="n"/>
      <c r="P28" s="39" t="n"/>
      <c r="Q28" s="39" t="n"/>
      <c r="R28" s="39" t="n"/>
      <c r="S28" s="39" t="n"/>
      <c r="T28" s="39" t="n"/>
      <c r="U28" s="39" t="n"/>
      <c r="V28" s="39" t="n"/>
      <c r="W28" s="39" t="n"/>
      <c r="X28" s="39" t="n"/>
      <c r="Y28" s="39" t="n"/>
      <c r="Z28" s="39" t="n"/>
      <c r="AA28" s="380">
        <f>Y28+IF(NOT(ISBLANK(OFFSET(AA28,0,6))),N(OFFSET(AA28,0,6)),N(OFFSET(AA28,0,7)))-Z28</f>
        <v/>
      </c>
      <c r="AC28" s="355" t="n"/>
      <c r="AD28" s="355" t="n"/>
      <c r="AF28" s="11" t="n"/>
      <c r="AH28" s="11" t="n"/>
      <c r="AI28" s="11" t="n"/>
      <c r="AJ28" s="11" t="n"/>
      <c r="AK28" s="11" t="n"/>
      <c r="AL28" s="11" t="n"/>
      <c r="AM28" s="11" t="n"/>
      <c r="AN28" s="11" t="n"/>
      <c r="AO28" s="11" t="n"/>
      <c r="AP28" s="11" t="n"/>
      <c r="AQ28" s="11" t="n"/>
      <c r="AR28" s="11" t="n"/>
      <c r="AS28" s="11" t="n"/>
      <c r="AT28" s="11" t="n"/>
      <c r="AU28" s="11" t="n"/>
      <c r="AV28" s="11" t="n"/>
      <c r="AW28" s="11" t="n"/>
      <c r="AX28" s="11" t="n"/>
      <c r="AY28" s="11" t="n"/>
    </row>
    <row r="29" ht="18.75" customHeight="1">
      <c r="A29" s="25" t="inlineStr">
        <is>
          <t>CAIXA P NATAL/25</t>
        </is>
      </c>
      <c r="B29" s="6" t="n">
        <v>150</v>
      </c>
      <c r="C29" s="639" t="n">
        <v>805.35</v>
      </c>
      <c r="D29" s="404" t="n"/>
      <c r="F29" s="6" t="n">
        <v>206</v>
      </c>
      <c r="G29" s="6" t="n">
        <v>112</v>
      </c>
      <c r="H29" s="6" t="n">
        <v>108</v>
      </c>
      <c r="I29" s="6" t="n">
        <v>105</v>
      </c>
      <c r="J29" s="6" t="n">
        <v>98</v>
      </c>
      <c r="K29" s="6" t="n">
        <v>88</v>
      </c>
      <c r="L29" s="6" t="n">
        <v>84</v>
      </c>
      <c r="M29" s="6" t="n">
        <v>81</v>
      </c>
      <c r="N29" s="6" t="n">
        <v>81</v>
      </c>
      <c r="O29" s="6" t="n">
        <v>80</v>
      </c>
      <c r="P29" s="6" t="n">
        <v>80</v>
      </c>
      <c r="Q29" s="6" t="n">
        <v>79</v>
      </c>
      <c r="R29" s="6" t="n">
        <v>77</v>
      </c>
      <c r="S29" s="6" t="n">
        <v>77</v>
      </c>
      <c r="T29" s="6" t="n">
        <v>73</v>
      </c>
      <c r="U29" s="6" t="n"/>
      <c r="V29" s="6" t="n"/>
      <c r="W29" s="6" t="n"/>
      <c r="X29" s="6" t="n">
        <v>62</v>
      </c>
      <c r="Y29" s="6" t="n">
        <v>62</v>
      </c>
      <c r="Z29" s="6" t="n">
        <v>41</v>
      </c>
      <c r="AA29" s="380">
        <f>Y29+IF(NOT(ISBLANK(OFFSET(AA29,0,6))),N(OFFSET(AA29,0,6)),N(OFFSET(AA29,0,7)))-Z29</f>
        <v/>
      </c>
      <c r="AC29" s="355" t="n"/>
      <c r="AD29" s="355" t="n"/>
      <c r="AH29" s="11" t="n"/>
      <c r="AI29" s="11" t="n"/>
      <c r="AJ29" s="11" t="n"/>
      <c r="AK29" s="11" t="n"/>
      <c r="AL29" s="11" t="n"/>
      <c r="AM29" s="11" t="n"/>
      <c r="AN29" s="11" t="n"/>
      <c r="AO29" s="11" t="n"/>
      <c r="AP29" s="11" t="n"/>
      <c r="AQ29" s="11" t="n"/>
      <c r="AR29" s="11" t="n"/>
      <c r="AS29" s="11" t="n"/>
      <c r="AT29" s="11" t="n"/>
      <c r="AU29" s="11" t="n"/>
      <c r="AV29" s="11" t="n"/>
      <c r="AW29" s="11" t="n"/>
      <c r="AX29" s="11" t="n"/>
      <c r="AY29" s="11" t="n"/>
    </row>
    <row r="30" ht="18.75" customHeight="1">
      <c r="A30" s="25" t="inlineStr">
        <is>
          <t>CAIXA M NATAL/25</t>
        </is>
      </c>
      <c r="B30" s="6" t="n">
        <v>100</v>
      </c>
      <c r="C30" s="639" t="n">
        <v>792.2</v>
      </c>
      <c r="D30" s="404" t="n"/>
      <c r="F30" s="6" t="n">
        <v>164</v>
      </c>
      <c r="G30" s="6" t="n">
        <v>105</v>
      </c>
      <c r="H30" s="6" t="n">
        <v>98</v>
      </c>
      <c r="I30" s="6" t="n">
        <v>82</v>
      </c>
      <c r="J30" s="6" t="n">
        <v>69</v>
      </c>
      <c r="K30" s="6" t="n">
        <v>62</v>
      </c>
      <c r="L30" s="6" t="n">
        <v>55</v>
      </c>
      <c r="M30" s="6" t="n">
        <v>35</v>
      </c>
      <c r="N30" s="6" t="n">
        <v>30</v>
      </c>
      <c r="O30" s="6" t="n">
        <v>25</v>
      </c>
      <c r="P30" s="6" t="n">
        <v>24</v>
      </c>
      <c r="Q30" s="6" t="n">
        <v>15</v>
      </c>
      <c r="R30" s="6" t="n">
        <v>10</v>
      </c>
      <c r="S30" s="6" t="n">
        <v>7</v>
      </c>
      <c r="T30" s="6" t="n">
        <v>7</v>
      </c>
      <c r="U30" s="6" t="n"/>
      <c r="V30" s="6" t="n"/>
      <c r="W30" s="6" t="n"/>
      <c r="X30" s="6" t="n">
        <v>0</v>
      </c>
      <c r="Y30" s="6" t="n">
        <v>0</v>
      </c>
      <c r="Z30" s="6" t="n">
        <v>0</v>
      </c>
      <c r="AA30" s="380">
        <f>Y30+IF(NOT(ISBLANK(OFFSET(AA30,0,6))),N(OFFSET(AA30,0,6)),N(OFFSET(AA30,0,7)))-Z30</f>
        <v/>
      </c>
      <c r="AC30" s="355" t="n"/>
      <c r="AD30" s="355" t="n"/>
      <c r="AH30" s="11" t="n"/>
      <c r="AI30" s="11" t="n"/>
      <c r="AJ30" s="11" t="n"/>
      <c r="AK30" s="11" t="n"/>
      <c r="AL30" s="11" t="n"/>
      <c r="AM30" s="11" t="n"/>
      <c r="AN30" s="11" t="n"/>
      <c r="AO30" s="11" t="n"/>
      <c r="AP30" s="11" t="n"/>
      <c r="AQ30" s="11" t="n"/>
      <c r="AR30" s="11" t="n"/>
      <c r="AS30" s="11" t="n"/>
      <c r="AT30" s="11" t="n"/>
      <c r="AU30" s="11" t="n"/>
      <c r="AV30" s="11" t="n"/>
      <c r="AW30" s="11" t="n"/>
      <c r="AX30" s="11" t="n"/>
      <c r="AY30" s="11" t="n"/>
    </row>
    <row r="31" hidden="1" ht="18.75" customHeight="1">
      <c r="A31" s="25" t="inlineStr">
        <is>
          <t>CARTUCHO P NATAL/25</t>
        </is>
      </c>
      <c r="B31" s="6" t="n">
        <v>200</v>
      </c>
      <c r="C31" s="639" t="n">
        <v>487.2</v>
      </c>
      <c r="D31" s="404" t="n"/>
      <c r="F31" s="6" t="n">
        <v>-12</v>
      </c>
      <c r="G31" s="6" t="n">
        <v>-12</v>
      </c>
      <c r="H31" s="6" t="n">
        <v>0</v>
      </c>
      <c r="I31" s="6" t="n">
        <v>0</v>
      </c>
      <c r="J31" s="6" t="n">
        <v>0</v>
      </c>
      <c r="K31" s="6" t="n">
        <v>0</v>
      </c>
      <c r="L31" s="6" t="n">
        <v>0</v>
      </c>
      <c r="M31" s="6" t="n">
        <v>0</v>
      </c>
      <c r="N31" s="6" t="n">
        <v>0</v>
      </c>
      <c r="O31" s="6" t="n">
        <v>0</v>
      </c>
      <c r="P31" s="6" t="n">
        <v>0</v>
      </c>
      <c r="Q31" s="6" t="n">
        <v>0</v>
      </c>
      <c r="R31" s="6" t="n">
        <v>0</v>
      </c>
      <c r="S31" s="6" t="n"/>
      <c r="T31" s="6" t="n"/>
      <c r="U31" s="6" t="n"/>
      <c r="V31" s="6" t="n"/>
      <c r="W31" s="6" t="n"/>
      <c r="X31" s="6" t="n"/>
      <c r="Y31" s="6" t="n"/>
      <c r="Z31" s="6" t="n"/>
      <c r="AA31" s="380">
        <f>Y31+IF(NOT(ISBLANK(OFFSET(AA31,0,6))),N(OFFSET(AA31,0,6)),N(OFFSET(AA31,0,7)))-Z31</f>
        <v/>
      </c>
      <c r="AC31" s="355" t="n"/>
      <c r="AD31" s="355" t="n"/>
      <c r="AH31" s="11" t="n"/>
      <c r="AI31" s="11" t="n"/>
      <c r="AJ31" s="11" t="n"/>
      <c r="AK31" s="11" t="n"/>
      <c r="AL31" s="11" t="n"/>
      <c r="AM31" s="11" t="n"/>
      <c r="AN31" s="11" t="n"/>
      <c r="AO31" s="11" t="n"/>
      <c r="AP31" s="11" t="n"/>
      <c r="AQ31" s="11" t="n"/>
      <c r="AR31" s="11" t="n"/>
      <c r="AS31" s="11" t="n"/>
      <c r="AT31" s="11" t="n"/>
      <c r="AU31" s="11" t="n"/>
      <c r="AV31" s="11" t="n"/>
      <c r="AW31" s="11" t="n"/>
      <c r="AX31" s="11" t="n"/>
      <c r="AY31" s="11" t="n"/>
    </row>
    <row r="32" hidden="1" ht="18.75" customHeight="1">
      <c r="A32" s="25" t="inlineStr">
        <is>
          <t>CARTUCHO M NATAL/25</t>
        </is>
      </c>
      <c r="B32" s="6" t="n">
        <v>150</v>
      </c>
      <c r="C32" s="639" t="n">
        <v>460.35</v>
      </c>
      <c r="D32" s="404" t="n"/>
      <c r="F32" s="6" t="n">
        <v>-12</v>
      </c>
      <c r="G32" s="6" t="n">
        <v>-12</v>
      </c>
      <c r="H32" s="6" t="n">
        <v>0</v>
      </c>
      <c r="I32" s="6" t="n">
        <v>0</v>
      </c>
      <c r="J32" s="6" t="n">
        <v>0</v>
      </c>
      <c r="K32" s="6" t="n">
        <v>0</v>
      </c>
      <c r="L32" s="6" t="n">
        <v>0</v>
      </c>
      <c r="M32" s="6" t="n">
        <v>0</v>
      </c>
      <c r="N32" s="6" t="n">
        <v>0</v>
      </c>
      <c r="O32" s="6" t="n">
        <v>0</v>
      </c>
      <c r="P32" s="6" t="n">
        <v>0</v>
      </c>
      <c r="Q32" s="6" t="n">
        <v>0</v>
      </c>
      <c r="R32" s="6" t="n">
        <v>0</v>
      </c>
      <c r="S32" s="6" t="n"/>
      <c r="T32" s="6" t="n"/>
      <c r="U32" s="6" t="n"/>
      <c r="V32" s="6" t="n"/>
      <c r="W32" s="6" t="n"/>
      <c r="X32" s="6" t="n"/>
      <c r="Y32" s="6" t="n"/>
      <c r="Z32" s="6" t="n"/>
      <c r="AA32" s="380">
        <f>Y32+IF(NOT(ISBLANK(OFFSET(AA32,0,6))),N(OFFSET(AA32,0,6)),N(OFFSET(AA32,0,7)))-Z32</f>
        <v/>
      </c>
      <c r="AC32" s="355" t="n"/>
      <c r="AD32" s="355" t="n"/>
      <c r="AH32" s="11" t="n"/>
      <c r="AI32" s="11" t="n"/>
      <c r="AJ32" s="11" t="n"/>
      <c r="AK32" s="11" t="n"/>
      <c r="AL32" s="11" t="n"/>
      <c r="AM32" s="11" t="n"/>
      <c r="AN32" s="11" t="n"/>
      <c r="AO32" s="11" t="n"/>
      <c r="AP32" s="11" t="n"/>
      <c r="AQ32" s="11" t="n"/>
      <c r="AR32" s="11" t="n"/>
      <c r="AS32" s="11" t="n"/>
      <c r="AT32" s="11" t="n"/>
      <c r="AU32" s="11" t="n"/>
      <c r="AV32" s="11" t="n"/>
      <c r="AW32" s="11" t="n"/>
      <c r="AX32" s="11" t="n"/>
      <c r="AY32" s="11" t="n"/>
    </row>
    <row r="33" ht="18.75" customHeight="1">
      <c r="A33" s="25" t="inlineStr">
        <is>
          <t>PIN NATAL/25</t>
        </is>
      </c>
      <c r="B33" s="6" t="n">
        <v>10</v>
      </c>
      <c r="C33" s="639" t="n">
        <v>120</v>
      </c>
      <c r="D33" s="404" t="n"/>
      <c r="F33" s="39" t="n">
        <v>17</v>
      </c>
      <c r="G33" s="39" t="n">
        <v>15</v>
      </c>
      <c r="H33" s="39" t="n">
        <v>5</v>
      </c>
      <c r="I33" s="39" t="n">
        <v>5</v>
      </c>
      <c r="J33" s="39" t="n">
        <v>5</v>
      </c>
      <c r="K33" s="39" t="n">
        <v>5</v>
      </c>
      <c r="L33" s="39" t="n">
        <v>5</v>
      </c>
      <c r="M33" s="39" t="n">
        <v>5</v>
      </c>
      <c r="N33" s="39" t="n">
        <v>5</v>
      </c>
      <c r="O33" s="39" t="n">
        <v>5</v>
      </c>
      <c r="P33" s="39" t="n">
        <v>5</v>
      </c>
      <c r="Q33" s="39" t="n">
        <v>5</v>
      </c>
      <c r="R33" s="39" t="n">
        <v>5</v>
      </c>
      <c r="S33" s="39" t="n">
        <v>5</v>
      </c>
      <c r="T33" s="39" t="n">
        <v>5</v>
      </c>
      <c r="U33" s="39" t="n"/>
      <c r="V33" s="39" t="n"/>
      <c r="W33" s="39" t="n"/>
      <c r="X33" s="39" t="n">
        <v>5</v>
      </c>
      <c r="Y33" s="39" t="n">
        <v>5</v>
      </c>
      <c r="Z33" s="39" t="n">
        <v>5</v>
      </c>
      <c r="AA33" s="380">
        <f>Y33+IF(NOT(ISBLANK(OFFSET(AA33,0,6))),N(OFFSET(AA33,0,6)),N(OFFSET(AA33,0,7)))-Z33</f>
        <v/>
      </c>
      <c r="AC33" s="355" t="n"/>
      <c r="AD33" s="355" t="n"/>
      <c r="AH33" s="11" t="n"/>
      <c r="AI33" s="11" t="n"/>
      <c r="AJ33" s="11" t="n"/>
      <c r="AK33" s="11" t="n"/>
      <c r="AL33" s="11" t="n"/>
      <c r="AM33" s="11" t="n"/>
      <c r="AN33" s="11" t="n"/>
      <c r="AO33" s="11" t="n"/>
      <c r="AP33" s="11" t="n"/>
      <c r="AQ33" s="11" t="n"/>
      <c r="AR33" s="11" t="n"/>
      <c r="AS33" s="11" t="n"/>
      <c r="AT33" s="11" t="n"/>
      <c r="AU33" s="11" t="n"/>
      <c r="AV33" s="11" t="n"/>
      <c r="AW33" s="11" t="n"/>
      <c r="AX33" s="11" t="n"/>
      <c r="AY33" s="11" t="n"/>
    </row>
    <row r="34" ht="18.75" customHeight="1">
      <c r="A34" s="291" t="inlineStr">
        <is>
          <t>CAIXA M HOMEM ARANHA</t>
        </is>
      </c>
      <c r="B34" s="292" t="n">
        <v>100</v>
      </c>
      <c r="C34" s="638" t="n">
        <v>1490</v>
      </c>
      <c r="D34" s="404" t="n"/>
      <c r="F34" s="2" t="n"/>
      <c r="G34" s="2" t="n"/>
      <c r="H34" s="2" t="n"/>
      <c r="I34" s="2" t="n"/>
      <c r="J34" s="2" t="n"/>
      <c r="K34" s="2" t="n"/>
      <c r="L34" s="2" t="n"/>
      <c r="M34" s="2" t="n"/>
      <c r="N34" s="2" t="n"/>
      <c r="O34" s="2" t="n"/>
      <c r="P34" s="2" t="n"/>
      <c r="Q34" s="2" t="n"/>
      <c r="R34" s="39" t="n">
        <v>0</v>
      </c>
      <c r="S34" s="39" t="n">
        <v>0</v>
      </c>
      <c r="T34" s="39" t="n">
        <v>0</v>
      </c>
      <c r="U34" s="39" t="n"/>
      <c r="V34" s="39" t="n"/>
      <c r="W34" s="39" t="n"/>
      <c r="X34" s="39" t="n">
        <v>0</v>
      </c>
      <c r="Y34" s="39" t="n">
        <v>4</v>
      </c>
      <c r="Z34" s="39" t="n">
        <v>4</v>
      </c>
      <c r="AA34" s="380">
        <f>Y34+IF(NOT(ISBLANK(OFFSET(AA34,0,6))),N(OFFSET(AA34,0,6)),N(OFFSET(AA34,0,7)))-Z34</f>
        <v/>
      </c>
      <c r="AC34" s="355" t="n"/>
      <c r="AD34" s="355" t="n"/>
      <c r="AH34" s="11" t="n"/>
      <c r="AI34" s="11" t="n"/>
      <c r="AJ34" s="11" t="n"/>
      <c r="AK34" s="11" t="n"/>
      <c r="AL34" s="11" t="n"/>
      <c r="AM34" s="11" t="n"/>
      <c r="AN34" s="11" t="n"/>
      <c r="AO34" s="11" t="n"/>
      <c r="AP34" s="11" t="n"/>
      <c r="AQ34" s="11" t="n"/>
      <c r="AR34" s="11" t="n"/>
      <c r="AS34" s="11" t="n"/>
      <c r="AT34" s="11" t="n"/>
      <c r="AU34" s="11" t="n"/>
      <c r="AV34" s="11" t="n"/>
      <c r="AW34" s="11" t="n"/>
      <c r="AX34" s="11" t="n"/>
      <c r="AY34" s="11" t="n"/>
    </row>
    <row r="35" ht="18.75" customHeight="1">
      <c r="AC35" s="355" t="n"/>
      <c r="AD35" s="355" t="n"/>
      <c r="AH35" s="11" t="n"/>
      <c r="AI35" s="11" t="n"/>
      <c r="AJ35" s="11" t="n"/>
      <c r="AK35" s="11" t="n"/>
      <c r="AL35" s="11" t="n"/>
      <c r="AM35" s="11" t="n"/>
      <c r="AN35" s="11" t="n"/>
      <c r="AO35" s="11" t="n"/>
      <c r="AP35" s="11" t="n"/>
      <c r="AQ35" s="11" t="n"/>
      <c r="AR35" s="11" t="n"/>
      <c r="AS35" s="11" t="n"/>
      <c r="AT35" s="11" t="n"/>
      <c r="AU35" s="11" t="n"/>
      <c r="AV35" s="11" t="n"/>
      <c r="AW35" s="11" t="n"/>
      <c r="AX35" s="11" t="n"/>
      <c r="AY35" s="11" t="n"/>
    </row>
    <row r="36" ht="21" customHeight="1">
      <c r="A36" s="402" t="inlineStr">
        <is>
          <t>SOBRAS DATAS COMEMORATIVAS</t>
        </is>
      </c>
      <c r="B36" s="402" t="n"/>
      <c r="C36" s="402" t="n"/>
      <c r="AC36" s="355" t="n"/>
      <c r="AD36" s="355" t="n"/>
      <c r="AH36" s="11" t="n"/>
      <c r="AI36" s="11" t="n"/>
      <c r="AJ36" s="11" t="n"/>
      <c r="AK36" s="11" t="n"/>
      <c r="AL36" s="11" t="n"/>
      <c r="AM36" s="11" t="n"/>
      <c r="AN36" s="11" t="n"/>
      <c r="AO36" s="11" t="n"/>
      <c r="AP36" s="11" t="n"/>
      <c r="AQ36" s="11" t="n"/>
      <c r="AR36" s="11" t="n"/>
      <c r="AS36" s="11" t="n"/>
      <c r="AT36" s="11" t="n"/>
      <c r="AU36" s="11" t="n"/>
      <c r="AV36" s="11" t="n"/>
      <c r="AW36" s="11" t="n"/>
      <c r="AX36" s="11" t="n"/>
      <c r="AY36" s="11" t="n"/>
    </row>
    <row r="37">
      <c r="A37" s="369" t="inlineStr">
        <is>
          <t>ITENS</t>
        </is>
      </c>
      <c r="B37" s="369" t="n"/>
      <c r="C37" s="369" t="inlineStr">
        <is>
          <t>ESTOQUE</t>
        </is>
      </c>
      <c r="E37" s="41" t="n"/>
      <c r="F37" s="41" t="n"/>
      <c r="G37" s="41" t="n"/>
      <c r="H37" s="41" t="n"/>
      <c r="I37" s="41" t="n"/>
      <c r="J37" s="41" t="n"/>
      <c r="K37" s="41" t="n"/>
      <c r="L37" s="41" t="n"/>
      <c r="M37" s="41" t="n"/>
      <c r="N37" s="41" t="n"/>
      <c r="O37" s="41" t="n"/>
      <c r="P37" s="41" t="n"/>
      <c r="Q37" s="41" t="n"/>
      <c r="R37" s="41" t="n"/>
      <c r="S37" s="41" t="n"/>
      <c r="T37" s="41" t="n"/>
      <c r="U37" s="41" t="n"/>
      <c r="V37" s="41" t="n"/>
      <c r="W37" s="41" t="n"/>
      <c r="X37" s="41" t="n"/>
      <c r="Y37" s="41" t="n"/>
      <c r="Z37" s="41" t="n"/>
      <c r="AA37" s="41" t="n"/>
      <c r="AB37" s="41" t="n"/>
      <c r="AC37" s="355" t="n"/>
      <c r="AD37" s="355" t="n"/>
      <c r="AE37" s="41" t="n"/>
      <c r="AH37" s="11" t="n"/>
      <c r="AI37" s="11" t="n"/>
      <c r="AJ37" s="11" t="n"/>
      <c r="AK37" s="11" t="n"/>
      <c r="AL37" s="11" t="n"/>
      <c r="AM37" s="11" t="n"/>
      <c r="AN37" s="11" t="n"/>
      <c r="AO37" s="11" t="n"/>
      <c r="AP37" s="11" t="n"/>
      <c r="AQ37" s="11" t="n"/>
      <c r="AR37" s="11" t="n"/>
      <c r="AS37" s="11" t="n"/>
      <c r="AT37" s="11" t="n"/>
      <c r="AU37" s="11" t="n"/>
      <c r="AV37" s="11" t="n"/>
      <c r="AW37" s="11" t="n"/>
      <c r="AX37" s="11" t="n"/>
      <c r="AY37" s="11" t="n"/>
    </row>
    <row r="38">
      <c r="A38" s="294" t="n"/>
      <c r="B38" s="378" t="n"/>
      <c r="C38" s="365" t="n"/>
      <c r="E38" s="41" t="n"/>
      <c r="F38" s="41" t="n"/>
      <c r="G38" s="41" t="n"/>
      <c r="H38" s="41" t="n"/>
      <c r="I38" s="41" t="n"/>
      <c r="J38" s="41" t="n"/>
      <c r="K38" s="41" t="n"/>
      <c r="L38" s="41" t="n"/>
      <c r="M38" s="41" t="n"/>
      <c r="N38" s="41" t="n"/>
      <c r="O38" s="41" t="n"/>
      <c r="P38" s="41" t="n"/>
      <c r="Q38" s="41" t="n"/>
      <c r="R38" s="41" t="n"/>
      <c r="S38" s="41" t="n"/>
      <c r="T38" s="41" t="n"/>
      <c r="U38" s="41" t="n"/>
      <c r="V38" s="41" t="n"/>
      <c r="W38" s="41" t="n"/>
      <c r="X38" s="41" t="n"/>
      <c r="Y38" s="41" t="n"/>
      <c r="Z38" s="41" t="n"/>
      <c r="AA38" s="41" t="n"/>
      <c r="AB38" s="41" t="n"/>
      <c r="AC38" s="355" t="n"/>
      <c r="AD38" s="355" t="n"/>
      <c r="AE38" s="41" t="n"/>
      <c r="AF38" s="41" t="n"/>
      <c r="AG38" s="41" t="n"/>
      <c r="AH38" s="11" t="n"/>
      <c r="AI38" s="11" t="n"/>
      <c r="AJ38" s="11" t="n"/>
      <c r="AK38" s="11" t="n"/>
      <c r="AL38" s="11" t="n"/>
      <c r="AM38" s="11" t="n"/>
      <c r="AN38" s="11" t="n"/>
      <c r="AO38" s="11" t="n"/>
      <c r="AP38" s="11" t="n"/>
      <c r="AQ38" s="11" t="n"/>
      <c r="AR38" s="11" t="n"/>
      <c r="AS38" s="11" t="n"/>
      <c r="AT38" s="11" t="n"/>
      <c r="AU38" s="11" t="n"/>
      <c r="AV38" s="11" t="n"/>
      <c r="AW38" s="11" t="n"/>
      <c r="AX38" s="11" t="n"/>
      <c r="AY38" s="11" t="n"/>
      <c r="AZ38" s="370" t="n"/>
      <c r="BJ38" s="370" t="n"/>
      <c r="BK38" s="370" t="n"/>
      <c r="BL38" s="370" t="n"/>
      <c r="BM38" s="370" t="n"/>
      <c r="BN38" s="370" t="n"/>
      <c r="BO38" s="370" t="n"/>
      <c r="BP38" s="370" t="n"/>
      <c r="BQ38" s="370" t="n"/>
      <c r="BR38" s="370" t="n"/>
      <c r="BS38" s="370" t="n"/>
      <c r="BT38" s="71" t="n"/>
      <c r="BU38" s="41" t="n"/>
      <c r="BV38" s="34" t="n"/>
      <c r="BW38" s="41" t="n"/>
      <c r="BY38" s="409" t="n"/>
      <c r="BZ38" s="409" t="n"/>
      <c r="CA38" s="409" t="n"/>
      <c r="CB38" s="409" t="n"/>
      <c r="CC38" s="409" t="n"/>
      <c r="CD38" s="409" t="n"/>
      <c r="CE38" s="409" t="n"/>
      <c r="CF38" s="409" t="n"/>
      <c r="CG38" s="409" t="n"/>
      <c r="CH38" s="409" t="n"/>
      <c r="CI38" s="409" t="n"/>
      <c r="CJ38" s="409" t="n"/>
      <c r="CK38" s="409" t="n"/>
      <c r="CL38" s="409" t="n"/>
      <c r="CM38" s="409" t="n"/>
      <c r="CN38" s="409" t="n"/>
      <c r="CO38" s="409" t="n"/>
      <c r="CP38" s="409" t="n"/>
      <c r="CQ38" s="409" t="n"/>
      <c r="CR38" s="374" t="n"/>
      <c r="CS38" s="409" t="n"/>
      <c r="CT38" s="356" t="n"/>
      <c r="CU38" s="409" t="n"/>
      <c r="CV38" s="409" t="n"/>
      <c r="CW38" s="409" t="n"/>
      <c r="CX38" s="409" t="n"/>
      <c r="CY38" s="409" t="n"/>
      <c r="CZ38" s="409" t="n"/>
      <c r="DA38" s="409" t="n"/>
      <c r="DB38" s="409" t="n"/>
      <c r="DC38" s="409" t="n"/>
      <c r="DD38" s="409" t="n"/>
      <c r="DE38" s="409" t="n"/>
      <c r="DF38" s="409" t="n"/>
      <c r="DG38" s="409" t="n"/>
      <c r="DH38" s="409" t="n"/>
      <c r="DI38" s="409" t="n"/>
      <c r="DJ38" s="409" t="n"/>
      <c r="DK38" s="409" t="n"/>
      <c r="DL38" s="409" t="n"/>
      <c r="DM38" s="409" t="n"/>
      <c r="DN38" s="409" t="n"/>
      <c r="DO38" s="409" t="n"/>
      <c r="DP38" s="409" t="n"/>
      <c r="DQ38" s="409" t="n"/>
      <c r="DR38" s="409" t="n"/>
      <c r="DS38" s="409" t="n"/>
      <c r="DT38" s="409" t="n"/>
      <c r="DU38" s="409" t="n"/>
      <c r="DV38" s="409" t="n"/>
      <c r="DW38" s="409" t="n"/>
      <c r="DX38" s="409" t="n"/>
      <c r="DY38" s="409" t="n"/>
      <c r="DZ38" s="409" t="n"/>
      <c r="EA38" s="409" t="n"/>
      <c r="EB38" s="409" t="n"/>
      <c r="EC38" s="409" t="n"/>
      <c r="ED38" s="409" t="n"/>
      <c r="EE38" s="409" t="n"/>
      <c r="EF38" s="409" t="n"/>
      <c r="EG38" s="409" t="n"/>
      <c r="EH38" s="409" t="n"/>
      <c r="EI38" s="409" t="n"/>
      <c r="EJ38" s="409" t="n"/>
      <c r="EK38" s="409" t="n"/>
      <c r="EL38" s="409" t="n"/>
      <c r="EM38" s="409" t="n"/>
      <c r="EN38" s="409" t="n"/>
    </row>
    <row r="39">
      <c r="A39" s="365" t="n"/>
      <c r="B39" s="605" t="n"/>
      <c r="C39" s="606" t="n"/>
      <c r="E39" s="41" t="n"/>
      <c r="F39" s="41" t="n"/>
      <c r="G39" s="41" t="n"/>
      <c r="H39" s="41" t="n"/>
      <c r="I39" s="41" t="n"/>
      <c r="J39" s="41" t="n"/>
      <c r="K39" s="41" t="n"/>
      <c r="L39" s="41" t="n"/>
      <c r="M39" s="41" t="n"/>
      <c r="N39" s="41" t="n"/>
      <c r="O39" s="41" t="n"/>
      <c r="P39" s="41" t="n"/>
      <c r="Q39" s="41" t="n"/>
      <c r="R39" s="41" t="n"/>
      <c r="S39" s="41" t="n"/>
      <c r="T39" s="41" t="n"/>
      <c r="U39" s="41" t="n"/>
      <c r="V39" s="41" t="n"/>
      <c r="W39" s="41" t="n"/>
      <c r="X39" s="41" t="n"/>
      <c r="Y39" s="41" t="n"/>
      <c r="Z39" s="41" t="n"/>
      <c r="AA39" s="158" t="n"/>
      <c r="AB39" s="41" t="n"/>
      <c r="AC39" s="355" t="n"/>
      <c r="AD39" s="355" t="n"/>
      <c r="AE39" s="41" t="n"/>
      <c r="AF39" s="41" t="n"/>
      <c r="AG39" s="41" t="n"/>
      <c r="AH39" s="11" t="n"/>
      <c r="AI39" s="11" t="n"/>
      <c r="AJ39" s="11" t="n"/>
      <c r="AK39" s="11" t="n"/>
      <c r="AL39" s="11" t="n"/>
      <c r="AM39" s="11" t="n"/>
      <c r="AN39" s="11" t="n"/>
      <c r="AO39" s="11" t="n"/>
      <c r="AP39" s="11" t="n"/>
      <c r="AQ39" s="11" t="n"/>
      <c r="AR39" s="11" t="n"/>
      <c r="AS39" s="11" t="n"/>
      <c r="AT39" s="11" t="n"/>
      <c r="AU39" s="11" t="n"/>
      <c r="AV39" s="11" t="n"/>
      <c r="AW39" s="11" t="n"/>
      <c r="AX39" s="11" t="n"/>
      <c r="AY39" s="11" t="n"/>
      <c r="AZ39" s="34" t="n"/>
      <c r="BJ39" s="34" t="n"/>
      <c r="BK39" s="34" t="n"/>
      <c r="BL39" s="34" t="n"/>
      <c r="BM39" s="34" t="n"/>
      <c r="BN39" s="34" t="n"/>
      <c r="BO39" s="34" t="n"/>
      <c r="BP39" s="34" t="n"/>
      <c r="BQ39" s="34" t="n"/>
      <c r="BR39" s="34" t="n"/>
      <c r="BS39" s="34" t="n"/>
      <c r="BT39" s="71" t="n"/>
      <c r="BU39" s="41" t="n"/>
      <c r="BV39" s="34" t="n"/>
      <c r="BW39" s="41" t="n"/>
      <c r="BY39" s="34" t="n"/>
      <c r="BZ39" s="34" t="n"/>
      <c r="CA39" s="34" t="n"/>
      <c r="CB39" s="34" t="n"/>
      <c r="CC39" s="34" t="n"/>
      <c r="CD39" s="34" t="n"/>
      <c r="CE39" s="34" t="n"/>
      <c r="CF39" s="34" t="n"/>
      <c r="CG39" s="34" t="n"/>
      <c r="CH39" s="34" t="n"/>
      <c r="CI39" s="34" t="n"/>
      <c r="CJ39" s="34" t="n"/>
      <c r="CK39" s="34" t="n"/>
      <c r="CL39" s="34" t="n"/>
      <c r="CM39" s="34" t="n"/>
      <c r="CN39" s="34" t="n"/>
      <c r="CO39" s="34" t="n"/>
      <c r="CP39" s="34" t="n"/>
      <c r="CQ39" s="34" t="n"/>
      <c r="CR39" s="374" t="n"/>
      <c r="CS39" s="34" t="n"/>
      <c r="CT39" s="358" t="n"/>
      <c r="CU39" s="34" t="n"/>
      <c r="CV39" s="34" t="n"/>
      <c r="CW39" s="34" t="n"/>
      <c r="CX39" s="34" t="n"/>
      <c r="CY39" s="34" t="n"/>
      <c r="CZ39" s="34" t="n"/>
      <c r="DA39" s="34" t="n"/>
      <c r="DB39" s="34" t="n"/>
      <c r="DC39" s="34" t="n"/>
      <c r="DD39" s="34" t="n"/>
      <c r="DE39" s="34" t="n"/>
      <c r="DF39" s="34" t="n"/>
      <c r="DG39" s="34" t="n"/>
      <c r="DH39" s="34" t="n"/>
      <c r="DI39" s="34" t="n"/>
      <c r="DJ39" s="34" t="n"/>
      <c r="DK39" s="34" t="n"/>
      <c r="DL39" s="34" t="n"/>
      <c r="DM39" s="34" t="n"/>
      <c r="DN39" s="34" t="n"/>
      <c r="DO39" s="34" t="n"/>
      <c r="DP39" s="34" t="n"/>
      <c r="DQ39" s="34" t="n"/>
      <c r="DR39" s="154" t="n"/>
      <c r="DS39" s="34" t="n"/>
      <c r="DT39" s="154" t="n"/>
      <c r="DU39" s="34" t="n"/>
      <c r="DV39" s="34" t="n"/>
      <c r="DW39" s="34" t="n"/>
      <c r="DX39" s="154" t="n"/>
      <c r="DY39" s="34" t="n"/>
      <c r="DZ39" s="154" t="n"/>
      <c r="EA39" s="34" t="n"/>
      <c r="EB39" s="34" t="n"/>
      <c r="EC39" s="34" t="n"/>
      <c r="ED39" s="34" t="n"/>
      <c r="EE39" s="34" t="n"/>
      <c r="EF39" s="34" t="n"/>
      <c r="EG39" s="34" t="n"/>
      <c r="EH39" s="34" t="n"/>
      <c r="EI39" s="34" t="n"/>
      <c r="EJ39" s="34" t="n"/>
      <c r="EK39" s="34" t="n"/>
      <c r="EL39" s="34" t="n"/>
      <c r="EM39" s="34" t="n"/>
      <c r="EN39" s="34" t="n"/>
    </row>
    <row r="40">
      <c r="A40" s="294" t="n"/>
      <c r="B40" s="378" t="n"/>
      <c r="C40" s="365" t="n"/>
      <c r="E40" s="41" t="n"/>
      <c r="F40" s="41" t="n"/>
      <c r="G40" s="41" t="n"/>
      <c r="H40" s="41" t="n"/>
      <c r="I40" s="41" t="n"/>
      <c r="J40" s="41" t="n"/>
      <c r="K40" s="41" t="n"/>
      <c r="L40" s="41" t="n"/>
      <c r="M40" s="41" t="n"/>
      <c r="N40" s="41" t="n"/>
      <c r="O40" s="41" t="n"/>
      <c r="P40" s="41" t="n"/>
      <c r="Q40" s="41" t="n"/>
      <c r="R40" s="41" t="n"/>
      <c r="S40" s="41" t="n"/>
      <c r="T40" s="41" t="n"/>
      <c r="U40" s="41" t="n"/>
      <c r="V40" s="41" t="n"/>
      <c r="W40" s="41" t="n"/>
      <c r="X40" s="41" t="n"/>
      <c r="Y40" s="41" t="n"/>
      <c r="Z40" s="41" t="n"/>
      <c r="AA40" s="41" t="n"/>
      <c r="AB40" s="41" t="n"/>
      <c r="AE40" s="41" t="n"/>
      <c r="AF40" s="41" t="n"/>
      <c r="AG40" s="41" t="n"/>
      <c r="AH40" s="409" t="n"/>
      <c r="AI40" s="409" t="n"/>
      <c r="AJ40" s="409" t="n"/>
      <c r="AK40" s="409" t="n"/>
      <c r="AL40" s="409" t="n"/>
      <c r="AM40" s="409" t="n"/>
      <c r="AN40" s="409" t="n"/>
      <c r="AO40" s="409" t="n"/>
      <c r="AP40" s="409" t="n"/>
      <c r="AQ40" s="409" t="n"/>
      <c r="AR40" s="409" t="n"/>
      <c r="AS40" s="409" t="n"/>
      <c r="AT40" s="409" t="n"/>
      <c r="AU40" s="409" t="n"/>
      <c r="AV40" s="409" t="n"/>
      <c r="AW40" s="409" t="n"/>
      <c r="AX40" s="409" t="n"/>
      <c r="AY40" s="409" t="n"/>
      <c r="AZ40" s="34" t="n"/>
      <c r="BJ40" s="34" t="n"/>
      <c r="BK40" s="34" t="n"/>
      <c r="BL40" s="34" t="n"/>
      <c r="BM40" s="34" t="n"/>
      <c r="BN40" s="34" t="n"/>
      <c r="BO40" s="34" t="n"/>
      <c r="BP40" s="34" t="n"/>
      <c r="BQ40" s="34" t="n"/>
      <c r="BR40" s="34" t="n"/>
      <c r="BS40" s="34" t="n"/>
      <c r="BT40" s="71" t="n"/>
      <c r="BU40" s="41" t="n"/>
      <c r="BV40" s="34" t="n"/>
      <c r="BW40" s="41" t="n"/>
      <c r="BY40" s="34" t="n"/>
      <c r="BZ40" s="34" t="n"/>
      <c r="CA40" s="34" t="n"/>
      <c r="CB40" s="34" t="n"/>
      <c r="CC40" s="34" t="n"/>
      <c r="CD40" s="34" t="n"/>
      <c r="CE40" s="34" t="n"/>
      <c r="CF40" s="34" t="n"/>
      <c r="CG40" s="34" t="n"/>
      <c r="CH40" s="34" t="n"/>
      <c r="CI40" s="34" t="n"/>
      <c r="CJ40" s="34" t="n"/>
      <c r="CK40" s="34" t="n"/>
      <c r="CL40" s="34" t="n"/>
      <c r="CM40" s="34" t="n"/>
      <c r="CN40" s="34" t="n"/>
      <c r="CO40" s="34" t="n"/>
      <c r="CP40" s="34" t="n"/>
      <c r="CQ40" s="34" t="n"/>
      <c r="CR40" s="374" t="n"/>
      <c r="CS40" s="34" t="n"/>
      <c r="CT40" s="373" t="n"/>
      <c r="CU40" s="34" t="n"/>
      <c r="CV40" s="34" t="n"/>
      <c r="CW40" s="34" t="n"/>
      <c r="CX40" s="34" t="n"/>
      <c r="CY40" s="34" t="n"/>
      <c r="CZ40" s="34" t="n"/>
      <c r="DA40" s="34" t="n"/>
      <c r="DB40" s="34" t="n"/>
      <c r="DC40" s="34" t="n"/>
      <c r="DD40" s="34" t="n"/>
      <c r="DE40" s="34" t="n"/>
      <c r="DF40" s="34" t="n"/>
      <c r="DG40" s="34" t="n"/>
      <c r="DH40" s="34" t="n"/>
      <c r="DI40" s="34" t="n"/>
      <c r="DJ40" s="34" t="n"/>
      <c r="DK40" s="34" t="n"/>
      <c r="DL40" s="34" t="n"/>
      <c r="DM40" s="34" t="n"/>
      <c r="DN40" s="34" t="n"/>
      <c r="DO40" s="34" t="n"/>
      <c r="DP40" s="34" t="n"/>
      <c r="DQ40" s="34" t="n"/>
      <c r="DR40" s="154" t="n"/>
      <c r="DS40" s="34" t="n"/>
      <c r="DT40" s="154" t="n"/>
      <c r="DU40" s="34" t="n"/>
      <c r="DV40" s="34" t="n"/>
      <c r="DW40" s="34" t="n"/>
      <c r="DX40" s="154" t="n"/>
      <c r="DY40" s="34" t="n"/>
      <c r="DZ40" s="154" t="n"/>
      <c r="EA40" s="34" t="n"/>
      <c r="EB40" s="34" t="n"/>
      <c r="EC40" s="34" t="n"/>
      <c r="ED40" s="34" t="n"/>
      <c r="EE40" s="34" t="n"/>
      <c r="EF40" s="34" t="n"/>
      <c r="EG40" s="34" t="n"/>
      <c r="EH40" s="34" t="n"/>
      <c r="EI40" s="34" t="n"/>
      <c r="EJ40" s="34" t="n"/>
      <c r="EK40" s="34" t="n"/>
      <c r="EL40" s="34" t="n"/>
      <c r="EM40" s="34" t="n"/>
      <c r="EN40" s="34" t="n"/>
    </row>
    <row r="41">
      <c r="A41" s="294" t="n"/>
      <c r="B41" s="378" t="n"/>
      <c r="C41" s="365" t="n"/>
      <c r="E41" s="41" t="n"/>
      <c r="F41" s="41" t="n"/>
      <c r="G41" s="41" t="n"/>
      <c r="H41" s="41" t="n"/>
      <c r="I41" s="41" t="n"/>
      <c r="J41" s="41" t="n"/>
      <c r="K41" s="41" t="n"/>
      <c r="L41" s="41" t="n"/>
      <c r="M41" s="41" t="n"/>
      <c r="N41" s="41" t="n"/>
      <c r="O41" s="41" t="n"/>
      <c r="P41" s="41" t="n"/>
      <c r="Q41" s="41" t="n"/>
      <c r="R41" s="41" t="n"/>
      <c r="S41" s="41" t="n"/>
      <c r="T41" s="41" t="n"/>
      <c r="U41" s="41" t="n"/>
      <c r="V41" s="41" t="n"/>
      <c r="W41" s="41" t="n"/>
      <c r="X41" s="41" t="n"/>
      <c r="Y41" s="41" t="n"/>
      <c r="Z41" s="41" t="n"/>
      <c r="AA41" s="41" t="n"/>
      <c r="AB41" s="41" t="n"/>
      <c r="AE41" s="41" t="n"/>
      <c r="AF41" s="41" t="n"/>
      <c r="AG41" s="41" t="n"/>
      <c r="AH41" s="409" t="n"/>
      <c r="AI41" s="409" t="n"/>
      <c r="AJ41" s="409" t="n"/>
      <c r="AK41" s="409" t="n"/>
      <c r="AL41" s="409" t="n"/>
      <c r="AM41" s="409" t="n"/>
      <c r="AN41" s="409" t="n"/>
      <c r="AO41" s="409" t="n"/>
      <c r="AP41" s="409" t="n"/>
      <c r="AQ41" s="409" t="n"/>
      <c r="AR41" s="409" t="n"/>
      <c r="AS41" s="409" t="n"/>
      <c r="AT41" s="409" t="n"/>
      <c r="AU41" s="409" t="n"/>
      <c r="AV41" s="409" t="n"/>
      <c r="AW41" s="409" t="n"/>
      <c r="AX41" s="409" t="n"/>
      <c r="AY41" s="409" t="n"/>
      <c r="AZ41" s="34" t="n"/>
      <c r="BH41" s="41" t="n"/>
      <c r="BJ41" s="34" t="n"/>
      <c r="BK41" s="34" t="n"/>
      <c r="BL41" s="34" t="n"/>
      <c r="BM41" s="34" t="n"/>
      <c r="BN41" s="34" t="n"/>
      <c r="BO41" s="34" t="n"/>
      <c r="BP41" s="34" t="n"/>
      <c r="BQ41" s="34" t="n"/>
      <c r="BR41" s="34" t="n"/>
      <c r="BS41" s="34" t="n"/>
      <c r="BT41" s="71" t="n"/>
      <c r="BU41" s="41" t="n"/>
      <c r="BV41" s="34" t="n"/>
      <c r="BW41" s="41" t="n"/>
      <c r="BY41" s="34" t="n"/>
      <c r="BZ41" s="34" t="n"/>
      <c r="CA41" s="34" t="n"/>
      <c r="CB41" s="34" t="n"/>
      <c r="CC41" s="34" t="n"/>
      <c r="CD41" s="34" t="n"/>
      <c r="CE41" s="34" t="n"/>
      <c r="CF41" s="34" t="n"/>
      <c r="CG41" s="34" t="n"/>
      <c r="CH41" s="34" t="n"/>
      <c r="CI41" s="34" t="n"/>
      <c r="CJ41" s="34" t="n"/>
      <c r="CK41" s="34" t="n"/>
      <c r="CL41" s="34" t="n"/>
      <c r="CM41" s="34" t="n"/>
      <c r="CN41" s="34" t="n"/>
      <c r="CO41" s="34" t="n"/>
      <c r="CP41" s="34" t="n"/>
      <c r="CQ41" s="34" t="n"/>
      <c r="CR41" s="374" t="n"/>
      <c r="CS41" s="34" t="n"/>
      <c r="CT41" s="356" t="n"/>
      <c r="CU41" s="34" t="n"/>
      <c r="CV41" s="34" t="n"/>
      <c r="CW41" s="34" t="n"/>
      <c r="CX41" s="34" t="n"/>
      <c r="CY41" s="34" t="n"/>
      <c r="CZ41" s="34" t="n"/>
      <c r="DA41" s="34" t="n"/>
      <c r="DB41" s="34" t="n"/>
      <c r="DC41" s="34" t="n"/>
      <c r="DD41" s="34" t="n"/>
      <c r="DE41" s="34" t="n"/>
      <c r="DF41" s="34" t="n"/>
      <c r="DG41" s="34" t="n"/>
      <c r="DH41" s="34" t="n"/>
      <c r="DI41" s="34" t="n"/>
      <c r="DJ41" s="34" t="n"/>
      <c r="DK41" s="34" t="n"/>
      <c r="DL41" s="34" t="n"/>
      <c r="DM41" s="34" t="n"/>
      <c r="DN41" s="34" t="n"/>
      <c r="DO41" s="34" t="n"/>
      <c r="DP41" s="34" t="n"/>
      <c r="DQ41" s="34" t="n"/>
      <c r="DR41" s="154" t="n"/>
      <c r="DS41" s="34" t="n"/>
      <c r="DT41" s="154" t="n"/>
      <c r="DU41" s="34" t="n"/>
      <c r="DV41" s="34" t="n"/>
      <c r="DW41" s="34" t="n"/>
      <c r="DX41" s="154" t="n"/>
      <c r="DY41" s="34" t="n"/>
      <c r="DZ41" s="154" t="n"/>
      <c r="EA41" s="34" t="n"/>
      <c r="EB41" s="34" t="n"/>
      <c r="EC41" s="34" t="n"/>
      <c r="ED41" s="34" t="n"/>
      <c r="EE41" s="34" t="n"/>
      <c r="EF41" s="34" t="n"/>
      <c r="EG41" s="34" t="n"/>
      <c r="EH41" s="34" t="n"/>
      <c r="EI41" s="34" t="n"/>
      <c r="EJ41" s="34" t="n"/>
      <c r="EK41" s="34" t="n"/>
      <c r="EL41" s="34" t="n"/>
      <c r="EM41" s="34" t="n"/>
      <c r="EN41" s="34" t="n"/>
    </row>
    <row r="42">
      <c r="A42" s="406" t="n"/>
      <c r="B42" s="625" t="n"/>
      <c r="C42" s="641" t="n"/>
      <c r="E42" s="41" t="n"/>
      <c r="F42" s="41" t="n"/>
      <c r="G42" s="41" t="n"/>
      <c r="H42" s="41" t="n"/>
      <c r="I42" s="41" t="n"/>
      <c r="J42" s="41" t="n"/>
      <c r="K42" s="41" t="n"/>
      <c r="L42" s="41" t="n"/>
      <c r="M42" s="41" t="n"/>
      <c r="N42" s="41" t="n"/>
      <c r="O42" s="41" t="n"/>
      <c r="P42" s="41" t="n"/>
      <c r="Q42" s="41" t="n"/>
      <c r="R42" s="41" t="n"/>
      <c r="S42" s="41" t="n"/>
      <c r="T42" s="41" t="n"/>
      <c r="U42" s="41" t="n"/>
      <c r="V42" s="41" t="n"/>
      <c r="W42" s="41" t="n"/>
      <c r="X42" s="41" t="n"/>
      <c r="Y42" s="41" t="n"/>
      <c r="Z42" s="41" t="n"/>
      <c r="AA42" s="41" t="n"/>
      <c r="AB42" s="41" t="n"/>
      <c r="AC42" s="41" t="n"/>
      <c r="AD42" s="41" t="n"/>
      <c r="AE42" s="41" t="n"/>
      <c r="AF42" s="41" t="n"/>
      <c r="AG42" s="41" t="n"/>
      <c r="AH42" s="41" t="n"/>
      <c r="AI42" s="41" t="n"/>
      <c r="AJ42" s="41" t="n"/>
      <c r="AK42" s="41" t="n"/>
      <c r="AL42" s="41" t="n"/>
      <c r="AM42" s="41" t="n"/>
      <c r="AN42" s="41" t="n"/>
      <c r="AO42" s="41" t="n"/>
      <c r="AP42" s="41" t="n"/>
      <c r="AQ42" s="41" t="n"/>
      <c r="AR42" s="41" t="n"/>
      <c r="AS42" s="41" t="n"/>
      <c r="AT42" s="41" t="n"/>
      <c r="AU42" s="41" t="n"/>
      <c r="AV42" s="41" t="n"/>
      <c r="AW42" s="41" t="n"/>
      <c r="AX42" s="41" t="n"/>
      <c r="AY42" s="41" t="n"/>
      <c r="AZ42" s="34" t="n"/>
      <c r="BA42" s="41" t="n"/>
      <c r="BB42" s="41" t="n"/>
      <c r="BC42" s="41" t="n"/>
      <c r="BD42" s="41" t="n"/>
      <c r="BE42" s="41" t="n"/>
      <c r="BF42" s="41" t="n"/>
      <c r="BG42" s="41" t="n"/>
      <c r="BH42" s="41" t="n"/>
      <c r="BI42" s="41" t="n"/>
      <c r="BJ42" s="34" t="n"/>
      <c r="BK42" s="34" t="n"/>
      <c r="BL42" s="34" t="n"/>
      <c r="BM42" s="34" t="n"/>
      <c r="BN42" s="34" t="n"/>
      <c r="BO42" s="34" t="n"/>
      <c r="BP42" s="34" t="n"/>
      <c r="BQ42" s="34" t="n"/>
      <c r="BR42" s="34" t="n"/>
      <c r="BS42" s="34" t="n"/>
      <c r="BT42" s="71" t="n"/>
      <c r="BU42" s="41" t="n"/>
      <c r="BV42" s="34" t="n"/>
      <c r="BW42" s="41" t="n"/>
      <c r="BY42" s="34" t="n"/>
      <c r="BZ42" s="34" t="n"/>
      <c r="CA42" s="34" t="n"/>
      <c r="CB42" s="34" t="n"/>
      <c r="CC42" s="34" t="n"/>
      <c r="CD42" s="34" t="n"/>
      <c r="CE42" s="34" t="n"/>
      <c r="CF42" s="34" t="n"/>
      <c r="CG42" s="34" t="n"/>
      <c r="CH42" s="34" t="n"/>
      <c r="CI42" s="34" t="n"/>
      <c r="CJ42" s="34" t="n"/>
      <c r="CK42" s="34" t="n"/>
      <c r="CL42" s="34" t="n"/>
      <c r="CM42" s="34" t="n"/>
      <c r="CN42" s="34" t="n"/>
      <c r="CO42" s="34" t="n"/>
      <c r="CP42" s="34" t="n"/>
      <c r="CQ42" s="34" t="n"/>
      <c r="CR42" s="374" t="n"/>
      <c r="CS42" s="34" t="n"/>
      <c r="CT42" s="356" t="n"/>
      <c r="CU42" s="34" t="n"/>
      <c r="CV42" s="34" t="n"/>
      <c r="CW42" s="34" t="n"/>
      <c r="CX42" s="34" t="n"/>
      <c r="CY42" s="34" t="n"/>
      <c r="CZ42" s="34" t="n"/>
      <c r="DA42" s="34" t="n"/>
      <c r="DB42" s="34" t="n"/>
      <c r="DC42" s="34" t="n"/>
      <c r="DD42" s="34" t="n"/>
      <c r="DE42" s="34" t="n"/>
      <c r="DF42" s="34" t="n"/>
      <c r="DG42" s="34" t="n"/>
      <c r="DH42" s="34" t="n"/>
      <c r="DI42" s="34" t="n"/>
      <c r="DJ42" s="34" t="n"/>
      <c r="DK42" s="34" t="n"/>
      <c r="DL42" s="34" t="n"/>
      <c r="DM42" s="34" t="n"/>
      <c r="DN42" s="34" t="n"/>
      <c r="DO42" s="34" t="n"/>
      <c r="DP42" s="34" t="n"/>
      <c r="DQ42" s="34" t="n"/>
      <c r="DR42" s="154" t="n"/>
      <c r="DS42" s="34" t="n"/>
      <c r="DT42" s="154" t="n"/>
      <c r="DU42" s="34" t="n"/>
      <c r="DV42" s="34" t="n"/>
      <c r="DW42" s="34" t="n"/>
      <c r="DX42" s="154" t="n"/>
      <c r="DY42" s="34" t="n"/>
      <c r="DZ42" s="154" t="n"/>
      <c r="EA42" s="34" t="n"/>
      <c r="EB42" s="34" t="n"/>
      <c r="EC42" s="34" t="n"/>
      <c r="ED42" s="34" t="n"/>
      <c r="EE42" s="34" t="n"/>
      <c r="EF42" s="34" t="n"/>
      <c r="EG42" s="34" t="n"/>
      <c r="EH42" s="34" t="n"/>
      <c r="EI42" s="34" t="n"/>
      <c r="EJ42" s="34" t="n"/>
      <c r="EK42" s="34" t="n"/>
      <c r="EL42" s="34" t="n"/>
      <c r="EM42" s="34" t="n"/>
      <c r="EN42" s="34" t="n"/>
    </row>
    <row r="43">
      <c r="E43" s="41" t="n"/>
      <c r="F43" s="41" t="n"/>
      <c r="G43" s="41" t="n"/>
      <c r="H43" s="41" t="n"/>
      <c r="I43" s="41" t="n"/>
      <c r="J43" s="41" t="n"/>
      <c r="K43" s="41" t="n"/>
      <c r="L43" s="41" t="n"/>
      <c r="M43" s="41" t="n"/>
      <c r="N43" s="41" t="n"/>
      <c r="O43" s="41" t="n"/>
      <c r="P43" s="41" t="n"/>
      <c r="Q43" s="41" t="n"/>
      <c r="R43" s="41" t="n"/>
      <c r="S43" s="41" t="n"/>
      <c r="T43" s="41" t="n"/>
      <c r="U43" s="41" t="n"/>
      <c r="V43" s="41" t="n"/>
      <c r="W43" s="41" t="n"/>
      <c r="X43" s="41" t="n"/>
      <c r="Y43" s="41" t="n"/>
      <c r="Z43" s="41" t="n"/>
      <c r="AA43" s="41" t="n"/>
      <c r="AB43" s="41" t="n"/>
      <c r="AC43" s="41" t="n"/>
      <c r="AD43" s="41" t="n"/>
      <c r="AE43" s="41" t="n"/>
      <c r="AH43" s="41" t="n"/>
      <c r="AI43" s="41" t="n"/>
      <c r="AJ43" s="41" t="n"/>
      <c r="AK43" s="41" t="n"/>
      <c r="AL43" s="41" t="n"/>
      <c r="AM43" s="41" t="n"/>
      <c r="AN43" s="41" t="n"/>
      <c r="AO43" s="41" t="n"/>
      <c r="AP43" s="41" t="n"/>
      <c r="AQ43" s="41" t="n"/>
      <c r="AR43" s="41" t="n"/>
      <c r="AS43" s="41" t="n"/>
      <c r="AT43" s="41" t="n"/>
      <c r="AU43" s="41" t="n"/>
      <c r="AV43" s="41" t="n"/>
      <c r="AW43" s="41" t="n"/>
      <c r="AX43" s="41" t="n"/>
      <c r="AY43" s="41" t="n"/>
      <c r="BA43" s="41" t="n"/>
      <c r="BB43" s="41" t="n"/>
      <c r="BC43" s="41" t="n"/>
      <c r="BD43" s="41" t="n"/>
      <c r="BE43" s="41" t="n"/>
      <c r="BF43" s="41" t="n"/>
      <c r="BG43" s="41" t="n"/>
      <c r="BH43" s="41" t="n"/>
      <c r="BI43" s="41" t="n"/>
    </row>
    <row r="44">
      <c r="A44" s="642" t="inlineStr">
        <is>
          <t>FLACONETES</t>
        </is>
      </c>
      <c r="B44" s="625" t="n"/>
      <c r="C44" s="625" t="n"/>
      <c r="D44" s="641" t="n"/>
      <c r="F44" s="643" t="n">
        <v>46013</v>
      </c>
      <c r="G44" s="643" t="n">
        <v>46020</v>
      </c>
      <c r="H44" s="643" t="n">
        <v>46027</v>
      </c>
      <c r="I44" s="643" t="n">
        <v>46034</v>
      </c>
      <c r="J44" s="643" t="n">
        <v>46041</v>
      </c>
      <c r="K44" s="643" t="n">
        <v>46048</v>
      </c>
      <c r="L44" s="643" t="n">
        <v>46055</v>
      </c>
      <c r="M44" s="643" t="n">
        <v>46062</v>
      </c>
      <c r="N44" s="643" t="n">
        <v>46069</v>
      </c>
      <c r="O44" s="643" t="n">
        <v>46076</v>
      </c>
      <c r="P44" s="643" t="n">
        <v>46083</v>
      </c>
      <c r="Q44" s="643" t="n">
        <v>46090</v>
      </c>
      <c r="R44" s="643" t="n">
        <v>46097</v>
      </c>
      <c r="S44" s="643" t="n">
        <v>46104</v>
      </c>
      <c r="T44" s="643" t="n">
        <v>46111</v>
      </c>
      <c r="U44" s="643" t="n">
        <v>46118</v>
      </c>
      <c r="V44" s="643" t="n">
        <v>46125</v>
      </c>
      <c r="W44" s="643" t="n">
        <v>46132</v>
      </c>
      <c r="X44" s="643" t="n">
        <v>46139</v>
      </c>
      <c r="Y44" s="643" t="n">
        <v>46146</v>
      </c>
      <c r="Z44" s="643" t="n">
        <v>46154</v>
      </c>
      <c r="AC44" s="41" t="n"/>
      <c r="AD44" s="41" t="n"/>
      <c r="AF44" s="11" t="n"/>
      <c r="AH44" s="41" t="n"/>
      <c r="AI44" s="41" t="n"/>
      <c r="AJ44" s="41" t="n"/>
      <c r="AK44" s="41" t="n"/>
      <c r="AL44" s="41" t="n"/>
      <c r="AM44" s="41" t="n"/>
      <c r="AN44" s="41" t="n"/>
      <c r="AO44" s="41" t="n"/>
      <c r="AP44" s="41" t="n"/>
      <c r="AQ44" s="41" t="n"/>
      <c r="AR44" s="41" t="n"/>
      <c r="AS44" s="41" t="n"/>
      <c r="AT44" s="41" t="n"/>
      <c r="AU44" s="41" t="n"/>
      <c r="AV44" s="41" t="n"/>
      <c r="AW44" s="41" t="n"/>
      <c r="AX44" s="41" t="n"/>
      <c r="AY44" s="41" t="n"/>
      <c r="BA44" s="41" t="n"/>
      <c r="BB44" s="41" t="n"/>
      <c r="BC44" s="41" t="n"/>
      <c r="BD44" s="41" t="n"/>
      <c r="BE44" s="41" t="n"/>
      <c r="BF44" s="41" t="n"/>
      <c r="BG44" s="41" t="n"/>
      <c r="BH44" s="41" t="n"/>
      <c r="BI44" s="41" t="n"/>
    </row>
    <row r="45">
      <c r="A45" s="645" t="inlineStr">
        <is>
          <t>PROTETOR BOTI SUN FPS70 COR 1.0</t>
        </is>
      </c>
      <c r="B45" s="625" t="n"/>
      <c r="C45" s="625" t="n"/>
      <c r="D45" s="641" t="n"/>
      <c r="F45" s="366" t="n">
        <v>0</v>
      </c>
      <c r="G45" s="366" t="n">
        <v>0</v>
      </c>
      <c r="H45" s="366" t="n">
        <v>0</v>
      </c>
      <c r="I45" s="366" t="n">
        <v>0</v>
      </c>
      <c r="J45" s="366" t="n">
        <v>0</v>
      </c>
      <c r="K45" s="366" t="n">
        <v>0</v>
      </c>
      <c r="L45" s="366" t="n">
        <v>0</v>
      </c>
      <c r="M45" s="366" t="n">
        <v>0</v>
      </c>
      <c r="N45" s="366" t="n">
        <v>0</v>
      </c>
      <c r="O45" s="366" t="n">
        <v>0</v>
      </c>
      <c r="P45" s="366" t="n">
        <v>0</v>
      </c>
      <c r="Q45" s="366" t="n">
        <v>0</v>
      </c>
      <c r="R45" s="366" t="n">
        <v>0</v>
      </c>
      <c r="S45" s="366" t="n">
        <v>0</v>
      </c>
      <c r="T45" s="366" t="n">
        <v>0</v>
      </c>
      <c r="U45" s="366" t="n">
        <v>0</v>
      </c>
      <c r="V45" s="366" t="n">
        <v>0</v>
      </c>
      <c r="W45" s="366" t="n">
        <v>0</v>
      </c>
      <c r="X45" s="366" t="n">
        <v>0</v>
      </c>
      <c r="Y45" s="366" t="n">
        <v>0</v>
      </c>
      <c r="Z45" s="366" t="n">
        <v>0</v>
      </c>
      <c r="AH45" s="41" t="n"/>
      <c r="AI45" s="41" t="n"/>
      <c r="AJ45" s="41" t="n"/>
      <c r="AK45" s="41" t="n"/>
      <c r="AL45" s="41" t="n"/>
      <c r="AM45" s="41" t="n"/>
      <c r="AN45" s="41" t="n"/>
      <c r="AO45" s="41" t="n"/>
      <c r="AP45" s="41" t="n"/>
      <c r="AQ45" s="41" t="n"/>
      <c r="AR45" s="41" t="n"/>
      <c r="BA45" s="41" t="n"/>
      <c r="BB45" s="41" t="n"/>
      <c r="BC45" s="41" t="n"/>
      <c r="BD45" s="41" t="n"/>
      <c r="BE45" s="41" t="n"/>
      <c r="BF45" s="41" t="n"/>
      <c r="BG45" s="41" t="n"/>
      <c r="BI45" s="41" t="n"/>
    </row>
    <row r="46">
      <c r="A46" s="645" t="inlineStr">
        <is>
          <t>PROTETOR BOTI SUN FPS70 COR 2.0</t>
        </is>
      </c>
      <c r="B46" s="625" t="n"/>
      <c r="C46" s="625" t="n"/>
      <c r="D46" s="641" t="n"/>
      <c r="F46" s="366" t="n">
        <v>0</v>
      </c>
      <c r="G46" s="366" t="n">
        <v>0</v>
      </c>
      <c r="H46" s="366" t="n">
        <v>0</v>
      </c>
      <c r="I46" s="366" t="n">
        <v>0</v>
      </c>
      <c r="J46" s="366" t="n">
        <v>0</v>
      </c>
      <c r="K46" s="366" t="n">
        <v>0</v>
      </c>
      <c r="L46" s="366" t="n">
        <v>0</v>
      </c>
      <c r="M46" s="366" t="n">
        <v>0</v>
      </c>
      <c r="N46" s="366" t="n">
        <v>0</v>
      </c>
      <c r="O46" s="366" t="n">
        <v>0</v>
      </c>
      <c r="P46" s="366" t="n">
        <v>0</v>
      </c>
      <c r="Q46" s="366" t="n">
        <v>0</v>
      </c>
      <c r="R46" s="366" t="n">
        <v>0</v>
      </c>
      <c r="S46" s="366" t="n">
        <v>0</v>
      </c>
      <c r="T46" s="366" t="n">
        <v>0</v>
      </c>
      <c r="U46" s="366" t="n">
        <v>0</v>
      </c>
      <c r="V46" s="366" t="n">
        <v>0</v>
      </c>
      <c r="W46" s="366" t="n">
        <v>0</v>
      </c>
      <c r="X46" s="366" t="n">
        <v>0</v>
      </c>
      <c r="Y46" s="366" t="n">
        <v>0</v>
      </c>
      <c r="Z46" s="366" t="n">
        <v>0</v>
      </c>
    </row>
    <row r="47">
      <c r="A47" s="645" t="inlineStr">
        <is>
          <t>PROTETOR BOTI SUN FPS70 COR 3.0</t>
        </is>
      </c>
      <c r="B47" s="625" t="n"/>
      <c r="C47" s="625" t="n"/>
      <c r="D47" s="641" t="n"/>
      <c r="F47" s="366" t="n">
        <v>0</v>
      </c>
      <c r="G47" s="366" t="n">
        <v>0</v>
      </c>
      <c r="H47" s="366" t="n">
        <v>0</v>
      </c>
      <c r="I47" s="366" t="n">
        <v>0</v>
      </c>
      <c r="J47" s="366" t="n">
        <v>0</v>
      </c>
      <c r="K47" s="366" t="n">
        <v>0</v>
      </c>
      <c r="L47" s="366" t="n">
        <v>0</v>
      </c>
      <c r="M47" s="366" t="n">
        <v>0</v>
      </c>
      <c r="N47" s="366" t="n">
        <v>0</v>
      </c>
      <c r="O47" s="366" t="n">
        <v>0</v>
      </c>
      <c r="P47" s="366" t="n">
        <v>0</v>
      </c>
      <c r="Q47" s="366" t="n">
        <v>0</v>
      </c>
      <c r="R47" s="366" t="n">
        <v>0</v>
      </c>
      <c r="S47" s="366" t="n">
        <v>0</v>
      </c>
      <c r="T47" s="366" t="n">
        <v>0</v>
      </c>
      <c r="U47" s="366" t="n">
        <v>0</v>
      </c>
      <c r="V47" s="366" t="n">
        <v>0</v>
      </c>
      <c r="W47" s="366" t="n">
        <v>0</v>
      </c>
      <c r="X47" s="366" t="n">
        <v>0</v>
      </c>
      <c r="Y47" s="366" t="n">
        <v>0</v>
      </c>
      <c r="Z47" s="366" t="n">
        <v>0</v>
      </c>
    </row>
    <row r="48">
      <c r="A48" s="645" t="inlineStr">
        <is>
          <t>PROTETOR BOTI SUN FPS70 COR 4.0</t>
        </is>
      </c>
      <c r="B48" s="625" t="n"/>
      <c r="C48" s="625" t="n"/>
      <c r="D48" s="641" t="n"/>
      <c r="F48" s="366" t="n">
        <v>0</v>
      </c>
      <c r="G48" s="366" t="n">
        <v>0</v>
      </c>
      <c r="H48" s="366" t="n">
        <v>0</v>
      </c>
      <c r="I48" s="366" t="n">
        <v>0</v>
      </c>
      <c r="J48" s="366" t="n">
        <v>0</v>
      </c>
      <c r="K48" s="366" t="n">
        <v>0</v>
      </c>
      <c r="L48" s="366" t="n">
        <v>0</v>
      </c>
      <c r="M48" s="366" t="n">
        <v>0</v>
      </c>
      <c r="N48" s="366" t="n">
        <v>0</v>
      </c>
      <c r="O48" s="366" t="n">
        <v>0</v>
      </c>
      <c r="P48" s="366" t="n">
        <v>0</v>
      </c>
      <c r="Q48" s="366" t="n">
        <v>0</v>
      </c>
      <c r="R48" s="366" t="n">
        <v>0</v>
      </c>
      <c r="S48" s="366" t="n">
        <v>0</v>
      </c>
      <c r="T48" s="366" t="n">
        <v>0</v>
      </c>
      <c r="U48" s="366" t="n">
        <v>0</v>
      </c>
      <c r="V48" s="366" t="n">
        <v>0</v>
      </c>
      <c r="W48" s="366" t="n">
        <v>0</v>
      </c>
      <c r="X48" s="366" t="n">
        <v>0</v>
      </c>
      <c r="Y48" s="366" t="n">
        <v>0</v>
      </c>
      <c r="Z48" s="366" t="n">
        <v>0</v>
      </c>
      <c r="AH48" s="11" t="n"/>
      <c r="AI48" s="11" t="n"/>
      <c r="AJ48" s="11" t="n"/>
      <c r="AK48" s="11" t="n"/>
      <c r="AL48" s="11" t="n"/>
      <c r="AM48" s="11" t="n"/>
      <c r="AN48" s="11" t="n"/>
      <c r="AO48" s="11" t="n"/>
      <c r="AP48" s="11" t="n"/>
      <c r="AQ48" s="11" t="n"/>
      <c r="AR48" s="11" t="n"/>
    </row>
    <row r="49">
      <c r="A49" s="645" t="inlineStr">
        <is>
          <t>PROTETOR BOTI SUN FPS70 COR 5.0</t>
        </is>
      </c>
      <c r="B49" s="625" t="n"/>
      <c r="C49" s="625" t="n"/>
      <c r="D49" s="641" t="n"/>
      <c r="F49" s="366" t="n">
        <v>0</v>
      </c>
      <c r="G49" s="366" t="n">
        <v>0</v>
      </c>
      <c r="H49" s="366" t="n">
        <v>0</v>
      </c>
      <c r="I49" s="366" t="n">
        <v>0</v>
      </c>
      <c r="J49" s="366" t="n">
        <v>0</v>
      </c>
      <c r="K49" s="366" t="n">
        <v>0</v>
      </c>
      <c r="L49" s="366" t="n">
        <v>0</v>
      </c>
      <c r="M49" s="366" t="n">
        <v>0</v>
      </c>
      <c r="N49" s="366" t="n">
        <v>0</v>
      </c>
      <c r="O49" s="366" t="n">
        <v>0</v>
      </c>
      <c r="P49" s="366" t="n">
        <v>0</v>
      </c>
      <c r="Q49" s="366" t="n">
        <v>0</v>
      </c>
      <c r="R49" s="366" t="n">
        <v>0</v>
      </c>
      <c r="S49" s="366" t="n">
        <v>0</v>
      </c>
      <c r="T49" s="366" t="n">
        <v>0</v>
      </c>
      <c r="U49" s="366" t="n">
        <v>0</v>
      </c>
      <c r="V49" s="366" t="n">
        <v>0</v>
      </c>
      <c r="W49" s="366" t="n">
        <v>0</v>
      </c>
      <c r="X49" s="366" t="n">
        <v>0</v>
      </c>
      <c r="Y49" s="366" t="n">
        <v>0</v>
      </c>
      <c r="Z49" s="366" t="n">
        <v>0</v>
      </c>
    </row>
    <row r="50">
      <c r="A50" s="645" t="inlineStr">
        <is>
          <t>PROTETOR BOTI SUN FPS70 COR 6.0</t>
        </is>
      </c>
      <c r="B50" s="625" t="n"/>
      <c r="C50" s="625" t="n"/>
      <c r="D50" s="641" t="n"/>
      <c r="F50" s="366" t="n">
        <v>0</v>
      </c>
      <c r="G50" s="366" t="n">
        <v>0</v>
      </c>
      <c r="H50" s="366" t="n">
        <v>0</v>
      </c>
      <c r="I50" s="366" t="n">
        <v>0</v>
      </c>
      <c r="J50" s="366" t="n">
        <v>0</v>
      </c>
      <c r="K50" s="366" t="n">
        <v>0</v>
      </c>
      <c r="L50" s="366" t="n">
        <v>0</v>
      </c>
      <c r="M50" s="366" t="n">
        <v>0</v>
      </c>
      <c r="N50" s="366" t="n">
        <v>0</v>
      </c>
      <c r="O50" s="366" t="n">
        <v>0</v>
      </c>
      <c r="P50" s="366" t="n">
        <v>0</v>
      </c>
      <c r="Q50" s="366" t="n">
        <v>0</v>
      </c>
      <c r="R50" s="366" t="n">
        <v>0</v>
      </c>
      <c r="S50" s="366" t="n">
        <v>0</v>
      </c>
      <c r="T50" s="366" t="n">
        <v>0</v>
      </c>
      <c r="U50" s="366" t="n">
        <v>0</v>
      </c>
      <c r="V50" s="366" t="n">
        <v>0</v>
      </c>
      <c r="W50" s="366" t="n">
        <v>0</v>
      </c>
      <c r="X50" s="366" t="n">
        <v>0</v>
      </c>
      <c r="Y50" s="366" t="n">
        <v>0</v>
      </c>
      <c r="Z50" s="366" t="n">
        <v>0</v>
      </c>
    </row>
    <row r="51">
      <c r="A51" s="645" t="inlineStr">
        <is>
          <t>PROTETOR BOTI SUN FPS70 COR 7.0</t>
        </is>
      </c>
      <c r="B51" s="625" t="n"/>
      <c r="C51" s="625" t="n"/>
      <c r="D51" s="641" t="n"/>
      <c r="F51" s="366" t="n">
        <v>0</v>
      </c>
      <c r="G51" s="366" t="n">
        <v>0</v>
      </c>
      <c r="H51" s="366" t="n">
        <v>0</v>
      </c>
      <c r="I51" s="366" t="n">
        <v>0</v>
      </c>
      <c r="J51" s="366" t="n">
        <v>0</v>
      </c>
      <c r="K51" s="366" t="n">
        <v>0</v>
      </c>
      <c r="L51" s="366" t="n">
        <v>0</v>
      </c>
      <c r="M51" s="366" t="n">
        <v>0</v>
      </c>
      <c r="N51" s="366" t="n">
        <v>0</v>
      </c>
      <c r="O51" s="366" t="n">
        <v>0</v>
      </c>
      <c r="P51" s="366" t="n">
        <v>0</v>
      </c>
      <c r="Q51" s="366" t="n">
        <v>0</v>
      </c>
      <c r="R51" s="366" t="n">
        <v>0</v>
      </c>
      <c r="S51" s="366" t="n">
        <v>0</v>
      </c>
      <c r="T51" s="366" t="n">
        <v>0</v>
      </c>
      <c r="U51" s="366" t="n">
        <v>0</v>
      </c>
      <c r="V51" s="366" t="n">
        <v>0</v>
      </c>
      <c r="W51" s="366" t="n">
        <v>0</v>
      </c>
      <c r="X51" s="366" t="n">
        <v>0</v>
      </c>
      <c r="Y51" s="366" t="n">
        <v>0</v>
      </c>
      <c r="Z51" s="366" t="n">
        <v>0</v>
      </c>
    </row>
    <row r="52">
      <c r="A52" s="645" t="inlineStr">
        <is>
          <t>ZAAD INTENSE</t>
        </is>
      </c>
      <c r="B52" s="625" t="n"/>
      <c r="C52" s="625" t="n"/>
      <c r="D52" s="641" t="n"/>
      <c r="F52" s="366" t="n">
        <v>0</v>
      </c>
      <c r="G52" s="366" t="n">
        <v>0</v>
      </c>
      <c r="H52" s="366" t="n">
        <v>0</v>
      </c>
      <c r="I52" s="366" t="n">
        <v>0</v>
      </c>
      <c r="J52" s="366" t="n">
        <v>0</v>
      </c>
      <c r="K52" s="366" t="n">
        <v>0</v>
      </c>
      <c r="L52" s="366" t="n">
        <v>0</v>
      </c>
      <c r="M52" s="366" t="n">
        <v>0</v>
      </c>
      <c r="N52" s="366" t="n">
        <v>0</v>
      </c>
      <c r="O52" s="366" t="n">
        <v>0</v>
      </c>
      <c r="P52" s="366" t="n">
        <v>0</v>
      </c>
      <c r="Q52" s="366" t="n">
        <v>0</v>
      </c>
      <c r="R52" s="366" t="n">
        <v>0</v>
      </c>
      <c r="S52" s="366" t="n">
        <v>0</v>
      </c>
      <c r="T52" s="366" t="n">
        <v>0</v>
      </c>
      <c r="U52" s="366" t="n">
        <v>0</v>
      </c>
      <c r="V52" s="366" t="n">
        <v>0</v>
      </c>
      <c r="W52" s="366" t="n">
        <v>0</v>
      </c>
      <c r="X52" s="366" t="n">
        <v>0</v>
      </c>
      <c r="Y52" s="366" t="n">
        <v>0</v>
      </c>
      <c r="Z52" s="366" t="n">
        <v>0</v>
      </c>
    </row>
    <row r="53">
      <c r="A53" s="645" t="inlineStr">
        <is>
          <t>EGEO COGU</t>
        </is>
      </c>
      <c r="B53" s="625" t="n"/>
      <c r="C53" s="625" t="n"/>
      <c r="D53" s="641" t="n"/>
      <c r="F53" s="366" t="n">
        <v>0</v>
      </c>
      <c r="G53" s="366" t="n">
        <v>0</v>
      </c>
      <c r="H53" s="366" t="n">
        <v>0</v>
      </c>
      <c r="I53" s="366" t="n">
        <v>0</v>
      </c>
      <c r="J53" s="366" t="n">
        <v>0</v>
      </c>
      <c r="K53" s="366" t="n">
        <v>0</v>
      </c>
      <c r="L53" s="366" t="n">
        <v>0</v>
      </c>
      <c r="M53" s="366" t="n">
        <v>0</v>
      </c>
      <c r="N53" s="366" t="n">
        <v>0</v>
      </c>
      <c r="O53" s="366" t="n">
        <v>0</v>
      </c>
      <c r="P53" s="366" t="n">
        <v>0</v>
      </c>
      <c r="Q53" s="366" t="n">
        <v>0</v>
      </c>
      <c r="R53" s="366" t="n">
        <v>0</v>
      </c>
      <c r="S53" s="366" t="n">
        <v>0</v>
      </c>
      <c r="T53" s="366" t="n">
        <v>0</v>
      </c>
      <c r="U53" s="366" t="n">
        <v>0</v>
      </c>
      <c r="V53" s="366" t="n">
        <v>0</v>
      </c>
      <c r="W53" s="366" t="n">
        <v>0</v>
      </c>
      <c r="X53" s="366" t="n">
        <v>0</v>
      </c>
      <c r="Y53" s="366" t="n">
        <v>0</v>
      </c>
      <c r="Z53" s="366" t="n">
        <v>0</v>
      </c>
    </row>
    <row r="54">
      <c r="A54" s="645" t="inlineStr">
        <is>
          <t>HER CODE CLIMAX</t>
        </is>
      </c>
      <c r="B54" s="625" t="n"/>
      <c r="C54" s="625" t="n"/>
      <c r="D54" s="641" t="n"/>
      <c r="F54" s="366" t="n">
        <v>0</v>
      </c>
      <c r="G54" s="366" t="n">
        <v>0</v>
      </c>
      <c r="H54" s="366" t="n">
        <v>0</v>
      </c>
      <c r="I54" s="366" t="n">
        <v>0</v>
      </c>
      <c r="J54" s="366" t="n">
        <v>0</v>
      </c>
      <c r="K54" s="366" t="n">
        <v>0</v>
      </c>
      <c r="L54" s="366" t="n">
        <v>0</v>
      </c>
      <c r="M54" s="366" t="n">
        <v>0</v>
      </c>
      <c r="N54" s="366" t="n">
        <v>0</v>
      </c>
      <c r="O54" s="366" t="n">
        <v>0</v>
      </c>
      <c r="P54" s="366" t="n">
        <v>0</v>
      </c>
      <c r="Q54" s="366" t="n">
        <v>0</v>
      </c>
      <c r="R54" s="366" t="n">
        <v>0</v>
      </c>
      <c r="S54" s="366" t="n">
        <v>0</v>
      </c>
      <c r="T54" s="366" t="n">
        <v>0</v>
      </c>
      <c r="U54" s="366" t="n">
        <v>0</v>
      </c>
      <c r="V54" s="366" t="n">
        <v>0</v>
      </c>
      <c r="W54" s="366" t="n">
        <v>0</v>
      </c>
      <c r="X54" s="366" t="n">
        <v>0</v>
      </c>
      <c r="Y54" s="366" t="n">
        <v>0</v>
      </c>
      <c r="Z54" s="366" t="n">
        <v>0</v>
      </c>
    </row>
    <row r="55">
      <c r="A55" s="645" t="inlineStr">
        <is>
          <t>FLORATTA ROSE BOUQUET</t>
        </is>
      </c>
      <c r="B55" s="625" t="n"/>
      <c r="C55" s="625" t="n"/>
      <c r="D55" s="641" t="n"/>
      <c r="F55" s="366" t="n">
        <v>0</v>
      </c>
      <c r="G55" s="366" t="n">
        <v>0</v>
      </c>
      <c r="H55" s="366" t="n">
        <v>0</v>
      </c>
      <c r="I55" s="366" t="n">
        <v>0</v>
      </c>
      <c r="J55" s="366" t="n">
        <v>0</v>
      </c>
      <c r="K55" s="366" t="n">
        <v>0</v>
      </c>
      <c r="L55" s="366" t="n">
        <v>0</v>
      </c>
      <c r="M55" s="366" t="n">
        <v>0</v>
      </c>
      <c r="N55" s="366" t="n">
        <v>0</v>
      </c>
      <c r="O55" s="366" t="n">
        <v>0</v>
      </c>
      <c r="P55" s="366" t="n">
        <v>0</v>
      </c>
      <c r="Q55" s="366" t="n">
        <v>0</v>
      </c>
      <c r="R55" s="366" t="n">
        <v>0</v>
      </c>
      <c r="S55" s="366" t="n">
        <v>0</v>
      </c>
      <c r="T55" s="366" t="n">
        <v>0</v>
      </c>
      <c r="U55" s="366" t="n">
        <v>0</v>
      </c>
      <c r="V55" s="366" t="n">
        <v>0</v>
      </c>
      <c r="W55" s="366" t="n">
        <v>0</v>
      </c>
      <c r="X55" s="366" t="n">
        <v>0</v>
      </c>
      <c r="Y55" s="366" t="n">
        <v>0</v>
      </c>
      <c r="Z55" s="366" t="n">
        <v>0</v>
      </c>
    </row>
    <row r="56">
      <c r="A56" s="645" t="inlineStr">
        <is>
          <t>HADYA</t>
        </is>
      </c>
      <c r="B56" s="625" t="n"/>
      <c r="C56" s="625" t="n"/>
      <c r="D56" s="641" t="n"/>
      <c r="F56" s="366" t="n">
        <v>0</v>
      </c>
      <c r="G56" s="366" t="n">
        <v>0</v>
      </c>
      <c r="H56" s="366" t="n">
        <v>0</v>
      </c>
      <c r="I56" s="366" t="n">
        <v>0</v>
      </c>
      <c r="J56" s="366" t="n">
        <v>0</v>
      </c>
      <c r="K56" s="366" t="n">
        <v>0</v>
      </c>
      <c r="L56" s="366" t="n">
        <v>0</v>
      </c>
      <c r="M56" s="366" t="n">
        <v>0</v>
      </c>
      <c r="N56" s="366" t="n">
        <v>0</v>
      </c>
      <c r="O56" s="366" t="n">
        <v>0</v>
      </c>
      <c r="P56" s="366" t="n">
        <v>0</v>
      </c>
      <c r="Q56" s="366" t="n">
        <v>0</v>
      </c>
      <c r="R56" s="366" t="n">
        <v>0</v>
      </c>
      <c r="S56" s="366" t="n">
        <v>0</v>
      </c>
      <c r="T56" s="366" t="n">
        <v>0</v>
      </c>
      <c r="U56" s="366" t="n">
        <v>0</v>
      </c>
      <c r="V56" s="366" t="n">
        <v>0</v>
      </c>
      <c r="W56" s="366" t="n">
        <v>0</v>
      </c>
      <c r="X56" s="366" t="n">
        <v>0</v>
      </c>
      <c r="Y56" s="366" t="n">
        <v>0</v>
      </c>
      <c r="Z56" s="366" t="n">
        <v>0</v>
      </c>
    </row>
    <row r="57">
      <c r="A57" s="645" t="inlineStr">
        <is>
          <t>EGEO DOLCE ILUSION</t>
        </is>
      </c>
      <c r="B57" s="625" t="n"/>
      <c r="C57" s="625" t="n"/>
      <c r="D57" s="641" t="n"/>
      <c r="F57" s="366" t="n">
        <v>0</v>
      </c>
      <c r="G57" s="366" t="n">
        <v>0</v>
      </c>
      <c r="H57" s="366" t="n">
        <v>0</v>
      </c>
      <c r="I57" s="366" t="n">
        <v>0</v>
      </c>
      <c r="J57" s="366" t="n">
        <v>0</v>
      </c>
      <c r="K57" s="366" t="n">
        <v>0</v>
      </c>
      <c r="L57" s="366" t="n">
        <v>0</v>
      </c>
      <c r="M57" s="366" t="n">
        <v>0</v>
      </c>
      <c r="N57" s="366" t="n">
        <v>0</v>
      </c>
      <c r="O57" s="366" t="n">
        <v>0</v>
      </c>
      <c r="P57" s="366" t="n">
        <v>0</v>
      </c>
      <c r="Q57" s="366" t="n">
        <v>0</v>
      </c>
      <c r="R57" s="366" t="n">
        <v>0</v>
      </c>
      <c r="S57" s="366" t="n">
        <v>0</v>
      </c>
      <c r="T57" s="366" t="n">
        <v>0</v>
      </c>
      <c r="U57" s="366" t="n">
        <v>0</v>
      </c>
      <c r="V57" s="366" t="n">
        <v>0</v>
      </c>
      <c r="W57" s="366" t="n">
        <v>0</v>
      </c>
      <c r="X57" s="366" t="n">
        <v>0</v>
      </c>
      <c r="Y57" s="366" t="n">
        <v>0</v>
      </c>
      <c r="Z57" s="366" t="n">
        <v>0</v>
      </c>
    </row>
  </sheetData>
  <mergeCells count="24">
    <mergeCell ref="BA7:BI7"/>
    <mergeCell ref="A53:D53"/>
    <mergeCell ref="A52:D52"/>
    <mergeCell ref="A44:D44"/>
    <mergeCell ref="A42:C42"/>
    <mergeCell ref="A48:D48"/>
    <mergeCell ref="A51:D51"/>
    <mergeCell ref="A49:D49"/>
    <mergeCell ref="A5:A6"/>
    <mergeCell ref="A45:D45"/>
    <mergeCell ref="A54:D54"/>
    <mergeCell ref="A1:AB1"/>
    <mergeCell ref="A39:C39"/>
    <mergeCell ref="A46:D46"/>
    <mergeCell ref="B5:B6"/>
    <mergeCell ref="D5:D6"/>
    <mergeCell ref="B3:D3"/>
    <mergeCell ref="A56:D56"/>
    <mergeCell ref="A50:D50"/>
    <mergeCell ref="A55:D55"/>
    <mergeCell ref="A57:D57"/>
    <mergeCell ref="A47:D47"/>
    <mergeCell ref="B2:D2"/>
    <mergeCell ref="C5:C6"/>
  </mergeCells>
  <printOptions horizontalCentered="1" verticalCentered="1"/>
  <pageMargins left="0.1574803149606299" right="0.2362204724409449" top="0.7480314960629921" bottom="0.7480314960629921" header="0.3149606299212598" footer="0.3149606299212598"/>
  <pageSetup orientation="landscape" paperSize="9" scale="63" fitToHeight="0"/>
</worksheet>
</file>

<file path=xl/worksheets/sheet11.xml><?xml version="1.0" encoding="utf-8"?>
<worksheet xmlns="http://schemas.openxmlformats.org/spreadsheetml/2006/main">
  <sheetPr codeName="Planilha44">
    <tabColor theme="9"/>
    <outlinePr summaryBelow="1" summaryRight="1"/>
    <pageSetUpPr/>
  </sheetPr>
  <dimension ref="A1:GG52"/>
  <sheetViews>
    <sheetView showGridLines="0" topLeftCell="A4" zoomScale="80" zoomScaleNormal="80" workbookViewId="0">
      <selection activeCell="AA34" sqref="AA34"/>
    </sheetView>
  </sheetViews>
  <sheetFormatPr baseColWidth="8" defaultColWidth="9.140625" defaultRowHeight="18.75"/>
  <cols>
    <col width="29" customWidth="1" min="1" max="1"/>
    <col width="9.140625" customWidth="1" min="2" max="2"/>
    <col width="14.42578125" customWidth="1" min="3" max="3"/>
    <col width="1.85546875" customWidth="1" min="5" max="5"/>
    <col hidden="1" width="8.140625" customWidth="1" min="6" max="6"/>
    <col hidden="1" width="13" customWidth="1" min="7" max="7"/>
    <col hidden="1" width="13" customWidth="1" min="8" max="8"/>
    <col hidden="1" width="13" customWidth="1" min="9" max="9"/>
    <col hidden="1" width="13" customWidth="1" min="10" max="10"/>
    <col hidden="1" width="13" customWidth="1" min="11" max="11"/>
    <col hidden="1" width="13" customWidth="1" min="12" max="12"/>
    <col hidden="1" width="13" customWidth="1" min="13" max="13"/>
    <col hidden="1" width="13" customWidth="1" min="14" max="14"/>
    <col hidden="1" width="1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8.140625" customWidth="1" min="26" max="26"/>
    <col hidden="1" width="13" customWidth="1" min="27" max="27"/>
    <col hidden="1" width="13" customWidth="1" min="28" max="28"/>
    <col width="13" customWidth="1" min="29" max="29"/>
    <col width="13" customWidth="1" min="30" max="30"/>
    <col width="7.85546875" customWidth="1" min="31" max="31"/>
    <col width="1.28515625" customWidth="1" min="32" max="32"/>
    <col width="14.28515625" customWidth="1" min="33" max="33"/>
    <col width="1.28515625" customWidth="1" min="34" max="34"/>
    <col width="15.7109375" customWidth="1" min="35" max="35"/>
    <col width="1.140625" customWidth="1" min="36" max="36"/>
    <col width="8.7109375" customWidth="1" min="37" max="37"/>
    <col width="13" customWidth="1" min="38" max="38"/>
    <col width="13" customWidth="1" min="39" max="39"/>
    <col hidden="1" width="13" customWidth="1" min="40" max="40"/>
    <col hidden="1" width="13" customWidth="1" min="41" max="41"/>
    <col hidden="1" width="13" customWidth="1" min="42" max="42"/>
    <col hidden="1" width="8.7109375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13" customWidth="1" min="50" max="50"/>
    <col hidden="1" width="13" customWidth="1" min="51" max="51"/>
    <col width="9.140625" customWidth="1" min="52" max="52"/>
    <col width="21.85546875" customWidth="1" min="53" max="53"/>
    <col width="9.140625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13" customWidth="1" min="59" max="59"/>
    <col hidden="1" width="9.140625" customWidth="1" min="60" max="60"/>
    <col hidden="1" width="13" customWidth="1" min="61" max="61"/>
    <col hidden="1" width="13" customWidth="1" min="62" max="62"/>
    <col width="13" customWidth="1" min="63" max="63"/>
    <col width="13" customWidth="1" min="64" max="64"/>
  </cols>
  <sheetData>
    <row r="1" ht="23.25" customHeight="1">
      <c r="A1" s="477" t="inlineStr">
        <is>
          <t>Controle de Contagem Semanal - Antilhas</t>
        </is>
      </c>
      <c r="AE1" s="477" t="n"/>
      <c r="AF1" s="362" t="n"/>
      <c r="AG1" s="361" t="n"/>
      <c r="AH1" s="361" t="n"/>
      <c r="AI1" s="361" t="n"/>
      <c r="AJ1" s="361" t="n"/>
      <c r="AK1" s="361" t="n"/>
      <c r="AL1" s="361" t="n"/>
      <c r="AM1" s="361" t="n"/>
      <c r="AN1" s="361" t="n"/>
      <c r="AO1" s="361" t="n"/>
      <c r="AP1" s="361" t="n"/>
      <c r="AQ1" s="361" t="n"/>
      <c r="AR1" s="361" t="n"/>
      <c r="AS1" s="361" t="n"/>
      <c r="AT1" s="361" t="n"/>
      <c r="AU1" s="361" t="n"/>
      <c r="AV1" s="361" t="n"/>
      <c r="AW1" s="361" t="n"/>
      <c r="AX1" s="361" t="n"/>
      <c r="AY1" s="361" t="n"/>
    </row>
    <row r="2">
      <c r="A2" s="28" t="inlineStr">
        <is>
          <t>LOJA:</t>
        </is>
      </c>
      <c r="B2" s="604" t="inlineStr">
        <is>
          <t>SÃO MANUEL</t>
        </is>
      </c>
      <c r="C2" s="605" t="n"/>
      <c r="D2" s="606" t="n"/>
      <c r="AF2" s="11" t="n"/>
      <c r="AG2" s="11" t="n"/>
      <c r="AI2" s="11" t="n"/>
    </row>
    <row r="3">
      <c r="A3" s="28" t="inlineStr">
        <is>
          <t>Responsável:</t>
        </is>
      </c>
      <c r="B3" s="607" t="inlineStr">
        <is>
          <t>CHARLENE</t>
        </is>
      </c>
      <c r="C3" s="605" t="n"/>
      <c r="D3" s="606" t="n"/>
      <c r="E3" s="608" t="n"/>
      <c r="F3" s="480" t="n"/>
      <c r="AF3" s="480" t="n"/>
      <c r="AG3" s="11" t="n"/>
      <c r="AH3" s="608" t="n"/>
    </row>
    <row r="4">
      <c r="AF4" s="74" t="n"/>
      <c r="AI4" s="11" t="n"/>
      <c r="AJ4" s="158" t="n"/>
      <c r="AK4" s="395" t="n"/>
      <c r="AL4" s="395" t="n"/>
      <c r="AM4" s="395" t="n"/>
      <c r="AN4" s="395" t="n"/>
      <c r="AO4" s="395" t="n"/>
      <c r="AP4" s="395" t="n"/>
      <c r="AQ4" s="395" t="n"/>
      <c r="AR4" s="395" t="n"/>
      <c r="AS4" s="395" t="n"/>
      <c r="AT4" s="395" t="n"/>
      <c r="AU4" s="395" t="n"/>
      <c r="AV4" s="395" t="n"/>
      <c r="AW4" s="395" t="n"/>
      <c r="AX4" s="395" t="n"/>
      <c r="AY4" s="395" t="n"/>
    </row>
    <row r="5" ht="18.75" customHeight="1">
      <c r="A5" s="647" t="inlineStr">
        <is>
          <t>Descrição</t>
        </is>
      </c>
      <c r="B5" s="611" t="inlineStr">
        <is>
          <t>PCT</t>
        </is>
      </c>
      <c r="C5" s="611" t="inlineStr">
        <is>
          <t xml:space="preserve">R$ </t>
        </is>
      </c>
      <c r="D5" s="612" t="inlineStr">
        <is>
          <t>Estoque Ideal</t>
        </is>
      </c>
      <c r="F5" s="481" t="n"/>
      <c r="G5" s="652" t="n"/>
      <c r="H5" s="652" t="n"/>
      <c r="I5" s="652" t="n"/>
      <c r="J5" s="652" t="n"/>
      <c r="K5" s="652" t="n"/>
      <c r="L5" s="652" t="n"/>
      <c r="M5" s="652" t="n"/>
      <c r="N5" s="652" t="n"/>
      <c r="O5" s="652" t="n"/>
      <c r="P5" s="652" t="n"/>
      <c r="Q5" s="652" t="n"/>
      <c r="R5" s="652" t="n"/>
      <c r="S5" s="652" t="n"/>
      <c r="T5" s="652" t="n"/>
      <c r="U5" s="652" t="n"/>
      <c r="V5" s="652" t="n"/>
      <c r="W5" s="652" t="n"/>
      <c r="X5" s="652" t="n"/>
      <c r="Y5" s="652" t="n"/>
      <c r="Z5" s="652" t="n"/>
      <c r="AA5" s="652" t="n"/>
      <c r="AB5" s="653" t="n"/>
      <c r="AC5" s="653" t="n"/>
      <c r="AD5" s="653" t="n"/>
      <c r="AE5" s="481" t="n"/>
      <c r="AF5" s="117" t="n"/>
      <c r="AG5" s="29" t="inlineStr">
        <is>
          <t>Pendências</t>
        </is>
      </c>
      <c r="AI5" s="9" t="inlineStr">
        <is>
          <t>Novo Pedido</t>
        </is>
      </c>
      <c r="AJ5" s="613" t="n">
        <v>46161.48295775377</v>
      </c>
      <c r="AK5" s="614" t="n"/>
      <c r="AL5" s="614" t="n">
        <v>46142</v>
      </c>
      <c r="AM5" s="614" t="n">
        <v>46114</v>
      </c>
      <c r="AN5" s="616" t="n">
        <v>46065</v>
      </c>
      <c r="AO5" s="614" t="n">
        <v>46107</v>
      </c>
      <c r="AP5" s="614" t="n">
        <v>46092</v>
      </c>
      <c r="AQ5" s="614" t="n">
        <v>46056</v>
      </c>
      <c r="AR5" s="614" t="n">
        <v>46048</v>
      </c>
      <c r="AS5" s="614" t="n">
        <v>46043</v>
      </c>
      <c r="AT5" s="614" t="n">
        <v>46035</v>
      </c>
      <c r="AU5" s="614" t="n">
        <v>46029</v>
      </c>
      <c r="AV5" s="614" t="n">
        <v>46017</v>
      </c>
      <c r="AW5" s="614" t="n">
        <v>46007</v>
      </c>
      <c r="AX5" s="614" t="n">
        <v>46001</v>
      </c>
      <c r="AY5" s="614" t="n">
        <v>45994</v>
      </c>
    </row>
    <row r="6" customFormat="1" s="3">
      <c r="A6" s="618" t="n"/>
      <c r="B6" s="618" t="n"/>
      <c r="C6" s="618" t="n"/>
      <c r="D6" s="618" t="n"/>
      <c r="E6" s="30" t="n"/>
      <c r="F6" s="619" t="n">
        <v>46013</v>
      </c>
      <c r="G6" s="619" t="n">
        <v>46020</v>
      </c>
      <c r="H6" s="619" t="n">
        <v>46027</v>
      </c>
      <c r="I6" s="619" t="n">
        <v>46034</v>
      </c>
      <c r="J6" s="619" t="n">
        <v>46041</v>
      </c>
      <c r="K6" s="619" t="n">
        <v>46048</v>
      </c>
      <c r="L6" s="619" t="n">
        <v>46055</v>
      </c>
      <c r="M6" s="619" t="n">
        <v>46062</v>
      </c>
      <c r="N6" s="619" t="n">
        <v>46069</v>
      </c>
      <c r="O6" s="619" t="n">
        <v>46076</v>
      </c>
      <c r="P6" s="619" t="n">
        <v>46083</v>
      </c>
      <c r="Q6" s="619" t="n">
        <v>46090</v>
      </c>
      <c r="R6" s="619" t="n">
        <v>46097</v>
      </c>
      <c r="S6" s="619" t="n">
        <v>46104</v>
      </c>
      <c r="T6" s="619" t="n">
        <v>46111</v>
      </c>
      <c r="U6" s="619" t="n">
        <v>46118</v>
      </c>
      <c r="V6" s="619" t="n">
        <v>46125</v>
      </c>
      <c r="W6" s="619" t="n">
        <v>46132</v>
      </c>
      <c r="X6" s="619" t="n">
        <v>46139</v>
      </c>
      <c r="Y6" s="619" t="n">
        <v>46146</v>
      </c>
      <c r="Z6" s="619" t="n">
        <v>46154</v>
      </c>
      <c r="AA6" s="619" t="n">
        <v>46160</v>
      </c>
      <c r="AB6" s="620" t="n">
        <v>46161.48012721065</v>
      </c>
      <c r="AC6" s="620" t="n">
        <v>46161.48080085648</v>
      </c>
      <c r="AD6" s="620" t="n">
        <v>46161.48295840687</v>
      </c>
      <c r="AE6" s="621" t="inlineStr">
        <is>
          <t>USOU</t>
        </is>
      </c>
      <c r="AF6" s="648" t="n"/>
      <c r="AG6" s="622" t="n"/>
      <c r="AH6" s="623" t="n"/>
      <c r="AI6" s="624" t="n"/>
      <c r="AJ6" s="613" t="n">
        <v>46161.48295775404</v>
      </c>
      <c r="AK6" s="614" t="n"/>
      <c r="AL6" s="614" t="n">
        <v>46156</v>
      </c>
      <c r="AM6" s="614" t="n">
        <v>46125</v>
      </c>
      <c r="AN6" s="616" t="n">
        <v>46111</v>
      </c>
      <c r="AO6" s="614" t="n">
        <v>46111</v>
      </c>
      <c r="AP6" s="614" t="n">
        <v>46101</v>
      </c>
      <c r="AQ6" s="614" t="n">
        <v>46062</v>
      </c>
      <c r="AR6" s="614" t="n">
        <v>46056</v>
      </c>
      <c r="AS6" s="614" t="n">
        <v>46052</v>
      </c>
      <c r="AT6" s="614" t="n">
        <v>46043</v>
      </c>
      <c r="AU6" s="614" t="n">
        <v>46037</v>
      </c>
      <c r="AV6" s="614" t="n">
        <v>46027</v>
      </c>
      <c r="AW6" s="614" t="n">
        <v>46013</v>
      </c>
      <c r="AX6" s="614" t="n">
        <v>46010</v>
      </c>
      <c r="AY6" s="614" t="n">
        <v>46001</v>
      </c>
      <c r="BA6" s="11" t="n"/>
      <c r="BB6" s="11" t="n"/>
      <c r="BC6" s="11" t="n"/>
      <c r="BD6" s="11" t="n"/>
      <c r="BE6" s="11" t="n"/>
      <c r="BF6" s="11" t="n"/>
      <c r="BG6" s="11" t="n"/>
      <c r="BH6" s="11" t="n"/>
      <c r="BI6" s="11" t="n"/>
      <c r="BJ6" s="11" t="n"/>
      <c r="BK6" s="11" t="n"/>
      <c r="BL6" s="11" t="n"/>
      <c r="BM6" s="11" t="n"/>
    </row>
    <row r="7" ht="21.75" customFormat="1" customHeight="1" s="3">
      <c r="A7" s="5" t="inlineStr">
        <is>
          <t xml:space="preserve">SACOLAS </t>
        </is>
      </c>
      <c r="B7" s="5" t="n"/>
      <c r="C7" s="5" t="n"/>
      <c r="D7" s="239" t="n"/>
      <c r="E7" s="11" t="n"/>
      <c r="F7" s="12" t="n"/>
      <c r="G7" s="12" t="n"/>
      <c r="H7" s="12" t="n"/>
      <c r="I7" s="12" t="n"/>
      <c r="J7" s="12" t="n"/>
      <c r="K7" s="12" t="n"/>
      <c r="L7" s="12" t="n"/>
      <c r="M7" s="12" t="n"/>
      <c r="N7" s="12" t="n"/>
      <c r="O7" s="12" t="n"/>
      <c r="P7" s="12" t="n"/>
      <c r="Q7" s="12" t="n"/>
      <c r="R7" s="12" t="n"/>
      <c r="S7" s="12" t="n"/>
      <c r="T7" s="12" t="n"/>
      <c r="U7" s="12" t="n"/>
      <c r="V7" s="12" t="n"/>
      <c r="W7" s="12" t="n"/>
      <c r="X7" s="12" t="n"/>
      <c r="Y7" s="12" t="n"/>
      <c r="Z7" s="12" t="n"/>
      <c r="AA7" s="12" t="n"/>
      <c r="AB7" s="12" t="n"/>
      <c r="AC7" s="12" t="n"/>
      <c r="AD7" s="12" t="n"/>
      <c r="AE7" s="12" t="n"/>
      <c r="AF7" s="349" t="n"/>
      <c r="AG7" s="85" t="n"/>
      <c r="AH7" s="11" t="n"/>
      <c r="AI7" s="127" t="n"/>
      <c r="AJ7" s="12" t="n"/>
      <c r="AK7" s="12" t="n"/>
      <c r="AL7" s="12" t="n"/>
      <c r="AM7" s="12" t="n"/>
      <c r="AN7" s="12" t="inlineStr">
        <is>
          <t>MÃES</t>
        </is>
      </c>
      <c r="AO7" s="12" t="n"/>
      <c r="AP7" s="12" t="n"/>
      <c r="AQ7" s="12" t="n"/>
      <c r="AR7" s="12" t="n"/>
      <c r="AS7" s="12" t="n"/>
      <c r="AT7" s="12" t="n"/>
      <c r="AU7" s="12" t="n"/>
      <c r="AV7" s="12" t="n"/>
      <c r="AW7" s="12" t="n"/>
      <c r="AX7" s="12" t="n"/>
      <c r="AY7" s="12" t="n"/>
      <c r="AZ7" s="625" t="n"/>
      <c r="BA7" s="625" t="n"/>
      <c r="BB7" s="625" t="n"/>
      <c r="BC7" s="625" t="n"/>
      <c r="BD7" s="625" t="n"/>
      <c r="BE7" s="625" t="n"/>
      <c r="BF7" s="625" t="n"/>
      <c r="BG7" s="641" t="n"/>
      <c r="BH7" s="652" t="n"/>
      <c r="BI7" s="625" t="n"/>
      <c r="BJ7" s="626" t="n"/>
      <c r="BK7" s="626" t="n"/>
      <c r="BL7" s="626" t="n"/>
      <c r="BM7" s="476" t="n"/>
    </row>
    <row r="8" ht="19.5" customFormat="1" customHeight="1" s="3">
      <c r="A8" s="21" t="inlineStr">
        <is>
          <t>SACOLA PP VERDE</t>
        </is>
      </c>
      <c r="B8" s="6" t="n">
        <v>300</v>
      </c>
      <c r="C8" s="627" t="n">
        <v>187.12</v>
      </c>
      <c r="D8" s="240" t="n">
        <v>250</v>
      </c>
      <c r="E8" s="11" t="n"/>
      <c r="F8" s="39">
        <f>390+AT8</f>
        <v/>
      </c>
      <c r="G8" s="39" t="n">
        <v>765</v>
      </c>
      <c r="H8" s="39" t="n">
        <v>735</v>
      </c>
      <c r="I8" s="39" t="n">
        <v>735</v>
      </c>
      <c r="J8" s="39" t="n">
        <v>705</v>
      </c>
      <c r="K8" s="39" t="n">
        <v>690</v>
      </c>
      <c r="L8" s="39" t="n">
        <v>645</v>
      </c>
      <c r="M8" s="39" t="n">
        <v>615</v>
      </c>
      <c r="N8" s="39" t="n">
        <v>570</v>
      </c>
      <c r="O8" s="39" t="n">
        <v>570</v>
      </c>
      <c r="P8" s="39" t="n">
        <v>510</v>
      </c>
      <c r="Q8" s="39" t="n">
        <v>465</v>
      </c>
      <c r="R8" s="39" t="n">
        <v>420</v>
      </c>
      <c r="S8" s="39" t="n">
        <v>375</v>
      </c>
      <c r="T8" s="39" t="n">
        <v>345</v>
      </c>
      <c r="U8" s="39" t="n">
        <v>300</v>
      </c>
      <c r="V8" s="39" t="n">
        <v>270</v>
      </c>
      <c r="W8" s="39" t="n">
        <v>210</v>
      </c>
      <c r="X8" s="39" t="n">
        <v>195</v>
      </c>
      <c r="Y8" s="39" t="n">
        <v>150</v>
      </c>
      <c r="Z8" s="39">
        <f>45+AI8</f>
        <v/>
      </c>
      <c r="AA8" s="39" t="n"/>
      <c r="AB8" s="6" t="n"/>
      <c r="AC8" s="6" t="n"/>
      <c r="AD8" s="6" t="n"/>
      <c r="AE8" s="380">
        <f>AC8+IF(NOT(ISBLANK(OFFSET(AE8,0,6))),N(OFFSET(AE8,0,6)),N(OFFSET(AE8,0,7)))-AD8</f>
        <v/>
      </c>
      <c r="AF8" s="111" t="n"/>
      <c r="AG8" s="78" t="n"/>
      <c r="AH8" s="11" t="n"/>
      <c r="AI8" s="353" t="n"/>
      <c r="AJ8" s="628" t="n">
        <v>0</v>
      </c>
      <c r="AK8" s="19" t="n">
        <v>0</v>
      </c>
      <c r="AL8" s="19" t="n">
        <v>300</v>
      </c>
      <c r="AM8" s="19" t="n"/>
      <c r="AN8" s="19" t="n"/>
      <c r="AO8" s="19" t="n"/>
      <c r="AP8" s="19" t="n"/>
      <c r="AQ8" s="19" t="n"/>
      <c r="AR8" s="19" t="n"/>
      <c r="AS8" s="19" t="n"/>
      <c r="AT8" s="19" t="n"/>
      <c r="AU8" s="19" t="n"/>
      <c r="AV8" s="19" t="n"/>
      <c r="AW8" s="19" t="n">
        <v>600</v>
      </c>
      <c r="AX8" s="19" t="n">
        <v>300</v>
      </c>
      <c r="AY8" s="19" t="n">
        <v>300</v>
      </c>
      <c r="BA8" s="397" t="inlineStr">
        <is>
          <t xml:space="preserve">SACOLAS </t>
        </is>
      </c>
      <c r="BB8" s="384" t="inlineStr">
        <is>
          <t>PCT</t>
        </is>
      </c>
      <c r="BC8" s="619" t="n">
        <v>46118</v>
      </c>
      <c r="BD8" s="619" t="n">
        <v>46125</v>
      </c>
      <c r="BE8" s="619" t="n">
        <v>46132</v>
      </c>
      <c r="BF8" s="619" t="n">
        <v>46139</v>
      </c>
      <c r="BG8" s="619" t="n">
        <v>46146</v>
      </c>
      <c r="BH8" s="619" t="n">
        <v>46154</v>
      </c>
      <c r="BI8" s="619" t="n">
        <v>46160</v>
      </c>
      <c r="BJ8" s="620" t="n">
        <v>46161.48012684028</v>
      </c>
      <c r="BK8" s="620" t="n">
        <v>46161.48080042824</v>
      </c>
      <c r="BL8" s="620" t="n">
        <v>46161.48295807152</v>
      </c>
      <c r="BM8" s="621" t="inlineStr">
        <is>
          <t>USOU</t>
        </is>
      </c>
    </row>
    <row r="9" ht="19.5" customFormat="1" customHeight="1" s="3">
      <c r="A9" s="21" t="inlineStr">
        <is>
          <t xml:space="preserve">SACOLA P VERDE </t>
        </is>
      </c>
      <c r="B9" s="6" t="n">
        <v>200</v>
      </c>
      <c r="C9" s="627" t="n">
        <v>246.28</v>
      </c>
      <c r="D9" s="240" t="n">
        <v>650</v>
      </c>
      <c r="E9" s="11" t="n"/>
      <c r="F9" s="39">
        <f>135+AT9</f>
        <v/>
      </c>
      <c r="G9" s="39" t="n">
        <v>195</v>
      </c>
      <c r="H9" s="39">
        <f>105+AS9</f>
        <v/>
      </c>
      <c r="I9" s="39" t="n">
        <v>750</v>
      </c>
      <c r="J9" s="39">
        <f>630+AQ9</f>
        <v/>
      </c>
      <c r="K9" s="39" t="n">
        <v>935</v>
      </c>
      <c r="L9" s="39">
        <f>800+AO9</f>
        <v/>
      </c>
      <c r="M9" s="39">
        <f>860+AN9</f>
        <v/>
      </c>
      <c r="N9" s="39" t="n">
        <v>920</v>
      </c>
      <c r="O9" s="39" t="n">
        <v>800</v>
      </c>
      <c r="P9" s="39" t="n">
        <v>690</v>
      </c>
      <c r="Q9" s="39" t="n">
        <v>520</v>
      </c>
      <c r="R9" s="39">
        <f>370+AM9</f>
        <v/>
      </c>
      <c r="S9" s="39" t="n">
        <v>385</v>
      </c>
      <c r="T9" s="39">
        <f>275+AL9</f>
        <v/>
      </c>
      <c r="U9" s="39" t="n">
        <v>370</v>
      </c>
      <c r="V9" s="39" t="n">
        <v>335</v>
      </c>
      <c r="W9" s="39" t="n">
        <v>335</v>
      </c>
      <c r="X9" s="39" t="n">
        <v>335</v>
      </c>
      <c r="Y9" s="39" t="n">
        <v>335</v>
      </c>
      <c r="Z9" s="39">
        <f>275+AI9</f>
        <v/>
      </c>
      <c r="AA9" s="39" t="n"/>
      <c r="AB9" s="6" t="n"/>
      <c r="AC9" s="6" t="n"/>
      <c r="AD9" s="6" t="n"/>
      <c r="AE9" s="380">
        <f>AC9+IF(NOT(ISBLANK(OFFSET(AE9,0,6))),N(OFFSET(AE9,0,6)),N(OFFSET(AE9,0,7)))-AD9</f>
        <v/>
      </c>
      <c r="AF9" s="111" t="n"/>
      <c r="AG9" s="78" t="n"/>
      <c r="AH9" s="11" t="n"/>
      <c r="AI9" s="353" t="n"/>
      <c r="AJ9" s="629" t="n">
        <v>0</v>
      </c>
      <c r="AK9" s="304" t="n">
        <v>0</v>
      </c>
      <c r="AL9" s="304" t="n">
        <v>400</v>
      </c>
      <c r="AM9" s="19" t="n"/>
      <c r="AN9" s="119" t="n">
        <v>800</v>
      </c>
      <c r="AO9" s="19" t="n">
        <v>200</v>
      </c>
      <c r="AP9" s="19" t="n">
        <v>200</v>
      </c>
      <c r="AQ9" s="19" t="n">
        <v>200</v>
      </c>
      <c r="AR9" s="19" t="n">
        <v>200</v>
      </c>
      <c r="AS9" s="19" t="n"/>
      <c r="AT9" s="19" t="n">
        <v>400</v>
      </c>
      <c r="AU9" s="19" t="n"/>
      <c r="AV9" s="19" t="n">
        <v>800</v>
      </c>
      <c r="AW9" s="19" t="n">
        <v>600</v>
      </c>
      <c r="AX9" s="19" t="n">
        <v>400</v>
      </c>
      <c r="AY9" s="19" t="n"/>
      <c r="BA9" s="372" t="inlineStr">
        <is>
          <t xml:space="preserve">SACOLA P </t>
        </is>
      </c>
      <c r="BB9" s="139" t="n">
        <v>200</v>
      </c>
      <c r="BC9" s="39">
        <f>AK9</f>
        <v/>
      </c>
      <c r="BD9" s="39" t="n">
        <v>600</v>
      </c>
      <c r="BE9" s="39" t="n">
        <v>490</v>
      </c>
      <c r="BF9" s="39" t="n">
        <v>430</v>
      </c>
      <c r="BG9" s="39" t="n">
        <v>305</v>
      </c>
      <c r="BH9" s="39" t="n">
        <v>105</v>
      </c>
      <c r="BI9" s="39" t="n"/>
      <c r="BJ9" s="6" t="n"/>
      <c r="BK9" s="6" t="n"/>
      <c r="BL9" s="6" t="n"/>
      <c r="BM9" s="26">
        <f>BK9+IF(NOT(ISBLANK(OFFSET(BM9,0,6))),N(OFFSET(BM9,0,6)),N(OFFSET(BM9,0,7)))-BL9</f>
        <v/>
      </c>
    </row>
    <row r="10" ht="19.5" customFormat="1" customHeight="1" s="3">
      <c r="A10" s="21" t="inlineStr">
        <is>
          <t>SACOLA M VERDE</t>
        </is>
      </c>
      <c r="B10" s="6" t="n">
        <v>200</v>
      </c>
      <c r="C10" s="627" t="n">
        <v>253.83</v>
      </c>
      <c r="D10" s="240" t="n">
        <v>250</v>
      </c>
      <c r="E10" s="11" t="n"/>
      <c r="F10" s="39">
        <f>260+AT10</f>
        <v/>
      </c>
      <c r="G10" s="39" t="n">
        <v>120</v>
      </c>
      <c r="H10" s="39">
        <f>60+AS10</f>
        <v/>
      </c>
      <c r="I10" s="39" t="n">
        <v>400</v>
      </c>
      <c r="J10" s="39" t="n">
        <v>350</v>
      </c>
      <c r="K10" s="39" t="n">
        <v>305</v>
      </c>
      <c r="L10" s="39" t="n">
        <v>460</v>
      </c>
      <c r="M10" s="39" t="n">
        <v>400</v>
      </c>
      <c r="N10" s="39" t="n">
        <v>370</v>
      </c>
      <c r="O10" s="39" t="n">
        <v>335</v>
      </c>
      <c r="P10" s="39" t="n">
        <v>290</v>
      </c>
      <c r="Q10" s="39" t="n">
        <v>230</v>
      </c>
      <c r="R10" s="39">
        <f>170+AM10</f>
        <v/>
      </c>
      <c r="S10" s="39" t="n">
        <v>320</v>
      </c>
      <c r="T10" s="39" t="n">
        <v>305</v>
      </c>
      <c r="U10" s="39" t="n">
        <v>260</v>
      </c>
      <c r="V10" s="39" t="n">
        <v>245</v>
      </c>
      <c r="W10" s="39" t="n">
        <v>245</v>
      </c>
      <c r="X10" s="39" t="n">
        <v>245</v>
      </c>
      <c r="Y10" s="39" t="n">
        <v>245</v>
      </c>
      <c r="Z10" s="39">
        <f>215+AI10</f>
        <v/>
      </c>
      <c r="AA10" s="39" t="n"/>
      <c r="AB10" s="6" t="n"/>
      <c r="AC10" s="6" t="n"/>
      <c r="AD10" s="6" t="n"/>
      <c r="AE10" s="380">
        <f>AC10+IF(NOT(ISBLANK(OFFSET(AE10,0,6))),N(OFFSET(AE10,0,6)),N(OFFSET(AE10,0,7)))-AD10</f>
        <v/>
      </c>
      <c r="AF10" s="111" t="n"/>
      <c r="AG10" s="78" t="n"/>
      <c r="AH10" s="11" t="n"/>
      <c r="AI10" s="353" t="n"/>
      <c r="AJ10" s="629" t="n">
        <v>0</v>
      </c>
      <c r="AK10" s="304" t="n">
        <v>0</v>
      </c>
      <c r="AL10" s="304" t="n">
        <v>200</v>
      </c>
      <c r="AM10" s="19" t="n"/>
      <c r="AN10" s="119" t="n">
        <v>600</v>
      </c>
      <c r="AO10" s="19" t="n"/>
      <c r="AP10" s="19" t="n">
        <v>200</v>
      </c>
      <c r="AQ10" s="19" t="n"/>
      <c r="AR10" s="19" t="n"/>
      <c r="AS10" s="19" t="n">
        <v>200</v>
      </c>
      <c r="AT10" s="19" t="n"/>
      <c r="AU10" s="19" t="n"/>
      <c r="AV10" s="19" t="n">
        <v>400</v>
      </c>
      <c r="AW10" s="19" t="n">
        <v>200</v>
      </c>
      <c r="AX10" s="19" t="n">
        <v>200</v>
      </c>
      <c r="AY10" s="19" t="n"/>
      <c r="BA10" s="21" t="inlineStr">
        <is>
          <t xml:space="preserve">SACOLA M </t>
        </is>
      </c>
      <c r="BB10" s="6" t="n">
        <v>200</v>
      </c>
      <c r="BC10" s="39">
        <f>AK10</f>
        <v/>
      </c>
      <c r="BD10" s="39" t="n">
        <v>490</v>
      </c>
      <c r="BE10" s="39" t="n">
        <v>400</v>
      </c>
      <c r="BF10" s="39" t="n">
        <v>350</v>
      </c>
      <c r="BG10" s="39" t="n">
        <v>245</v>
      </c>
      <c r="BH10" s="39" t="n">
        <v>0</v>
      </c>
      <c r="BI10" s="39" t="n"/>
      <c r="BJ10" s="6" t="n"/>
      <c r="BK10" s="6" t="n"/>
      <c r="BL10" s="6" t="n"/>
      <c r="BM10" s="26">
        <f>BK10+IF(NOT(ISBLANK(OFFSET(BM10,0,6))),N(OFFSET(BM10,0,6)),N(OFFSET(BM10,0,7)))-BL10</f>
        <v/>
      </c>
    </row>
    <row r="11" ht="19.5" customFormat="1" customHeight="1" s="3">
      <c r="A11" s="22" t="inlineStr">
        <is>
          <t xml:space="preserve">SACOLA G VERDE </t>
        </is>
      </c>
      <c r="B11" s="6" t="n">
        <v>100</v>
      </c>
      <c r="C11" s="627" t="n">
        <v>184.57</v>
      </c>
      <c r="D11" s="240" t="n">
        <v>50</v>
      </c>
      <c r="E11" s="11" t="n"/>
      <c r="F11" s="39" t="n">
        <v>50</v>
      </c>
      <c r="G11" s="39" t="n">
        <v>50</v>
      </c>
      <c r="H11" s="39" t="n">
        <v>50</v>
      </c>
      <c r="I11" s="39" t="n">
        <v>50</v>
      </c>
      <c r="J11" s="39" t="n">
        <v>0</v>
      </c>
      <c r="K11" s="39" t="n">
        <v>0</v>
      </c>
      <c r="L11" s="39" t="n">
        <v>100</v>
      </c>
      <c r="M11" s="39" t="n">
        <v>100</v>
      </c>
      <c r="N11" s="39" t="n">
        <v>100</v>
      </c>
      <c r="O11" s="39" t="n">
        <v>100</v>
      </c>
      <c r="P11" s="39" t="n">
        <v>100</v>
      </c>
      <c r="Q11" s="39" t="n">
        <v>100</v>
      </c>
      <c r="R11" s="39" t="n">
        <v>100</v>
      </c>
      <c r="S11" s="39" t="n">
        <v>100</v>
      </c>
      <c r="T11" s="39" t="n">
        <v>100</v>
      </c>
      <c r="U11" s="39" t="n">
        <v>100</v>
      </c>
      <c r="V11" s="39" t="n">
        <v>100</v>
      </c>
      <c r="W11" s="39" t="n">
        <v>100</v>
      </c>
      <c r="X11" s="39" t="n">
        <v>100</v>
      </c>
      <c r="Y11" s="39" t="n">
        <v>100</v>
      </c>
      <c r="Z11" s="39" t="n">
        <v>100</v>
      </c>
      <c r="AA11" s="39" t="n"/>
      <c r="AB11" s="6" t="n"/>
      <c r="AC11" s="6" t="n"/>
      <c r="AD11" s="6" t="n"/>
      <c r="AE11" s="380">
        <f>AC11+IF(NOT(ISBLANK(OFFSET(AE11,0,6))),N(OFFSET(AE11,0,6)),N(OFFSET(AE11,0,7)))-AD11</f>
        <v/>
      </c>
      <c r="AF11" s="111" t="n"/>
      <c r="AG11" s="78" t="n"/>
      <c r="AH11" s="11" t="n"/>
      <c r="AI11" s="353" t="n"/>
      <c r="AJ11" s="629" t="n">
        <v>0</v>
      </c>
      <c r="AK11" s="304" t="n">
        <v>0</v>
      </c>
      <c r="AL11" s="304" t="n">
        <v>0</v>
      </c>
      <c r="AM11" s="19" t="n"/>
      <c r="AN11" s="119" t="n">
        <v>100</v>
      </c>
      <c r="AO11" s="19" t="n"/>
      <c r="AP11" s="19" t="n"/>
      <c r="AQ11" s="19" t="n"/>
      <c r="AR11" s="19" t="n"/>
      <c r="AS11" s="19" t="n">
        <v>100</v>
      </c>
      <c r="AT11" s="19" t="n"/>
      <c r="AU11" s="19" t="n"/>
      <c r="AV11" s="19" t="n"/>
      <c r="AW11" s="19" t="n"/>
      <c r="AX11" s="19" t="n"/>
      <c r="AY11" s="19" t="n"/>
      <c r="BA11" s="22" t="inlineStr">
        <is>
          <t xml:space="preserve">SACOLA G </t>
        </is>
      </c>
      <c r="BB11" s="6" t="n">
        <v>100</v>
      </c>
      <c r="BC11" s="39">
        <f>AK11</f>
        <v/>
      </c>
      <c r="BD11" s="39" t="n">
        <v>0</v>
      </c>
      <c r="BE11" s="39" t="n">
        <v>0</v>
      </c>
      <c r="BF11" s="39" t="n">
        <v>0</v>
      </c>
      <c r="BG11" s="39" t="n">
        <v>0</v>
      </c>
      <c r="BH11" s="39" t="n">
        <v>0</v>
      </c>
      <c r="BI11" s="39" t="n"/>
      <c r="BJ11" s="6" t="n"/>
      <c r="BK11" s="6" t="n"/>
      <c r="BL11" s="6" t="n"/>
      <c r="BM11" s="26">
        <f>BK11+IF(NOT(ISBLANK(OFFSET(BM11,0,6))),N(OFFSET(BM11,0,6)),N(OFFSET(BM11,0,7)))-BL11</f>
        <v/>
      </c>
    </row>
    <row r="12" ht="16.5" customFormat="1" customHeight="1" s="3">
      <c r="A12" s="23" t="n"/>
      <c r="B12" s="1" t="n"/>
      <c r="C12" s="630" t="n"/>
      <c r="D12" s="277" t="n"/>
      <c r="E12" s="11" t="n"/>
      <c r="F12" s="2" t="n"/>
      <c r="G12" s="2" t="n"/>
      <c r="H12" s="2" t="n"/>
      <c r="I12" s="2" t="n"/>
      <c r="J12" s="2" t="n"/>
      <c r="K12" s="2" t="n"/>
      <c r="L12" s="2" t="n"/>
      <c r="M12" s="2" t="n"/>
      <c r="N12" s="2" t="n"/>
      <c r="O12" s="2" t="n"/>
      <c r="P12" s="2" t="n"/>
      <c r="Q12" s="2" t="n"/>
      <c r="R12" s="2" t="n"/>
      <c r="S12" s="2" t="n"/>
      <c r="T12" s="2" t="n"/>
      <c r="U12" s="2" t="n"/>
      <c r="V12" s="2" t="n"/>
      <c r="W12" s="2" t="n"/>
      <c r="X12" s="2" t="n"/>
      <c r="Y12" s="2" t="n"/>
      <c r="Z12" s="2" t="n"/>
      <c r="AA12" s="2" t="n"/>
      <c r="AB12" s="1" t="n"/>
      <c r="AC12" s="1" t="n"/>
      <c r="AD12" s="1" t="n"/>
      <c r="AE12" s="2" t="n"/>
      <c r="AG12" s="350" t="n"/>
      <c r="AH12" s="11" t="n"/>
      <c r="AI12" s="359" t="n"/>
      <c r="AJ12" s="396" t="n"/>
      <c r="AK12" s="75" t="n"/>
      <c r="AL12" s="75" t="n"/>
      <c r="AM12" s="75" t="n"/>
      <c r="AN12" s="75" t="n"/>
      <c r="AO12" s="75" t="n"/>
      <c r="AP12" s="75" t="n"/>
      <c r="AQ12" s="75" t="n"/>
      <c r="AR12" s="75" t="n"/>
      <c r="AS12" s="75" t="n"/>
      <c r="AT12" s="75" t="n"/>
      <c r="AU12" s="75" t="n"/>
      <c r="AV12" s="75" t="n"/>
      <c r="AW12" s="75" t="n"/>
      <c r="AX12" s="75" t="n"/>
      <c r="AY12" s="75" t="n"/>
      <c r="BA12" s="23" t="n"/>
      <c r="BB12" s="1" t="n"/>
      <c r="BC12" s="2" t="n"/>
      <c r="BD12" s="2" t="n"/>
      <c r="BE12" s="2" t="n"/>
      <c r="BF12" s="2" t="n"/>
      <c r="BG12" s="2" t="n"/>
      <c r="BH12" s="2" t="n"/>
      <c r="BI12" s="2" t="n"/>
      <c r="BJ12" s="1" t="n"/>
      <c r="BK12" s="1" t="n"/>
      <c r="BL12" s="1" t="n"/>
    </row>
    <row r="13" customFormat="1" s="3">
      <c r="A13" s="548" t="inlineStr">
        <is>
          <t>DIVERSOS</t>
        </is>
      </c>
      <c r="B13" s="12" t="n"/>
      <c r="C13" s="631" t="n"/>
      <c r="D13" s="403" t="n"/>
      <c r="E13" s="608" t="n"/>
      <c r="F13" s="619" t="n">
        <v>46013</v>
      </c>
      <c r="G13" s="619" t="n">
        <v>46020</v>
      </c>
      <c r="H13" s="619" t="n">
        <v>46027</v>
      </c>
      <c r="I13" s="619" t="n">
        <v>46034</v>
      </c>
      <c r="J13" s="619" t="n">
        <v>46041</v>
      </c>
      <c r="K13" s="619" t="n">
        <v>46048</v>
      </c>
      <c r="L13" s="619" t="n">
        <v>46055</v>
      </c>
      <c r="M13" s="619" t="n">
        <v>46062</v>
      </c>
      <c r="N13" s="619" t="n">
        <v>46069</v>
      </c>
      <c r="O13" s="619" t="n">
        <v>46076</v>
      </c>
      <c r="P13" s="619" t="n">
        <v>46083</v>
      </c>
      <c r="Q13" s="619" t="n">
        <v>46090</v>
      </c>
      <c r="R13" s="619" t="n">
        <v>46097</v>
      </c>
      <c r="S13" s="619" t="n">
        <v>46104</v>
      </c>
      <c r="T13" s="619" t="n">
        <v>46111</v>
      </c>
      <c r="U13" s="619" t="n">
        <v>46118</v>
      </c>
      <c r="V13" s="619" t="n">
        <v>46125</v>
      </c>
      <c r="W13" s="619" t="n">
        <v>46132</v>
      </c>
      <c r="X13" s="619" t="n">
        <v>46139</v>
      </c>
      <c r="Y13" s="619" t="n">
        <v>46146</v>
      </c>
      <c r="Z13" s="619" t="n">
        <v>46154</v>
      </c>
      <c r="AA13" s="619" t="n">
        <v>46160</v>
      </c>
      <c r="AB13" s="620" t="n">
        <v>46161.48012721065</v>
      </c>
      <c r="AC13" s="620" t="n">
        <v>46161.48080085648</v>
      </c>
      <c r="AD13" s="620" t="n">
        <v>46161.4829584072</v>
      </c>
      <c r="AE13" s="621" t="inlineStr">
        <is>
          <t>USOU</t>
        </is>
      </c>
      <c r="AG13" s="29" t="inlineStr">
        <is>
          <t>Pendências</t>
        </is>
      </c>
      <c r="AH13" s="11" t="n"/>
      <c r="AI13" s="9" t="inlineStr">
        <is>
          <t>Novo Pedido</t>
        </is>
      </c>
      <c r="AJ13" s="649" t="n">
        <v>46161.4829577545</v>
      </c>
      <c r="AK13" s="614" t="n"/>
      <c r="AL13" s="614" t="n">
        <v>46142</v>
      </c>
      <c r="AM13" s="614" t="n">
        <v>46114</v>
      </c>
      <c r="AN13" s="616" t="n">
        <v>46065</v>
      </c>
      <c r="AO13" s="614" t="n">
        <v>46107</v>
      </c>
      <c r="AP13" s="614" t="n">
        <v>46092</v>
      </c>
      <c r="AQ13" s="614" t="n">
        <v>46056</v>
      </c>
      <c r="AR13" s="614" t="n">
        <v>46048</v>
      </c>
      <c r="AS13" s="614" t="n">
        <v>46043</v>
      </c>
      <c r="AT13" s="614" t="n">
        <v>46035</v>
      </c>
      <c r="AU13" s="614" t="n">
        <v>46029</v>
      </c>
      <c r="AV13" s="614" t="n">
        <v>46017</v>
      </c>
      <c r="AW13" s="614" t="n">
        <v>46007</v>
      </c>
      <c r="AX13" s="614" t="n">
        <v>46001</v>
      </c>
      <c r="AY13" s="614" t="n">
        <v>45994</v>
      </c>
      <c r="BA13" s="397" t="inlineStr">
        <is>
          <t>DIVERSOS</t>
        </is>
      </c>
      <c r="BB13" s="384" t="inlineStr">
        <is>
          <t>PCT</t>
        </is>
      </c>
      <c r="BC13" s="619" t="n">
        <v>46118</v>
      </c>
      <c r="BD13" s="619" t="n">
        <v>46125</v>
      </c>
      <c r="BE13" s="619" t="n">
        <v>46132</v>
      </c>
      <c r="BF13" s="619" t="n">
        <v>46139</v>
      </c>
      <c r="BG13" s="619" t="n">
        <v>46146</v>
      </c>
      <c r="BH13" s="619" t="n">
        <v>46154</v>
      </c>
      <c r="BI13" s="619" t="n">
        <v>46160</v>
      </c>
      <c r="BJ13" s="620" t="n">
        <v>46161.48012684028</v>
      </c>
      <c r="BK13" s="620" t="n">
        <v>46161.48080042824</v>
      </c>
      <c r="BL13" s="620" t="n">
        <v>46161.48295807179</v>
      </c>
      <c r="BM13" s="621" t="inlineStr">
        <is>
          <t>USOU</t>
        </is>
      </c>
    </row>
    <row r="14" customFormat="1" s="3">
      <c r="A14" s="25" t="inlineStr">
        <is>
          <t xml:space="preserve">PAPEL DE SEDA </t>
        </is>
      </c>
      <c r="B14" s="6" t="n">
        <v>500</v>
      </c>
      <c r="C14" s="632" t="n">
        <v>99.26000000000001</v>
      </c>
      <c r="D14" s="240" t="n">
        <v>2</v>
      </c>
      <c r="E14" s="608" t="n"/>
      <c r="F14" s="39">
        <f>3+AT14</f>
        <v/>
      </c>
      <c r="G14" s="39" t="n">
        <v>4</v>
      </c>
      <c r="H14" s="39">
        <f>4+AS14</f>
        <v/>
      </c>
      <c r="I14" s="39" t="n">
        <v>6</v>
      </c>
      <c r="J14" s="39" t="n">
        <v>6</v>
      </c>
      <c r="K14" s="39" t="n">
        <v>5</v>
      </c>
      <c r="L14" s="39">
        <f>4+AO14</f>
        <v/>
      </c>
      <c r="M14" s="39">
        <f>5+AN14</f>
        <v/>
      </c>
      <c r="N14" s="39" t="n">
        <v>6</v>
      </c>
      <c r="O14" s="39" t="n">
        <v>5</v>
      </c>
      <c r="P14" s="39" t="n">
        <v>4</v>
      </c>
      <c r="Q14" s="39" t="n">
        <v>3</v>
      </c>
      <c r="R14" s="39">
        <f>2+AM14</f>
        <v/>
      </c>
      <c r="S14" s="39" t="n">
        <v>3</v>
      </c>
      <c r="T14" s="39">
        <f>3+AL14</f>
        <v/>
      </c>
      <c r="U14" s="39" t="n">
        <v>3</v>
      </c>
      <c r="V14" s="39" t="n">
        <v>3</v>
      </c>
      <c r="W14" s="39" t="n">
        <v>3</v>
      </c>
      <c r="X14" s="39" t="n">
        <v>3</v>
      </c>
      <c r="Y14" s="39" t="n">
        <v>3</v>
      </c>
      <c r="Z14" s="39">
        <f>3+AI14</f>
        <v/>
      </c>
      <c r="AA14" s="39" t="n"/>
      <c r="AB14" s="6" t="n"/>
      <c r="AC14" s="6" t="n"/>
      <c r="AD14" s="6" t="n"/>
      <c r="AE14" s="380">
        <f>AC14+IF(NOT(ISBLANK(OFFSET(AE14,0,6))),N(OFFSET(AE14,0,6)),N(OFFSET(AE14,0,7)))-AD14</f>
        <v/>
      </c>
      <c r="AG14" s="78" t="n"/>
      <c r="AH14" s="608" t="n"/>
      <c r="AI14" s="353" t="n"/>
      <c r="AJ14" s="650" t="n">
        <v>0</v>
      </c>
      <c r="AK14" s="304" t="n">
        <v>0</v>
      </c>
      <c r="AL14" s="304" t="n">
        <v>3</v>
      </c>
      <c r="AM14" s="19" t="n"/>
      <c r="AN14" s="119" t="n">
        <v>7</v>
      </c>
      <c r="AO14" s="19" t="n">
        <v>1</v>
      </c>
      <c r="AP14" s="19" t="n">
        <v>2</v>
      </c>
      <c r="AQ14" s="19" t="n">
        <v>1</v>
      </c>
      <c r="AR14" s="19" t="n">
        <v>2</v>
      </c>
      <c r="AS14" s="19" t="n"/>
      <c r="AT14" s="19" t="n"/>
      <c r="AU14" s="19" t="n"/>
      <c r="AV14" s="19" t="n">
        <v>2</v>
      </c>
      <c r="AW14" s="19" t="n">
        <v>2</v>
      </c>
      <c r="AX14" s="19" t="n"/>
      <c r="AY14" s="19" t="n"/>
      <c r="BA14" s="372" t="inlineStr">
        <is>
          <t>PAPEL DE SEDA</t>
        </is>
      </c>
      <c r="BB14" s="139" t="n">
        <v>200</v>
      </c>
      <c r="BC14" s="39">
        <f>AK14</f>
        <v/>
      </c>
      <c r="BD14" s="39" t="n">
        <v>6</v>
      </c>
      <c r="BE14" s="39" t="n">
        <v>5</v>
      </c>
      <c r="BF14" s="39" t="n">
        <v>4</v>
      </c>
      <c r="BG14" s="39" t="n">
        <v>4</v>
      </c>
      <c r="BH14" s="39" t="n">
        <v>0</v>
      </c>
      <c r="BI14" s="39" t="n"/>
      <c r="BJ14" s="6" t="n"/>
      <c r="BK14" s="6" t="n"/>
      <c r="BL14" s="6" t="n"/>
      <c r="BM14" s="26">
        <f>BK14+IF(NOT(ISBLANK(OFFSET(BM14,0,6))),N(OFFSET(BM14,0,6)),N(OFFSET(BM14,0,7)))-BL14</f>
        <v/>
      </c>
    </row>
    <row r="15" customFormat="1" s="3">
      <c r="A15" s="25" t="inlineStr">
        <is>
          <t>ETIQUETAS</t>
        </is>
      </c>
      <c r="B15" s="6" t="n">
        <v>2000</v>
      </c>
      <c r="C15" s="632" t="n">
        <v>55.36</v>
      </c>
      <c r="D15" s="240" t="n">
        <v>2</v>
      </c>
      <c r="E15" s="608" t="n"/>
      <c r="F15" s="39">
        <f>2+AU15</f>
        <v/>
      </c>
      <c r="G15" s="39" t="n">
        <v>2</v>
      </c>
      <c r="H15" s="39">
        <f>2+AS15</f>
        <v/>
      </c>
      <c r="I15" s="39" t="n">
        <v>4</v>
      </c>
      <c r="J15" s="39" t="n">
        <v>3</v>
      </c>
      <c r="K15" s="39" t="n">
        <v>3</v>
      </c>
      <c r="L15" s="39" t="n">
        <v>3</v>
      </c>
      <c r="M15" s="39" t="n">
        <v>3</v>
      </c>
      <c r="N15" s="39" t="n">
        <v>3</v>
      </c>
      <c r="O15" s="39" t="n">
        <v>3</v>
      </c>
      <c r="P15" s="39" t="n">
        <v>3</v>
      </c>
      <c r="Q15" s="39" t="n">
        <v>3</v>
      </c>
      <c r="R15" s="39" t="n">
        <v>3</v>
      </c>
      <c r="S15" s="39" t="n">
        <v>3</v>
      </c>
      <c r="T15" s="39" t="n">
        <v>3</v>
      </c>
      <c r="U15" s="39" t="n">
        <v>2</v>
      </c>
      <c r="V15" s="39" t="n">
        <v>3</v>
      </c>
      <c r="W15" s="39" t="n">
        <v>3</v>
      </c>
      <c r="X15" s="39" t="n">
        <v>3</v>
      </c>
      <c r="Y15" s="39" t="n">
        <v>3</v>
      </c>
      <c r="Z15" s="39" t="n">
        <v>3</v>
      </c>
      <c r="AA15" s="39" t="n"/>
      <c r="AB15" s="6" t="n"/>
      <c r="AC15" s="6" t="n"/>
      <c r="AD15" s="6" t="n"/>
      <c r="AE15" s="380">
        <f>AC15+IF(NOT(ISBLANK(OFFSET(AE15,0,6))),N(OFFSET(AE15,0,6)),N(OFFSET(AE15,0,7)))-AD15</f>
        <v/>
      </c>
      <c r="AG15" s="78" t="n"/>
      <c r="AH15" s="608" t="n"/>
      <c r="AI15" s="353" t="n"/>
      <c r="AJ15" s="650" t="n">
        <v>0</v>
      </c>
      <c r="AK15" s="304" t="n">
        <v>0</v>
      </c>
      <c r="AL15" s="304" t="n">
        <v>0</v>
      </c>
      <c r="AM15" s="19" t="n"/>
      <c r="AN15" s="119" t="n">
        <v>3</v>
      </c>
      <c r="AO15" s="19" t="n"/>
      <c r="AP15" s="19" t="n"/>
      <c r="AQ15" s="19" t="n"/>
      <c r="AR15" s="19" t="n"/>
      <c r="AS15" s="19" t="n"/>
      <c r="AT15" s="19" t="n"/>
      <c r="AU15" s="19" t="n"/>
      <c r="AV15" s="19" t="n">
        <v>3</v>
      </c>
      <c r="AW15" s="19" t="n"/>
      <c r="AX15" s="19" t="n">
        <v>1</v>
      </c>
      <c r="AY15" s="19" t="n"/>
      <c r="BA15" s="21" t="inlineStr">
        <is>
          <t>ADESIVOS</t>
        </is>
      </c>
      <c r="BB15" s="6" t="n">
        <v>200</v>
      </c>
      <c r="BC15" s="39">
        <f>AK15</f>
        <v/>
      </c>
      <c r="BD15" s="39" t="n">
        <v>2</v>
      </c>
      <c r="BE15" s="39" t="n">
        <v>2</v>
      </c>
      <c r="BF15" s="39" t="n">
        <v>2</v>
      </c>
      <c r="BG15" s="39" t="n">
        <v>2</v>
      </c>
      <c r="BH15" s="39" t="n">
        <v>0</v>
      </c>
      <c r="BI15" s="39" t="n"/>
      <c r="BJ15" s="6" t="n"/>
      <c r="BK15" s="6" t="n"/>
      <c r="BL15" s="6" t="n"/>
      <c r="BM15" s="26">
        <f>BK15+IF(NOT(ISBLANK(OFFSET(BM15,0,6))),N(OFFSET(BM15,0,6)),N(OFFSET(BM15,0,7)))-BL15</f>
        <v/>
      </c>
    </row>
    <row r="16" customFormat="1" s="3">
      <c r="A16" s="25" t="inlineStr">
        <is>
          <t xml:space="preserve">TAGS </t>
        </is>
      </c>
      <c r="B16" s="6" t="n">
        <v>200</v>
      </c>
      <c r="C16" s="632" t="n">
        <v>10.28</v>
      </c>
      <c r="D16" s="240" t="n">
        <v>3</v>
      </c>
      <c r="E16" s="1" t="n"/>
      <c r="F16" s="39">
        <f>3+AT16</f>
        <v/>
      </c>
      <c r="G16" s="39" t="n">
        <v>1</v>
      </c>
      <c r="H16" s="39">
        <f>0+AS16</f>
        <v/>
      </c>
      <c r="I16" s="39" t="n">
        <v>3</v>
      </c>
      <c r="J16" s="39" t="n">
        <v>3</v>
      </c>
      <c r="K16" s="39" t="n">
        <v>3</v>
      </c>
      <c r="L16" s="39" t="n">
        <v>2</v>
      </c>
      <c r="M16" s="39">
        <f>2+AN16</f>
        <v/>
      </c>
      <c r="N16" s="39" t="n">
        <v>2</v>
      </c>
      <c r="O16" s="39" t="n">
        <v>2</v>
      </c>
      <c r="P16" s="39" t="n">
        <v>2</v>
      </c>
      <c r="Q16" s="39" t="n">
        <v>1</v>
      </c>
      <c r="R16" s="39">
        <f>1+AM16</f>
        <v/>
      </c>
      <c r="S16" s="39" t="n">
        <v>2</v>
      </c>
      <c r="T16" s="39">
        <f>2+AL16</f>
        <v/>
      </c>
      <c r="U16" s="39" t="n">
        <v>3</v>
      </c>
      <c r="V16" s="39" t="n">
        <v>1</v>
      </c>
      <c r="W16" s="39" t="n">
        <v>1</v>
      </c>
      <c r="X16" s="39" t="n">
        <v>1</v>
      </c>
      <c r="Y16" s="39" t="n">
        <v>0</v>
      </c>
      <c r="Z16" s="39">
        <f>0+AI16</f>
        <v/>
      </c>
      <c r="AA16" s="39" t="n"/>
      <c r="AB16" s="6" t="n"/>
      <c r="AC16" s="6" t="n"/>
      <c r="AD16" s="6" t="n"/>
      <c r="AE16" s="380">
        <f>AC16+IF(NOT(ISBLANK(OFFSET(AE16,0,6))),N(OFFSET(AE16,0,6)),N(OFFSET(AE16,0,7)))-AD16</f>
        <v/>
      </c>
      <c r="AG16" s="78" t="n"/>
      <c r="AH16" s="1" t="n"/>
      <c r="AI16" s="353" t="n"/>
      <c r="AJ16" s="628" t="n">
        <v>0</v>
      </c>
      <c r="AK16" s="19" t="n">
        <v>0</v>
      </c>
      <c r="AL16" s="19" t="n">
        <v>3</v>
      </c>
      <c r="AM16" s="19" t="n"/>
      <c r="AN16" s="19" t="n"/>
      <c r="AO16" s="19" t="n">
        <v>1</v>
      </c>
      <c r="AP16" s="19" t="n">
        <v>2</v>
      </c>
      <c r="AQ16" s="19" t="n">
        <v>1</v>
      </c>
      <c r="AR16" s="19" t="n"/>
      <c r="AS16" s="19" t="n"/>
      <c r="AT16" s="19" t="n"/>
      <c r="AU16" s="19" t="n"/>
      <c r="AV16" s="19" t="n">
        <v>3</v>
      </c>
      <c r="AW16" s="19" t="n">
        <v>1</v>
      </c>
      <c r="AX16" s="19" t="n">
        <v>1</v>
      </c>
      <c r="AY16" s="19" t="n"/>
    </row>
    <row r="17" customFormat="1" s="3">
      <c r="A17" s="25" t="inlineStr">
        <is>
          <t>LÂMINA OLFATIVA</t>
        </is>
      </c>
      <c r="B17" s="6" t="n">
        <v>3000</v>
      </c>
      <c r="C17" s="632" t="n">
        <v>71.8</v>
      </c>
      <c r="D17" s="240" t="n">
        <v>2</v>
      </c>
      <c r="E17" s="1" t="n"/>
      <c r="F17" s="39">
        <f>2+AT17</f>
        <v/>
      </c>
      <c r="G17" s="39" t="n">
        <v>2</v>
      </c>
      <c r="H17" s="39">
        <f>2+AS17</f>
        <v/>
      </c>
      <c r="I17" s="39" t="n">
        <v>4</v>
      </c>
      <c r="J17" s="39" t="n">
        <v>4</v>
      </c>
      <c r="K17" s="39" t="n">
        <v>3</v>
      </c>
      <c r="L17" s="39">
        <f>3+AO17</f>
        <v/>
      </c>
      <c r="M17" s="39" t="n">
        <v>4</v>
      </c>
      <c r="N17" s="39" t="n">
        <v>4</v>
      </c>
      <c r="O17" s="39" t="n">
        <v>3</v>
      </c>
      <c r="P17" s="39" t="n">
        <v>3</v>
      </c>
      <c r="Q17" s="39" t="n">
        <v>3</v>
      </c>
      <c r="R17" s="39" t="n">
        <v>2</v>
      </c>
      <c r="S17" s="39" t="n">
        <v>2</v>
      </c>
      <c r="T17" s="39" t="n">
        <v>2</v>
      </c>
      <c r="U17" s="39" t="n">
        <v>2</v>
      </c>
      <c r="V17" s="39" t="n">
        <v>1</v>
      </c>
      <c r="W17" s="39" t="n">
        <v>1</v>
      </c>
      <c r="X17" s="39" t="n">
        <v>1</v>
      </c>
      <c r="Y17" s="39" t="n">
        <v>1</v>
      </c>
      <c r="Z17" s="39">
        <f>0+AI17</f>
        <v/>
      </c>
      <c r="AA17" s="39" t="n"/>
      <c r="AB17" s="6" t="n"/>
      <c r="AC17" s="6" t="n"/>
      <c r="AD17" s="6" t="n"/>
      <c r="AE17" s="380">
        <f>AC17+IF(NOT(ISBLANK(OFFSET(AE17,0,6))),N(OFFSET(AE17,0,6)),N(OFFSET(AE17,0,7)))-AD17</f>
        <v/>
      </c>
      <c r="AG17" s="78" t="n"/>
      <c r="AH17" s="1" t="n"/>
      <c r="AI17" s="353" t="n"/>
      <c r="AJ17" s="628" t="n">
        <v>0</v>
      </c>
      <c r="AK17" s="19" t="n">
        <v>0</v>
      </c>
      <c r="AL17" s="19" t="n">
        <v>1</v>
      </c>
      <c r="AM17" s="19" t="n"/>
      <c r="AN17" s="19" t="n"/>
      <c r="AO17" s="19" t="n"/>
      <c r="AP17" s="19" t="n"/>
      <c r="AQ17" s="19" t="n"/>
      <c r="AR17" s="19" t="n">
        <v>1</v>
      </c>
      <c r="AS17" s="19" t="n"/>
      <c r="AT17" s="19" t="n"/>
      <c r="AU17" s="19" t="n"/>
      <c r="AV17" s="19" t="n">
        <v>2</v>
      </c>
      <c r="AW17" s="19" t="n">
        <v>1</v>
      </c>
      <c r="AX17" s="19" t="n"/>
      <c r="AY17" s="19" t="n">
        <v>1</v>
      </c>
    </row>
    <row r="18" ht="14.25" customFormat="1" customHeight="1" s="3">
      <c r="A18" s="23" t="n"/>
      <c r="D18" s="277" t="n"/>
      <c r="AG18" s="398" t="n"/>
      <c r="AI18" s="360" t="n"/>
      <c r="AJ18" s="396" t="n"/>
      <c r="AK18" s="396" t="n"/>
      <c r="AL18" s="396" t="n"/>
      <c r="AM18" s="396" t="n"/>
      <c r="AN18" s="396" t="n"/>
      <c r="AO18" s="396" t="n"/>
      <c r="AP18" s="396" t="n"/>
      <c r="AQ18" s="396" t="n"/>
      <c r="AR18" s="396" t="n"/>
      <c r="AS18" s="396" t="n"/>
      <c r="AT18" s="396" t="n"/>
      <c r="AU18" s="396" t="n"/>
      <c r="AV18" s="396" t="n"/>
      <c r="AW18" s="396" t="n"/>
      <c r="AX18" s="396" t="n"/>
      <c r="AY18" s="396" t="n"/>
    </row>
    <row r="19" customFormat="1" s="3">
      <c r="A19" s="548" t="inlineStr">
        <is>
          <t>CAIXAS</t>
        </is>
      </c>
      <c r="B19" s="12" t="n"/>
      <c r="C19" s="654" t="n"/>
      <c r="D19" s="403" t="n"/>
      <c r="E19" s="1" t="n"/>
      <c r="F19" s="619" t="n">
        <v>46013</v>
      </c>
      <c r="G19" s="619" t="n">
        <v>46020</v>
      </c>
      <c r="H19" s="619" t="n">
        <v>46027</v>
      </c>
      <c r="I19" s="619" t="n">
        <v>46034</v>
      </c>
      <c r="J19" s="619" t="n">
        <v>46041</v>
      </c>
      <c r="K19" s="619" t="n">
        <v>46048</v>
      </c>
      <c r="L19" s="619" t="n">
        <v>46055</v>
      </c>
      <c r="M19" s="619" t="n">
        <v>46062</v>
      </c>
      <c r="N19" s="619" t="n">
        <v>46069</v>
      </c>
      <c r="O19" s="619" t="n">
        <v>46076</v>
      </c>
      <c r="P19" s="619" t="n">
        <v>46083</v>
      </c>
      <c r="Q19" s="619" t="n">
        <v>46090</v>
      </c>
      <c r="R19" s="619" t="n">
        <v>46097</v>
      </c>
      <c r="S19" s="619" t="n">
        <v>46104</v>
      </c>
      <c r="T19" s="619" t="n">
        <v>46111</v>
      </c>
      <c r="U19" s="619" t="n">
        <v>46118</v>
      </c>
      <c r="V19" s="619" t="n">
        <v>46125</v>
      </c>
      <c r="W19" s="619" t="n">
        <v>46132</v>
      </c>
      <c r="X19" s="619" t="n">
        <v>46139</v>
      </c>
      <c r="Y19" s="619" t="n">
        <v>46146</v>
      </c>
      <c r="Z19" s="619" t="n">
        <v>46154</v>
      </c>
      <c r="AA19" s="619" t="n">
        <v>46160</v>
      </c>
      <c r="AB19" s="620" t="n">
        <v>46161.48012721065</v>
      </c>
      <c r="AC19" s="620" t="n">
        <v>46161.48080085648</v>
      </c>
      <c r="AD19" s="620" t="n">
        <v>46161.48295840736</v>
      </c>
      <c r="AE19" s="621" t="inlineStr">
        <is>
          <t>USOU</t>
        </is>
      </c>
      <c r="AG19" s="29" t="inlineStr">
        <is>
          <t>Pendências</t>
        </is>
      </c>
      <c r="AH19" s="11" t="n"/>
      <c r="AI19" s="9" t="inlineStr">
        <is>
          <t>Novo Pedido</t>
        </is>
      </c>
      <c r="AJ19" s="613" t="n">
        <v>46161.48295775486</v>
      </c>
      <c r="AK19" s="614" t="n"/>
      <c r="AL19" s="614" t="n">
        <v>46142</v>
      </c>
      <c r="AM19" s="614" t="n">
        <v>46114</v>
      </c>
      <c r="AN19" s="616" t="n">
        <v>46065</v>
      </c>
      <c r="AO19" s="614" t="n">
        <v>46107</v>
      </c>
      <c r="AP19" s="614" t="n">
        <v>46092</v>
      </c>
      <c r="AQ19" s="614" t="n">
        <v>46056</v>
      </c>
      <c r="AR19" s="614" t="n">
        <v>46048</v>
      </c>
      <c r="AS19" s="614" t="n">
        <v>46043</v>
      </c>
      <c r="AT19" s="614" t="n">
        <v>46035</v>
      </c>
      <c r="AU19" s="614" t="n">
        <v>46029</v>
      </c>
      <c r="AV19" s="614" t="n">
        <v>46017</v>
      </c>
      <c r="AW19" s="614" t="n">
        <v>46007</v>
      </c>
      <c r="AX19" s="614" t="n">
        <v>46001</v>
      </c>
      <c r="AY19" s="614" t="n">
        <v>45994</v>
      </c>
      <c r="BA19" s="397" t="inlineStr">
        <is>
          <t>CAIXAS</t>
        </is>
      </c>
      <c r="BB19" s="384" t="inlineStr">
        <is>
          <t>PCT</t>
        </is>
      </c>
      <c r="BC19" s="619" t="n">
        <v>46118</v>
      </c>
      <c r="BD19" s="619" t="n">
        <v>46125</v>
      </c>
      <c r="BE19" s="619" t="n">
        <v>46132</v>
      </c>
      <c r="BF19" s="619" t="n">
        <v>46139</v>
      </c>
      <c r="BG19" s="619" t="n">
        <v>46146</v>
      </c>
      <c r="BH19" s="619" t="n">
        <v>46154</v>
      </c>
      <c r="BI19" s="619" t="n">
        <v>46160</v>
      </c>
      <c r="BJ19" s="620" t="n">
        <v>46161.48012684028</v>
      </c>
      <c r="BK19" s="620" t="n">
        <v>46161.48080042824</v>
      </c>
      <c r="BL19" s="620" t="n">
        <v>46161.48295807192</v>
      </c>
      <c r="BM19" s="621" t="inlineStr">
        <is>
          <t>USOU</t>
        </is>
      </c>
    </row>
    <row r="20" customFormat="1" s="3">
      <c r="A20" s="25" t="inlineStr">
        <is>
          <t>CAIXA P VERDE</t>
        </is>
      </c>
      <c r="B20" s="6" t="n">
        <v>150</v>
      </c>
      <c r="C20" s="627" t="n">
        <v>334.31</v>
      </c>
      <c r="D20" s="240" t="n">
        <v>120</v>
      </c>
      <c r="E20" s="1" t="n"/>
      <c r="F20" s="27" t="n">
        <v>211</v>
      </c>
      <c r="G20" s="27" t="n">
        <v>155</v>
      </c>
      <c r="H20" s="27" t="n">
        <v>120</v>
      </c>
      <c r="I20" s="27" t="n">
        <v>94</v>
      </c>
      <c r="J20" s="27" t="n">
        <v>223</v>
      </c>
      <c r="K20" s="27" t="n">
        <v>202</v>
      </c>
      <c r="L20" s="27" t="n">
        <v>178</v>
      </c>
      <c r="M20" s="27" t="n">
        <v>291</v>
      </c>
      <c r="N20" s="27" t="n">
        <v>284</v>
      </c>
      <c r="O20" s="27" t="n">
        <v>269</v>
      </c>
      <c r="P20" s="27" t="n">
        <v>252</v>
      </c>
      <c r="Q20" s="27" t="n">
        <v>227</v>
      </c>
      <c r="R20" s="27" t="n">
        <v>214</v>
      </c>
      <c r="S20" s="27" t="n">
        <v>203</v>
      </c>
      <c r="T20" s="27" t="n">
        <v>191</v>
      </c>
      <c r="U20" s="27" t="n"/>
      <c r="V20" s="27" t="n"/>
      <c r="W20" s="27" t="n"/>
      <c r="X20" s="27" t="n">
        <v>169</v>
      </c>
      <c r="Y20" s="27" t="n">
        <v>169</v>
      </c>
      <c r="Z20" s="27" t="n">
        <v>132</v>
      </c>
      <c r="AA20" s="27" t="n">
        <v>119</v>
      </c>
      <c r="AB20" s="651" t="n">
        <v>119</v>
      </c>
      <c r="AC20" s="651" t="n">
        <v>119</v>
      </c>
      <c r="AD20" s="651" t="n">
        <v>119</v>
      </c>
      <c r="AE20" s="380">
        <f>AC20+IF(NOT(ISBLANK(OFFSET(AE20,0,6))),N(OFFSET(AE20,0,6)),N(OFFSET(AE20,0,7)))-AD20</f>
        <v/>
      </c>
      <c r="AF20" s="370" t="n"/>
      <c r="AG20" s="78" t="n"/>
      <c r="AH20" s="1" t="n"/>
      <c r="AI20" s="353" t="n"/>
      <c r="AJ20" s="628" t="n">
        <v>0</v>
      </c>
      <c r="AK20" s="19" t="n">
        <v>0</v>
      </c>
      <c r="AL20" s="19" t="n">
        <v>0</v>
      </c>
      <c r="AM20" s="19" t="n"/>
      <c r="AN20" s="119" t="n">
        <v>150</v>
      </c>
      <c r="AO20" s="19" t="n"/>
      <c r="AP20" s="19" t="n"/>
      <c r="AQ20" s="19" t="n">
        <v>150</v>
      </c>
      <c r="AR20" s="19" t="n"/>
      <c r="AS20" s="19" t="n"/>
      <c r="AT20" s="19" t="n"/>
      <c r="AU20" s="19" t="n">
        <v>150</v>
      </c>
      <c r="AV20" s="19" t="n"/>
      <c r="AW20" s="19" t="n"/>
      <c r="AX20" s="19" t="n"/>
      <c r="AY20" s="19" t="n"/>
      <c r="BA20" s="372" t="inlineStr">
        <is>
          <t>CAIXA P</t>
        </is>
      </c>
      <c r="BB20" s="139" t="n">
        <v>150</v>
      </c>
      <c r="BC20" s="39">
        <f>AK20</f>
        <v/>
      </c>
      <c r="BD20" s="39" t="n"/>
      <c r="BE20" s="39" t="n"/>
      <c r="BF20" s="39" t="n">
        <v>29</v>
      </c>
      <c r="BG20" s="39" t="n">
        <v>19</v>
      </c>
      <c r="BH20" s="39" t="n">
        <v>3</v>
      </c>
      <c r="BI20" s="39" t="n">
        <v>3</v>
      </c>
      <c r="BJ20" s="6" t="n"/>
      <c r="BK20" s="6" t="n"/>
      <c r="BL20" s="6" t="n"/>
      <c r="BM20" s="26">
        <f>BK20+IF(NOT(ISBLANK(OFFSET(BM20,0,6))),N(OFFSET(BM20,0,6)),N(OFFSET(BM20,0,7)))-BL20</f>
        <v/>
      </c>
    </row>
    <row r="21" customFormat="1" s="3">
      <c r="A21" s="25" t="inlineStr">
        <is>
          <t>CAIXA M VERDE</t>
        </is>
      </c>
      <c r="B21" s="6" t="n">
        <v>100</v>
      </c>
      <c r="C21" s="634" t="n">
        <v>292.25</v>
      </c>
      <c r="D21" s="243" t="n">
        <v>120</v>
      </c>
      <c r="E21" s="1" t="n"/>
      <c r="F21" s="27" t="n">
        <v>59</v>
      </c>
      <c r="G21" s="27" t="n">
        <v>46</v>
      </c>
      <c r="H21" s="27" t="n">
        <v>37</v>
      </c>
      <c r="I21" s="27" t="n">
        <v>19</v>
      </c>
      <c r="J21" s="27" t="n">
        <v>111</v>
      </c>
      <c r="K21" s="27" t="n">
        <v>105</v>
      </c>
      <c r="L21" s="27">
        <f>99+AO21</f>
        <v/>
      </c>
      <c r="M21" s="27" t="n">
        <v>201</v>
      </c>
      <c r="N21" s="27" t="n">
        <v>199</v>
      </c>
      <c r="O21" s="27" t="n">
        <v>199</v>
      </c>
      <c r="P21" s="27" t="n">
        <v>190</v>
      </c>
      <c r="Q21" s="27" t="n">
        <v>166</v>
      </c>
      <c r="R21" s="27" t="n">
        <v>146</v>
      </c>
      <c r="S21" s="27" t="n">
        <v>135</v>
      </c>
      <c r="T21" s="27" t="n">
        <v>131</v>
      </c>
      <c r="U21" s="27" t="n"/>
      <c r="V21" s="27" t="n"/>
      <c r="W21" s="27" t="n"/>
      <c r="X21" s="27" t="n">
        <v>217</v>
      </c>
      <c r="Y21" s="27" t="n">
        <v>217</v>
      </c>
      <c r="Z21" s="27" t="n">
        <v>196</v>
      </c>
      <c r="AA21" s="27" t="n">
        <v>193</v>
      </c>
      <c r="AB21" s="651" t="n">
        <v>193</v>
      </c>
      <c r="AC21" s="651" t="n">
        <v>193</v>
      </c>
      <c r="AD21" s="651" t="n">
        <v>193</v>
      </c>
      <c r="AE21" s="380">
        <f>AC21+IF(NOT(ISBLANK(OFFSET(AE21,0,6))),N(OFFSET(AE21,0,6)),N(OFFSET(AE21,0,7)))-AD21</f>
        <v/>
      </c>
      <c r="AF21" s="370" t="n"/>
      <c r="AG21" s="78" t="n"/>
      <c r="AH21" s="1" t="n"/>
      <c r="AI21" s="353" t="n"/>
      <c r="AJ21" s="628" t="n">
        <v>0</v>
      </c>
      <c r="AK21" s="19" t="n">
        <v>0</v>
      </c>
      <c r="AL21" s="19" t="n">
        <v>0</v>
      </c>
      <c r="AM21" s="19" t="n">
        <v>100</v>
      </c>
      <c r="AN21" s="119" t="n">
        <v>200</v>
      </c>
      <c r="AO21" s="19" t="n"/>
      <c r="AP21" s="19" t="n"/>
      <c r="AQ21" s="19" t="n"/>
      <c r="AR21" s="19" t="n">
        <v>100</v>
      </c>
      <c r="AS21" s="19" t="n"/>
      <c r="AT21" s="19" t="n"/>
      <c r="AU21" s="19" t="n">
        <v>100</v>
      </c>
      <c r="AV21" s="19" t="n"/>
      <c r="AW21" s="19" t="n"/>
      <c r="AX21" s="19" t="n"/>
      <c r="AY21" s="19" t="n"/>
      <c r="BA21" s="21" t="inlineStr">
        <is>
          <t>CAIXA M</t>
        </is>
      </c>
      <c r="BB21" s="6" t="n">
        <v>100</v>
      </c>
      <c r="BC21" s="39">
        <f>AK21</f>
        <v/>
      </c>
      <c r="BD21" s="39" t="n"/>
      <c r="BE21" s="39" t="n"/>
      <c r="BF21" s="39" t="n">
        <v>61</v>
      </c>
      <c r="BG21" s="39" t="n">
        <v>51</v>
      </c>
      <c r="BH21" s="39" t="n">
        <v>3</v>
      </c>
      <c r="BI21" s="39" t="n">
        <v>3</v>
      </c>
      <c r="BJ21" s="6" t="n"/>
      <c r="BK21" s="6" t="n"/>
      <c r="BL21" s="6" t="n"/>
      <c r="BM21" s="26">
        <f>BK21+IF(NOT(ISBLANK(OFFSET(BM21,0,6))),N(OFFSET(BM21,0,6)),N(OFFSET(BM21,0,7)))-BL21</f>
        <v/>
      </c>
    </row>
    <row r="22" customFormat="1" s="3">
      <c r="A22" s="25" t="inlineStr">
        <is>
          <t>CAIXA G VERDE</t>
        </is>
      </c>
      <c r="B22" s="6" t="n">
        <v>75</v>
      </c>
      <c r="C22" s="632" t="n">
        <v>425.38</v>
      </c>
      <c r="D22" s="240" t="n">
        <v>25</v>
      </c>
      <c r="E22" s="608" t="n"/>
      <c r="F22" s="27" t="n">
        <v>26</v>
      </c>
      <c r="G22" s="27" t="n">
        <v>19</v>
      </c>
      <c r="H22" s="27" t="n">
        <v>19</v>
      </c>
      <c r="I22" s="27" t="n">
        <v>16</v>
      </c>
      <c r="J22" s="27" t="n">
        <v>24</v>
      </c>
      <c r="K22" s="27" t="n">
        <v>24</v>
      </c>
      <c r="L22" s="27" t="n">
        <v>23</v>
      </c>
      <c r="M22" s="27" t="n">
        <v>22</v>
      </c>
      <c r="N22" s="27" t="n">
        <v>22</v>
      </c>
      <c r="O22" s="27" t="n">
        <v>22</v>
      </c>
      <c r="P22" s="27" t="n">
        <v>22</v>
      </c>
      <c r="Q22" s="27" t="n">
        <v>22</v>
      </c>
      <c r="R22" s="27" t="n">
        <v>22</v>
      </c>
      <c r="S22" s="27" t="n">
        <v>23</v>
      </c>
      <c r="T22" s="27" t="n">
        <v>23</v>
      </c>
      <c r="U22" s="27" t="n">
        <v>23</v>
      </c>
      <c r="V22" s="27" t="n">
        <v>22</v>
      </c>
      <c r="W22" s="27" t="n">
        <v>22</v>
      </c>
      <c r="X22" s="27" t="n">
        <v>20</v>
      </c>
      <c r="Y22" s="27" t="n">
        <v>20</v>
      </c>
      <c r="Z22" s="27" t="n">
        <v>20</v>
      </c>
      <c r="AA22" s="27" t="n">
        <v>17</v>
      </c>
      <c r="AB22" s="651" t="n">
        <v>17</v>
      </c>
      <c r="AC22" s="651" t="n">
        <v>17</v>
      </c>
      <c r="AD22" s="651" t="n">
        <v>17</v>
      </c>
      <c r="AE22" s="380">
        <f>AC22+IF(NOT(ISBLANK(OFFSET(AE22,0,6))),N(OFFSET(AE22,0,6)),N(OFFSET(AE22,0,7)))-AD22</f>
        <v/>
      </c>
      <c r="AF22" s="370" t="n"/>
      <c r="AG22" s="78" t="n"/>
      <c r="AH22" s="608" t="n"/>
      <c r="AI22" s="353" t="n"/>
      <c r="AJ22" s="114" t="n">
        <v>0</v>
      </c>
      <c r="AK22" s="19" t="n">
        <v>0</v>
      </c>
      <c r="AL22" s="19" t="n">
        <v>0</v>
      </c>
      <c r="AM22" s="19" t="n"/>
      <c r="AN22" s="119" t="n">
        <v>200</v>
      </c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BA22" s="22" t="inlineStr">
        <is>
          <t>CARTUCHO P</t>
        </is>
      </c>
      <c r="BB22" s="6" t="n">
        <v>200</v>
      </c>
      <c r="BC22" s="39">
        <f>AK22</f>
        <v/>
      </c>
      <c r="BD22" s="39" t="n"/>
      <c r="BE22" s="39" t="n"/>
      <c r="BF22" s="39" t="n">
        <v>28</v>
      </c>
      <c r="BG22" s="39" t="n">
        <v>22</v>
      </c>
      <c r="BH22" s="39" t="n">
        <v>4</v>
      </c>
      <c r="BI22" s="39" t="n">
        <v>4</v>
      </c>
      <c r="BJ22" s="6" t="n"/>
      <c r="BK22" s="6" t="n"/>
      <c r="BL22" s="6" t="n"/>
      <c r="BM22" s="26">
        <f>BK22+IF(NOT(ISBLANK(OFFSET(BM22,0,6))),N(OFFSET(BM22,0,6)),N(OFFSET(BM22,0,7)))-BL22</f>
        <v/>
      </c>
    </row>
    <row r="23">
      <c r="A23" s="25" t="inlineStr">
        <is>
          <t>CARTUCHO M VERDE</t>
        </is>
      </c>
      <c r="B23" s="6" t="n">
        <v>150</v>
      </c>
      <c r="C23" s="632" t="n">
        <v>427.5</v>
      </c>
      <c r="D23" s="240" t="n"/>
      <c r="F23" s="27" t="n"/>
      <c r="G23" s="27" t="n"/>
      <c r="H23" s="27" t="n"/>
      <c r="I23" s="27" t="n"/>
      <c r="J23" s="27" t="n">
        <v>0</v>
      </c>
      <c r="K23" s="27" t="n">
        <v>0</v>
      </c>
      <c r="L23" s="27" t="n">
        <v>0</v>
      </c>
      <c r="M23" s="27" t="n">
        <v>0</v>
      </c>
      <c r="N23" s="27" t="n">
        <v>0</v>
      </c>
      <c r="O23" s="27" t="n">
        <v>0</v>
      </c>
      <c r="P23" s="27" t="n">
        <v>0</v>
      </c>
      <c r="Q23" s="298" t="n">
        <v>30</v>
      </c>
      <c r="R23" s="27" t="n">
        <v>30</v>
      </c>
      <c r="S23" s="27" t="n">
        <v>30</v>
      </c>
      <c r="T23" s="27" t="n">
        <v>30</v>
      </c>
      <c r="U23" s="27" t="n"/>
      <c r="V23" s="27" t="n"/>
      <c r="W23" s="27" t="n"/>
      <c r="X23" s="27" t="n">
        <v>13</v>
      </c>
      <c r="Y23" s="27" t="n">
        <v>12</v>
      </c>
      <c r="Z23" s="27" t="n">
        <v>9</v>
      </c>
      <c r="AA23" s="27" t="n">
        <v>0</v>
      </c>
      <c r="AB23" s="651" t="n">
        <v>0</v>
      </c>
      <c r="AC23" s="651" t="n">
        <v>0</v>
      </c>
      <c r="AD23" s="651" t="n">
        <v>0</v>
      </c>
      <c r="AE23" s="380">
        <f>AC23+IF(NOT(ISBLANK(OFFSET(AE23,0,6))),N(OFFSET(AE23,0,6)),N(OFFSET(AE23,0,7)))-AD23</f>
        <v/>
      </c>
      <c r="AF23" s="370" t="n"/>
      <c r="AG23" s="78" t="n"/>
      <c r="AI23" s="353" t="n"/>
      <c r="AJ23" s="628" t="n">
        <v>0</v>
      </c>
      <c r="AK23" s="19" t="n">
        <v>0</v>
      </c>
      <c r="AL23" s="19" t="n">
        <v>0</v>
      </c>
      <c r="AM23" s="19" t="n"/>
      <c r="AN23" s="119" t="n">
        <v>150</v>
      </c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BA23" s="22" t="inlineStr">
        <is>
          <t>CARTUCHO M</t>
        </is>
      </c>
      <c r="BB23" s="6" t="n">
        <v>150</v>
      </c>
      <c r="BC23" s="39">
        <f>AK23</f>
        <v/>
      </c>
      <c r="BD23" s="39" t="n"/>
      <c r="BE23" s="39" t="n"/>
      <c r="BF23" s="39" t="n">
        <v>122</v>
      </c>
      <c r="BG23" s="39" t="n">
        <v>111</v>
      </c>
      <c r="BH23" s="39" t="n">
        <v>-1</v>
      </c>
      <c r="BI23" s="39" t="n">
        <v>-2</v>
      </c>
      <c r="BJ23" s="6" t="n"/>
      <c r="BK23" s="6" t="n"/>
      <c r="BL23" s="6" t="n"/>
      <c r="BM23" s="26">
        <f>BK23+IF(NOT(ISBLANK(OFFSET(BM23,0,6))),N(OFFSET(BM23,0,6)),N(OFFSET(BM23,0,7)))-BL23</f>
        <v/>
      </c>
    </row>
    <row r="24">
      <c r="AF24" s="370" t="n"/>
      <c r="AJ24" s="11" t="n"/>
      <c r="AK24" s="11" t="n"/>
      <c r="AL24" s="11" t="n"/>
      <c r="AM24" s="11" t="n"/>
      <c r="AN24" s="11" t="n"/>
      <c r="AO24" s="11" t="n"/>
      <c r="AP24" s="11" t="n"/>
      <c r="AQ24" s="11" t="n"/>
      <c r="AR24" s="11" t="n"/>
      <c r="AS24" s="11" t="n"/>
      <c r="AT24" s="11" t="n"/>
      <c r="AU24" s="11" t="n"/>
      <c r="AV24" s="11" t="n"/>
      <c r="AW24" s="11" t="n"/>
      <c r="AX24" s="11" t="n"/>
      <c r="AY24" s="11" t="n"/>
    </row>
    <row r="25">
      <c r="A25" s="386" t="inlineStr">
        <is>
          <t>SOBRAS CAIXAS</t>
        </is>
      </c>
      <c r="B25" s="387" t="inlineStr">
        <is>
          <t>PCT</t>
        </is>
      </c>
      <c r="C25" s="387" t="inlineStr">
        <is>
          <t xml:space="preserve">R$ </t>
        </is>
      </c>
      <c r="D25" s="387" t="n"/>
      <c r="F25" s="619" t="n">
        <v>46013</v>
      </c>
      <c r="G25" s="619" t="n">
        <v>46020</v>
      </c>
      <c r="H25" s="619" t="n">
        <v>46027</v>
      </c>
      <c r="I25" s="619" t="n">
        <v>46034</v>
      </c>
      <c r="J25" s="619" t="n">
        <v>46041</v>
      </c>
      <c r="K25" s="619" t="n">
        <v>46048</v>
      </c>
      <c r="L25" s="619" t="n">
        <v>46055</v>
      </c>
      <c r="M25" s="619" t="n">
        <v>46062</v>
      </c>
      <c r="N25" s="619" t="n">
        <v>46069</v>
      </c>
      <c r="O25" s="619" t="n">
        <v>46076</v>
      </c>
      <c r="P25" s="619" t="n">
        <v>46083</v>
      </c>
      <c r="Q25" s="619" t="n">
        <v>46090</v>
      </c>
      <c r="R25" s="619" t="n">
        <v>46097</v>
      </c>
      <c r="S25" s="619" t="n">
        <v>46104</v>
      </c>
      <c r="T25" s="619" t="n">
        <v>46111</v>
      </c>
      <c r="U25" s="619" t="n">
        <v>46118</v>
      </c>
      <c r="V25" s="619" t="n">
        <v>46125</v>
      </c>
      <c r="W25" s="619" t="n">
        <v>46132</v>
      </c>
      <c r="X25" s="619" t="n">
        <v>46139</v>
      </c>
      <c r="Y25" s="619" t="n">
        <v>46146</v>
      </c>
      <c r="Z25" s="619" t="n">
        <v>46154</v>
      </c>
      <c r="AA25" s="619" t="n">
        <v>46160</v>
      </c>
      <c r="AB25" s="620" t="n">
        <v>46161.48012721065</v>
      </c>
      <c r="AC25" s="620" t="n">
        <v>46161.48080085648</v>
      </c>
      <c r="AD25" s="620" t="n">
        <v>46161.48295840763</v>
      </c>
      <c r="AE25" s="621" t="inlineStr">
        <is>
          <t>USOU</t>
        </is>
      </c>
      <c r="AF25" s="370" t="n"/>
      <c r="AJ25" s="11" t="n"/>
      <c r="AK25" s="11" t="n"/>
      <c r="AL25" s="11" t="n"/>
      <c r="AM25" s="11" t="n"/>
      <c r="AN25" s="11" t="n"/>
      <c r="AO25" s="11" t="n"/>
      <c r="AP25" s="11" t="n"/>
      <c r="AQ25" s="11" t="n"/>
      <c r="AR25" s="11" t="n"/>
      <c r="AS25" s="11" t="n"/>
      <c r="AT25" s="11" t="n"/>
      <c r="AU25" s="11" t="n"/>
      <c r="AV25" s="11" t="n"/>
      <c r="AW25" s="11" t="n"/>
      <c r="AX25" s="11" t="n"/>
      <c r="AY25" s="11" t="n"/>
    </row>
    <row r="26">
      <c r="A26" s="392" t="inlineStr">
        <is>
          <t>CAIXA M DIVERT./24</t>
        </is>
      </c>
      <c r="B26" s="393" t="n">
        <v>100</v>
      </c>
      <c r="C26" s="635" t="n">
        <v>790</v>
      </c>
      <c r="D26" s="404" t="n"/>
      <c r="F26" s="39" t="n">
        <v>216</v>
      </c>
      <c r="G26" s="39" t="n">
        <v>199</v>
      </c>
      <c r="H26" s="39" t="n">
        <v>199</v>
      </c>
      <c r="I26" s="39" t="n">
        <v>199</v>
      </c>
      <c r="J26" s="39" t="n">
        <v>196</v>
      </c>
      <c r="K26" s="39" t="n">
        <v>196</v>
      </c>
      <c r="L26" s="39" t="n">
        <v>196</v>
      </c>
      <c r="M26" s="39" t="n">
        <v>196</v>
      </c>
      <c r="N26" s="39" t="n">
        <v>195</v>
      </c>
      <c r="O26" s="39" t="n">
        <v>195</v>
      </c>
      <c r="P26" s="39" t="n">
        <v>195</v>
      </c>
      <c r="Q26" s="39" t="n">
        <v>195</v>
      </c>
      <c r="R26" s="39" t="n">
        <v>195</v>
      </c>
      <c r="S26" s="39" t="n">
        <v>189</v>
      </c>
      <c r="T26" s="39" t="n">
        <v>188</v>
      </c>
      <c r="U26" s="39" t="n">
        <v>188</v>
      </c>
      <c r="V26" s="39" t="n">
        <v>188</v>
      </c>
      <c r="W26" s="39" t="n">
        <v>188</v>
      </c>
      <c r="X26" s="39" t="n">
        <v>188</v>
      </c>
      <c r="Y26" s="39" t="n">
        <v>188</v>
      </c>
      <c r="Z26" s="39" t="n">
        <v>188</v>
      </c>
      <c r="AA26" s="39" t="n">
        <v>188</v>
      </c>
      <c r="AB26" s="6" t="n">
        <v>188</v>
      </c>
      <c r="AC26" s="6" t="n">
        <v>188</v>
      </c>
      <c r="AD26" s="6" t="n">
        <v>188</v>
      </c>
      <c r="AE26" s="380">
        <f>AC26+IF(NOT(ISBLANK(OFFSET(AE26,0,6))),N(OFFSET(AE26,0,6)),N(OFFSET(AE26,0,7)))-AD26</f>
        <v/>
      </c>
      <c r="AF26" s="370" t="n"/>
      <c r="AG26" s="355" t="n"/>
      <c r="AJ26" s="11" t="n"/>
      <c r="AK26" s="11" t="n"/>
      <c r="AL26" s="11" t="n"/>
      <c r="AM26" s="11" t="n"/>
      <c r="AN26" s="11" t="n"/>
      <c r="AO26" s="11" t="n"/>
      <c r="AP26" s="11" t="n"/>
      <c r="AQ26" s="11" t="n"/>
      <c r="AR26" s="11" t="n"/>
      <c r="AS26" s="11" t="n"/>
      <c r="AT26" s="11" t="n"/>
      <c r="AU26" s="11" t="n"/>
      <c r="AV26" s="11" t="n"/>
      <c r="AW26" s="11" t="n"/>
      <c r="AX26" s="11" t="n"/>
      <c r="AY26" s="11" t="n"/>
    </row>
    <row r="27" hidden="1">
      <c r="A27" s="394" t="inlineStr">
        <is>
          <t>ÁRVORE</t>
        </is>
      </c>
      <c r="B27" s="163" t="n">
        <v>100</v>
      </c>
      <c r="C27" s="636" t="n">
        <v>295</v>
      </c>
      <c r="D27" s="404" t="n"/>
      <c r="F27" s="39" t="n">
        <v>3</v>
      </c>
      <c r="G27" s="39" t="n">
        <v>3</v>
      </c>
      <c r="H27" s="39" t="n">
        <v>3</v>
      </c>
      <c r="I27" s="39" t="n">
        <v>3</v>
      </c>
      <c r="J27" s="39" t="n">
        <v>0</v>
      </c>
      <c r="K27" s="39" t="n">
        <v>0</v>
      </c>
      <c r="L27" s="39" t="n"/>
      <c r="M27" s="39" t="n"/>
      <c r="N27" s="39" t="n"/>
      <c r="O27" s="39" t="n"/>
      <c r="P27" s="39" t="n"/>
      <c r="Q27" s="39" t="n"/>
      <c r="R27" s="39" t="n"/>
      <c r="S27" s="39" t="n"/>
      <c r="T27" s="39" t="n"/>
      <c r="U27" s="39" t="n"/>
      <c r="V27" s="39" t="n"/>
      <c r="W27" s="39" t="n"/>
      <c r="X27" s="39" t="n"/>
      <c r="Y27" s="39" t="n"/>
      <c r="Z27" s="39" t="n"/>
      <c r="AA27" s="39" t="n"/>
      <c r="AB27" s="6" t="n"/>
      <c r="AC27" s="6" t="n"/>
      <c r="AD27" s="6" t="n"/>
      <c r="AE27" s="380">
        <f>AC27+IF(NOT(ISBLANK(OFFSET(AE27,0,6))),N(OFFSET(AE27,0,6)),N(OFFSET(AE27,0,7)))-AD27</f>
        <v/>
      </c>
      <c r="AF27" s="370" t="n"/>
      <c r="AG27" s="355" t="n"/>
      <c r="AJ27" s="11" t="n"/>
      <c r="AK27" s="11" t="n"/>
      <c r="AL27" s="11" t="n"/>
      <c r="AM27" s="11" t="n"/>
      <c r="AN27" s="11" t="n"/>
      <c r="AO27" s="11" t="n"/>
      <c r="AP27" s="11" t="n"/>
      <c r="AQ27" s="11" t="n"/>
      <c r="AR27" s="11" t="n"/>
      <c r="AS27" s="11" t="n"/>
      <c r="AT27" s="11" t="n"/>
      <c r="AU27" s="11" t="n"/>
      <c r="AV27" s="11" t="n"/>
      <c r="AW27" s="11" t="n"/>
      <c r="AX27" s="11" t="n"/>
      <c r="AY27" s="11" t="n"/>
    </row>
    <row r="28" hidden="1">
      <c r="A28" s="394" t="inlineStr">
        <is>
          <t>BOLA</t>
        </is>
      </c>
      <c r="B28" s="163" t="n">
        <v>100</v>
      </c>
      <c r="C28" s="636" t="n">
        <v>283</v>
      </c>
      <c r="D28" s="404" t="n"/>
      <c r="F28" s="39" t="n">
        <v>2</v>
      </c>
      <c r="G28" s="39" t="n">
        <v>2</v>
      </c>
      <c r="H28" s="39" t="n">
        <v>2</v>
      </c>
      <c r="I28" s="39" t="n">
        <v>2</v>
      </c>
      <c r="J28" s="39" t="n">
        <v>0</v>
      </c>
      <c r="K28" s="39" t="n">
        <v>0</v>
      </c>
      <c r="L28" s="39" t="n"/>
      <c r="M28" s="39" t="n"/>
      <c r="N28" s="39" t="n"/>
      <c r="O28" s="39" t="n"/>
      <c r="P28" s="39" t="n"/>
      <c r="Q28" s="39" t="n"/>
      <c r="R28" s="39" t="n"/>
      <c r="S28" s="39" t="n"/>
      <c r="T28" s="39" t="n"/>
      <c r="U28" s="39" t="n"/>
      <c r="V28" s="39" t="n"/>
      <c r="W28" s="39" t="n"/>
      <c r="X28" s="39" t="n"/>
      <c r="Y28" s="39" t="n"/>
      <c r="Z28" s="39" t="n"/>
      <c r="AA28" s="39" t="n"/>
      <c r="AB28" s="6" t="n"/>
      <c r="AC28" s="6" t="n"/>
      <c r="AD28" s="6" t="n"/>
      <c r="AE28" s="380">
        <f>AC28+IF(NOT(ISBLANK(OFFSET(AE28,0,6))),N(OFFSET(AE28,0,6)),N(OFFSET(AE28,0,7)))-AD28</f>
        <v/>
      </c>
      <c r="AF28" s="370" t="n"/>
      <c r="AG28" s="355" t="n"/>
      <c r="AJ28" s="11" t="n"/>
      <c r="AK28" s="11" t="n"/>
      <c r="AL28" s="11" t="n"/>
      <c r="AM28" s="11" t="n"/>
      <c r="AN28" s="11" t="n"/>
      <c r="AO28" s="11" t="n"/>
      <c r="AP28" s="11" t="n"/>
      <c r="AQ28" s="11" t="n"/>
      <c r="AR28" s="11" t="n"/>
      <c r="AS28" s="11" t="n"/>
      <c r="AT28" s="11" t="n"/>
      <c r="AU28" s="11" t="n"/>
      <c r="AV28" s="11" t="n"/>
      <c r="AW28" s="11" t="n"/>
      <c r="AX28" s="11" t="n"/>
      <c r="AY28" s="11" t="n"/>
    </row>
    <row r="29" hidden="1">
      <c r="A29" s="412" t="inlineStr">
        <is>
          <t>CAIXA DORAMA/25</t>
        </is>
      </c>
      <c r="B29" s="413" t="n">
        <v>100</v>
      </c>
      <c r="C29" s="655" t="n">
        <v>841.1</v>
      </c>
      <c r="D29" s="404" t="n"/>
      <c r="F29" s="39" t="n">
        <v>1</v>
      </c>
      <c r="G29" s="39" t="n">
        <v>1</v>
      </c>
      <c r="H29" s="39" t="n">
        <v>1</v>
      </c>
      <c r="I29" s="39" t="n">
        <v>1</v>
      </c>
      <c r="J29" s="39" t="n">
        <v>0</v>
      </c>
      <c r="K29" s="39" t="n">
        <v>0</v>
      </c>
      <c r="L29" s="39" t="n"/>
      <c r="M29" s="39" t="n"/>
      <c r="N29" s="39" t="n"/>
      <c r="O29" s="39" t="n"/>
      <c r="P29" s="39" t="n"/>
      <c r="Q29" s="39" t="n"/>
      <c r="R29" s="39" t="n"/>
      <c r="S29" s="39" t="n"/>
      <c r="T29" s="39" t="n"/>
      <c r="U29" s="39" t="n"/>
      <c r="V29" s="39" t="n"/>
      <c r="W29" s="39" t="n"/>
      <c r="X29" s="39" t="n"/>
      <c r="Y29" s="39" t="n"/>
      <c r="Z29" s="39" t="n"/>
      <c r="AA29" s="39" t="n"/>
      <c r="AB29" s="6" t="n"/>
      <c r="AC29" s="6" t="n"/>
      <c r="AD29" s="6" t="n"/>
      <c r="AE29" s="380">
        <f>AC29+IF(NOT(ISBLANK(OFFSET(AE29,0,6))),N(OFFSET(AE29,0,6)),N(OFFSET(AE29,0,7)))-AD29</f>
        <v/>
      </c>
      <c r="AF29" s="370" t="n"/>
      <c r="AG29" s="355" t="n"/>
      <c r="AJ29" s="11" t="n"/>
      <c r="AK29" s="11" t="n"/>
      <c r="AL29" s="11" t="n"/>
      <c r="AM29" s="11" t="n"/>
      <c r="AN29" s="11" t="n"/>
      <c r="AO29" s="11" t="n"/>
      <c r="AP29" s="11" t="n"/>
      <c r="AQ29" s="11" t="n"/>
      <c r="AR29" s="11" t="n"/>
      <c r="AS29" s="11" t="n"/>
      <c r="AT29" s="11" t="n"/>
      <c r="AU29" s="11" t="n"/>
      <c r="AV29" s="11" t="n"/>
      <c r="AW29" s="11" t="n"/>
      <c r="AX29" s="11" t="n"/>
      <c r="AY29" s="11" t="n"/>
    </row>
    <row r="30" hidden="1">
      <c r="A30" s="25" t="inlineStr">
        <is>
          <t>CAIXA P NATAL/25</t>
        </is>
      </c>
      <c r="B30" s="6" t="n">
        <v>150</v>
      </c>
      <c r="C30" s="639" t="n">
        <v>805.35</v>
      </c>
      <c r="D30" s="404" t="n"/>
      <c r="F30" s="6" t="n">
        <v>59</v>
      </c>
      <c r="G30" s="39" t="n">
        <v>0</v>
      </c>
      <c r="H30" s="39" t="n">
        <v>0</v>
      </c>
      <c r="I30" s="39" t="n">
        <v>-1</v>
      </c>
      <c r="J30" s="39" t="n">
        <v>1</v>
      </c>
      <c r="K30" s="39" t="n">
        <v>0</v>
      </c>
      <c r="L30" s="39" t="n">
        <v>0</v>
      </c>
      <c r="M30" s="39" t="n">
        <v>0</v>
      </c>
      <c r="N30" s="39" t="n">
        <v>0</v>
      </c>
      <c r="O30" s="39" t="n">
        <v>0</v>
      </c>
      <c r="P30" s="39" t="n">
        <v>0</v>
      </c>
      <c r="Q30" s="39" t="n">
        <v>0</v>
      </c>
      <c r="R30" s="39" t="n">
        <v>0</v>
      </c>
      <c r="S30" s="39" t="n"/>
      <c r="T30" s="39" t="n"/>
      <c r="U30" s="39" t="n"/>
      <c r="V30" s="39" t="n"/>
      <c r="W30" s="39" t="n"/>
      <c r="X30" s="39" t="n"/>
      <c r="Y30" s="39" t="n"/>
      <c r="Z30" s="39" t="n"/>
      <c r="AA30" s="39" t="n"/>
      <c r="AB30" s="6" t="n"/>
      <c r="AC30" s="6" t="n"/>
      <c r="AD30" s="6" t="n"/>
      <c r="AE30" s="380">
        <f>AC30+IF(NOT(ISBLANK(OFFSET(AE30,0,6))),N(OFFSET(AE30,0,6)),N(OFFSET(AE30,0,7)))-AD30</f>
        <v/>
      </c>
      <c r="AF30" s="370" t="n"/>
      <c r="AG30" s="355" t="n"/>
      <c r="AJ30" s="11" t="n"/>
      <c r="AK30" s="11" t="n"/>
      <c r="AL30" s="11" t="n"/>
      <c r="AM30" s="11" t="n"/>
      <c r="AN30" s="11" t="n"/>
      <c r="AO30" s="11" t="n"/>
      <c r="AP30" s="11" t="n"/>
      <c r="AQ30" s="11" t="n"/>
      <c r="AR30" s="11" t="n"/>
      <c r="AS30" s="11" t="n"/>
      <c r="AT30" s="11" t="n"/>
      <c r="AU30" s="11" t="n"/>
      <c r="AV30" s="11" t="n"/>
      <c r="AW30" s="11" t="n"/>
      <c r="AX30" s="11" t="n"/>
      <c r="AY30" s="11" t="n"/>
    </row>
    <row r="31" hidden="1">
      <c r="A31" s="25" t="inlineStr">
        <is>
          <t>CAIXA M NATAL/25</t>
        </is>
      </c>
      <c r="B31" s="6" t="n">
        <v>100</v>
      </c>
      <c r="C31" s="639" t="n">
        <v>792.2</v>
      </c>
      <c r="D31" s="404" t="n"/>
      <c r="F31" s="6" t="n">
        <v>127</v>
      </c>
      <c r="G31" s="39" t="n">
        <v>57</v>
      </c>
      <c r="H31" s="39" t="n">
        <v>53</v>
      </c>
      <c r="I31" s="39" t="n">
        <v>52</v>
      </c>
      <c r="J31" s="39" t="n">
        <v>47</v>
      </c>
      <c r="K31" s="39" t="n">
        <v>38</v>
      </c>
      <c r="L31" s="39" t="n">
        <v>26</v>
      </c>
      <c r="M31" s="39" t="n">
        <v>12</v>
      </c>
      <c r="N31" s="39" t="n">
        <v>10</v>
      </c>
      <c r="O31" s="39" t="n">
        <v>4</v>
      </c>
      <c r="P31" s="39" t="n">
        <v>0</v>
      </c>
      <c r="Q31" s="39" t="n">
        <v>0</v>
      </c>
      <c r="R31" s="39" t="n">
        <v>0</v>
      </c>
      <c r="S31" s="39" t="n"/>
      <c r="T31" s="39" t="n"/>
      <c r="U31" s="39" t="n"/>
      <c r="V31" s="39" t="n"/>
      <c r="W31" s="39" t="n"/>
      <c r="X31" s="39" t="n"/>
      <c r="Y31" s="39" t="n"/>
      <c r="Z31" s="39" t="n"/>
      <c r="AA31" s="39" t="n"/>
      <c r="AB31" s="6" t="n"/>
      <c r="AC31" s="6" t="n"/>
      <c r="AD31" s="6" t="n"/>
      <c r="AE31" s="380">
        <f>AC31+IF(NOT(ISBLANK(OFFSET(AE31,0,6))),N(OFFSET(AE31,0,6)),N(OFFSET(AE31,0,7)))-AD31</f>
        <v/>
      </c>
      <c r="AF31" s="370" t="n"/>
      <c r="AG31" s="355" t="n"/>
      <c r="AJ31" s="11" t="n"/>
      <c r="AK31" s="11" t="n"/>
      <c r="AL31" s="11" t="n"/>
      <c r="AM31" s="11" t="n"/>
      <c r="AN31" s="11" t="n"/>
      <c r="AO31" s="11" t="n"/>
      <c r="AP31" s="11" t="n"/>
      <c r="AQ31" s="11" t="n"/>
      <c r="AR31" s="11" t="n"/>
      <c r="AS31" s="11" t="n"/>
      <c r="AT31" s="11" t="n"/>
      <c r="AU31" s="11" t="n"/>
      <c r="AV31" s="11" t="n"/>
      <c r="AW31" s="11" t="n"/>
      <c r="AX31" s="11" t="n"/>
      <c r="AY31" s="11" t="n"/>
    </row>
    <row r="32" hidden="1">
      <c r="A32" s="25" t="inlineStr">
        <is>
          <t>CARTUCHO P NATAL/25</t>
        </is>
      </c>
      <c r="B32" s="6" t="n">
        <v>200</v>
      </c>
      <c r="C32" s="639" t="n">
        <v>487.2</v>
      </c>
      <c r="D32" s="404" t="n"/>
      <c r="F32" s="6" t="n">
        <v>24</v>
      </c>
      <c r="G32" s="39" t="n">
        <v>-4</v>
      </c>
      <c r="H32" s="39" t="n">
        <v>-4</v>
      </c>
      <c r="I32" s="39" t="n">
        <v>-4</v>
      </c>
      <c r="J32" s="39" t="n">
        <v>0</v>
      </c>
      <c r="K32" s="39" t="n">
        <v>0</v>
      </c>
      <c r="L32" s="39" t="n">
        <v>0</v>
      </c>
      <c r="M32" s="39" t="n">
        <v>0</v>
      </c>
      <c r="N32" s="39" t="n">
        <v>0</v>
      </c>
      <c r="O32" s="39" t="n">
        <v>0</v>
      </c>
      <c r="P32" s="39" t="n">
        <v>0</v>
      </c>
      <c r="Q32" s="39" t="n">
        <v>0</v>
      </c>
      <c r="R32" s="39" t="n">
        <v>0</v>
      </c>
      <c r="S32" s="39" t="n"/>
      <c r="T32" s="39" t="n"/>
      <c r="U32" s="39" t="n"/>
      <c r="V32" s="39" t="n"/>
      <c r="W32" s="39" t="n"/>
      <c r="X32" s="39" t="n"/>
      <c r="Y32" s="39" t="n"/>
      <c r="Z32" s="39" t="n"/>
      <c r="AA32" s="39" t="n"/>
      <c r="AB32" s="6" t="n"/>
      <c r="AC32" s="6" t="n"/>
      <c r="AD32" s="6" t="n"/>
      <c r="AE32" s="380">
        <f>AC32+IF(NOT(ISBLANK(OFFSET(AE32,0,6))),N(OFFSET(AE32,0,6)),N(OFFSET(AE32,0,7)))-AD32</f>
        <v/>
      </c>
      <c r="AF32" s="370" t="n"/>
      <c r="AG32" s="355" t="n"/>
      <c r="AJ32" s="11" t="n"/>
      <c r="AK32" s="11" t="n"/>
      <c r="AL32" s="11" t="n"/>
      <c r="AM32" s="11" t="n"/>
      <c r="AN32" s="11" t="n"/>
      <c r="AO32" s="11" t="n"/>
      <c r="AP32" s="11" t="n"/>
      <c r="AQ32" s="11" t="n"/>
      <c r="AR32" s="11" t="n"/>
      <c r="AS32" s="11" t="n"/>
      <c r="AT32" s="11" t="n"/>
      <c r="AU32" s="11" t="n"/>
      <c r="AV32" s="11" t="n"/>
      <c r="AW32" s="11" t="n"/>
      <c r="AX32" s="11" t="n"/>
      <c r="AY32" s="11" t="n"/>
    </row>
    <row r="33" hidden="1">
      <c r="A33" s="25" t="inlineStr">
        <is>
          <t>CARTUCHO M NATAL/25</t>
        </is>
      </c>
      <c r="B33" s="6" t="n">
        <v>150</v>
      </c>
      <c r="C33" s="639" t="n">
        <v>460.35</v>
      </c>
      <c r="D33" s="404" t="n"/>
      <c r="F33" s="6" t="n">
        <v>9</v>
      </c>
      <c r="G33" s="39" t="n">
        <v>0</v>
      </c>
      <c r="H33" s="39" t="n">
        <v>0</v>
      </c>
      <c r="I33" s="39" t="n">
        <v>0</v>
      </c>
      <c r="J33" s="39" t="n">
        <v>0</v>
      </c>
      <c r="K33" s="39" t="n">
        <v>0</v>
      </c>
      <c r="L33" s="39" t="n">
        <v>0</v>
      </c>
      <c r="M33" s="39" t="n">
        <v>0</v>
      </c>
      <c r="N33" s="39" t="n">
        <v>0</v>
      </c>
      <c r="O33" s="39" t="n">
        <v>0</v>
      </c>
      <c r="P33" s="39" t="n">
        <v>0</v>
      </c>
      <c r="Q33" s="39" t="n">
        <v>0</v>
      </c>
      <c r="R33" s="39" t="n">
        <v>0</v>
      </c>
      <c r="S33" s="39" t="n"/>
      <c r="T33" s="39" t="n"/>
      <c r="U33" s="39" t="n"/>
      <c r="V33" s="39" t="n"/>
      <c r="W33" s="39" t="n"/>
      <c r="X33" s="39" t="n"/>
      <c r="Y33" s="39" t="n"/>
      <c r="Z33" s="39" t="n"/>
      <c r="AA33" s="39" t="n"/>
      <c r="AB33" s="6" t="n"/>
      <c r="AC33" s="6" t="n"/>
      <c r="AD33" s="6" t="n"/>
      <c r="AE33" s="380">
        <f>AC33+IF(NOT(ISBLANK(OFFSET(AE33,0,6))),N(OFFSET(AE33,0,6)),N(OFFSET(AE33,0,7)))-AD33</f>
        <v/>
      </c>
      <c r="AF33" s="370" t="n"/>
      <c r="AG33" s="355" t="n"/>
      <c r="AJ33" s="11" t="n"/>
      <c r="AK33" s="11" t="n"/>
      <c r="AL33" s="11" t="n"/>
      <c r="AM33" s="11" t="n"/>
      <c r="AN33" s="11" t="n"/>
      <c r="AO33" s="11" t="n"/>
      <c r="AP33" s="11" t="n"/>
      <c r="AQ33" s="11" t="n"/>
      <c r="AR33" s="11" t="n"/>
      <c r="AS33" s="11" t="n"/>
      <c r="AT33" s="11" t="n"/>
      <c r="AU33" s="11" t="n"/>
      <c r="AV33" s="11" t="n"/>
      <c r="AW33" s="11" t="n"/>
      <c r="AX33" s="11" t="n"/>
      <c r="AY33" s="11" t="n"/>
    </row>
    <row r="34">
      <c r="A34" s="25" t="inlineStr">
        <is>
          <t>PIN NATAL/25</t>
        </is>
      </c>
      <c r="B34" s="6" t="n">
        <v>10</v>
      </c>
      <c r="C34" s="639" t="n">
        <v>120</v>
      </c>
      <c r="D34" s="404" t="n"/>
      <c r="F34" s="39" t="n">
        <v>4</v>
      </c>
      <c r="G34" s="39" t="n">
        <v>4</v>
      </c>
      <c r="H34" s="39" t="n">
        <v>4</v>
      </c>
      <c r="I34" s="39" t="n">
        <v>4</v>
      </c>
      <c r="J34" s="39" t="n">
        <v>4</v>
      </c>
      <c r="K34" s="39" t="n">
        <v>4</v>
      </c>
      <c r="L34" s="39" t="n">
        <v>4</v>
      </c>
      <c r="M34" s="39" t="n">
        <v>4</v>
      </c>
      <c r="N34" s="39" t="n">
        <v>4</v>
      </c>
      <c r="O34" s="39" t="n">
        <v>4</v>
      </c>
      <c r="P34" s="39" t="n">
        <v>4</v>
      </c>
      <c r="Q34" s="39" t="n">
        <v>4</v>
      </c>
      <c r="R34" s="39" t="n">
        <v>4</v>
      </c>
      <c r="S34" s="39" t="n">
        <v>4</v>
      </c>
      <c r="T34" s="39" t="n">
        <v>4</v>
      </c>
      <c r="U34" s="39" t="n">
        <v>4</v>
      </c>
      <c r="V34" s="39" t="n">
        <v>4</v>
      </c>
      <c r="W34" s="39" t="n">
        <v>4</v>
      </c>
      <c r="X34" s="39" t="n">
        <v>4</v>
      </c>
      <c r="Y34" s="39" t="n">
        <v>4</v>
      </c>
      <c r="Z34" s="39" t="n">
        <v>4</v>
      </c>
      <c r="AA34" s="39" t="n">
        <v>4</v>
      </c>
      <c r="AB34" s="6" t="n">
        <v>4</v>
      </c>
      <c r="AC34" s="6" t="n">
        <v>4</v>
      </c>
      <c r="AD34" s="6" t="n">
        <v>4</v>
      </c>
      <c r="AE34" s="380">
        <f>AC34+IF(NOT(ISBLANK(OFFSET(AE34,0,6))),N(OFFSET(AE34,0,6)),N(OFFSET(AE34,0,7)))-AD34</f>
        <v/>
      </c>
      <c r="AF34" s="370" t="n"/>
      <c r="AG34" s="355" t="n"/>
      <c r="AJ34" s="11" t="n"/>
      <c r="AK34" s="11" t="n"/>
      <c r="AL34" s="11" t="n"/>
      <c r="AM34" s="11" t="n"/>
      <c r="AN34" s="11" t="n"/>
      <c r="AO34" s="11" t="n"/>
      <c r="AP34" s="11" t="n"/>
      <c r="AQ34" s="11" t="n"/>
      <c r="AR34" s="11" t="n"/>
      <c r="AS34" s="11" t="n"/>
      <c r="AT34" s="11" t="n"/>
      <c r="AU34" s="11" t="n"/>
      <c r="AV34" s="11" t="n"/>
      <c r="AW34" s="11" t="n"/>
      <c r="AX34" s="11" t="n"/>
      <c r="AY34" s="11" t="n"/>
    </row>
    <row r="35">
      <c r="AF35" s="370" t="n"/>
      <c r="AG35" s="355" t="n"/>
      <c r="AJ35" s="11" t="n"/>
      <c r="AK35" s="11" t="n"/>
      <c r="AL35" s="11" t="n"/>
      <c r="AM35" s="11" t="n"/>
      <c r="AN35" s="11" t="n"/>
      <c r="AO35" s="11" t="n"/>
      <c r="AP35" s="11" t="n"/>
      <c r="AQ35" s="11" t="n"/>
      <c r="AR35" s="11" t="n"/>
      <c r="AS35" s="11" t="n"/>
      <c r="AT35" s="11" t="n"/>
      <c r="AU35" s="11" t="n"/>
      <c r="AV35" s="11" t="n"/>
      <c r="AW35" s="11" t="n"/>
      <c r="AX35" s="11" t="n"/>
      <c r="AY35" s="11" t="n"/>
    </row>
    <row r="36" ht="21" customHeight="1">
      <c r="A36" s="402" t="inlineStr">
        <is>
          <t>SOBRAS DATAS COMEMORATIVAS</t>
        </is>
      </c>
      <c r="B36" s="402" t="n"/>
      <c r="C36" s="402" t="n"/>
      <c r="AF36" s="370" t="n"/>
      <c r="AG36" s="355" t="n"/>
      <c r="AJ36" s="11" t="n"/>
      <c r="AK36" s="11" t="n"/>
      <c r="AL36" s="11" t="n"/>
      <c r="AM36" s="11" t="n"/>
      <c r="AN36" s="11" t="n"/>
      <c r="AO36" s="11" t="n"/>
      <c r="AP36" s="11" t="n"/>
      <c r="AQ36" s="11" t="n"/>
      <c r="AR36" s="11" t="n"/>
      <c r="AS36" s="11" t="n"/>
      <c r="AT36" s="11" t="n"/>
      <c r="AU36" s="11" t="n"/>
      <c r="AV36" s="11" t="n"/>
      <c r="AW36" s="11" t="n"/>
      <c r="AX36" s="11" t="n"/>
      <c r="AY36" s="11" t="n"/>
    </row>
    <row r="37">
      <c r="A37" s="369" t="inlineStr">
        <is>
          <t>ITENS</t>
        </is>
      </c>
      <c r="B37" s="369" t="n"/>
      <c r="C37" s="369" t="inlineStr">
        <is>
          <t>ESTOQUE</t>
        </is>
      </c>
      <c r="E37" s="41" t="n"/>
      <c r="F37" s="41" t="n"/>
      <c r="G37" s="41" t="n"/>
      <c r="H37" s="41" t="n"/>
      <c r="I37" s="41" t="n"/>
      <c r="J37" s="41" t="n"/>
      <c r="K37" s="41" t="n"/>
      <c r="L37" s="41" t="n"/>
      <c r="M37" s="41" t="n"/>
      <c r="N37" s="41" t="n"/>
      <c r="O37" s="41" t="n"/>
      <c r="P37" s="41" t="n"/>
      <c r="Q37" s="41" t="n"/>
      <c r="R37" s="41" t="n"/>
      <c r="S37" s="41" t="n"/>
      <c r="T37" s="41" t="n"/>
      <c r="U37" s="41" t="n"/>
      <c r="V37" s="41" t="n"/>
      <c r="W37" s="41" t="n"/>
      <c r="X37" s="41" t="n"/>
      <c r="Y37" s="41" t="n"/>
      <c r="Z37" s="41" t="n"/>
      <c r="AA37" s="41" t="n"/>
      <c r="AB37" s="41" t="n"/>
      <c r="AC37" s="41" t="n"/>
      <c r="AD37" s="41" t="n"/>
      <c r="AE37" s="41" t="n"/>
      <c r="AF37" s="370" t="n"/>
      <c r="AG37" s="355" t="n"/>
      <c r="AH37" s="41" t="n"/>
      <c r="AJ37" s="11" t="n"/>
      <c r="AK37" s="11" t="n"/>
      <c r="AL37" s="11" t="n"/>
      <c r="AM37" s="11" t="n"/>
      <c r="AN37" s="11" t="n"/>
      <c r="AO37" s="11" t="n"/>
      <c r="AP37" s="11" t="n"/>
      <c r="AQ37" s="11" t="n"/>
      <c r="AR37" s="11" t="n"/>
      <c r="AS37" s="11" t="n"/>
      <c r="AT37" s="11" t="n"/>
      <c r="AU37" s="11" t="n"/>
      <c r="AV37" s="11" t="n"/>
      <c r="AW37" s="11" t="n"/>
      <c r="AX37" s="11" t="n"/>
      <c r="AY37" s="11" t="n"/>
    </row>
    <row r="38">
      <c r="A38" s="156" t="n"/>
      <c r="B38" s="375" t="n"/>
      <c r="C38" s="376" t="n"/>
      <c r="E38" s="41" t="n"/>
      <c r="F38" s="41" t="n"/>
      <c r="G38" s="41" t="n"/>
      <c r="H38" s="41" t="n"/>
      <c r="I38" s="41" t="n"/>
      <c r="J38" s="41" t="n"/>
      <c r="K38" s="41" t="n"/>
      <c r="L38" s="41" t="n"/>
      <c r="M38" s="41" t="n"/>
      <c r="N38" s="41" t="n"/>
      <c r="O38" s="41" t="n"/>
      <c r="P38" s="41" t="n"/>
      <c r="Q38" s="41" t="n"/>
      <c r="R38" s="41" t="n"/>
      <c r="S38" s="41" t="n"/>
      <c r="T38" s="41" t="n"/>
      <c r="U38" s="41" t="n"/>
      <c r="V38" s="41" t="n"/>
      <c r="W38" s="41" t="n"/>
      <c r="X38" s="41" t="n"/>
      <c r="Y38" s="41" t="n"/>
      <c r="Z38" s="41" t="n"/>
      <c r="AA38" s="41" t="n"/>
      <c r="AB38" s="41" t="n"/>
      <c r="AC38" s="41" t="n"/>
      <c r="AD38" s="41" t="n"/>
      <c r="AE38" s="41" t="n"/>
      <c r="AF38" s="41" t="n"/>
      <c r="AG38" s="355" t="n"/>
      <c r="AH38" s="41" t="n"/>
      <c r="AI38" s="41" t="n"/>
      <c r="AJ38" s="11" t="n"/>
      <c r="AK38" s="11" t="n"/>
      <c r="AL38" s="11" t="n"/>
      <c r="AM38" s="11" t="n"/>
      <c r="AN38" s="11" t="n"/>
      <c r="AO38" s="11" t="n"/>
      <c r="AP38" s="11" t="n"/>
      <c r="AQ38" s="11" t="n"/>
      <c r="AR38" s="11" t="n"/>
      <c r="AS38" s="11" t="n"/>
      <c r="AT38" s="11" t="n"/>
      <c r="AU38" s="11" t="n"/>
      <c r="AV38" s="11" t="n"/>
      <c r="AW38" s="11" t="n"/>
      <c r="AX38" s="11" t="n"/>
      <c r="AY38" s="11" t="n"/>
      <c r="AZ38" s="34" t="n"/>
      <c r="BN38" s="34" t="n"/>
      <c r="BO38" s="34" t="n"/>
      <c r="BP38" s="34" t="n"/>
      <c r="BQ38" s="34" t="n"/>
      <c r="BR38" s="34" t="n"/>
      <c r="BS38" s="34" t="n"/>
      <c r="BT38" s="34" t="n"/>
      <c r="BU38" s="34" t="n"/>
      <c r="BV38" s="34" t="n"/>
      <c r="BW38" s="34" t="n"/>
      <c r="BX38" s="34" t="n"/>
      <c r="BY38" s="34" t="n"/>
      <c r="BZ38" s="34" t="n"/>
      <c r="CA38" s="34" t="n"/>
      <c r="CB38" s="34" t="n"/>
      <c r="CC38" s="34" t="n"/>
      <c r="CD38" s="34" t="n"/>
      <c r="CE38" s="34" t="n"/>
      <c r="CF38" s="34" t="n"/>
      <c r="CG38" s="34" t="n"/>
      <c r="CH38" s="34" t="n"/>
      <c r="CI38" s="34" t="n"/>
      <c r="CJ38" s="34" t="n"/>
      <c r="CK38" s="34" t="n"/>
      <c r="CL38" s="34" t="n"/>
      <c r="CM38" s="34" t="n"/>
      <c r="CN38" s="34" t="n"/>
      <c r="CO38" s="34" t="n"/>
      <c r="CP38" s="34" t="n"/>
      <c r="CQ38" s="34" t="n"/>
      <c r="CR38" s="34" t="n"/>
      <c r="CS38" s="34" t="n"/>
      <c r="CT38" s="34" t="n"/>
      <c r="CU38" s="34" t="n"/>
      <c r="CV38" s="34" t="n"/>
      <c r="CW38" s="34" t="n"/>
      <c r="CX38" s="34" t="n"/>
      <c r="CY38" s="34" t="n"/>
      <c r="CZ38" s="34" t="n"/>
      <c r="DA38" s="34" t="n"/>
      <c r="DB38" s="34" t="n"/>
      <c r="DC38" s="34" t="n"/>
      <c r="DD38" s="34" t="n"/>
      <c r="DE38" s="34" t="n"/>
      <c r="DF38" s="34" t="n"/>
      <c r="DG38" s="34" t="n"/>
      <c r="DH38" s="34" t="n"/>
      <c r="DI38" s="34" t="n"/>
      <c r="DJ38" s="34" t="n"/>
      <c r="DK38" s="34" t="n"/>
      <c r="DL38" s="34" t="n"/>
      <c r="DM38" s="34" t="n"/>
      <c r="DN38" s="34" t="n"/>
      <c r="DO38" s="34" t="n"/>
      <c r="DP38" s="34" t="n"/>
      <c r="DQ38" s="34" t="n"/>
      <c r="DR38" s="34" t="n"/>
      <c r="DS38" s="41" t="n"/>
      <c r="DT38" s="34" t="n"/>
      <c r="DU38" s="41" t="n"/>
      <c r="DV38" s="71" t="n"/>
      <c r="DW38" s="71" t="n"/>
      <c r="DX38" s="34" t="n"/>
      <c r="DY38" s="34" t="n"/>
      <c r="DZ38" s="71" t="n"/>
      <c r="EA38" s="71" t="n"/>
      <c r="EB38" s="34" t="n"/>
      <c r="EC38" s="71" t="n"/>
      <c r="ED38" s="34" t="n"/>
      <c r="EE38" s="34" t="n"/>
      <c r="EF38" s="34" t="n"/>
      <c r="EG38" s="71" t="n"/>
      <c r="EH38" s="358" t="n"/>
      <c r="EI38" s="34" t="n"/>
      <c r="EJ38" s="71" t="n"/>
      <c r="EK38" s="71" t="n"/>
      <c r="EL38" s="71" t="n"/>
      <c r="EM38" s="34" t="n"/>
    </row>
    <row r="39">
      <c r="A39" s="156" t="inlineStr">
        <is>
          <t>SACOLA G NATAL/24</t>
        </is>
      </c>
      <c r="B39" s="375" t="n"/>
      <c r="C39" s="376" t="n">
        <v>100</v>
      </c>
      <c r="E39" s="41" t="n"/>
      <c r="F39" s="41" t="n"/>
      <c r="G39" s="41" t="n"/>
      <c r="H39" s="41" t="n"/>
      <c r="I39" s="41" t="n"/>
      <c r="J39" s="41" t="n"/>
      <c r="K39" s="41" t="n"/>
      <c r="L39" s="41" t="n"/>
      <c r="M39" s="41" t="n"/>
      <c r="N39" s="41" t="n"/>
      <c r="O39" s="41" t="n"/>
      <c r="P39" s="41" t="n"/>
      <c r="Q39" s="41" t="n"/>
      <c r="R39" s="41" t="n"/>
      <c r="S39" s="41" t="n"/>
      <c r="T39" s="41" t="n"/>
      <c r="U39" s="41" t="n"/>
      <c r="V39" s="41" t="n"/>
      <c r="W39" s="41" t="n"/>
      <c r="X39" s="41" t="n"/>
      <c r="Y39" s="41" t="n"/>
      <c r="Z39" s="41" t="n"/>
      <c r="AA39" s="41" t="n"/>
      <c r="AB39" s="41" t="n"/>
      <c r="AC39" s="41" t="n"/>
      <c r="AD39" s="41" t="n"/>
      <c r="AE39" s="41" t="n"/>
      <c r="AF39" s="41" t="n"/>
      <c r="AG39" s="355" t="n"/>
      <c r="AH39" s="41" t="n"/>
      <c r="AI39" s="41" t="n"/>
      <c r="AJ39" s="409" t="n"/>
      <c r="AK39" s="409" t="n"/>
      <c r="AL39" s="409" t="n"/>
      <c r="AM39" s="409" t="n"/>
      <c r="AN39" s="409" t="n"/>
      <c r="AO39" s="409" t="n"/>
      <c r="AP39" s="409" t="n"/>
      <c r="AQ39" s="409" t="n"/>
      <c r="AR39" s="409" t="n"/>
      <c r="AS39" s="11" t="n"/>
      <c r="AT39" s="11" t="n"/>
      <c r="AU39" s="11" t="n"/>
      <c r="AV39" s="11" t="n"/>
      <c r="AW39" s="11" t="n"/>
      <c r="AX39" s="11" t="n"/>
      <c r="AY39" s="11" t="n"/>
      <c r="AZ39" s="34" t="n"/>
      <c r="BN39" s="34" t="n"/>
      <c r="BO39" s="34" t="n"/>
      <c r="BP39" s="34" t="n"/>
      <c r="BQ39" s="34" t="n"/>
      <c r="BR39" s="34" t="n"/>
      <c r="BS39" s="34" t="n"/>
      <c r="BT39" s="34" t="n"/>
      <c r="BU39" s="34" t="n"/>
      <c r="BV39" s="34" t="n"/>
      <c r="BW39" s="34" t="n"/>
      <c r="BX39" s="34" t="n"/>
      <c r="BY39" s="34" t="n"/>
      <c r="BZ39" s="34" t="n"/>
      <c r="CA39" s="34" t="n"/>
      <c r="CB39" s="34" t="n"/>
      <c r="CC39" s="34" t="n"/>
      <c r="CD39" s="34" t="n"/>
      <c r="CE39" s="34" t="n"/>
      <c r="CF39" s="34" t="n"/>
      <c r="CG39" s="34" t="n"/>
      <c r="CH39" s="34" t="n"/>
      <c r="CI39" s="34" t="n"/>
      <c r="CJ39" s="34" t="n"/>
      <c r="CK39" s="34" t="n"/>
      <c r="CL39" s="34" t="n"/>
      <c r="CM39" s="34" t="n"/>
      <c r="CN39" s="34" t="n"/>
      <c r="CO39" s="34" t="n"/>
      <c r="CP39" s="34" t="n"/>
      <c r="CQ39" s="34" t="n"/>
      <c r="CR39" s="34" t="n"/>
      <c r="CS39" s="34" t="n"/>
      <c r="CT39" s="34" t="n"/>
      <c r="CU39" s="34" t="n"/>
      <c r="CV39" s="34" t="n"/>
      <c r="CW39" s="34" t="n"/>
      <c r="CX39" s="34" t="n"/>
      <c r="CY39" s="34" t="n"/>
      <c r="CZ39" s="34" t="n"/>
      <c r="DA39" s="34" t="n"/>
      <c r="DB39" s="34" t="n"/>
      <c r="DC39" s="34" t="n"/>
      <c r="DD39" s="34" t="n"/>
      <c r="DE39" s="34" t="n"/>
      <c r="DF39" s="34" t="n"/>
      <c r="DG39" s="34" t="n"/>
      <c r="DH39" s="34" t="n"/>
      <c r="DI39" s="34" t="n"/>
      <c r="DJ39" s="34" t="n"/>
      <c r="DK39" s="34" t="n"/>
      <c r="DL39" s="34" t="n"/>
      <c r="DM39" s="34" t="n"/>
      <c r="DN39" s="34" t="n"/>
      <c r="DO39" s="34" t="n"/>
      <c r="DP39" s="34" t="n"/>
      <c r="DQ39" s="34" t="n"/>
      <c r="DR39" s="34" t="n"/>
      <c r="DS39" s="41" t="n"/>
      <c r="DT39" s="34" t="n"/>
      <c r="DU39" s="41" t="n"/>
      <c r="DV39" s="71" t="n"/>
      <c r="DW39" s="71" t="n"/>
      <c r="DX39" s="34" t="n"/>
      <c r="DY39" s="34" t="n"/>
      <c r="DZ39" s="71" t="n"/>
      <c r="EA39" s="71" t="n"/>
      <c r="EB39" s="34" t="n"/>
      <c r="EC39" s="71" t="n"/>
      <c r="ED39" s="34" t="n"/>
      <c r="EE39" s="34" t="n"/>
      <c r="EF39" s="34" t="n"/>
      <c r="EG39" s="71" t="n"/>
      <c r="EH39" s="358" t="n"/>
      <c r="EI39" s="34" t="n"/>
      <c r="EJ39" s="71" t="n"/>
      <c r="EK39" s="71" t="n"/>
      <c r="EL39" s="71" t="n"/>
      <c r="EM39" s="34" t="n"/>
      <c r="EN39" s="409" t="n"/>
      <c r="EP39" s="409" t="n"/>
      <c r="EQ39" s="409" t="n"/>
      <c r="ER39" s="409" t="n"/>
      <c r="ES39" s="409" t="n"/>
      <c r="ET39" s="409" t="n"/>
      <c r="EU39" s="409" t="n"/>
      <c r="EV39" s="409" t="n"/>
      <c r="EX39" s="409" t="n"/>
      <c r="EZ39" s="409" t="n"/>
      <c r="FB39" s="409" t="n"/>
      <c r="FC39" s="409" t="n"/>
      <c r="FD39" s="409" t="n"/>
      <c r="FF39" s="409" t="n"/>
      <c r="FG39" s="409" t="n"/>
      <c r="FH39" s="409" t="n"/>
      <c r="FJ39" s="409" t="n"/>
      <c r="FL39" s="409" t="n"/>
      <c r="FM39" s="409" t="n"/>
      <c r="FN39" s="409" t="n"/>
      <c r="FP39" s="409" t="n"/>
      <c r="FQ39" s="409" t="n"/>
      <c r="FR39" s="409" t="n"/>
      <c r="FT39" s="409" t="n"/>
      <c r="FU39" s="409" t="n"/>
      <c r="FV39" s="409" t="n"/>
      <c r="FW39" s="409" t="n"/>
      <c r="FX39" s="409" t="n"/>
      <c r="FY39" s="409" t="n"/>
      <c r="FZ39" s="409" t="n"/>
      <c r="GA39" s="409" t="n"/>
      <c r="GB39" s="409" t="n"/>
      <c r="GC39" s="409" t="n"/>
      <c r="GD39" s="409" t="n"/>
      <c r="GE39" s="409" t="n"/>
      <c r="GF39" s="409" t="n"/>
      <c r="GG39" s="409" t="n"/>
    </row>
    <row r="40">
      <c r="A40" s="256" t="inlineStr">
        <is>
          <t>TAG DIVERTIDAMENTE</t>
        </is>
      </c>
      <c r="B40" s="375" t="n"/>
      <c r="C40" s="257" t="n">
        <v>103</v>
      </c>
      <c r="E40" s="41" t="n"/>
      <c r="F40" s="41" t="n"/>
      <c r="G40" s="41" t="n"/>
      <c r="H40" s="41" t="n"/>
      <c r="I40" s="41" t="n"/>
      <c r="J40" s="41" t="n"/>
      <c r="K40" s="41" t="n"/>
      <c r="L40" s="41" t="n"/>
      <c r="M40" s="41" t="n"/>
      <c r="N40" s="41" t="n"/>
      <c r="O40" s="41" t="n"/>
      <c r="P40" s="41" t="n"/>
      <c r="Q40" s="41" t="n"/>
      <c r="R40" s="41" t="n"/>
      <c r="S40" s="41" t="n"/>
      <c r="T40" s="41" t="n"/>
      <c r="U40" s="41" t="n"/>
      <c r="V40" s="41" t="n"/>
      <c r="W40" s="41" t="n"/>
      <c r="X40" s="41" t="n"/>
      <c r="Y40" s="41" t="n"/>
      <c r="Z40" s="41" t="n"/>
      <c r="AA40" s="41" t="n"/>
      <c r="AB40" s="41" t="n"/>
      <c r="AC40" s="41" t="n"/>
      <c r="AD40" s="41" t="n"/>
      <c r="AE40" s="41" t="n"/>
      <c r="AF40" s="41" t="n"/>
      <c r="AG40" s="355" t="n"/>
      <c r="AH40" s="41" t="n"/>
      <c r="AI40" s="41" t="n"/>
      <c r="AJ40" s="409" t="n"/>
      <c r="AK40" s="409" t="n"/>
      <c r="AL40" s="409" t="n"/>
      <c r="AM40" s="409" t="n"/>
      <c r="AN40" s="409" t="n"/>
      <c r="AO40" s="409" t="n"/>
      <c r="AP40" s="409" t="n"/>
      <c r="AQ40" s="409" t="n"/>
      <c r="AR40" s="409" t="n"/>
      <c r="AS40" s="11" t="n"/>
      <c r="AT40" s="11" t="n"/>
      <c r="AU40" s="11" t="n"/>
      <c r="AV40" s="11" t="n"/>
      <c r="AW40" s="11" t="n"/>
      <c r="AX40" s="11" t="n"/>
      <c r="AY40" s="11" t="n"/>
      <c r="AZ40" s="34" t="n"/>
      <c r="BN40" s="34" t="n"/>
      <c r="BO40" s="34" t="n"/>
      <c r="BP40" s="34" t="n"/>
      <c r="BQ40" s="34" t="n"/>
      <c r="BR40" s="34" t="n"/>
      <c r="BS40" s="34" t="n"/>
      <c r="BT40" s="34" t="n"/>
      <c r="BU40" s="34" t="n"/>
      <c r="BV40" s="34" t="n"/>
      <c r="BW40" s="34" t="n"/>
      <c r="BX40" s="34" t="n"/>
      <c r="BY40" s="34" t="n"/>
      <c r="BZ40" s="34" t="n"/>
      <c r="CA40" s="34" t="n"/>
      <c r="CB40" s="34" t="n"/>
      <c r="CC40" s="34" t="n"/>
      <c r="CD40" s="34" t="n"/>
      <c r="CE40" s="34" t="n"/>
      <c r="CF40" s="34" t="n"/>
      <c r="CG40" s="34" t="n"/>
      <c r="CH40" s="34" t="n"/>
      <c r="CI40" s="34" t="n"/>
      <c r="CJ40" s="34" t="n"/>
      <c r="CK40" s="34" t="n"/>
      <c r="CL40" s="34" t="n"/>
      <c r="CM40" s="34" t="n"/>
      <c r="CN40" s="34" t="n"/>
      <c r="CO40" s="34" t="n"/>
      <c r="CP40" s="34" t="n"/>
      <c r="CQ40" s="34" t="n"/>
      <c r="CR40" s="34" t="n"/>
      <c r="CS40" s="34" t="n"/>
      <c r="CT40" s="34" t="n"/>
      <c r="CU40" s="34" t="n"/>
      <c r="CV40" s="34" t="n"/>
      <c r="CW40" s="34" t="n"/>
      <c r="CX40" s="34" t="n"/>
      <c r="CY40" s="34" t="n"/>
      <c r="CZ40" s="34" t="n"/>
      <c r="DA40" s="34" t="n"/>
      <c r="DB40" s="34" t="n"/>
      <c r="DC40" s="34" t="n"/>
      <c r="DD40" s="34" t="n"/>
      <c r="DE40" s="34" t="n"/>
      <c r="DF40" s="34" t="n"/>
      <c r="DG40" s="34" t="n"/>
      <c r="DH40" s="34" t="n"/>
      <c r="DI40" s="34" t="n"/>
      <c r="DJ40" s="34" t="n"/>
      <c r="DK40" s="34" t="n"/>
      <c r="DL40" s="34" t="n"/>
      <c r="DM40" s="34" t="n"/>
      <c r="DN40" s="34" t="n"/>
      <c r="DO40" s="34" t="n"/>
      <c r="DP40" s="34" t="n"/>
      <c r="DQ40" s="34" t="n"/>
      <c r="DR40" s="34" t="n"/>
      <c r="DS40" s="41" t="n"/>
      <c r="DT40" s="34" t="n"/>
      <c r="DU40" s="41" t="n"/>
      <c r="DV40" s="71" t="n"/>
      <c r="DW40" s="71" t="n"/>
      <c r="DX40" s="34" t="n"/>
      <c r="DY40" s="34" t="n"/>
      <c r="DZ40" s="71" t="n"/>
      <c r="EA40" s="71" t="n"/>
      <c r="EB40" s="34" t="n"/>
      <c r="EC40" s="71" t="n"/>
      <c r="ED40" s="34" t="n"/>
      <c r="EE40" s="34" t="n"/>
      <c r="EF40" s="34" t="n"/>
      <c r="EG40" s="71" t="n"/>
      <c r="EH40" s="358" t="n"/>
      <c r="EI40" s="34" t="n"/>
      <c r="EJ40" s="71" t="n"/>
      <c r="EK40" s="71" t="n"/>
      <c r="EL40" s="71" t="n"/>
      <c r="EM40" s="34" t="n"/>
      <c r="EN40" s="409" t="n"/>
      <c r="EP40" s="409" t="n"/>
      <c r="EQ40" s="409" t="n"/>
      <c r="ER40" s="409" t="n"/>
      <c r="ES40" s="409" t="n"/>
      <c r="ET40" s="409" t="n"/>
      <c r="EU40" s="409" t="n"/>
      <c r="EV40" s="409" t="n"/>
      <c r="EX40" s="409" t="n"/>
      <c r="EZ40" s="409" t="n"/>
      <c r="FB40" s="409" t="n"/>
      <c r="FC40" s="409" t="n"/>
      <c r="FD40" s="409" t="n"/>
      <c r="FF40" s="409" t="n"/>
      <c r="FG40" s="409" t="n"/>
      <c r="FH40" s="409" t="n"/>
      <c r="FJ40" s="409" t="n"/>
      <c r="FL40" s="409" t="n"/>
      <c r="FM40" s="409" t="n"/>
      <c r="FN40" s="409" t="n"/>
      <c r="FP40" s="409" t="n"/>
      <c r="FQ40" s="409" t="n"/>
      <c r="FR40" s="409" t="n"/>
      <c r="FT40" s="409" t="n"/>
      <c r="FU40" s="409" t="n"/>
      <c r="FV40" s="409" t="n"/>
      <c r="FW40" s="409" t="n"/>
      <c r="FX40" s="409" t="n"/>
      <c r="FY40" s="409" t="n"/>
      <c r="FZ40" s="409" t="n"/>
      <c r="GA40" s="409" t="n"/>
      <c r="GB40" s="409" t="n"/>
      <c r="GC40" s="409" t="n"/>
      <c r="GD40" s="409" t="n"/>
      <c r="GE40" s="409" t="n"/>
      <c r="GF40" s="409" t="n"/>
      <c r="GG40" s="409" t="n"/>
    </row>
    <row r="41">
      <c r="A41" s="252" t="inlineStr">
        <is>
          <t>SACOLA G NATAL/25</t>
        </is>
      </c>
      <c r="B41" s="375" t="n"/>
      <c r="C41" s="376" t="n">
        <v>60</v>
      </c>
      <c r="E41" s="41" t="n"/>
      <c r="F41" s="41" t="n"/>
      <c r="G41" s="41" t="n"/>
      <c r="H41" s="41" t="n"/>
      <c r="I41" s="41" t="n"/>
      <c r="J41" s="41" t="n"/>
      <c r="K41" s="41" t="n"/>
      <c r="L41" s="41" t="n"/>
      <c r="M41" s="41" t="n"/>
      <c r="N41" s="41" t="n"/>
      <c r="O41" s="41" t="n"/>
      <c r="P41" s="41" t="n"/>
      <c r="Q41" s="41" t="n"/>
      <c r="R41" s="41" t="n"/>
      <c r="S41" s="41" t="n"/>
      <c r="T41" s="41" t="n"/>
      <c r="U41" s="41" t="n"/>
      <c r="V41" s="41" t="n"/>
      <c r="W41" s="41" t="n"/>
      <c r="X41" s="41" t="n"/>
      <c r="Y41" s="41" t="n"/>
      <c r="Z41" s="41" t="n"/>
      <c r="AA41" s="41" t="n"/>
      <c r="AB41" s="41" t="n"/>
      <c r="AC41" s="41" t="n"/>
      <c r="AD41" s="41" t="n"/>
      <c r="AE41" s="41" t="n"/>
      <c r="AF41" s="41" t="n"/>
      <c r="AG41" s="355" t="n"/>
      <c r="AH41" s="41" t="n"/>
      <c r="AI41" s="41" t="n"/>
      <c r="AJ41" s="41" t="n"/>
      <c r="AK41" s="41" t="n"/>
      <c r="AL41" s="41" t="n"/>
      <c r="AM41" s="41" t="n"/>
      <c r="AN41" s="41" t="n"/>
      <c r="AO41" s="41" t="n"/>
      <c r="AP41" s="41" t="n"/>
      <c r="AQ41" s="41" t="n"/>
      <c r="AR41" s="41" t="n"/>
      <c r="AS41" s="11" t="n"/>
      <c r="AT41" s="11" t="n"/>
      <c r="AU41" s="11" t="n"/>
      <c r="AV41" s="11" t="n"/>
      <c r="AW41" s="11" t="n"/>
      <c r="AX41" s="11" t="n"/>
      <c r="AY41" s="11" t="n"/>
      <c r="AZ41" s="34" t="n"/>
      <c r="BA41" s="41" t="n"/>
      <c r="BB41" s="41" t="n"/>
      <c r="BC41" s="41" t="n"/>
      <c r="BD41" s="41" t="n"/>
      <c r="BE41" s="41" t="n"/>
      <c r="BF41" s="41" t="n"/>
      <c r="BG41" s="41" t="n"/>
      <c r="BH41" s="41" t="n"/>
      <c r="BI41" s="41" t="n"/>
      <c r="BJ41" s="41" t="n"/>
      <c r="BK41" s="41" t="n"/>
      <c r="BL41" s="41" t="n"/>
      <c r="BM41" s="41" t="n"/>
      <c r="BN41" s="34" t="n"/>
      <c r="BO41" s="34" t="n"/>
      <c r="BP41" s="34" t="n"/>
      <c r="BQ41" s="34" t="n"/>
      <c r="BR41" s="34" t="n"/>
      <c r="BS41" s="34" t="n"/>
      <c r="BT41" s="34" t="n"/>
      <c r="BU41" s="34" t="n"/>
      <c r="BV41" s="34" t="n"/>
      <c r="BW41" s="34" t="n"/>
      <c r="BX41" s="34" t="n"/>
      <c r="BY41" s="34" t="n"/>
      <c r="BZ41" s="34" t="n"/>
      <c r="CA41" s="34" t="n"/>
      <c r="CB41" s="34" t="n"/>
      <c r="CC41" s="34" t="n"/>
      <c r="CD41" s="34" t="n"/>
      <c r="CE41" s="34" t="n"/>
      <c r="CF41" s="34" t="n"/>
      <c r="CG41" s="34" t="n"/>
      <c r="CH41" s="34" t="n"/>
      <c r="CI41" s="34" t="n"/>
      <c r="CJ41" s="34" t="n"/>
      <c r="CK41" s="34" t="n"/>
      <c r="CL41" s="34" t="n"/>
      <c r="CM41" s="34" t="n"/>
      <c r="CN41" s="34" t="n"/>
      <c r="CO41" s="34" t="n"/>
      <c r="CP41" s="34" t="n"/>
      <c r="CQ41" s="34" t="n"/>
      <c r="CR41" s="34" t="n"/>
      <c r="CS41" s="34" t="n"/>
      <c r="CT41" s="34" t="n"/>
      <c r="CU41" s="34" t="n"/>
      <c r="CV41" s="34" t="n"/>
      <c r="CW41" s="34" t="n"/>
      <c r="CX41" s="34" t="n"/>
      <c r="CY41" s="34" t="n"/>
      <c r="CZ41" s="34" t="n"/>
      <c r="DA41" s="34" t="n"/>
      <c r="DB41" s="34" t="n"/>
      <c r="DC41" s="34" t="n"/>
      <c r="DD41" s="34" t="n"/>
      <c r="DE41" s="34" t="n"/>
      <c r="DF41" s="34" t="n"/>
      <c r="DG41" s="34" t="n"/>
      <c r="DH41" s="34" t="n"/>
      <c r="DI41" s="34" t="n"/>
      <c r="DJ41" s="34" t="n"/>
      <c r="DK41" s="34" t="n"/>
      <c r="DL41" s="34" t="n"/>
      <c r="DM41" s="34" t="n"/>
      <c r="DN41" s="34" t="n"/>
      <c r="DO41" s="34" t="n"/>
      <c r="DP41" s="34" t="n"/>
      <c r="DQ41" s="34" t="n"/>
      <c r="DR41" s="34" t="n"/>
      <c r="DS41" s="41" t="n"/>
      <c r="DT41" s="34" t="n"/>
      <c r="DU41" s="41" t="n"/>
      <c r="DV41" s="71" t="n"/>
      <c r="DW41" s="71" t="n"/>
      <c r="DX41" s="34" t="n"/>
      <c r="DY41" s="34" t="n"/>
      <c r="DZ41" s="71" t="n"/>
      <c r="EA41" s="71" t="n"/>
      <c r="EB41" s="34" t="n"/>
      <c r="EC41" s="71" t="n"/>
      <c r="ED41" s="34" t="n"/>
      <c r="EE41" s="34" t="n"/>
      <c r="EF41" s="34" t="n"/>
      <c r="EG41" s="71" t="n"/>
      <c r="EH41" s="358" t="n"/>
      <c r="EI41" s="34" t="n"/>
      <c r="EJ41" s="71" t="n"/>
      <c r="EK41" s="71" t="n"/>
      <c r="EL41" s="71" t="n"/>
      <c r="EM41" s="34" t="n"/>
      <c r="EN41" s="409" t="n"/>
      <c r="EP41" s="409" t="n"/>
      <c r="EQ41" s="409" t="n"/>
      <c r="ER41" s="409" t="n"/>
      <c r="ES41" s="409" t="n"/>
      <c r="ET41" s="409" t="n"/>
      <c r="EU41" s="409" t="n"/>
      <c r="EV41" s="409" t="n"/>
      <c r="EX41" s="409" t="n"/>
      <c r="EZ41" s="409" t="n"/>
      <c r="FB41" s="409" t="n"/>
      <c r="FC41" s="409" t="n"/>
      <c r="FD41" s="409" t="n"/>
      <c r="FF41" s="409" t="n"/>
      <c r="FG41" s="409" t="n"/>
      <c r="FH41" s="409" t="n"/>
      <c r="FJ41" s="409" t="n"/>
      <c r="FL41" s="409" t="n"/>
      <c r="FM41" s="409" t="n"/>
      <c r="FN41" s="409" t="n"/>
      <c r="FP41" s="409" t="n"/>
      <c r="FQ41" s="409" t="n"/>
      <c r="FR41" s="409" t="n"/>
      <c r="FT41" s="409" t="n"/>
      <c r="FU41" s="409" t="n"/>
      <c r="FV41" s="409" t="n"/>
      <c r="FW41" s="409" t="n"/>
      <c r="FX41" s="409" t="n"/>
      <c r="FY41" s="409" t="n"/>
      <c r="FZ41" s="409" t="n"/>
      <c r="GA41" s="409" t="n"/>
      <c r="GB41" s="409" t="n"/>
      <c r="GC41" s="409" t="n"/>
      <c r="GD41" s="409" t="n"/>
      <c r="GE41" s="409" t="n"/>
      <c r="GF41" s="409" t="n"/>
      <c r="GG41" s="409" t="n"/>
    </row>
    <row r="42" customFormat="1" s="34">
      <c r="E42" s="41" t="n"/>
      <c r="F42" s="41" t="n"/>
      <c r="G42" s="41" t="n"/>
      <c r="H42" s="41" t="n"/>
      <c r="I42" s="41" t="n"/>
      <c r="J42" s="41" t="n"/>
      <c r="K42" s="41" t="n"/>
      <c r="L42" s="41" t="n"/>
      <c r="M42" s="41" t="n"/>
      <c r="N42" s="41" t="n"/>
      <c r="O42" s="41" t="n"/>
      <c r="P42" s="41" t="n"/>
      <c r="Q42" s="41" t="n"/>
      <c r="R42" s="41" t="n"/>
      <c r="S42" s="41" t="n"/>
      <c r="T42" s="41" t="n"/>
      <c r="U42" s="41" t="n"/>
      <c r="V42" s="41" t="n"/>
      <c r="W42" s="41" t="n"/>
      <c r="X42" s="41" t="n"/>
      <c r="Y42" s="41" t="n"/>
      <c r="Z42" s="41" t="n"/>
      <c r="AA42" s="41" t="n"/>
      <c r="AB42" s="41" t="n"/>
      <c r="AC42" s="41" t="n"/>
      <c r="AD42" s="41" t="n"/>
      <c r="AE42" s="41" t="n"/>
      <c r="AH42" s="41" t="n"/>
      <c r="AJ42" s="41" t="n"/>
      <c r="AK42" s="41" t="n"/>
      <c r="AL42" s="41" t="n"/>
      <c r="AM42" s="41" t="n"/>
      <c r="AN42" s="41" t="n"/>
      <c r="AO42" s="41" t="n"/>
      <c r="AP42" s="41" t="n"/>
      <c r="AQ42" s="41" t="n"/>
      <c r="AR42" s="41" t="n"/>
      <c r="AS42" s="11" t="n"/>
      <c r="AT42" s="11" t="n"/>
      <c r="AU42" s="11" t="n"/>
      <c r="AV42" s="11" t="n"/>
      <c r="AW42" s="409" t="n"/>
      <c r="AX42" s="409" t="n"/>
      <c r="AY42" s="409" t="n"/>
      <c r="BA42" s="41" t="n"/>
      <c r="BB42" s="41" t="n"/>
      <c r="BC42" s="41" t="n"/>
      <c r="BD42" s="41" t="n"/>
      <c r="BE42" s="41" t="n"/>
      <c r="BF42" s="41" t="n"/>
      <c r="BG42" s="41" t="n"/>
      <c r="BH42" s="41" t="n"/>
      <c r="BI42" s="41" t="n"/>
      <c r="BJ42" s="41" t="n"/>
      <c r="BK42" s="41" t="n"/>
      <c r="BL42" s="41" t="n"/>
      <c r="BM42" s="41" t="n"/>
    </row>
    <row r="43">
      <c r="A43" s="642" t="inlineStr">
        <is>
          <t>FLACONETES</t>
        </is>
      </c>
      <c r="B43" s="625" t="n"/>
      <c r="C43" s="625" t="n"/>
      <c r="D43" s="641" t="n"/>
      <c r="F43" s="643" t="n">
        <v>46013</v>
      </c>
      <c r="G43" s="643" t="n">
        <v>46020</v>
      </c>
      <c r="H43" s="643" t="n">
        <v>46027</v>
      </c>
      <c r="I43" s="643" t="n">
        <v>46034</v>
      </c>
      <c r="J43" s="643" t="n">
        <v>46041</v>
      </c>
      <c r="K43" s="643" t="n">
        <v>46048</v>
      </c>
      <c r="L43" s="643" t="n">
        <v>46055</v>
      </c>
      <c r="M43" s="643" t="n">
        <v>46062</v>
      </c>
      <c r="N43" s="643" t="n">
        <v>46069</v>
      </c>
      <c r="O43" s="643" t="n">
        <v>46076</v>
      </c>
      <c r="P43" s="643" t="n">
        <v>46083</v>
      </c>
      <c r="Q43" s="643" t="n">
        <v>46090</v>
      </c>
      <c r="R43" s="643" t="n">
        <v>46097</v>
      </c>
      <c r="S43" s="643" t="n">
        <v>46104</v>
      </c>
      <c r="T43" s="643" t="n">
        <v>46111</v>
      </c>
      <c r="U43" s="643" t="n">
        <v>46118</v>
      </c>
      <c r="V43" s="643" t="n">
        <v>46125</v>
      </c>
      <c r="W43" s="643" t="n">
        <v>46132</v>
      </c>
      <c r="X43" s="643" t="n">
        <v>46139</v>
      </c>
      <c r="Y43" s="643" t="n">
        <v>46146</v>
      </c>
      <c r="Z43" s="643" t="n">
        <v>46154</v>
      </c>
      <c r="AA43" s="643" t="n">
        <v>46160</v>
      </c>
      <c r="AB43" s="644" t="n">
        <v>46161.48012721065</v>
      </c>
      <c r="AC43" s="644" t="n">
        <v>46161.48080085648</v>
      </c>
      <c r="AD43" s="644" t="n">
        <v>46161.48295840789</v>
      </c>
      <c r="AF43" s="370" t="n"/>
      <c r="AJ43" s="41" t="n"/>
      <c r="AK43" s="41" t="n"/>
      <c r="AL43" s="41" t="n"/>
      <c r="AM43" s="41" t="n"/>
      <c r="AN43" s="41" t="n"/>
      <c r="AO43" s="41" t="n"/>
      <c r="AP43" s="41" t="n"/>
      <c r="AQ43" s="41" t="n"/>
      <c r="AR43" s="41" t="n"/>
      <c r="AS43" s="11" t="n"/>
      <c r="AT43" s="11" t="n"/>
      <c r="AU43" s="11" t="n"/>
      <c r="AV43" s="11" t="n"/>
      <c r="AW43" s="409" t="n"/>
      <c r="AX43" s="409" t="n"/>
      <c r="AY43" s="409" t="n"/>
      <c r="BA43" s="41" t="n"/>
      <c r="BB43" s="41" t="n"/>
      <c r="BC43" s="41" t="n"/>
      <c r="BD43" s="41" t="n"/>
      <c r="BE43" s="41" t="n"/>
      <c r="BF43" s="41" t="n"/>
      <c r="BG43" s="41" t="n"/>
      <c r="BH43" s="41" t="n"/>
      <c r="BI43" s="41" t="n"/>
      <c r="BJ43" s="41" t="n"/>
      <c r="BK43" s="41" t="n"/>
      <c r="BL43" s="41" t="n"/>
      <c r="BM43" s="41" t="n"/>
    </row>
    <row r="44">
      <c r="A44" s="645" t="inlineStr">
        <is>
          <t>MEN NBA</t>
        </is>
      </c>
      <c r="B44" s="625" t="n"/>
      <c r="C44" s="625" t="n"/>
      <c r="D44" s="641" t="n"/>
      <c r="F44" s="366" t="n">
        <v>0</v>
      </c>
      <c r="G44" s="366" t="n">
        <v>0</v>
      </c>
      <c r="H44" s="366" t="n">
        <v>0</v>
      </c>
      <c r="I44" s="366" t="n">
        <v>0</v>
      </c>
      <c r="J44" s="366" t="n">
        <v>0</v>
      </c>
      <c r="K44" s="366" t="n">
        <v>0</v>
      </c>
      <c r="L44" s="366" t="n">
        <v>0</v>
      </c>
      <c r="M44" s="366" t="n">
        <v>0</v>
      </c>
      <c r="N44" s="366" t="n">
        <v>0</v>
      </c>
      <c r="O44" s="366" t="n">
        <v>0</v>
      </c>
      <c r="P44" s="366" t="n">
        <v>0</v>
      </c>
      <c r="Q44" s="366" t="n">
        <v>0</v>
      </c>
      <c r="R44" s="366" t="n">
        <v>0</v>
      </c>
      <c r="S44" s="366" t="n">
        <v>0</v>
      </c>
      <c r="T44" s="366" t="n">
        <v>0</v>
      </c>
      <c r="U44" s="366" t="n">
        <v>0</v>
      </c>
      <c r="V44" s="366" t="n">
        <v>0</v>
      </c>
      <c r="W44" s="366" t="n">
        <v>0</v>
      </c>
      <c r="X44" s="366" t="n">
        <v>0</v>
      </c>
      <c r="Y44" s="366" t="n">
        <v>0</v>
      </c>
      <c r="Z44" s="366" t="n">
        <v>0</v>
      </c>
      <c r="AA44" s="366" t="n"/>
      <c r="AB44" s="646" t="n"/>
      <c r="AC44" s="646" t="n"/>
      <c r="AD44" s="646" t="n"/>
      <c r="AJ44" s="41" t="n"/>
      <c r="AK44" s="41" t="n"/>
      <c r="AL44" s="41" t="n"/>
      <c r="AM44" s="41" t="n"/>
      <c r="AN44" s="41" t="n"/>
      <c r="AO44" s="41" t="n"/>
      <c r="AP44" s="41" t="n"/>
      <c r="AQ44" s="41" t="n"/>
      <c r="AR44" s="41" t="n"/>
      <c r="BA44" s="41" t="n"/>
      <c r="BB44" s="41" t="n"/>
      <c r="BC44" s="41" t="n"/>
      <c r="BD44" s="41" t="n"/>
      <c r="BE44" s="41" t="n"/>
      <c r="BF44" s="41" t="n"/>
      <c r="BG44" s="41" t="n"/>
      <c r="BH44" s="41" t="n"/>
      <c r="BI44" s="41" t="n"/>
      <c r="BJ44" s="41" t="n"/>
      <c r="BK44" s="41" t="n"/>
      <c r="BL44" s="41" t="n"/>
      <c r="BM44" s="41" t="n"/>
    </row>
    <row r="45">
      <c r="A45" s="645" t="inlineStr">
        <is>
          <t>ARBO ATLANTICA</t>
        </is>
      </c>
      <c r="B45" s="625" t="n"/>
      <c r="C45" s="625" t="n"/>
      <c r="D45" s="641" t="n"/>
      <c r="F45" s="366" t="n">
        <v>0</v>
      </c>
      <c r="G45" s="366" t="n">
        <v>0</v>
      </c>
      <c r="H45" s="366" t="n">
        <v>0</v>
      </c>
      <c r="I45" s="366" t="n">
        <v>0</v>
      </c>
      <c r="J45" s="366" t="n">
        <v>0</v>
      </c>
      <c r="K45" s="366" t="n">
        <v>0</v>
      </c>
      <c r="L45" s="366" t="n">
        <v>0</v>
      </c>
      <c r="M45" s="366" t="n">
        <v>0</v>
      </c>
      <c r="N45" s="366" t="n">
        <v>0</v>
      </c>
      <c r="O45" s="366" t="n">
        <v>0</v>
      </c>
      <c r="P45" s="366" t="n">
        <v>0</v>
      </c>
      <c r="Q45" s="366" t="n">
        <v>0</v>
      </c>
      <c r="R45" s="366" t="n">
        <v>0</v>
      </c>
      <c r="S45" s="366" t="n">
        <v>0</v>
      </c>
      <c r="T45" s="366" t="n">
        <v>0</v>
      </c>
      <c r="U45" s="366" t="n">
        <v>0</v>
      </c>
      <c r="V45" s="366" t="n">
        <v>0</v>
      </c>
      <c r="W45" s="366" t="n">
        <v>0</v>
      </c>
      <c r="X45" s="366" t="n">
        <v>0</v>
      </c>
      <c r="Y45" s="366" t="n">
        <v>0</v>
      </c>
      <c r="Z45" s="366" t="n">
        <v>0</v>
      </c>
      <c r="AA45" s="366" t="n"/>
      <c r="AB45" s="646" t="n"/>
      <c r="AC45" s="646" t="n"/>
      <c r="AD45" s="646" t="n"/>
    </row>
    <row r="46">
      <c r="A46" s="645" t="inlineStr">
        <is>
          <t>QUASAR DEEP BLUE</t>
        </is>
      </c>
      <c r="B46" s="625" t="n"/>
      <c r="C46" s="625" t="n"/>
      <c r="D46" s="641" t="n"/>
      <c r="F46" s="366" t="n">
        <v>0</v>
      </c>
      <c r="G46" s="366" t="n">
        <v>0</v>
      </c>
      <c r="H46" s="366" t="n">
        <v>0</v>
      </c>
      <c r="I46" s="366" t="n">
        <v>0</v>
      </c>
      <c r="J46" s="366" t="n">
        <v>0</v>
      </c>
      <c r="K46" s="366" t="n">
        <v>0</v>
      </c>
      <c r="L46" s="366" t="n">
        <v>0</v>
      </c>
      <c r="M46" s="366" t="n">
        <v>0</v>
      </c>
      <c r="N46" s="366" t="n">
        <v>0</v>
      </c>
      <c r="O46" s="366" t="n">
        <v>0</v>
      </c>
      <c r="P46" s="366" t="n">
        <v>0</v>
      </c>
      <c r="Q46" s="366" t="n">
        <v>0</v>
      </c>
      <c r="R46" s="366" t="n">
        <v>0</v>
      </c>
      <c r="S46" s="366" t="n">
        <v>0</v>
      </c>
      <c r="T46" s="366" t="n">
        <v>0</v>
      </c>
      <c r="U46" s="366" t="n">
        <v>0</v>
      </c>
      <c r="V46" s="366" t="n">
        <v>0</v>
      </c>
      <c r="W46" s="366" t="n">
        <v>0</v>
      </c>
      <c r="X46" s="366" t="n">
        <v>0</v>
      </c>
      <c r="Y46" s="366" t="n">
        <v>0</v>
      </c>
      <c r="Z46" s="366" t="n">
        <v>0</v>
      </c>
      <c r="AA46" s="366" t="n"/>
      <c r="AB46" s="646" t="n"/>
      <c r="AC46" s="646" t="n"/>
      <c r="AD46" s="646" t="n"/>
    </row>
    <row r="47">
      <c r="A47" s="645" t="inlineStr">
        <is>
          <t>BOTICA 214 SEVILLA DORADA</t>
        </is>
      </c>
      <c r="B47" s="625" t="n"/>
      <c r="C47" s="625" t="n"/>
      <c r="D47" s="641" t="n"/>
      <c r="F47" s="366" t="n">
        <v>0</v>
      </c>
      <c r="G47" s="366" t="n">
        <v>0</v>
      </c>
      <c r="H47" s="366" t="n">
        <v>0</v>
      </c>
      <c r="I47" s="366" t="n">
        <v>0</v>
      </c>
      <c r="J47" s="366" t="n">
        <v>0</v>
      </c>
      <c r="K47" s="366" t="n">
        <v>0</v>
      </c>
      <c r="L47" s="366" t="n">
        <v>0</v>
      </c>
      <c r="M47" s="366" t="n">
        <v>0</v>
      </c>
      <c r="N47" s="366" t="n">
        <v>0</v>
      </c>
      <c r="O47" s="366" t="n">
        <v>0</v>
      </c>
      <c r="P47" s="366" t="n">
        <v>0</v>
      </c>
      <c r="Q47" s="366" t="n">
        <v>0</v>
      </c>
      <c r="R47" s="366" t="n">
        <v>0</v>
      </c>
      <c r="S47" s="366" t="n">
        <v>0</v>
      </c>
      <c r="T47" s="366" t="n">
        <v>0</v>
      </c>
      <c r="U47" s="366" t="n">
        <v>0</v>
      </c>
      <c r="V47" s="366" t="n">
        <v>0</v>
      </c>
      <c r="W47" s="366" t="n">
        <v>0</v>
      </c>
      <c r="X47" s="366" t="n">
        <v>0</v>
      </c>
      <c r="Y47" s="366" t="n">
        <v>0</v>
      </c>
      <c r="Z47" s="366" t="n">
        <v>0</v>
      </c>
      <c r="AA47" s="366" t="n"/>
      <c r="AB47" s="646" t="n"/>
      <c r="AC47" s="646" t="n"/>
      <c r="AD47" s="646" t="n"/>
      <c r="AJ47" s="11" t="n"/>
      <c r="AK47" s="11" t="n"/>
      <c r="AL47" s="11" t="n"/>
      <c r="AM47" s="11" t="n"/>
      <c r="AN47" s="11" t="n"/>
      <c r="AO47" s="11" t="n"/>
      <c r="AP47" s="11" t="n"/>
      <c r="AQ47" s="11" t="n"/>
      <c r="AR47" s="11" t="n"/>
    </row>
    <row r="48">
      <c r="A48" s="645" t="inlineStr">
        <is>
          <t>BOTI SUN COM COR</t>
        </is>
      </c>
      <c r="B48" s="625" t="n"/>
      <c r="C48" s="625" t="n"/>
      <c r="D48" s="641" t="n"/>
      <c r="F48" s="366" t="n">
        <v>0</v>
      </c>
      <c r="G48" s="366" t="n">
        <v>0</v>
      </c>
      <c r="H48" s="366" t="n">
        <v>0</v>
      </c>
      <c r="I48" s="366" t="n">
        <v>0</v>
      </c>
      <c r="J48" s="366" t="n">
        <v>0</v>
      </c>
      <c r="K48" s="366" t="n">
        <v>0</v>
      </c>
      <c r="L48" s="366" t="n">
        <v>0</v>
      </c>
      <c r="M48" s="366" t="n">
        <v>0</v>
      </c>
      <c r="N48" s="366" t="n">
        <v>0</v>
      </c>
      <c r="O48" s="366" t="n">
        <v>0</v>
      </c>
      <c r="P48" s="366" t="n">
        <v>0</v>
      </c>
      <c r="Q48" s="366" t="n">
        <v>0</v>
      </c>
      <c r="R48" s="366" t="n">
        <v>0</v>
      </c>
      <c r="S48" s="366" t="n">
        <v>0</v>
      </c>
      <c r="T48" s="366" t="n">
        <v>0</v>
      </c>
      <c r="U48" s="366" t="n">
        <v>0</v>
      </c>
      <c r="V48" s="366" t="n">
        <v>0</v>
      </c>
      <c r="W48" s="366" t="n">
        <v>0</v>
      </c>
      <c r="X48" s="366" t="n">
        <v>0</v>
      </c>
      <c r="Y48" s="366" t="n">
        <v>0</v>
      </c>
      <c r="Z48" s="366" t="n">
        <v>0</v>
      </c>
      <c r="AA48" s="366" t="n"/>
      <c r="AB48" s="646" t="n"/>
      <c r="AC48" s="646" t="n"/>
      <c r="AD48" s="646" t="n"/>
    </row>
    <row r="49">
      <c r="A49" s="645" t="inlineStr">
        <is>
          <t>CACHOS DE UVA</t>
        </is>
      </c>
      <c r="B49" s="625" t="n"/>
      <c r="C49" s="625" t="n"/>
      <c r="D49" s="641" t="n"/>
      <c r="F49" s="366" t="n">
        <v>0</v>
      </c>
      <c r="G49" s="366" t="n">
        <v>0</v>
      </c>
      <c r="H49" s="366" t="n">
        <v>0</v>
      </c>
      <c r="I49" s="366" t="n">
        <v>0</v>
      </c>
      <c r="J49" s="366" t="n">
        <v>0</v>
      </c>
      <c r="K49" s="366" t="n">
        <v>0</v>
      </c>
      <c r="L49" s="366" t="n">
        <v>0</v>
      </c>
      <c r="M49" s="366" t="n">
        <v>0</v>
      </c>
      <c r="N49" s="366" t="n">
        <v>0</v>
      </c>
      <c r="O49" s="366" t="n">
        <v>0</v>
      </c>
      <c r="P49" s="366" t="n">
        <v>0</v>
      </c>
      <c r="Q49" s="366" t="n">
        <v>0</v>
      </c>
      <c r="R49" s="366" t="n">
        <v>0</v>
      </c>
      <c r="S49" s="366" t="n">
        <v>0</v>
      </c>
      <c r="T49" s="366" t="n">
        <v>0</v>
      </c>
      <c r="U49" s="366" t="n">
        <v>0</v>
      </c>
      <c r="V49" s="366" t="n">
        <v>0</v>
      </c>
      <c r="W49" s="366" t="n">
        <v>0</v>
      </c>
      <c r="X49" s="366" t="n">
        <v>0</v>
      </c>
      <c r="Y49" s="366" t="n">
        <v>0</v>
      </c>
      <c r="Z49" s="366" t="n">
        <v>0</v>
      </c>
      <c r="AA49" s="366" t="n"/>
      <c r="AB49" s="646" t="n"/>
      <c r="AC49" s="646" t="n"/>
      <c r="AD49" s="646" t="n"/>
    </row>
    <row r="50">
      <c r="A50" s="645" t="inlineStr">
        <is>
          <t>EGEO COGU</t>
        </is>
      </c>
      <c r="B50" s="625" t="n"/>
      <c r="C50" s="625" t="n"/>
      <c r="D50" s="641" t="n"/>
      <c r="F50" s="366" t="n">
        <v>0</v>
      </c>
      <c r="G50" s="366" t="n">
        <v>0</v>
      </c>
      <c r="H50" s="366" t="n">
        <v>0</v>
      </c>
      <c r="I50" s="366" t="n">
        <v>0</v>
      </c>
      <c r="J50" s="366" t="n">
        <v>0</v>
      </c>
      <c r="K50" s="366" t="n">
        <v>0</v>
      </c>
      <c r="L50" s="366" t="n">
        <v>0</v>
      </c>
      <c r="M50" s="366" t="n">
        <v>0</v>
      </c>
      <c r="N50" s="366" t="n">
        <v>0</v>
      </c>
      <c r="O50" s="366" t="n">
        <v>0</v>
      </c>
      <c r="P50" s="366" t="n">
        <v>0</v>
      </c>
      <c r="Q50" s="366" t="n">
        <v>0</v>
      </c>
      <c r="R50" s="366" t="n">
        <v>0</v>
      </c>
      <c r="S50" s="366" t="n">
        <v>0</v>
      </c>
      <c r="T50" s="366" t="n">
        <v>0</v>
      </c>
      <c r="U50" s="366" t="n">
        <v>0</v>
      </c>
      <c r="V50" s="366" t="n">
        <v>0</v>
      </c>
      <c r="W50" s="366" t="n">
        <v>0</v>
      </c>
      <c r="X50" s="366" t="n">
        <v>0</v>
      </c>
      <c r="Y50" s="366" t="n">
        <v>0</v>
      </c>
      <c r="Z50" s="366" t="n">
        <v>0</v>
      </c>
      <c r="AA50" s="366" t="n"/>
      <c r="AB50" s="646" t="n"/>
      <c r="AC50" s="646" t="n"/>
      <c r="AD50" s="646" t="n"/>
    </row>
    <row r="51">
      <c r="A51" s="645" t="inlineStr">
        <is>
          <t>ZAAD INTENSE</t>
        </is>
      </c>
      <c r="B51" s="625" t="n"/>
      <c r="C51" s="625" t="n"/>
      <c r="D51" s="641" t="n"/>
      <c r="F51" s="366" t="n">
        <v>0</v>
      </c>
      <c r="G51" s="366" t="n">
        <v>0</v>
      </c>
      <c r="H51" s="366" t="n">
        <v>0</v>
      </c>
      <c r="I51" s="366" t="n">
        <v>0</v>
      </c>
      <c r="J51" s="366" t="n">
        <v>0</v>
      </c>
      <c r="K51" s="366" t="n">
        <v>0</v>
      </c>
      <c r="L51" s="366" t="n">
        <v>0</v>
      </c>
      <c r="M51" s="366" t="n">
        <v>0</v>
      </c>
      <c r="N51" s="366" t="n">
        <v>0</v>
      </c>
      <c r="O51" s="366" t="n">
        <v>0</v>
      </c>
      <c r="P51" s="366" t="n">
        <v>0</v>
      </c>
      <c r="Q51" s="366" t="n">
        <v>0</v>
      </c>
      <c r="R51" s="366" t="n">
        <v>0</v>
      </c>
      <c r="S51" s="366" t="n">
        <v>0</v>
      </c>
      <c r="T51" s="366" t="n">
        <v>0</v>
      </c>
      <c r="U51" s="366" t="n">
        <v>0</v>
      </c>
      <c r="V51" s="366" t="n">
        <v>0</v>
      </c>
      <c r="W51" s="366" t="n">
        <v>0</v>
      </c>
      <c r="X51" s="366" t="n">
        <v>0</v>
      </c>
      <c r="Y51" s="366" t="n">
        <v>0</v>
      </c>
      <c r="Z51" s="366" t="n">
        <v>0</v>
      </c>
      <c r="AA51" s="366" t="n"/>
      <c r="AB51" s="646" t="n"/>
      <c r="AC51" s="646" t="n"/>
      <c r="AD51" s="646" t="n"/>
    </row>
    <row r="52">
      <c r="A52" s="645" t="inlineStr">
        <is>
          <t>HER CODE CLIMAX</t>
        </is>
      </c>
      <c r="B52" s="625" t="n"/>
      <c r="C52" s="625" t="n"/>
      <c r="D52" s="641" t="n"/>
      <c r="F52" s="366" t="n">
        <v>0</v>
      </c>
      <c r="G52" s="366" t="n">
        <v>0</v>
      </c>
      <c r="H52" s="366" t="n">
        <v>0</v>
      </c>
      <c r="I52" s="366" t="n">
        <v>0</v>
      </c>
      <c r="J52" s="366" t="n">
        <v>0</v>
      </c>
      <c r="K52" s="366" t="n">
        <v>0</v>
      </c>
      <c r="L52" s="366" t="n">
        <v>0</v>
      </c>
      <c r="M52" s="366" t="n">
        <v>0</v>
      </c>
      <c r="N52" s="366" t="n">
        <v>0</v>
      </c>
      <c r="O52" s="366" t="n">
        <v>0</v>
      </c>
      <c r="P52" s="366" t="n">
        <v>0</v>
      </c>
      <c r="Q52" s="366" t="n">
        <v>0</v>
      </c>
      <c r="R52" s="366" t="n">
        <v>0</v>
      </c>
      <c r="S52" s="366" t="n">
        <v>0</v>
      </c>
      <c r="T52" s="366" t="n">
        <v>0</v>
      </c>
      <c r="U52" s="366" t="n">
        <v>0</v>
      </c>
      <c r="V52" s="366" t="n">
        <v>0</v>
      </c>
      <c r="W52" s="366" t="n">
        <v>0</v>
      </c>
      <c r="X52" s="366" t="n">
        <v>0</v>
      </c>
      <c r="Y52" s="366" t="n">
        <v>0</v>
      </c>
      <c r="Z52" s="366" t="n">
        <v>0</v>
      </c>
      <c r="AA52" s="366" t="n"/>
      <c r="AB52" s="646" t="n"/>
      <c r="AC52" s="646" t="n"/>
      <c r="AD52" s="646" t="n"/>
    </row>
  </sheetData>
  <mergeCells count="20">
    <mergeCell ref="A52:D52"/>
    <mergeCell ref="A43:D43"/>
    <mergeCell ref="A44:D44"/>
    <mergeCell ref="AX7:BF7"/>
    <mergeCell ref="A48:D48"/>
    <mergeCell ref="F3:AB3"/>
    <mergeCell ref="A51:D51"/>
    <mergeCell ref="A49:D49"/>
    <mergeCell ref="A5:A6"/>
    <mergeCell ref="A45:D45"/>
    <mergeCell ref="A46:D46"/>
    <mergeCell ref="B5:B6"/>
    <mergeCell ref="D5:D6"/>
    <mergeCell ref="B3:D3"/>
    <mergeCell ref="F5:AA5"/>
    <mergeCell ref="A50:D50"/>
    <mergeCell ref="A47:D47"/>
    <mergeCell ref="A1:AA1"/>
    <mergeCell ref="B2:D2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63" fitToHeight="0"/>
</worksheet>
</file>

<file path=xl/worksheets/sheet12.xml><?xml version="1.0" encoding="utf-8"?>
<worksheet xmlns="http://schemas.openxmlformats.org/spreadsheetml/2006/main">
  <sheetPr codeName="Planilha12">
    <tabColor theme="8"/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sheetData/>
  <pageMargins left="0.511811024" right="0.511811024" top="0.787401575" bottom="0.787401575" header="0.31496062" footer="0.31496062"/>
</worksheet>
</file>

<file path=xl/worksheets/sheet13.xml><?xml version="1.0" encoding="utf-8"?>
<worksheet xmlns="http://schemas.openxmlformats.org/spreadsheetml/2006/main">
  <sheetPr codeName="Planilha58">
    <tabColor theme="9"/>
    <outlinePr summaryBelow="1" summaryRight="1"/>
    <pageSetUpPr/>
  </sheetPr>
  <dimension ref="A1:FX52"/>
  <sheetViews>
    <sheetView showGridLines="0" topLeftCell="A4" zoomScale="80" zoomScaleNormal="80" workbookViewId="0">
      <selection activeCell="AA14" activeCellId="1" sqref="AA8:AA11 AA14:AA17"/>
    </sheetView>
  </sheetViews>
  <sheetFormatPr baseColWidth="8" defaultColWidth="9.140625" defaultRowHeight="18.75"/>
  <cols>
    <col width="29" customWidth="1" style="11" min="1" max="1"/>
    <col width="9.140625" customWidth="1" style="11" min="2" max="2"/>
    <col width="14.42578125" customWidth="1" style="11" min="3" max="4"/>
    <col width="1.85546875" customWidth="1" style="11" min="5" max="5"/>
    <col hidden="1" width="8.140625" customWidth="1" style="11" min="6" max="24"/>
    <col width="8.140625" customWidth="1" style="11" min="25" max="26"/>
    <col width="7.85546875" bestFit="1" customWidth="1" style="11" min="27" max="27"/>
    <col width="1.28515625" customWidth="1" style="34" min="28" max="28"/>
    <col width="14.28515625" customWidth="1" style="34" min="29" max="29"/>
    <col width="1.28515625" customWidth="1" style="11" min="30" max="30"/>
    <col width="15.7109375" customWidth="1" style="34" min="31" max="31"/>
    <col width="1.140625" customWidth="1" style="11" min="32" max="32"/>
    <col width="8.7109375" customWidth="1" style="71" min="33" max="37"/>
    <col hidden="1" width="8.7109375" customWidth="1" style="71" min="38" max="46"/>
    <col width="9.140625" customWidth="1" style="11" min="47" max="47"/>
    <col width="21.85546875" bestFit="1" customWidth="1" style="11" min="48" max="48"/>
    <col width="9.140625" customWidth="1" style="11" min="49" max="49"/>
    <col hidden="1" width="13" customWidth="1" style="11" min="50" max="53"/>
    <col width="9.140625" customWidth="1" style="11" min="54" max="16384"/>
  </cols>
  <sheetData>
    <row r="1" ht="23.25" customHeight="1">
      <c r="A1" s="477" t="inlineStr">
        <is>
          <t>Controle de Contagem Semanal - Antilhas</t>
        </is>
      </c>
      <c r="AB1" s="362" t="n"/>
      <c r="AC1" s="361" t="n"/>
      <c r="AD1" s="361" t="n"/>
      <c r="AE1" s="361" t="n"/>
      <c r="AF1" s="361" t="n"/>
      <c r="AG1" s="361" t="n"/>
      <c r="AH1" s="361" t="n"/>
      <c r="AI1" s="361" t="n"/>
      <c r="AJ1" s="361" t="n"/>
      <c r="AK1" s="361" t="n"/>
      <c r="AL1" s="361" t="n"/>
      <c r="AM1" s="361" t="n"/>
      <c r="AN1" s="361" t="n"/>
      <c r="AO1" s="361" t="n"/>
      <c r="AP1" s="361" t="n"/>
      <c r="AQ1" s="361" t="n"/>
      <c r="AR1" s="361" t="n"/>
      <c r="AS1" s="361" t="n"/>
      <c r="AT1" s="361" t="n"/>
    </row>
    <row r="2">
      <c r="A2" s="28" t="inlineStr">
        <is>
          <t>LOJA:</t>
        </is>
      </c>
      <c r="B2" s="604" t="inlineStr">
        <is>
          <t>SÃO MANUEL</t>
        </is>
      </c>
      <c r="C2" s="605" t="n"/>
      <c r="D2" s="606" t="n"/>
      <c r="AB2" s="11" t="n"/>
      <c r="AC2" s="11" t="n"/>
      <c r="AE2" s="11" t="n"/>
    </row>
    <row r="3">
      <c r="A3" s="28" t="inlineStr">
        <is>
          <t>Responsável:</t>
        </is>
      </c>
      <c r="B3" s="607" t="inlineStr">
        <is>
          <t>CHARLENE</t>
        </is>
      </c>
      <c r="C3" s="605" t="n"/>
      <c r="D3" s="606" t="n"/>
      <c r="E3" s="608" t="n"/>
      <c r="F3" s="480" t="n"/>
      <c r="AC3" s="11" t="n"/>
      <c r="AD3" s="608" t="n"/>
    </row>
    <row r="4">
      <c r="AB4" s="74" t="n"/>
      <c r="AE4" s="11" t="n"/>
      <c r="AG4" s="395" t="n"/>
      <c r="AH4" s="395" t="n"/>
      <c r="AI4" s="395" t="n"/>
      <c r="AJ4" s="395" t="n"/>
      <c r="AK4" s="395" t="n"/>
      <c r="AL4" s="395" t="n"/>
      <c r="AM4" s="395" t="n"/>
      <c r="AN4" s="395" t="n"/>
      <c r="AO4" s="395" t="n"/>
      <c r="AP4" s="395" t="n"/>
      <c r="AQ4" s="395" t="n"/>
      <c r="AR4" s="395" t="n"/>
      <c r="AS4" s="395" t="n"/>
      <c r="AT4" s="395" t="n"/>
    </row>
    <row r="5" ht="18.75" customHeight="1">
      <c r="A5" s="647" t="inlineStr">
        <is>
          <t>Descrição</t>
        </is>
      </c>
      <c r="B5" s="611" t="inlineStr">
        <is>
          <t>PCT</t>
        </is>
      </c>
      <c r="C5" s="611" t="inlineStr">
        <is>
          <t xml:space="preserve">R$ </t>
        </is>
      </c>
      <c r="D5" s="612" t="inlineStr">
        <is>
          <t>Estoque Ideal</t>
        </is>
      </c>
      <c r="F5" s="481" t="n"/>
      <c r="G5" s="652" t="n"/>
      <c r="H5" s="652" t="n"/>
      <c r="I5" s="652" t="n"/>
      <c r="J5" s="652" t="n"/>
      <c r="K5" s="652" t="n"/>
      <c r="L5" s="652" t="n"/>
      <c r="M5" s="652" t="n"/>
      <c r="N5" s="652" t="n"/>
      <c r="O5" s="652" t="n"/>
      <c r="P5" s="652" t="n"/>
      <c r="Q5" s="652" t="n"/>
      <c r="R5" s="652" t="n"/>
      <c r="S5" s="652" t="n"/>
      <c r="T5" s="652" t="n"/>
      <c r="U5" s="652" t="n"/>
      <c r="V5" s="652" t="n"/>
      <c r="W5" s="652" t="n"/>
      <c r="X5" s="652" t="n"/>
      <c r="Y5" s="652" t="n"/>
      <c r="Z5" s="652" t="n"/>
      <c r="AA5" s="652" t="n"/>
      <c r="AB5" s="117" t="n"/>
      <c r="AC5" s="29" t="inlineStr">
        <is>
          <t>Pendências</t>
        </is>
      </c>
      <c r="AE5" s="9" t="inlineStr">
        <is>
          <t>Novo Pedido</t>
        </is>
      </c>
      <c r="AG5" s="614" t="n">
        <v>46142</v>
      </c>
      <c r="AH5" s="614" t="n">
        <v>46114</v>
      </c>
      <c r="AI5" s="616" t="n">
        <v>46065</v>
      </c>
      <c r="AJ5" s="614" t="n">
        <v>46107</v>
      </c>
      <c r="AK5" s="614" t="n">
        <v>46092</v>
      </c>
      <c r="AL5" s="614" t="n">
        <v>46056</v>
      </c>
      <c r="AM5" s="614" t="n">
        <v>46048</v>
      </c>
      <c r="AN5" s="614" t="n">
        <v>46043</v>
      </c>
      <c r="AO5" s="614" t="n">
        <v>46035</v>
      </c>
      <c r="AP5" s="614" t="n">
        <v>46029</v>
      </c>
      <c r="AQ5" s="614" t="n">
        <v>46017</v>
      </c>
      <c r="AR5" s="614" t="n">
        <v>46007</v>
      </c>
      <c r="AS5" s="614" t="n">
        <v>46001</v>
      </c>
      <c r="AT5" s="614" t="n">
        <v>45994</v>
      </c>
    </row>
    <row r="6" customFormat="1" s="3">
      <c r="A6" s="618" t="n"/>
      <c r="B6" s="618" t="n"/>
      <c r="C6" s="618" t="n"/>
      <c r="D6" s="618" t="n"/>
      <c r="E6" s="30" t="n"/>
      <c r="F6" s="619" t="n">
        <v>46013</v>
      </c>
      <c r="G6" s="619" t="n">
        <v>46020</v>
      </c>
      <c r="H6" s="619" t="n">
        <v>46027</v>
      </c>
      <c r="I6" s="619" t="n">
        <v>46034</v>
      </c>
      <c r="J6" s="619" t="n">
        <v>46041</v>
      </c>
      <c r="K6" s="619" t="n">
        <v>46048</v>
      </c>
      <c r="L6" s="619" t="n">
        <v>46055</v>
      </c>
      <c r="M6" s="619" t="n">
        <v>46062</v>
      </c>
      <c r="N6" s="619" t="n">
        <v>46069</v>
      </c>
      <c r="O6" s="619" t="n">
        <v>46076</v>
      </c>
      <c r="P6" s="619" t="n">
        <v>46083</v>
      </c>
      <c r="Q6" s="619" t="n">
        <v>46090</v>
      </c>
      <c r="R6" s="619" t="n">
        <v>46097</v>
      </c>
      <c r="S6" s="619" t="n">
        <v>46104</v>
      </c>
      <c r="T6" s="619" t="n">
        <v>46111</v>
      </c>
      <c r="U6" s="619" t="n">
        <v>46118</v>
      </c>
      <c r="V6" s="619" t="n">
        <v>46125</v>
      </c>
      <c r="W6" s="619" t="n">
        <v>46132</v>
      </c>
      <c r="X6" s="619" t="n">
        <v>46139</v>
      </c>
      <c r="Y6" s="619" t="n">
        <v>46146</v>
      </c>
      <c r="Z6" s="619" t="n">
        <v>46154</v>
      </c>
      <c r="AA6" s="621" t="inlineStr">
        <is>
          <t>USOU</t>
        </is>
      </c>
      <c r="AB6" s="648" t="n"/>
      <c r="AC6" s="622" t="n"/>
      <c r="AD6" s="623" t="n"/>
      <c r="AE6" s="624" t="n">
        <v>46155</v>
      </c>
      <c r="AF6" s="623" t="n"/>
      <c r="AG6" s="614" t="n">
        <v>46156</v>
      </c>
      <c r="AH6" s="614" t="n">
        <v>46125</v>
      </c>
      <c r="AI6" s="616" t="n">
        <v>46111</v>
      </c>
      <c r="AJ6" s="614" t="n">
        <v>46111</v>
      </c>
      <c r="AK6" s="614" t="n">
        <v>46101</v>
      </c>
      <c r="AL6" s="614" t="n">
        <v>46062</v>
      </c>
      <c r="AM6" s="614" t="n">
        <v>46056</v>
      </c>
      <c r="AN6" s="614" t="n">
        <v>46052</v>
      </c>
      <c r="AO6" s="614" t="n">
        <v>46043</v>
      </c>
      <c r="AP6" s="614" t="n">
        <v>46037</v>
      </c>
      <c r="AQ6" s="614" t="n">
        <v>46027</v>
      </c>
      <c r="AR6" s="614" t="n">
        <v>46013</v>
      </c>
      <c r="AS6" s="614" t="n">
        <v>46010</v>
      </c>
      <c r="AT6" s="614" t="n">
        <v>46001</v>
      </c>
      <c r="AV6" s="11" t="n"/>
      <c r="AW6" s="11" t="n"/>
      <c r="AX6" s="11" t="n"/>
      <c r="AY6" s="11" t="n"/>
      <c r="AZ6" s="11" t="n"/>
      <c r="BA6" s="11" t="n"/>
      <c r="BB6" s="11" t="n"/>
      <c r="BC6" s="11" t="n"/>
      <c r="BD6" s="11" t="n"/>
    </row>
    <row r="7" ht="21.75" customFormat="1" customHeight="1" s="3">
      <c r="A7" s="5" t="inlineStr">
        <is>
          <t xml:space="preserve">SACOLAS </t>
        </is>
      </c>
      <c r="B7" s="5" t="n"/>
      <c r="C7" s="5" t="n"/>
      <c r="D7" s="239" t="n"/>
      <c r="E7" s="11" t="n"/>
      <c r="F7" s="12" t="n"/>
      <c r="G7" s="12" t="n"/>
      <c r="H7" s="12" t="n"/>
      <c r="I7" s="12" t="n"/>
      <c r="J7" s="12" t="n"/>
      <c r="K7" s="12" t="n"/>
      <c r="L7" s="12" t="n"/>
      <c r="M7" s="12" t="n"/>
      <c r="N7" s="12" t="n"/>
      <c r="O7" s="12" t="n"/>
      <c r="P7" s="12" t="n"/>
      <c r="Q7" s="12" t="n"/>
      <c r="R7" s="12" t="n"/>
      <c r="S7" s="12" t="n"/>
      <c r="T7" s="12" t="n"/>
      <c r="U7" s="12" t="n"/>
      <c r="V7" s="12" t="n"/>
      <c r="W7" s="12" t="n"/>
      <c r="X7" s="12" t="n"/>
      <c r="Y7" s="12" t="n"/>
      <c r="Z7" s="12" t="n"/>
      <c r="AA7" s="12" t="n"/>
      <c r="AB7" s="349" t="n"/>
      <c r="AC7" s="85" t="n"/>
      <c r="AD7" s="11" t="n"/>
      <c r="AE7" s="127" t="n"/>
      <c r="AF7" s="11" t="n"/>
      <c r="AG7" s="12" t="n"/>
      <c r="AH7" s="12" t="n"/>
      <c r="AI7" s="12" t="inlineStr">
        <is>
          <t>MÃES</t>
        </is>
      </c>
      <c r="AJ7" s="12" t="n"/>
      <c r="AK7" s="12" t="n"/>
      <c r="AL7" s="12" t="n"/>
      <c r="AM7" s="12" t="n"/>
      <c r="AN7" s="12" t="n"/>
      <c r="AO7" s="12" t="n"/>
      <c r="AP7" s="12" t="n"/>
      <c r="AQ7" s="12" t="n"/>
      <c r="AR7" s="12" t="n"/>
      <c r="AS7" s="12" t="n"/>
      <c r="AT7" s="12" t="n"/>
      <c r="AV7" s="384" t="inlineStr">
        <is>
          <t>MÃES 2026</t>
        </is>
      </c>
      <c r="AW7" s="625" t="n"/>
      <c r="AX7" s="625" t="n"/>
      <c r="AY7" s="625" t="n"/>
      <c r="AZ7" s="625" t="n"/>
      <c r="BA7" s="625" t="n"/>
      <c r="BB7" s="625" t="n"/>
      <c r="BC7" s="625" t="n"/>
      <c r="BD7" s="641" t="n"/>
    </row>
    <row r="8" ht="19.5" customFormat="1" customHeight="1" s="3">
      <c r="A8" s="21" t="inlineStr">
        <is>
          <t>SACOLA PP VERDE</t>
        </is>
      </c>
      <c r="B8" s="6" t="n">
        <v>300</v>
      </c>
      <c r="C8" s="627" t="n">
        <v>187.12</v>
      </c>
      <c r="D8" s="240" t="n">
        <v>250</v>
      </c>
      <c r="E8" s="11" t="n"/>
      <c r="F8" s="39">
        <f>390+AR8</f>
        <v/>
      </c>
      <c r="G8" s="39" t="n">
        <v>765</v>
      </c>
      <c r="H8" s="39" t="n">
        <v>735</v>
      </c>
      <c r="I8" s="39" t="n">
        <v>735</v>
      </c>
      <c r="J8" s="39" t="n">
        <v>705</v>
      </c>
      <c r="K8" s="39" t="n">
        <v>690</v>
      </c>
      <c r="L8" s="39" t="n">
        <v>645</v>
      </c>
      <c r="M8" s="39" t="n">
        <v>615</v>
      </c>
      <c r="N8" s="39" t="n">
        <v>570</v>
      </c>
      <c r="O8" s="39" t="n">
        <v>570</v>
      </c>
      <c r="P8" s="39" t="n">
        <v>510</v>
      </c>
      <c r="Q8" s="39" t="n">
        <v>465</v>
      </c>
      <c r="R8" s="39" t="n">
        <v>420</v>
      </c>
      <c r="S8" s="39" t="n">
        <v>375</v>
      </c>
      <c r="T8" s="39" t="n">
        <v>345</v>
      </c>
      <c r="U8" s="39" t="n">
        <v>300</v>
      </c>
      <c r="V8" s="39" t="n">
        <v>270</v>
      </c>
      <c r="W8" s="39" t="n">
        <v>210</v>
      </c>
      <c r="X8" s="39" t="n">
        <v>195</v>
      </c>
      <c r="Y8" s="39" t="n">
        <v>150</v>
      </c>
      <c r="Z8" s="39">
        <f>45+AG8</f>
        <v/>
      </c>
      <c r="AA8" s="380">
        <f>Y8+IF(NOT(ISBLANK(OFFSET(AA8,0,6))),N(OFFSET(AA8,0,6)),N(OFFSET(AA8,0,7)))-Z8</f>
        <v/>
      </c>
      <c r="AB8" s="111" t="n"/>
      <c r="AC8" s="78" t="n"/>
      <c r="AD8" s="11" t="n"/>
      <c r="AE8" s="353" t="n"/>
      <c r="AF8" s="11" t="n"/>
      <c r="AG8" s="19" t="n">
        <v>300</v>
      </c>
      <c r="AH8" s="19" t="n"/>
      <c r="AI8" s="19" t="n"/>
      <c r="AJ8" s="19" t="n"/>
      <c r="AK8" s="19" t="n"/>
      <c r="AL8" s="19" t="n"/>
      <c r="AM8" s="19" t="n"/>
      <c r="AN8" s="19" t="n"/>
      <c r="AO8" s="19" t="n"/>
      <c r="AP8" s="19" t="n"/>
      <c r="AQ8" s="19" t="n"/>
      <c r="AR8" s="19" t="n">
        <v>600</v>
      </c>
      <c r="AS8" s="19" t="n">
        <v>300</v>
      </c>
      <c r="AT8" s="19" t="n">
        <v>300</v>
      </c>
      <c r="AV8" s="397" t="inlineStr">
        <is>
          <t xml:space="preserve">SACOLAS </t>
        </is>
      </c>
      <c r="AW8" s="384" t="inlineStr">
        <is>
          <t>PCT</t>
        </is>
      </c>
      <c r="AX8" s="619" t="n">
        <v>46118</v>
      </c>
      <c r="AY8" s="619" t="n">
        <v>46125</v>
      </c>
      <c r="AZ8" s="619" t="n">
        <v>46132</v>
      </c>
      <c r="BA8" s="619" t="n">
        <v>46139</v>
      </c>
      <c r="BB8" s="619" t="n">
        <v>46146</v>
      </c>
      <c r="BC8" s="619" t="n">
        <v>46154</v>
      </c>
      <c r="BD8" s="621" t="inlineStr">
        <is>
          <t>USOU</t>
        </is>
      </c>
    </row>
    <row r="9" ht="19.5" customFormat="1" customHeight="1" s="3">
      <c r="A9" s="21" t="inlineStr">
        <is>
          <t xml:space="preserve">SACOLA P VERDE </t>
        </is>
      </c>
      <c r="B9" s="6" t="n">
        <v>200</v>
      </c>
      <c r="C9" s="627" t="n">
        <v>246.28</v>
      </c>
      <c r="D9" s="240" t="n">
        <v>650</v>
      </c>
      <c r="E9" s="11" t="n"/>
      <c r="F9" s="39">
        <f>135+AR9</f>
        <v/>
      </c>
      <c r="G9" s="39" t="n">
        <v>195</v>
      </c>
      <c r="H9" s="39">
        <f>105+AQ9</f>
        <v/>
      </c>
      <c r="I9" s="39" t="n">
        <v>750</v>
      </c>
      <c r="J9" s="39">
        <f>630+AO9</f>
        <v/>
      </c>
      <c r="K9" s="39" t="n">
        <v>935</v>
      </c>
      <c r="L9" s="39">
        <f>800+AM9</f>
        <v/>
      </c>
      <c r="M9" s="39">
        <f>860+AL9</f>
        <v/>
      </c>
      <c r="N9" s="39" t="n">
        <v>920</v>
      </c>
      <c r="O9" s="39" t="n">
        <v>800</v>
      </c>
      <c r="P9" s="39" t="n">
        <v>690</v>
      </c>
      <c r="Q9" s="39" t="n">
        <v>520</v>
      </c>
      <c r="R9" s="39">
        <f>370+AK9</f>
        <v/>
      </c>
      <c r="S9" s="39" t="n">
        <v>385</v>
      </c>
      <c r="T9" s="39">
        <f>275+AJ9</f>
        <v/>
      </c>
      <c r="U9" s="39" t="n">
        <v>370</v>
      </c>
      <c r="V9" s="39" t="n">
        <v>335</v>
      </c>
      <c r="W9" s="39" t="n">
        <v>335</v>
      </c>
      <c r="X9" s="39" t="n">
        <v>335</v>
      </c>
      <c r="Y9" s="39" t="n">
        <v>335</v>
      </c>
      <c r="Z9" s="39">
        <f>275+AG9</f>
        <v/>
      </c>
      <c r="AA9" s="380">
        <f>Y9+IF(NOT(ISBLANK(OFFSET(AA9,0,6))),N(OFFSET(AA9,0,6)),N(OFFSET(AA9,0,7)))-Z9</f>
        <v/>
      </c>
      <c r="AB9" s="111" t="n"/>
      <c r="AC9" s="78" t="n"/>
      <c r="AD9" s="11" t="n"/>
      <c r="AE9" s="353" t="n"/>
      <c r="AF9" s="11" t="n"/>
      <c r="AG9" s="304" t="n">
        <v>400</v>
      </c>
      <c r="AH9" s="19" t="n"/>
      <c r="AI9" s="119" t="n">
        <v>800</v>
      </c>
      <c r="AJ9" s="19" t="n">
        <v>200</v>
      </c>
      <c r="AK9" s="19" t="n">
        <v>200</v>
      </c>
      <c r="AL9" s="19" t="n">
        <v>200</v>
      </c>
      <c r="AM9" s="19" t="n">
        <v>200</v>
      </c>
      <c r="AN9" s="19" t="n"/>
      <c r="AO9" s="19" t="n">
        <v>400</v>
      </c>
      <c r="AP9" s="19" t="n"/>
      <c r="AQ9" s="19" t="n">
        <v>800</v>
      </c>
      <c r="AR9" s="19" t="n">
        <v>600</v>
      </c>
      <c r="AS9" s="19" t="n">
        <v>400</v>
      </c>
      <c r="AT9" s="19" t="n"/>
      <c r="AV9" s="372" t="inlineStr">
        <is>
          <t xml:space="preserve">SACOLA P </t>
        </is>
      </c>
      <c r="AW9" s="139" t="n">
        <v>200</v>
      </c>
      <c r="AX9" s="39">
        <f>AI9</f>
        <v/>
      </c>
      <c r="AY9" s="39" t="n">
        <v>600</v>
      </c>
      <c r="AZ9" s="39" t="n">
        <v>490</v>
      </c>
      <c r="BA9" s="39" t="n">
        <v>430</v>
      </c>
      <c r="BB9" s="39" t="n">
        <v>305</v>
      </c>
      <c r="BC9" s="39" t="n">
        <v>105</v>
      </c>
      <c r="BD9" s="26">
        <f>BB9+IF(NOT(ISBLANK(OFFSET(BD9,0,6))),N(OFFSET(BD9,0,6)),N(OFFSET(BD9,0,7)))-BC9</f>
        <v/>
      </c>
    </row>
    <row r="10" ht="19.5" customFormat="1" customHeight="1" s="3">
      <c r="A10" s="21" t="inlineStr">
        <is>
          <t>SACOLA M VERDE</t>
        </is>
      </c>
      <c r="B10" s="6" t="n">
        <v>200</v>
      </c>
      <c r="C10" s="627" t="n">
        <v>253.83</v>
      </c>
      <c r="D10" s="240" t="n">
        <v>250</v>
      </c>
      <c r="E10" s="11" t="n"/>
      <c r="F10" s="39">
        <f>260+AR10</f>
        <v/>
      </c>
      <c r="G10" s="39" t="n">
        <v>120</v>
      </c>
      <c r="H10" s="39">
        <f>60+AQ10</f>
        <v/>
      </c>
      <c r="I10" s="39" t="n">
        <v>400</v>
      </c>
      <c r="J10" s="39" t="n">
        <v>350</v>
      </c>
      <c r="K10" s="39" t="n">
        <v>305</v>
      </c>
      <c r="L10" s="39" t="n">
        <v>460</v>
      </c>
      <c r="M10" s="39" t="n">
        <v>400</v>
      </c>
      <c r="N10" s="39" t="n">
        <v>370</v>
      </c>
      <c r="O10" s="39" t="n">
        <v>335</v>
      </c>
      <c r="P10" s="39" t="n">
        <v>290</v>
      </c>
      <c r="Q10" s="39" t="n">
        <v>230</v>
      </c>
      <c r="R10" s="39">
        <f>170+AK10</f>
        <v/>
      </c>
      <c r="S10" s="39" t="n">
        <v>320</v>
      </c>
      <c r="T10" s="39" t="n">
        <v>305</v>
      </c>
      <c r="U10" s="39" t="n">
        <v>260</v>
      </c>
      <c r="V10" s="39" t="n">
        <v>245</v>
      </c>
      <c r="W10" s="39" t="n">
        <v>245</v>
      </c>
      <c r="X10" s="39" t="n">
        <v>245</v>
      </c>
      <c r="Y10" s="39" t="n">
        <v>245</v>
      </c>
      <c r="Z10" s="39">
        <f>215+AG10</f>
        <v/>
      </c>
      <c r="AA10" s="380">
        <f>Y10+IF(NOT(ISBLANK(OFFSET(AA10,0,6))),N(OFFSET(AA10,0,6)),N(OFFSET(AA10,0,7)))-Z10</f>
        <v/>
      </c>
      <c r="AB10" s="111" t="n"/>
      <c r="AC10" s="78" t="n"/>
      <c r="AD10" s="11" t="n"/>
      <c r="AE10" s="353" t="n"/>
      <c r="AF10" s="11" t="n"/>
      <c r="AG10" s="304" t="n">
        <v>200</v>
      </c>
      <c r="AH10" s="19" t="n"/>
      <c r="AI10" s="119" t="n">
        <v>600</v>
      </c>
      <c r="AJ10" s="19" t="n"/>
      <c r="AK10" s="19" t="n">
        <v>200</v>
      </c>
      <c r="AL10" s="19" t="n"/>
      <c r="AM10" s="19" t="n"/>
      <c r="AN10" s="19" t="n">
        <v>200</v>
      </c>
      <c r="AO10" s="19" t="n"/>
      <c r="AP10" s="19" t="n"/>
      <c r="AQ10" s="19" t="n">
        <v>400</v>
      </c>
      <c r="AR10" s="19" t="n">
        <v>200</v>
      </c>
      <c r="AS10" s="19" t="n">
        <v>200</v>
      </c>
      <c r="AT10" s="19" t="n"/>
      <c r="AV10" s="21" t="inlineStr">
        <is>
          <t xml:space="preserve">SACOLA M </t>
        </is>
      </c>
      <c r="AW10" s="6" t="n">
        <v>200</v>
      </c>
      <c r="AX10" s="39">
        <f>AI10</f>
        <v/>
      </c>
      <c r="AY10" s="39" t="n">
        <v>490</v>
      </c>
      <c r="AZ10" s="39" t="n">
        <v>400</v>
      </c>
      <c r="BA10" s="39" t="n">
        <v>350</v>
      </c>
      <c r="BB10" s="39" t="n">
        <v>245</v>
      </c>
      <c r="BC10" s="39" t="n">
        <v>0</v>
      </c>
      <c r="BD10" s="26">
        <f>BB10+IF(NOT(ISBLANK(OFFSET(BD10,0,6))),N(OFFSET(BD10,0,6)),N(OFFSET(BD10,0,7)))-BC10</f>
        <v/>
      </c>
    </row>
    <row r="11" ht="19.5" customFormat="1" customHeight="1" s="3">
      <c r="A11" s="22" t="inlineStr">
        <is>
          <t xml:space="preserve">SACOLA G VERDE </t>
        </is>
      </c>
      <c r="B11" s="6" t="n">
        <v>100</v>
      </c>
      <c r="C11" s="627" t="n">
        <v>184.57</v>
      </c>
      <c r="D11" s="240" t="n">
        <v>50</v>
      </c>
      <c r="E11" s="11" t="n"/>
      <c r="F11" s="39" t="n">
        <v>50</v>
      </c>
      <c r="G11" s="39" t="n">
        <v>50</v>
      </c>
      <c r="H11" s="39" t="n">
        <v>50</v>
      </c>
      <c r="I11" s="39" t="n">
        <v>50</v>
      </c>
      <c r="J11" s="39" t="n">
        <v>0</v>
      </c>
      <c r="K11" s="39" t="n">
        <v>0</v>
      </c>
      <c r="L11" s="39" t="n">
        <v>100</v>
      </c>
      <c r="M11" s="39" t="n">
        <v>100</v>
      </c>
      <c r="N11" s="39" t="n">
        <v>100</v>
      </c>
      <c r="O11" s="39" t="n">
        <v>100</v>
      </c>
      <c r="P11" s="39" t="n">
        <v>100</v>
      </c>
      <c r="Q11" s="39" t="n">
        <v>100</v>
      </c>
      <c r="R11" s="39" t="n">
        <v>100</v>
      </c>
      <c r="S11" s="39" t="n">
        <v>100</v>
      </c>
      <c r="T11" s="39" t="n">
        <v>100</v>
      </c>
      <c r="U11" s="39" t="n">
        <v>100</v>
      </c>
      <c r="V11" s="39" t="n">
        <v>100</v>
      </c>
      <c r="W11" s="39" t="n">
        <v>100</v>
      </c>
      <c r="X11" s="39" t="n">
        <v>100</v>
      </c>
      <c r="Y11" s="39" t="n">
        <v>100</v>
      </c>
      <c r="Z11" s="39" t="n">
        <v>100</v>
      </c>
      <c r="AA11" s="380">
        <f>Y11+IF(NOT(ISBLANK(OFFSET(AA11,0,6))),N(OFFSET(AA11,0,6)),N(OFFSET(AA11,0,7)))-Z11</f>
        <v/>
      </c>
      <c r="AB11" s="111" t="n"/>
      <c r="AC11" s="78" t="n"/>
      <c r="AD11" s="11" t="n"/>
      <c r="AE11" s="353" t="n"/>
      <c r="AF11" s="11" t="n"/>
      <c r="AG11" s="304" t="n">
        <v>0</v>
      </c>
      <c r="AH11" s="19" t="n"/>
      <c r="AI11" s="119" t="n">
        <v>100</v>
      </c>
      <c r="AJ11" s="19" t="n"/>
      <c r="AK11" s="19" t="n"/>
      <c r="AL11" s="19" t="n"/>
      <c r="AM11" s="19" t="n"/>
      <c r="AN11" s="19" t="n">
        <v>100</v>
      </c>
      <c r="AO11" s="19" t="n"/>
      <c r="AP11" s="19" t="n"/>
      <c r="AQ11" s="19" t="n"/>
      <c r="AR11" s="19" t="n"/>
      <c r="AS11" s="19" t="n"/>
      <c r="AT11" s="19" t="n"/>
      <c r="AV11" s="22" t="inlineStr">
        <is>
          <t xml:space="preserve">SACOLA G </t>
        </is>
      </c>
      <c r="AW11" s="6" t="n">
        <v>100</v>
      </c>
      <c r="AX11" s="39">
        <f>AI11</f>
        <v/>
      </c>
      <c r="AY11" s="39" t="n">
        <v>0</v>
      </c>
      <c r="AZ11" s="39" t="n">
        <v>0</v>
      </c>
      <c r="BA11" s="39" t="n">
        <v>0</v>
      </c>
      <c r="BB11" s="39" t="n">
        <v>0</v>
      </c>
      <c r="BC11" s="39" t="n">
        <v>0</v>
      </c>
      <c r="BD11" s="26">
        <f>BB11+IF(NOT(ISBLANK(OFFSET(BD11,0,6))),N(OFFSET(BD11,0,6)),N(OFFSET(BD11,0,7)))-BC11</f>
        <v/>
      </c>
    </row>
    <row r="12" ht="16.5" customFormat="1" customHeight="1" s="3">
      <c r="A12" s="23" t="n"/>
      <c r="B12" s="1" t="n"/>
      <c r="C12" s="630" t="n"/>
      <c r="D12" s="277" t="n"/>
      <c r="E12" s="11" t="n"/>
      <c r="F12" s="2" t="n"/>
      <c r="G12" s="2" t="n"/>
      <c r="H12" s="2" t="n"/>
      <c r="I12" s="2" t="n"/>
      <c r="J12" s="2" t="n"/>
      <c r="K12" s="2" t="n"/>
      <c r="L12" s="2" t="n"/>
      <c r="M12" s="2" t="n"/>
      <c r="N12" s="2" t="n"/>
      <c r="O12" s="2" t="n"/>
      <c r="P12" s="2" t="n"/>
      <c r="Q12" s="2" t="n"/>
      <c r="R12" s="2" t="n"/>
      <c r="S12" s="2" t="n"/>
      <c r="T12" s="2" t="n"/>
      <c r="U12" s="2" t="n"/>
      <c r="V12" s="2" t="n"/>
      <c r="W12" s="2" t="n"/>
      <c r="X12" s="2" t="n"/>
      <c r="Y12" s="2" t="n"/>
      <c r="Z12" s="2" t="n"/>
      <c r="AA12" s="2" t="n"/>
      <c r="AC12" s="350" t="n"/>
      <c r="AD12" s="11" t="n"/>
      <c r="AE12" s="359" t="n"/>
      <c r="AF12" s="11" t="n"/>
      <c r="AG12" s="75" t="n"/>
      <c r="AH12" s="75" t="n"/>
      <c r="AI12" s="75" t="n"/>
      <c r="AJ12" s="75" t="n"/>
      <c r="AK12" s="75" t="n"/>
      <c r="AL12" s="75" t="n"/>
      <c r="AM12" s="75" t="n"/>
      <c r="AN12" s="75" t="n"/>
      <c r="AO12" s="75" t="n"/>
      <c r="AP12" s="75" t="n"/>
      <c r="AQ12" s="75" t="n"/>
      <c r="AR12" s="75" t="n"/>
      <c r="AS12" s="75" t="n"/>
      <c r="AT12" s="75" t="n"/>
      <c r="AV12" s="23" t="n"/>
      <c r="AW12" s="1" t="n"/>
      <c r="AX12" s="2" t="n"/>
      <c r="AY12" s="2" t="n"/>
      <c r="AZ12" s="2" t="n"/>
      <c r="BA12" s="2" t="n"/>
      <c r="BB12" s="2" t="n"/>
      <c r="BC12" s="2" t="n"/>
    </row>
    <row r="13" customFormat="1" s="3">
      <c r="A13" s="548" t="inlineStr">
        <is>
          <t>DIVERSOS</t>
        </is>
      </c>
      <c r="B13" s="12" t="n"/>
      <c r="C13" s="631" t="n"/>
      <c r="D13" s="403" t="n"/>
      <c r="E13" s="608" t="n"/>
      <c r="F13" s="619" t="n">
        <v>46013</v>
      </c>
      <c r="G13" s="619" t="n">
        <v>46020</v>
      </c>
      <c r="H13" s="619" t="n">
        <v>46027</v>
      </c>
      <c r="I13" s="619" t="n">
        <v>46034</v>
      </c>
      <c r="J13" s="619" t="n">
        <v>46041</v>
      </c>
      <c r="K13" s="619" t="n">
        <v>46048</v>
      </c>
      <c r="L13" s="619" t="n">
        <v>46055</v>
      </c>
      <c r="M13" s="619" t="n">
        <v>46062</v>
      </c>
      <c r="N13" s="619" t="n">
        <v>46069</v>
      </c>
      <c r="O13" s="619" t="n">
        <v>46076</v>
      </c>
      <c r="P13" s="619" t="n">
        <v>46083</v>
      </c>
      <c r="Q13" s="619" t="n">
        <v>46090</v>
      </c>
      <c r="R13" s="619" t="n">
        <v>46097</v>
      </c>
      <c r="S13" s="619" t="n">
        <v>46104</v>
      </c>
      <c r="T13" s="619" t="n">
        <v>46111</v>
      </c>
      <c r="U13" s="619" t="n">
        <v>46118</v>
      </c>
      <c r="V13" s="619" t="n">
        <v>46125</v>
      </c>
      <c r="W13" s="619" t="n">
        <v>46132</v>
      </c>
      <c r="X13" s="619" t="n">
        <v>46139</v>
      </c>
      <c r="Y13" s="619" t="n">
        <v>46146</v>
      </c>
      <c r="Z13" s="619" t="n">
        <v>46154</v>
      </c>
      <c r="AA13" s="621" t="inlineStr">
        <is>
          <t>USOU</t>
        </is>
      </c>
      <c r="AC13" s="29" t="inlineStr">
        <is>
          <t>Pendências</t>
        </is>
      </c>
      <c r="AD13" s="11" t="n"/>
      <c r="AE13" s="9" t="inlineStr">
        <is>
          <t>Novo Pedido</t>
        </is>
      </c>
      <c r="AF13" s="608" t="n"/>
      <c r="AG13" s="614" t="n">
        <v>46142</v>
      </c>
      <c r="AH13" s="614" t="n">
        <v>46114</v>
      </c>
      <c r="AI13" s="616" t="n">
        <v>46065</v>
      </c>
      <c r="AJ13" s="614" t="n">
        <v>46107</v>
      </c>
      <c r="AK13" s="614" t="n">
        <v>46092</v>
      </c>
      <c r="AL13" s="614" t="n">
        <v>46056</v>
      </c>
      <c r="AM13" s="614" t="n">
        <v>46048</v>
      </c>
      <c r="AN13" s="614" t="n">
        <v>46043</v>
      </c>
      <c r="AO13" s="614" t="n">
        <v>46035</v>
      </c>
      <c r="AP13" s="614" t="n">
        <v>46029</v>
      </c>
      <c r="AQ13" s="614" t="n">
        <v>46017</v>
      </c>
      <c r="AR13" s="614" t="n">
        <v>46007</v>
      </c>
      <c r="AS13" s="614" t="n">
        <v>46001</v>
      </c>
      <c r="AT13" s="614" t="n">
        <v>45994</v>
      </c>
      <c r="AV13" s="397" t="inlineStr">
        <is>
          <t>DIVERSOS</t>
        </is>
      </c>
      <c r="AW13" s="384" t="inlineStr">
        <is>
          <t>PCT</t>
        </is>
      </c>
      <c r="AX13" s="619" t="n">
        <v>46118</v>
      </c>
      <c r="AY13" s="619" t="n">
        <v>46125</v>
      </c>
      <c r="AZ13" s="619" t="n">
        <v>46132</v>
      </c>
      <c r="BA13" s="619" t="n">
        <v>46139</v>
      </c>
      <c r="BB13" s="619" t="n">
        <v>46146</v>
      </c>
      <c r="BC13" s="619" t="n">
        <v>46154</v>
      </c>
      <c r="BD13" s="621" t="inlineStr">
        <is>
          <t>USOU</t>
        </is>
      </c>
    </row>
    <row r="14" customFormat="1" s="3">
      <c r="A14" s="25" t="inlineStr">
        <is>
          <t xml:space="preserve">PAPEL DE SEDA </t>
        </is>
      </c>
      <c r="B14" s="6" t="n">
        <v>500</v>
      </c>
      <c r="C14" s="632" t="n">
        <v>99.26000000000001</v>
      </c>
      <c r="D14" s="240" t="n">
        <v>2</v>
      </c>
      <c r="E14" s="608" t="n"/>
      <c r="F14" s="39">
        <f>3+AR14</f>
        <v/>
      </c>
      <c r="G14" s="39" t="n">
        <v>4</v>
      </c>
      <c r="H14" s="39">
        <f>4+AQ14</f>
        <v/>
      </c>
      <c r="I14" s="39" t="n">
        <v>6</v>
      </c>
      <c r="J14" s="39" t="n">
        <v>6</v>
      </c>
      <c r="K14" s="39" t="n">
        <v>5</v>
      </c>
      <c r="L14" s="39">
        <f>4+AM14</f>
        <v/>
      </c>
      <c r="M14" s="39">
        <f>5+AL14</f>
        <v/>
      </c>
      <c r="N14" s="39" t="n">
        <v>6</v>
      </c>
      <c r="O14" s="39" t="n">
        <v>5</v>
      </c>
      <c r="P14" s="39" t="n">
        <v>4</v>
      </c>
      <c r="Q14" s="39" t="n">
        <v>3</v>
      </c>
      <c r="R14" s="39">
        <f>2+AK14</f>
        <v/>
      </c>
      <c r="S14" s="39" t="n">
        <v>3</v>
      </c>
      <c r="T14" s="39">
        <f>3+AJ14</f>
        <v/>
      </c>
      <c r="U14" s="39" t="n">
        <v>3</v>
      </c>
      <c r="V14" s="39" t="n">
        <v>3</v>
      </c>
      <c r="W14" s="39" t="n">
        <v>3</v>
      </c>
      <c r="X14" s="39" t="n">
        <v>3</v>
      </c>
      <c r="Y14" s="39" t="n">
        <v>3</v>
      </c>
      <c r="Z14" s="39">
        <f>3+AG14</f>
        <v/>
      </c>
      <c r="AA14" s="380">
        <f>Y14+IF(NOT(ISBLANK(OFFSET(AA14,0,6))),N(OFFSET(AA14,0,6)),N(OFFSET(AA14,0,7)))-Z14</f>
        <v/>
      </c>
      <c r="AC14" s="78" t="n"/>
      <c r="AD14" s="608" t="n"/>
      <c r="AE14" s="353" t="n"/>
      <c r="AF14" s="608" t="n"/>
      <c r="AG14" s="304" t="n">
        <v>3</v>
      </c>
      <c r="AH14" s="19" t="n"/>
      <c r="AI14" s="119" t="n">
        <v>7</v>
      </c>
      <c r="AJ14" s="19" t="n">
        <v>1</v>
      </c>
      <c r="AK14" s="19" t="n">
        <v>2</v>
      </c>
      <c r="AL14" s="19" t="n">
        <v>1</v>
      </c>
      <c r="AM14" s="19" t="n">
        <v>2</v>
      </c>
      <c r="AN14" s="19" t="n"/>
      <c r="AO14" s="19" t="n"/>
      <c r="AP14" s="19" t="n"/>
      <c r="AQ14" s="19" t="n">
        <v>2</v>
      </c>
      <c r="AR14" s="19" t="n">
        <v>2</v>
      </c>
      <c r="AS14" s="19" t="n"/>
      <c r="AT14" s="19" t="n"/>
      <c r="AV14" s="372" t="inlineStr">
        <is>
          <t>PAPEL DE SEDA</t>
        </is>
      </c>
      <c r="AW14" s="139" t="n">
        <v>200</v>
      </c>
      <c r="AX14" s="39">
        <f>AI14</f>
        <v/>
      </c>
      <c r="AY14" s="39" t="n">
        <v>6</v>
      </c>
      <c r="AZ14" s="39" t="n">
        <v>5</v>
      </c>
      <c r="BA14" s="39" t="n">
        <v>4</v>
      </c>
      <c r="BB14" s="39" t="n">
        <v>4</v>
      </c>
      <c r="BC14" s="39" t="n">
        <v>0</v>
      </c>
      <c r="BD14" s="26">
        <f>BB14+IF(NOT(ISBLANK(OFFSET(BD14,0,6))),N(OFFSET(BD14,0,6)),N(OFFSET(BD14,0,7)))-BC14</f>
        <v/>
      </c>
    </row>
    <row r="15" customFormat="1" s="3">
      <c r="A15" s="25" t="inlineStr">
        <is>
          <t>ETIQUETAS</t>
        </is>
      </c>
      <c r="B15" s="6" t="n">
        <v>2000</v>
      </c>
      <c r="C15" s="632" t="n">
        <v>55.36</v>
      </c>
      <c r="D15" s="240" t="n">
        <v>2</v>
      </c>
      <c r="E15" s="608" t="n"/>
      <c r="F15" s="39">
        <f>2+AS15</f>
        <v/>
      </c>
      <c r="G15" s="39" t="n">
        <v>2</v>
      </c>
      <c r="H15" s="39">
        <f>2+AQ15</f>
        <v/>
      </c>
      <c r="I15" s="39" t="n">
        <v>4</v>
      </c>
      <c r="J15" s="39" t="n">
        <v>3</v>
      </c>
      <c r="K15" s="39" t="n">
        <v>3</v>
      </c>
      <c r="L15" s="39" t="n">
        <v>3</v>
      </c>
      <c r="M15" s="39" t="n">
        <v>3</v>
      </c>
      <c r="N15" s="39" t="n">
        <v>3</v>
      </c>
      <c r="O15" s="39" t="n">
        <v>3</v>
      </c>
      <c r="P15" s="39" t="n">
        <v>3</v>
      </c>
      <c r="Q15" s="39" t="n">
        <v>3</v>
      </c>
      <c r="R15" s="39" t="n">
        <v>3</v>
      </c>
      <c r="S15" s="39" t="n">
        <v>3</v>
      </c>
      <c r="T15" s="39" t="n">
        <v>3</v>
      </c>
      <c r="U15" s="39" t="n">
        <v>2</v>
      </c>
      <c r="V15" s="39" t="n">
        <v>3</v>
      </c>
      <c r="W15" s="39" t="n">
        <v>3</v>
      </c>
      <c r="X15" s="39" t="n">
        <v>3</v>
      </c>
      <c r="Y15" s="39" t="n">
        <v>3</v>
      </c>
      <c r="Z15" s="39" t="n">
        <v>3</v>
      </c>
      <c r="AA15" s="380">
        <f>Y15+IF(NOT(ISBLANK(OFFSET(AA15,0,6))),N(OFFSET(AA15,0,6)),N(OFFSET(AA15,0,7)))-Z15</f>
        <v/>
      </c>
      <c r="AC15" s="78" t="n"/>
      <c r="AD15" s="608" t="n"/>
      <c r="AE15" s="353" t="n"/>
      <c r="AF15" s="608" t="n"/>
      <c r="AG15" s="304" t="n">
        <v>0</v>
      </c>
      <c r="AH15" s="19" t="n"/>
      <c r="AI15" s="119" t="n">
        <v>3</v>
      </c>
      <c r="AJ15" s="19" t="n"/>
      <c r="AK15" s="19" t="n"/>
      <c r="AL15" s="19" t="n"/>
      <c r="AM15" s="19" t="n"/>
      <c r="AN15" s="19" t="n"/>
      <c r="AO15" s="19" t="n"/>
      <c r="AP15" s="19" t="n"/>
      <c r="AQ15" s="19" t="n">
        <v>3</v>
      </c>
      <c r="AR15" s="19" t="n"/>
      <c r="AS15" s="19" t="n">
        <v>1</v>
      </c>
      <c r="AT15" s="19" t="n"/>
      <c r="AV15" s="21" t="inlineStr">
        <is>
          <t>ADESIVOS</t>
        </is>
      </c>
      <c r="AW15" s="6" t="n">
        <v>200</v>
      </c>
      <c r="AX15" s="39">
        <f>AI15</f>
        <v/>
      </c>
      <c r="AY15" s="39" t="n">
        <v>2</v>
      </c>
      <c r="AZ15" s="39" t="n">
        <v>2</v>
      </c>
      <c r="BA15" s="39" t="n">
        <v>2</v>
      </c>
      <c r="BB15" s="39" t="n">
        <v>2</v>
      </c>
      <c r="BC15" s="39" t="n">
        <v>0</v>
      </c>
      <c r="BD15" s="26">
        <f>BB15+IF(NOT(ISBLANK(OFFSET(BD15,0,6))),N(OFFSET(BD15,0,6)),N(OFFSET(BD15,0,7)))-BC15</f>
        <v/>
      </c>
    </row>
    <row r="16" customFormat="1" s="3">
      <c r="A16" s="25" t="inlineStr">
        <is>
          <t xml:space="preserve">TAGS </t>
        </is>
      </c>
      <c r="B16" s="6" t="n">
        <v>200</v>
      </c>
      <c r="C16" s="632" t="n">
        <v>10.28</v>
      </c>
      <c r="D16" s="240" t="n">
        <v>3</v>
      </c>
      <c r="E16" s="1" t="n"/>
      <c r="F16" s="39">
        <f>3+AR16</f>
        <v/>
      </c>
      <c r="G16" s="39" t="n">
        <v>1</v>
      </c>
      <c r="H16" s="39">
        <f>0+AQ16</f>
        <v/>
      </c>
      <c r="I16" s="39" t="n">
        <v>3</v>
      </c>
      <c r="J16" s="39" t="n">
        <v>3</v>
      </c>
      <c r="K16" s="39" t="n">
        <v>3</v>
      </c>
      <c r="L16" s="39" t="n">
        <v>2</v>
      </c>
      <c r="M16" s="39">
        <f>2+AL16</f>
        <v/>
      </c>
      <c r="N16" s="39" t="n">
        <v>2</v>
      </c>
      <c r="O16" s="39" t="n">
        <v>2</v>
      </c>
      <c r="P16" s="39" t="n">
        <v>2</v>
      </c>
      <c r="Q16" s="39" t="n">
        <v>1</v>
      </c>
      <c r="R16" s="39">
        <f>1+AK16</f>
        <v/>
      </c>
      <c r="S16" s="39" t="n">
        <v>2</v>
      </c>
      <c r="T16" s="39">
        <f>2+AJ16</f>
        <v/>
      </c>
      <c r="U16" s="39" t="n">
        <v>3</v>
      </c>
      <c r="V16" s="39" t="n">
        <v>1</v>
      </c>
      <c r="W16" s="39" t="n">
        <v>1</v>
      </c>
      <c r="X16" s="39" t="n">
        <v>1</v>
      </c>
      <c r="Y16" s="39" t="n">
        <v>0</v>
      </c>
      <c r="Z16" s="39">
        <f>0+AG16</f>
        <v/>
      </c>
      <c r="AA16" s="380">
        <f>Y16+IF(NOT(ISBLANK(OFFSET(AA16,0,6))),N(OFFSET(AA16,0,6)),N(OFFSET(AA16,0,7)))-Z16</f>
        <v/>
      </c>
      <c r="AC16" s="78" t="n"/>
      <c r="AD16" s="1" t="n"/>
      <c r="AE16" s="353" t="n"/>
      <c r="AF16" s="1" t="n"/>
      <c r="AG16" s="19" t="n">
        <v>3</v>
      </c>
      <c r="AH16" s="19" t="n"/>
      <c r="AI16" s="19" t="n"/>
      <c r="AJ16" s="19" t="n">
        <v>1</v>
      </c>
      <c r="AK16" s="19" t="n">
        <v>2</v>
      </c>
      <c r="AL16" s="19" t="n">
        <v>1</v>
      </c>
      <c r="AM16" s="19" t="n"/>
      <c r="AN16" s="19" t="n"/>
      <c r="AO16" s="19" t="n"/>
      <c r="AP16" s="19" t="n"/>
      <c r="AQ16" s="19" t="n">
        <v>3</v>
      </c>
      <c r="AR16" s="19" t="n">
        <v>1</v>
      </c>
      <c r="AS16" s="19" t="n">
        <v>1</v>
      </c>
      <c r="AT16" s="19" t="n"/>
    </row>
    <row r="17" customFormat="1" s="3">
      <c r="A17" s="25" t="inlineStr">
        <is>
          <t>LÂMINA OLFATIVA</t>
        </is>
      </c>
      <c r="B17" s="6" t="n">
        <v>3000</v>
      </c>
      <c r="C17" s="632" t="n">
        <v>71.8</v>
      </c>
      <c r="D17" s="240" t="n">
        <v>2</v>
      </c>
      <c r="E17" s="1" t="n"/>
      <c r="F17" s="39">
        <f>2+AR17</f>
        <v/>
      </c>
      <c r="G17" s="39" t="n">
        <v>2</v>
      </c>
      <c r="H17" s="39">
        <f>2+AQ17</f>
        <v/>
      </c>
      <c r="I17" s="39" t="n">
        <v>4</v>
      </c>
      <c r="J17" s="39" t="n">
        <v>4</v>
      </c>
      <c r="K17" s="39" t="n">
        <v>3</v>
      </c>
      <c r="L17" s="39">
        <f>3+AM17</f>
        <v/>
      </c>
      <c r="M17" s="39" t="n">
        <v>4</v>
      </c>
      <c r="N17" s="39" t="n">
        <v>4</v>
      </c>
      <c r="O17" s="39" t="n">
        <v>3</v>
      </c>
      <c r="P17" s="39" t="n">
        <v>3</v>
      </c>
      <c r="Q17" s="39" t="n">
        <v>3</v>
      </c>
      <c r="R17" s="39" t="n">
        <v>2</v>
      </c>
      <c r="S17" s="39" t="n">
        <v>2</v>
      </c>
      <c r="T17" s="39" t="n">
        <v>2</v>
      </c>
      <c r="U17" s="39" t="n">
        <v>2</v>
      </c>
      <c r="V17" s="39" t="n">
        <v>1</v>
      </c>
      <c r="W17" s="39" t="n">
        <v>1</v>
      </c>
      <c r="X17" s="39" t="n">
        <v>1</v>
      </c>
      <c r="Y17" s="39" t="n">
        <v>1</v>
      </c>
      <c r="Z17" s="39">
        <f>0+AG17</f>
        <v/>
      </c>
      <c r="AA17" s="380">
        <f>Y17+IF(NOT(ISBLANK(OFFSET(AA17,0,6))),N(OFFSET(AA17,0,6)),N(OFFSET(AA17,0,7)))-Z17</f>
        <v/>
      </c>
      <c r="AC17" s="78" t="n"/>
      <c r="AD17" s="1" t="n"/>
      <c r="AE17" s="353" t="n"/>
      <c r="AF17" s="1" t="n"/>
      <c r="AG17" s="19" t="n">
        <v>1</v>
      </c>
      <c r="AH17" s="19" t="n"/>
      <c r="AI17" s="19" t="n"/>
      <c r="AJ17" s="19" t="n"/>
      <c r="AK17" s="19" t="n"/>
      <c r="AL17" s="19" t="n"/>
      <c r="AM17" s="19" t="n">
        <v>1</v>
      </c>
      <c r="AN17" s="19" t="n"/>
      <c r="AO17" s="19" t="n"/>
      <c r="AP17" s="19" t="n"/>
      <c r="AQ17" s="19" t="n">
        <v>2</v>
      </c>
      <c r="AR17" s="19" t="n">
        <v>1</v>
      </c>
      <c r="AS17" s="19" t="n"/>
      <c r="AT17" s="19" t="n">
        <v>1</v>
      </c>
    </row>
    <row r="18" ht="14.25" customFormat="1" customHeight="1" s="3">
      <c r="A18" s="23" t="n"/>
      <c r="D18" s="277" t="n"/>
      <c r="AC18" s="398" t="n"/>
      <c r="AE18" s="360" t="n"/>
      <c r="AG18" s="396" t="n"/>
      <c r="AH18" s="396" t="n"/>
      <c r="AI18" s="396" t="n"/>
      <c r="AJ18" s="396" t="n"/>
      <c r="AK18" s="396" t="n"/>
      <c r="AL18" s="396" t="n"/>
      <c r="AM18" s="396" t="n"/>
      <c r="AN18" s="396" t="n"/>
      <c r="AO18" s="396" t="n"/>
      <c r="AP18" s="396" t="n"/>
      <c r="AQ18" s="396" t="n"/>
      <c r="AR18" s="396" t="n"/>
      <c r="AS18" s="396" t="n"/>
      <c r="AT18" s="396" t="n"/>
    </row>
    <row r="19" customFormat="1" s="3">
      <c r="A19" s="548" t="inlineStr">
        <is>
          <t>CAIXAS</t>
        </is>
      </c>
      <c r="B19" s="12" t="n"/>
      <c r="C19" s="654" t="n"/>
      <c r="D19" s="403" t="n"/>
      <c r="E19" s="1" t="n"/>
      <c r="F19" s="619" t="n">
        <v>46013</v>
      </c>
      <c r="G19" s="619" t="n">
        <v>46020</v>
      </c>
      <c r="H19" s="619" t="n">
        <v>46027</v>
      </c>
      <c r="I19" s="619" t="n">
        <v>46034</v>
      </c>
      <c r="J19" s="619" t="n">
        <v>46041</v>
      </c>
      <c r="K19" s="619" t="n">
        <v>46048</v>
      </c>
      <c r="L19" s="619" t="n">
        <v>46055</v>
      </c>
      <c r="M19" s="619" t="n">
        <v>46062</v>
      </c>
      <c r="N19" s="619" t="n">
        <v>46069</v>
      </c>
      <c r="O19" s="619" t="n">
        <v>46076</v>
      </c>
      <c r="P19" s="619" t="n">
        <v>46083</v>
      </c>
      <c r="Q19" s="619" t="n">
        <v>46090</v>
      </c>
      <c r="R19" s="619" t="n">
        <v>46097</v>
      </c>
      <c r="S19" s="619" t="n">
        <v>46104</v>
      </c>
      <c r="T19" s="619" t="n">
        <v>46111</v>
      </c>
      <c r="U19" s="619" t="n">
        <v>46118</v>
      </c>
      <c r="V19" s="619" t="n">
        <v>46125</v>
      </c>
      <c r="W19" s="619" t="n">
        <v>46132</v>
      </c>
      <c r="X19" s="619" t="n">
        <v>46139</v>
      </c>
      <c r="Y19" s="619" t="n">
        <v>46146</v>
      </c>
      <c r="Z19" s="619" t="n">
        <v>46154</v>
      </c>
      <c r="AA19" s="621" t="inlineStr">
        <is>
          <t>USOU</t>
        </is>
      </c>
      <c r="AC19" s="29" t="inlineStr">
        <is>
          <t>Pendências</t>
        </is>
      </c>
      <c r="AD19" s="11" t="n"/>
      <c r="AE19" s="9" t="inlineStr">
        <is>
          <t>Novo Pedido</t>
        </is>
      </c>
      <c r="AF19" s="1" t="n"/>
      <c r="AG19" s="614" t="n">
        <v>46142</v>
      </c>
      <c r="AH19" s="614" t="n">
        <v>46114</v>
      </c>
      <c r="AI19" s="616" t="n">
        <v>46065</v>
      </c>
      <c r="AJ19" s="614" t="n">
        <v>46107</v>
      </c>
      <c r="AK19" s="614" t="n">
        <v>46092</v>
      </c>
      <c r="AL19" s="614" t="n">
        <v>46056</v>
      </c>
      <c r="AM19" s="614" t="n">
        <v>46048</v>
      </c>
      <c r="AN19" s="614" t="n">
        <v>46043</v>
      </c>
      <c r="AO19" s="614" t="n">
        <v>46035</v>
      </c>
      <c r="AP19" s="614" t="n">
        <v>46029</v>
      </c>
      <c r="AQ19" s="614" t="n">
        <v>46017</v>
      </c>
      <c r="AR19" s="614" t="n">
        <v>46007</v>
      </c>
      <c r="AS19" s="614" t="n">
        <v>46001</v>
      </c>
      <c r="AT19" s="614" t="n">
        <v>45994</v>
      </c>
      <c r="AV19" s="397" t="inlineStr">
        <is>
          <t>CAIXAS</t>
        </is>
      </c>
      <c r="AW19" s="384" t="inlineStr">
        <is>
          <t>PCT</t>
        </is>
      </c>
      <c r="AX19" s="619" t="n">
        <v>46118</v>
      </c>
      <c r="AY19" s="619" t="n">
        <v>46125</v>
      </c>
      <c r="AZ19" s="619" t="n">
        <v>46132</v>
      </c>
      <c r="BA19" s="619" t="n">
        <v>46139</v>
      </c>
      <c r="BB19" s="619" t="n">
        <v>46146</v>
      </c>
      <c r="BC19" s="619" t="n">
        <v>46154</v>
      </c>
      <c r="BD19" s="621" t="inlineStr">
        <is>
          <t>USOU</t>
        </is>
      </c>
    </row>
    <row r="20" customFormat="1" s="3">
      <c r="A20" s="25" t="inlineStr">
        <is>
          <t>CAIXA P VERDE</t>
        </is>
      </c>
      <c r="B20" s="6" t="n">
        <v>150</v>
      </c>
      <c r="C20" s="627" t="n">
        <v>334.31</v>
      </c>
      <c r="D20" s="240" t="n">
        <v>120</v>
      </c>
      <c r="E20" s="1" t="n"/>
      <c r="F20" s="27" t="n">
        <v>211</v>
      </c>
      <c r="G20" s="27" t="n">
        <v>155</v>
      </c>
      <c r="H20" s="27" t="n">
        <v>120</v>
      </c>
      <c r="I20" s="27" t="n">
        <v>94</v>
      </c>
      <c r="J20" s="27" t="n">
        <v>223</v>
      </c>
      <c r="K20" s="27" t="n">
        <v>202</v>
      </c>
      <c r="L20" s="27" t="n">
        <v>178</v>
      </c>
      <c r="M20" s="27" t="n">
        <v>291</v>
      </c>
      <c r="N20" s="27" t="n">
        <v>284</v>
      </c>
      <c r="O20" s="27" t="n">
        <v>269</v>
      </c>
      <c r="P20" s="27" t="n">
        <v>252</v>
      </c>
      <c r="Q20" s="27" t="n">
        <v>227</v>
      </c>
      <c r="R20" s="27" t="n">
        <v>214</v>
      </c>
      <c r="S20" s="27" t="n">
        <v>203</v>
      </c>
      <c r="T20" s="27" t="n">
        <v>191</v>
      </c>
      <c r="U20" s="27" t="n"/>
      <c r="V20" s="27" t="n"/>
      <c r="W20" s="27" t="n"/>
      <c r="X20" s="27" t="n">
        <v>169</v>
      </c>
      <c r="Y20" s="27" t="n">
        <v>169</v>
      </c>
      <c r="Z20" s="27" t="n">
        <v>132</v>
      </c>
      <c r="AA20" s="380">
        <f>Y20+IF(NOT(ISBLANK(OFFSET(AA20,0,6))),N(OFFSET(AA20,0,6)),N(OFFSET(AA20,0,7)))-Z20</f>
        <v/>
      </c>
      <c r="AB20" s="370" t="n"/>
      <c r="AC20" s="78" t="n"/>
      <c r="AD20" s="1" t="n"/>
      <c r="AE20" s="353" t="n"/>
      <c r="AF20" s="1" t="n"/>
      <c r="AG20" s="19" t="n">
        <v>0</v>
      </c>
      <c r="AH20" s="19" t="n"/>
      <c r="AI20" s="119" t="n">
        <v>150</v>
      </c>
      <c r="AJ20" s="19" t="n"/>
      <c r="AK20" s="19" t="n"/>
      <c r="AL20" s="19" t="n">
        <v>150</v>
      </c>
      <c r="AM20" s="19" t="n"/>
      <c r="AN20" s="19" t="n"/>
      <c r="AO20" s="19" t="n"/>
      <c r="AP20" s="19" t="n">
        <v>150</v>
      </c>
      <c r="AQ20" s="19" t="n"/>
      <c r="AR20" s="19" t="n"/>
      <c r="AS20" s="19" t="n"/>
      <c r="AT20" s="19" t="n"/>
      <c r="AV20" s="372" t="inlineStr">
        <is>
          <t>CAIXA P</t>
        </is>
      </c>
      <c r="AW20" s="139" t="n">
        <v>150</v>
      </c>
      <c r="AX20" s="39">
        <f>AI20</f>
        <v/>
      </c>
      <c r="AY20" s="39" t="n"/>
      <c r="AZ20" s="39" t="n"/>
      <c r="BA20" s="39" t="n">
        <v>29</v>
      </c>
      <c r="BB20" s="39" t="n">
        <v>19</v>
      </c>
      <c r="BC20" s="39" t="n">
        <v>3</v>
      </c>
      <c r="BD20" s="26">
        <f>BB20+IF(NOT(ISBLANK(OFFSET(BD20,0,6))),N(OFFSET(BD20,0,6)),N(OFFSET(BD20,0,7)))-BC20</f>
        <v/>
      </c>
    </row>
    <row r="21" customFormat="1" s="3">
      <c r="A21" s="25" t="inlineStr">
        <is>
          <t>CAIXA M VERDE</t>
        </is>
      </c>
      <c r="B21" s="6" t="n">
        <v>100</v>
      </c>
      <c r="C21" s="634" t="n">
        <v>292.25</v>
      </c>
      <c r="D21" s="243" t="n">
        <v>120</v>
      </c>
      <c r="E21" s="1" t="n"/>
      <c r="F21" s="27" t="n">
        <v>59</v>
      </c>
      <c r="G21" s="27" t="n">
        <v>46</v>
      </c>
      <c r="H21" s="27" t="n">
        <v>37</v>
      </c>
      <c r="I21" s="27" t="n">
        <v>19</v>
      </c>
      <c r="J21" s="27" t="n">
        <v>111</v>
      </c>
      <c r="K21" s="27" t="n">
        <v>105</v>
      </c>
      <c r="L21" s="27">
        <f>99+AM21</f>
        <v/>
      </c>
      <c r="M21" s="27" t="n">
        <v>201</v>
      </c>
      <c r="N21" s="27" t="n">
        <v>199</v>
      </c>
      <c r="O21" s="27" t="n">
        <v>199</v>
      </c>
      <c r="P21" s="27" t="n">
        <v>190</v>
      </c>
      <c r="Q21" s="27" t="n">
        <v>166</v>
      </c>
      <c r="R21" s="27" t="n">
        <v>146</v>
      </c>
      <c r="S21" s="27" t="n">
        <v>135</v>
      </c>
      <c r="T21" s="27" t="n">
        <v>131</v>
      </c>
      <c r="U21" s="27" t="n"/>
      <c r="V21" s="27" t="n"/>
      <c r="W21" s="27" t="n"/>
      <c r="X21" s="27" t="n">
        <v>217</v>
      </c>
      <c r="Y21" s="27" t="n">
        <v>217</v>
      </c>
      <c r="Z21" s="27" t="n">
        <v>196</v>
      </c>
      <c r="AA21" s="380">
        <f>Y21+IF(NOT(ISBLANK(OFFSET(AA21,0,6))),N(OFFSET(AA21,0,6)),N(OFFSET(AA21,0,7)))-Z21</f>
        <v/>
      </c>
      <c r="AB21" s="370" t="n"/>
      <c r="AC21" s="78" t="n"/>
      <c r="AD21" s="1" t="n"/>
      <c r="AE21" s="353" t="n"/>
      <c r="AF21" s="1" t="n"/>
      <c r="AG21" s="19" t="n">
        <v>0</v>
      </c>
      <c r="AH21" s="19" t="n">
        <v>100</v>
      </c>
      <c r="AI21" s="119" t="n">
        <v>200</v>
      </c>
      <c r="AJ21" s="19" t="n"/>
      <c r="AK21" s="19" t="n"/>
      <c r="AL21" s="19" t="n"/>
      <c r="AM21" s="19" t="n">
        <v>100</v>
      </c>
      <c r="AN21" s="19" t="n"/>
      <c r="AO21" s="19" t="n"/>
      <c r="AP21" s="19" t="n">
        <v>100</v>
      </c>
      <c r="AQ21" s="19" t="n"/>
      <c r="AR21" s="19" t="n"/>
      <c r="AS21" s="19" t="n"/>
      <c r="AT21" s="19" t="n"/>
      <c r="AV21" s="21" t="inlineStr">
        <is>
          <t>CAIXA M</t>
        </is>
      </c>
      <c r="AW21" s="6" t="n">
        <v>100</v>
      </c>
      <c r="AX21" s="39">
        <f>AI21</f>
        <v/>
      </c>
      <c r="AY21" s="39" t="n"/>
      <c r="AZ21" s="39" t="n"/>
      <c r="BA21" s="39" t="n">
        <v>61</v>
      </c>
      <c r="BB21" s="39" t="n">
        <v>51</v>
      </c>
      <c r="BC21" s="39" t="n">
        <v>3</v>
      </c>
      <c r="BD21" s="26">
        <f>BB21+IF(NOT(ISBLANK(OFFSET(BD21,0,6))),N(OFFSET(BD21,0,6)),N(OFFSET(BD21,0,7)))-BC21</f>
        <v/>
      </c>
    </row>
    <row r="22" customFormat="1" s="3">
      <c r="A22" s="25" t="inlineStr">
        <is>
          <t>CAIXA G VERDE</t>
        </is>
      </c>
      <c r="B22" s="6" t="n">
        <v>75</v>
      </c>
      <c r="C22" s="632" t="n">
        <v>425.38</v>
      </c>
      <c r="D22" s="240" t="n">
        <v>25</v>
      </c>
      <c r="E22" s="608" t="n"/>
      <c r="F22" s="27" t="n">
        <v>26</v>
      </c>
      <c r="G22" s="27" t="n">
        <v>19</v>
      </c>
      <c r="H22" s="27" t="n">
        <v>19</v>
      </c>
      <c r="I22" s="27" t="n">
        <v>16</v>
      </c>
      <c r="J22" s="27" t="n">
        <v>24</v>
      </c>
      <c r="K22" s="27" t="n">
        <v>24</v>
      </c>
      <c r="L22" s="27" t="n">
        <v>23</v>
      </c>
      <c r="M22" s="27" t="n">
        <v>22</v>
      </c>
      <c r="N22" s="27" t="n">
        <v>22</v>
      </c>
      <c r="O22" s="27" t="n">
        <v>22</v>
      </c>
      <c r="P22" s="27" t="n">
        <v>22</v>
      </c>
      <c r="Q22" s="27" t="n">
        <v>22</v>
      </c>
      <c r="R22" s="27" t="n">
        <v>22</v>
      </c>
      <c r="S22" s="27" t="n">
        <v>23</v>
      </c>
      <c r="T22" s="27" t="n">
        <v>23</v>
      </c>
      <c r="U22" s="27" t="n">
        <v>23</v>
      </c>
      <c r="V22" s="27" t="n">
        <v>22</v>
      </c>
      <c r="W22" s="27" t="n">
        <v>22</v>
      </c>
      <c r="X22" s="27" t="n">
        <v>20</v>
      </c>
      <c r="Y22" s="27" t="n">
        <v>20</v>
      </c>
      <c r="Z22" s="27" t="n">
        <v>20</v>
      </c>
      <c r="AA22" s="380">
        <f>Y22+IF(NOT(ISBLANK(OFFSET(AA22,0,6))),N(OFFSET(AA22,0,6)),N(OFFSET(AA22,0,7)))-Z22</f>
        <v/>
      </c>
      <c r="AB22" s="370" t="n"/>
      <c r="AC22" s="78" t="n"/>
      <c r="AD22" s="608" t="n"/>
      <c r="AE22" s="353" t="n"/>
      <c r="AF22" s="608" t="n"/>
      <c r="AG22" s="19" t="n">
        <v>0</v>
      </c>
      <c r="AH22" s="19" t="n"/>
      <c r="AI22" s="119" t="n">
        <v>200</v>
      </c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V22" s="22" t="inlineStr">
        <is>
          <t>CARTUCHO P</t>
        </is>
      </c>
      <c r="AW22" s="6" t="n">
        <v>200</v>
      </c>
      <c r="AX22" s="39">
        <f>AI22</f>
        <v/>
      </c>
      <c r="AY22" s="39" t="n"/>
      <c r="AZ22" s="39" t="n"/>
      <c r="BA22" s="39" t="n">
        <v>28</v>
      </c>
      <c r="BB22" s="39" t="n">
        <v>22</v>
      </c>
      <c r="BC22" s="39" t="n">
        <v>4</v>
      </c>
      <c r="BD22" s="26">
        <f>BB22+IF(NOT(ISBLANK(OFFSET(BD22,0,6))),N(OFFSET(BD22,0,6)),N(OFFSET(BD22,0,7)))-BC22</f>
        <v/>
      </c>
    </row>
    <row r="23">
      <c r="A23" s="25" t="inlineStr">
        <is>
          <t>CARTUCHO M VERDE</t>
        </is>
      </c>
      <c r="B23" s="6" t="n">
        <v>150</v>
      </c>
      <c r="C23" s="632" t="n">
        <v>427.5</v>
      </c>
      <c r="D23" s="240" t="n"/>
      <c r="F23" s="27" t="n"/>
      <c r="G23" s="27" t="n"/>
      <c r="H23" s="27" t="n"/>
      <c r="I23" s="27" t="n"/>
      <c r="J23" s="27" t="n">
        <v>0</v>
      </c>
      <c r="K23" s="27" t="n">
        <v>0</v>
      </c>
      <c r="L23" s="27" t="n">
        <v>0</v>
      </c>
      <c r="M23" s="27" t="n">
        <v>0</v>
      </c>
      <c r="N23" s="27" t="n">
        <v>0</v>
      </c>
      <c r="O23" s="27" t="n">
        <v>0</v>
      </c>
      <c r="P23" s="27" t="n">
        <v>0</v>
      </c>
      <c r="Q23" s="298" t="n">
        <v>30</v>
      </c>
      <c r="R23" s="27" t="n">
        <v>30</v>
      </c>
      <c r="S23" s="27" t="n">
        <v>30</v>
      </c>
      <c r="T23" s="27" t="n">
        <v>30</v>
      </c>
      <c r="U23" s="27" t="n"/>
      <c r="V23" s="27" t="n"/>
      <c r="W23" s="27" t="n"/>
      <c r="X23" s="27" t="n">
        <v>13</v>
      </c>
      <c r="Y23" s="27" t="n">
        <v>12</v>
      </c>
      <c r="Z23" s="27" t="n">
        <v>9</v>
      </c>
      <c r="AA23" s="380">
        <f>Y23+IF(NOT(ISBLANK(OFFSET(AA23,0,6))),N(OFFSET(AA23,0,6)),N(OFFSET(AA23,0,7)))-Z23</f>
        <v/>
      </c>
      <c r="AB23" s="370" t="n"/>
      <c r="AC23" s="78" t="n"/>
      <c r="AE23" s="353" t="n"/>
      <c r="AG23" s="19" t="n">
        <v>0</v>
      </c>
      <c r="AH23" s="19" t="n"/>
      <c r="AI23" s="119" t="n">
        <v>150</v>
      </c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V23" s="22" t="inlineStr">
        <is>
          <t>CARTUCHO M</t>
        </is>
      </c>
      <c r="AW23" s="6" t="n">
        <v>150</v>
      </c>
      <c r="AX23" s="39">
        <f>AI23</f>
        <v/>
      </c>
      <c r="AY23" s="39" t="n"/>
      <c r="AZ23" s="39" t="n"/>
      <c r="BA23" s="39" t="n">
        <v>122</v>
      </c>
      <c r="BB23" s="39" t="n">
        <v>111</v>
      </c>
      <c r="BC23" s="39" t="n">
        <v>-1</v>
      </c>
      <c r="BD23" s="26">
        <f>BB23+IF(NOT(ISBLANK(OFFSET(BD23,0,6))),N(OFFSET(BD23,0,6)),N(OFFSET(BD23,0,7)))-BC23</f>
        <v/>
      </c>
    </row>
    <row r="24">
      <c r="AB24" s="370" t="n"/>
      <c r="AG24" s="11" t="n"/>
      <c r="AH24" s="11" t="n"/>
      <c r="AI24" s="11" t="n"/>
      <c r="AJ24" s="11" t="n"/>
      <c r="AK24" s="11" t="n"/>
      <c r="AL24" s="11" t="n"/>
      <c r="AM24" s="11" t="n"/>
      <c r="AN24" s="11" t="n"/>
      <c r="AO24" s="11" t="n"/>
      <c r="AP24" s="11" t="n"/>
      <c r="AQ24" s="11" t="n"/>
      <c r="AR24" s="11" t="n"/>
      <c r="AS24" s="11" t="n"/>
      <c r="AT24" s="11" t="n"/>
    </row>
    <row r="25">
      <c r="A25" s="386" t="inlineStr">
        <is>
          <t>SOBRAS CAIXAS</t>
        </is>
      </c>
      <c r="B25" s="387" t="inlineStr">
        <is>
          <t>PCT</t>
        </is>
      </c>
      <c r="C25" s="387" t="inlineStr">
        <is>
          <t xml:space="preserve">R$ </t>
        </is>
      </c>
      <c r="D25" s="387" t="n"/>
      <c r="F25" s="619" t="n">
        <v>46013</v>
      </c>
      <c r="G25" s="619" t="n">
        <v>46020</v>
      </c>
      <c r="H25" s="619" t="n">
        <v>46027</v>
      </c>
      <c r="I25" s="619" t="n">
        <v>46034</v>
      </c>
      <c r="J25" s="619" t="n">
        <v>46041</v>
      </c>
      <c r="K25" s="619" t="n">
        <v>46048</v>
      </c>
      <c r="L25" s="619" t="n">
        <v>46055</v>
      </c>
      <c r="M25" s="619" t="n">
        <v>46062</v>
      </c>
      <c r="N25" s="619" t="n">
        <v>46069</v>
      </c>
      <c r="O25" s="619" t="n">
        <v>46076</v>
      </c>
      <c r="P25" s="619" t="n">
        <v>46083</v>
      </c>
      <c r="Q25" s="619" t="n">
        <v>46090</v>
      </c>
      <c r="R25" s="619" t="n">
        <v>46097</v>
      </c>
      <c r="S25" s="619" t="n">
        <v>46104</v>
      </c>
      <c r="T25" s="619" t="n">
        <v>46111</v>
      </c>
      <c r="U25" s="619" t="n">
        <v>46118</v>
      </c>
      <c r="V25" s="619" t="n">
        <v>46125</v>
      </c>
      <c r="W25" s="619" t="n">
        <v>46132</v>
      </c>
      <c r="X25" s="619" t="n">
        <v>46139</v>
      </c>
      <c r="Y25" s="619" t="n">
        <v>46146</v>
      </c>
      <c r="Z25" s="619" t="n">
        <v>46154</v>
      </c>
      <c r="AA25" s="621" t="inlineStr">
        <is>
          <t>USOU</t>
        </is>
      </c>
      <c r="AB25" s="370" t="n"/>
      <c r="AG25" s="11" t="n"/>
      <c r="AH25" s="11" t="n"/>
      <c r="AI25" s="11" t="n"/>
      <c r="AJ25" s="11" t="n"/>
      <c r="AK25" s="11" t="n"/>
      <c r="AL25" s="11" t="n"/>
      <c r="AM25" s="11" t="n"/>
      <c r="AN25" s="11" t="n"/>
      <c r="AO25" s="11" t="n"/>
      <c r="AP25" s="11" t="n"/>
      <c r="AQ25" s="11" t="n"/>
      <c r="AR25" s="11" t="n"/>
      <c r="AS25" s="11" t="n"/>
      <c r="AT25" s="11" t="n"/>
    </row>
    <row r="26">
      <c r="A26" s="392" t="inlineStr">
        <is>
          <t>CAIXA M DIVERT./24</t>
        </is>
      </c>
      <c r="B26" s="393" t="n">
        <v>100</v>
      </c>
      <c r="C26" s="635" t="n">
        <v>790</v>
      </c>
      <c r="D26" s="404" t="n"/>
      <c r="F26" s="39" t="n">
        <v>216</v>
      </c>
      <c r="G26" s="39" t="n">
        <v>199</v>
      </c>
      <c r="H26" s="39" t="n">
        <v>199</v>
      </c>
      <c r="I26" s="39" t="n">
        <v>199</v>
      </c>
      <c r="J26" s="39" t="n">
        <v>196</v>
      </c>
      <c r="K26" s="39" t="n">
        <v>196</v>
      </c>
      <c r="L26" s="39" t="n">
        <v>196</v>
      </c>
      <c r="M26" s="39" t="n">
        <v>196</v>
      </c>
      <c r="N26" s="39" t="n">
        <v>195</v>
      </c>
      <c r="O26" s="39" t="n">
        <v>195</v>
      </c>
      <c r="P26" s="39" t="n">
        <v>195</v>
      </c>
      <c r="Q26" s="39" t="n">
        <v>195</v>
      </c>
      <c r="R26" s="39" t="n">
        <v>195</v>
      </c>
      <c r="S26" s="39" t="n">
        <v>189</v>
      </c>
      <c r="T26" s="39" t="n">
        <v>188</v>
      </c>
      <c r="U26" s="39" t="n">
        <v>188</v>
      </c>
      <c r="V26" s="39" t="n">
        <v>188</v>
      </c>
      <c r="W26" s="39" t="n">
        <v>188</v>
      </c>
      <c r="X26" s="39" t="n">
        <v>188</v>
      </c>
      <c r="Y26" s="39" t="n">
        <v>188</v>
      </c>
      <c r="Z26" s="39" t="n">
        <v>188</v>
      </c>
      <c r="AA26" s="380">
        <f>Y26+IF(NOT(ISBLANK(OFFSET(AA26,0,6))),N(OFFSET(AA26,0,6)),N(OFFSET(AA26,0,7)))-Z26</f>
        <v/>
      </c>
      <c r="AB26" s="370" t="n"/>
      <c r="AC26" s="355" t="n"/>
      <c r="AG26" s="11" t="n"/>
      <c r="AH26" s="11" t="n"/>
      <c r="AI26" s="11" t="n"/>
      <c r="AJ26" s="11" t="n"/>
      <c r="AK26" s="11" t="n"/>
      <c r="AL26" s="11" t="n"/>
      <c r="AM26" s="11" t="n"/>
      <c r="AN26" s="11" t="n"/>
      <c r="AO26" s="11" t="n"/>
      <c r="AP26" s="11" t="n"/>
      <c r="AQ26" s="11" t="n"/>
      <c r="AR26" s="11" t="n"/>
      <c r="AS26" s="11" t="n"/>
      <c r="AT26" s="11" t="n"/>
    </row>
    <row r="27" hidden="1">
      <c r="A27" s="394" t="inlineStr">
        <is>
          <t>ÁRVORE</t>
        </is>
      </c>
      <c r="B27" s="163" t="n">
        <v>100</v>
      </c>
      <c r="C27" s="636" t="n">
        <v>295</v>
      </c>
      <c r="D27" s="404" t="n"/>
      <c r="F27" s="39" t="n">
        <v>3</v>
      </c>
      <c r="G27" s="39" t="n">
        <v>3</v>
      </c>
      <c r="H27" s="39" t="n">
        <v>3</v>
      </c>
      <c r="I27" s="39" t="n">
        <v>3</v>
      </c>
      <c r="J27" s="39" t="n">
        <v>0</v>
      </c>
      <c r="K27" s="39" t="n">
        <v>0</v>
      </c>
      <c r="L27" s="39" t="n"/>
      <c r="M27" s="39" t="n"/>
      <c r="N27" s="39" t="n"/>
      <c r="O27" s="39" t="n"/>
      <c r="P27" s="39" t="n"/>
      <c r="Q27" s="39" t="n"/>
      <c r="R27" s="39" t="n"/>
      <c r="S27" s="39" t="n"/>
      <c r="T27" s="39" t="n"/>
      <c r="U27" s="39" t="n"/>
      <c r="V27" s="39" t="n"/>
      <c r="W27" s="39" t="n"/>
      <c r="X27" s="39" t="n"/>
      <c r="Y27" s="39" t="n"/>
      <c r="Z27" s="39" t="n"/>
      <c r="AA27" s="380">
        <f>Y27+IF(NOT(ISBLANK(OFFSET(AA27,0,6))),N(OFFSET(AA27,0,6)),N(OFFSET(AA27,0,7)))-Z27</f>
        <v/>
      </c>
      <c r="AB27" s="370" t="n"/>
      <c r="AC27" s="355" t="n"/>
      <c r="AG27" s="11" t="n"/>
      <c r="AH27" s="11" t="n"/>
      <c r="AI27" s="11" t="n"/>
      <c r="AJ27" s="11" t="n"/>
      <c r="AK27" s="11" t="n"/>
      <c r="AL27" s="11" t="n"/>
      <c r="AM27" s="11" t="n"/>
      <c r="AN27" s="11" t="n"/>
      <c r="AO27" s="11" t="n"/>
      <c r="AP27" s="11" t="n"/>
      <c r="AQ27" s="11" t="n"/>
      <c r="AR27" s="11" t="n"/>
      <c r="AS27" s="11" t="n"/>
      <c r="AT27" s="11" t="n"/>
    </row>
    <row r="28" hidden="1">
      <c r="A28" s="394" t="inlineStr">
        <is>
          <t>BOLA</t>
        </is>
      </c>
      <c r="B28" s="163" t="n">
        <v>100</v>
      </c>
      <c r="C28" s="636" t="n">
        <v>283</v>
      </c>
      <c r="D28" s="404" t="n"/>
      <c r="F28" s="39" t="n">
        <v>2</v>
      </c>
      <c r="G28" s="39" t="n">
        <v>2</v>
      </c>
      <c r="H28" s="39" t="n">
        <v>2</v>
      </c>
      <c r="I28" s="39" t="n">
        <v>2</v>
      </c>
      <c r="J28" s="39" t="n">
        <v>0</v>
      </c>
      <c r="K28" s="39" t="n">
        <v>0</v>
      </c>
      <c r="L28" s="39" t="n"/>
      <c r="M28" s="39" t="n"/>
      <c r="N28" s="39" t="n"/>
      <c r="O28" s="39" t="n"/>
      <c r="P28" s="39" t="n"/>
      <c r="Q28" s="39" t="n"/>
      <c r="R28" s="39" t="n"/>
      <c r="S28" s="39" t="n"/>
      <c r="T28" s="39" t="n"/>
      <c r="U28" s="39" t="n"/>
      <c r="V28" s="39" t="n"/>
      <c r="W28" s="39" t="n"/>
      <c r="X28" s="39" t="n"/>
      <c r="Y28" s="39" t="n"/>
      <c r="Z28" s="39" t="n"/>
      <c r="AA28" s="380">
        <f>Y28+IF(NOT(ISBLANK(OFFSET(AA28,0,6))),N(OFFSET(AA28,0,6)),N(OFFSET(AA28,0,7)))-Z28</f>
        <v/>
      </c>
      <c r="AB28" s="370" t="n"/>
      <c r="AC28" s="355" t="n"/>
      <c r="AG28" s="11" t="n"/>
      <c r="AH28" s="11" t="n"/>
      <c r="AI28" s="11" t="n"/>
      <c r="AJ28" s="11" t="n"/>
      <c r="AK28" s="11" t="n"/>
      <c r="AL28" s="11" t="n"/>
      <c r="AM28" s="11" t="n"/>
      <c r="AN28" s="11" t="n"/>
      <c r="AO28" s="11" t="n"/>
      <c r="AP28" s="11" t="n"/>
      <c r="AQ28" s="11" t="n"/>
      <c r="AR28" s="11" t="n"/>
      <c r="AS28" s="11" t="n"/>
      <c r="AT28" s="11" t="n"/>
    </row>
    <row r="29" hidden="1">
      <c r="A29" s="412" t="inlineStr">
        <is>
          <t>CAIXA DORAMA/25</t>
        </is>
      </c>
      <c r="B29" s="413" t="n">
        <v>100</v>
      </c>
      <c r="C29" s="655" t="n">
        <v>841.1</v>
      </c>
      <c r="D29" s="404" t="n"/>
      <c r="F29" s="39" t="n">
        <v>1</v>
      </c>
      <c r="G29" s="39" t="n">
        <v>1</v>
      </c>
      <c r="H29" s="39" t="n">
        <v>1</v>
      </c>
      <c r="I29" s="39" t="n">
        <v>1</v>
      </c>
      <c r="J29" s="39" t="n">
        <v>0</v>
      </c>
      <c r="K29" s="39" t="n">
        <v>0</v>
      </c>
      <c r="L29" s="39" t="n"/>
      <c r="M29" s="39" t="n"/>
      <c r="N29" s="39" t="n"/>
      <c r="O29" s="39" t="n"/>
      <c r="P29" s="39" t="n"/>
      <c r="Q29" s="39" t="n"/>
      <c r="R29" s="39" t="n"/>
      <c r="S29" s="39" t="n"/>
      <c r="T29" s="39" t="n"/>
      <c r="U29" s="39" t="n"/>
      <c r="V29" s="39" t="n"/>
      <c r="W29" s="39" t="n"/>
      <c r="X29" s="39" t="n"/>
      <c r="Y29" s="39" t="n"/>
      <c r="Z29" s="39" t="n"/>
      <c r="AA29" s="380">
        <f>Y29+IF(NOT(ISBLANK(OFFSET(AA29,0,6))),N(OFFSET(AA29,0,6)),N(OFFSET(AA29,0,7)))-Z29</f>
        <v/>
      </c>
      <c r="AB29" s="370" t="n"/>
      <c r="AC29" s="355" t="n"/>
      <c r="AG29" s="11" t="n"/>
      <c r="AH29" s="11" t="n"/>
      <c r="AI29" s="11" t="n"/>
      <c r="AJ29" s="11" t="n"/>
      <c r="AK29" s="11" t="n"/>
      <c r="AL29" s="11" t="n"/>
      <c r="AM29" s="11" t="n"/>
      <c r="AN29" s="11" t="n"/>
      <c r="AO29" s="11" t="n"/>
      <c r="AP29" s="11" t="n"/>
      <c r="AQ29" s="11" t="n"/>
      <c r="AR29" s="11" t="n"/>
      <c r="AS29" s="11" t="n"/>
      <c r="AT29" s="11" t="n"/>
    </row>
    <row r="30" hidden="1">
      <c r="A30" s="25" t="inlineStr">
        <is>
          <t>CAIXA P NATAL/25</t>
        </is>
      </c>
      <c r="B30" s="6" t="n">
        <v>150</v>
      </c>
      <c r="C30" s="639" t="n">
        <v>805.35</v>
      </c>
      <c r="D30" s="404" t="n"/>
      <c r="F30" s="6" t="n">
        <v>59</v>
      </c>
      <c r="G30" s="39" t="n">
        <v>0</v>
      </c>
      <c r="H30" s="39" t="n">
        <v>0</v>
      </c>
      <c r="I30" s="39" t="n">
        <v>-1</v>
      </c>
      <c r="J30" s="39" t="n">
        <v>1</v>
      </c>
      <c r="K30" s="39" t="n">
        <v>0</v>
      </c>
      <c r="L30" s="39" t="n">
        <v>0</v>
      </c>
      <c r="M30" s="39" t="n">
        <v>0</v>
      </c>
      <c r="N30" s="39" t="n">
        <v>0</v>
      </c>
      <c r="O30" s="39" t="n">
        <v>0</v>
      </c>
      <c r="P30" s="39" t="n">
        <v>0</v>
      </c>
      <c r="Q30" s="39" t="n">
        <v>0</v>
      </c>
      <c r="R30" s="39" t="n">
        <v>0</v>
      </c>
      <c r="S30" s="39" t="n"/>
      <c r="T30" s="39" t="n"/>
      <c r="U30" s="39" t="n"/>
      <c r="V30" s="39" t="n"/>
      <c r="W30" s="39" t="n"/>
      <c r="X30" s="39" t="n"/>
      <c r="Y30" s="39" t="n"/>
      <c r="Z30" s="39" t="n"/>
      <c r="AA30" s="380">
        <f>Y30+IF(NOT(ISBLANK(OFFSET(AA30,0,6))),N(OFFSET(AA30,0,6)),N(OFFSET(AA30,0,7)))-Z30</f>
        <v/>
      </c>
      <c r="AB30" s="370" t="n"/>
      <c r="AC30" s="355" t="n"/>
      <c r="AG30" s="11" t="n"/>
      <c r="AH30" s="11" t="n"/>
      <c r="AI30" s="11" t="n"/>
      <c r="AJ30" s="11" t="n"/>
      <c r="AK30" s="11" t="n"/>
      <c r="AL30" s="11" t="n"/>
      <c r="AM30" s="11" t="n"/>
      <c r="AN30" s="11" t="n"/>
      <c r="AO30" s="11" t="n"/>
      <c r="AP30" s="11" t="n"/>
      <c r="AQ30" s="11" t="n"/>
      <c r="AR30" s="11" t="n"/>
      <c r="AS30" s="11" t="n"/>
      <c r="AT30" s="11" t="n"/>
    </row>
    <row r="31" hidden="1">
      <c r="A31" s="25" t="inlineStr">
        <is>
          <t>CAIXA M NATAL/25</t>
        </is>
      </c>
      <c r="B31" s="6" t="n">
        <v>100</v>
      </c>
      <c r="C31" s="639" t="n">
        <v>792.2</v>
      </c>
      <c r="D31" s="404" t="n"/>
      <c r="F31" s="6" t="n">
        <v>127</v>
      </c>
      <c r="G31" s="39" t="n">
        <v>57</v>
      </c>
      <c r="H31" s="39" t="n">
        <v>53</v>
      </c>
      <c r="I31" s="39" t="n">
        <v>52</v>
      </c>
      <c r="J31" s="39" t="n">
        <v>47</v>
      </c>
      <c r="K31" s="39" t="n">
        <v>38</v>
      </c>
      <c r="L31" s="39" t="n">
        <v>26</v>
      </c>
      <c r="M31" s="39" t="n">
        <v>12</v>
      </c>
      <c r="N31" s="39" t="n">
        <v>10</v>
      </c>
      <c r="O31" s="39" t="n">
        <v>4</v>
      </c>
      <c r="P31" s="39" t="n">
        <v>0</v>
      </c>
      <c r="Q31" s="39" t="n">
        <v>0</v>
      </c>
      <c r="R31" s="39" t="n">
        <v>0</v>
      </c>
      <c r="S31" s="39" t="n"/>
      <c r="T31" s="39" t="n"/>
      <c r="U31" s="39" t="n"/>
      <c r="V31" s="39" t="n"/>
      <c r="W31" s="39" t="n"/>
      <c r="X31" s="39" t="n"/>
      <c r="Y31" s="39" t="n"/>
      <c r="Z31" s="39" t="n"/>
      <c r="AA31" s="380">
        <f>Y31+IF(NOT(ISBLANK(OFFSET(AA31,0,6))),N(OFFSET(AA31,0,6)),N(OFFSET(AA31,0,7)))-Z31</f>
        <v/>
      </c>
      <c r="AB31" s="370" t="n"/>
      <c r="AC31" s="355" t="n"/>
      <c r="AG31" s="11" t="n"/>
      <c r="AH31" s="11" t="n"/>
      <c r="AI31" s="11" t="n"/>
      <c r="AJ31" s="11" t="n"/>
      <c r="AK31" s="11" t="n"/>
      <c r="AL31" s="11" t="n"/>
      <c r="AM31" s="11" t="n"/>
      <c r="AN31" s="11" t="n"/>
      <c r="AO31" s="11" t="n"/>
      <c r="AP31" s="11" t="n"/>
      <c r="AQ31" s="11" t="n"/>
      <c r="AR31" s="11" t="n"/>
      <c r="AS31" s="11" t="n"/>
      <c r="AT31" s="11" t="n"/>
    </row>
    <row r="32" hidden="1">
      <c r="A32" s="25" t="inlineStr">
        <is>
          <t>CARTUCHO P NATAL/25</t>
        </is>
      </c>
      <c r="B32" s="6" t="n">
        <v>200</v>
      </c>
      <c r="C32" s="639" t="n">
        <v>487.2</v>
      </c>
      <c r="D32" s="404" t="n"/>
      <c r="F32" s="6" t="n">
        <v>24</v>
      </c>
      <c r="G32" s="39" t="n">
        <v>-4</v>
      </c>
      <c r="H32" s="39" t="n">
        <v>-4</v>
      </c>
      <c r="I32" s="39" t="n">
        <v>-4</v>
      </c>
      <c r="J32" s="39" t="n">
        <v>0</v>
      </c>
      <c r="K32" s="39" t="n">
        <v>0</v>
      </c>
      <c r="L32" s="39" t="n">
        <v>0</v>
      </c>
      <c r="M32" s="39" t="n">
        <v>0</v>
      </c>
      <c r="N32" s="39" t="n">
        <v>0</v>
      </c>
      <c r="O32" s="39" t="n">
        <v>0</v>
      </c>
      <c r="P32" s="39" t="n">
        <v>0</v>
      </c>
      <c r="Q32" s="39" t="n">
        <v>0</v>
      </c>
      <c r="R32" s="39" t="n">
        <v>0</v>
      </c>
      <c r="S32" s="39" t="n"/>
      <c r="T32" s="39" t="n"/>
      <c r="U32" s="39" t="n"/>
      <c r="V32" s="39" t="n"/>
      <c r="W32" s="39" t="n"/>
      <c r="X32" s="39" t="n"/>
      <c r="Y32" s="39" t="n"/>
      <c r="Z32" s="39" t="n"/>
      <c r="AA32" s="380">
        <f>Y32+IF(NOT(ISBLANK(OFFSET(AA32,0,6))),N(OFFSET(AA32,0,6)),N(OFFSET(AA32,0,7)))-Z32</f>
        <v/>
      </c>
      <c r="AB32" s="370" t="n"/>
      <c r="AC32" s="355" t="n"/>
      <c r="AG32" s="11" t="n"/>
      <c r="AH32" s="11" t="n"/>
      <c r="AI32" s="11" t="n"/>
      <c r="AJ32" s="11" t="n"/>
      <c r="AK32" s="11" t="n"/>
      <c r="AL32" s="11" t="n"/>
      <c r="AM32" s="11" t="n"/>
      <c r="AN32" s="11" t="n"/>
      <c r="AO32" s="11" t="n"/>
      <c r="AP32" s="11" t="n"/>
      <c r="AQ32" s="11" t="n"/>
      <c r="AR32" s="11" t="n"/>
      <c r="AS32" s="11" t="n"/>
      <c r="AT32" s="11" t="n"/>
    </row>
    <row r="33" hidden="1">
      <c r="A33" s="25" t="inlineStr">
        <is>
          <t>CARTUCHO M NATAL/25</t>
        </is>
      </c>
      <c r="B33" s="6" t="n">
        <v>150</v>
      </c>
      <c r="C33" s="639" t="n">
        <v>460.35</v>
      </c>
      <c r="D33" s="404" t="n"/>
      <c r="F33" s="6" t="n">
        <v>9</v>
      </c>
      <c r="G33" s="39" t="n">
        <v>0</v>
      </c>
      <c r="H33" s="39" t="n">
        <v>0</v>
      </c>
      <c r="I33" s="39" t="n">
        <v>0</v>
      </c>
      <c r="J33" s="39" t="n">
        <v>0</v>
      </c>
      <c r="K33" s="39" t="n">
        <v>0</v>
      </c>
      <c r="L33" s="39" t="n">
        <v>0</v>
      </c>
      <c r="M33" s="39" t="n">
        <v>0</v>
      </c>
      <c r="N33" s="39" t="n">
        <v>0</v>
      </c>
      <c r="O33" s="39" t="n">
        <v>0</v>
      </c>
      <c r="P33" s="39" t="n">
        <v>0</v>
      </c>
      <c r="Q33" s="39" t="n">
        <v>0</v>
      </c>
      <c r="R33" s="39" t="n">
        <v>0</v>
      </c>
      <c r="S33" s="39" t="n"/>
      <c r="T33" s="39" t="n"/>
      <c r="U33" s="39" t="n"/>
      <c r="V33" s="39" t="n"/>
      <c r="W33" s="39" t="n"/>
      <c r="X33" s="39" t="n"/>
      <c r="Y33" s="39" t="n"/>
      <c r="Z33" s="39" t="n"/>
      <c r="AA33" s="380">
        <f>Y33+IF(NOT(ISBLANK(OFFSET(AA33,0,6))),N(OFFSET(AA33,0,6)),N(OFFSET(AA33,0,7)))-Z33</f>
        <v/>
      </c>
      <c r="AB33" s="370" t="n"/>
      <c r="AC33" s="355" t="n"/>
      <c r="AG33" s="11" t="n"/>
      <c r="AH33" s="11" t="n"/>
      <c r="AI33" s="11" t="n"/>
      <c r="AJ33" s="11" t="n"/>
      <c r="AK33" s="11" t="n"/>
      <c r="AL33" s="11" t="n"/>
      <c r="AM33" s="11" t="n"/>
      <c r="AN33" s="11" t="n"/>
      <c r="AO33" s="11" t="n"/>
      <c r="AP33" s="11" t="n"/>
      <c r="AQ33" s="11" t="n"/>
      <c r="AR33" s="11" t="n"/>
      <c r="AS33" s="11" t="n"/>
      <c r="AT33" s="11" t="n"/>
    </row>
    <row r="34">
      <c r="A34" s="25" t="inlineStr">
        <is>
          <t>PIN NATAL/25</t>
        </is>
      </c>
      <c r="B34" s="6" t="n">
        <v>10</v>
      </c>
      <c r="C34" s="639" t="n">
        <v>120</v>
      </c>
      <c r="D34" s="404" t="n"/>
      <c r="F34" s="39" t="n">
        <v>4</v>
      </c>
      <c r="G34" s="39" t="n">
        <v>4</v>
      </c>
      <c r="H34" s="39" t="n">
        <v>4</v>
      </c>
      <c r="I34" s="39" t="n">
        <v>4</v>
      </c>
      <c r="J34" s="39" t="n">
        <v>4</v>
      </c>
      <c r="K34" s="39" t="n">
        <v>4</v>
      </c>
      <c r="L34" s="39" t="n">
        <v>4</v>
      </c>
      <c r="M34" s="39" t="n">
        <v>4</v>
      </c>
      <c r="N34" s="39" t="n">
        <v>4</v>
      </c>
      <c r="O34" s="39" t="n">
        <v>4</v>
      </c>
      <c r="P34" s="39" t="n">
        <v>4</v>
      </c>
      <c r="Q34" s="39" t="n">
        <v>4</v>
      </c>
      <c r="R34" s="39" t="n">
        <v>4</v>
      </c>
      <c r="S34" s="39" t="n">
        <v>4</v>
      </c>
      <c r="T34" s="39" t="n">
        <v>4</v>
      </c>
      <c r="U34" s="39" t="n">
        <v>4</v>
      </c>
      <c r="V34" s="39" t="n">
        <v>4</v>
      </c>
      <c r="W34" s="39" t="n">
        <v>4</v>
      </c>
      <c r="X34" s="39" t="n">
        <v>4</v>
      </c>
      <c r="Y34" s="39" t="n">
        <v>4</v>
      </c>
      <c r="Z34" s="39" t="n">
        <v>4</v>
      </c>
      <c r="AA34" s="380">
        <f>Y34+IF(NOT(ISBLANK(OFFSET(AA34,0,6))),N(OFFSET(AA34,0,6)),N(OFFSET(AA34,0,7)))-Z34</f>
        <v/>
      </c>
      <c r="AB34" s="370" t="n"/>
      <c r="AC34" s="355" t="n"/>
      <c r="AG34" s="11" t="n"/>
      <c r="AH34" s="11" t="n"/>
      <c r="AI34" s="11" t="n"/>
      <c r="AJ34" s="11" t="n"/>
      <c r="AK34" s="11" t="n"/>
      <c r="AL34" s="11" t="n"/>
      <c r="AM34" s="11" t="n"/>
      <c r="AN34" s="11" t="n"/>
      <c r="AO34" s="11" t="n"/>
      <c r="AP34" s="11" t="n"/>
      <c r="AQ34" s="11" t="n"/>
      <c r="AR34" s="11" t="n"/>
      <c r="AS34" s="11" t="n"/>
      <c r="AT34" s="11" t="n"/>
    </row>
    <row r="35">
      <c r="AB35" s="370" t="n"/>
      <c r="AC35" s="355" t="n"/>
      <c r="AG35" s="11" t="n"/>
      <c r="AH35" s="11" t="n"/>
      <c r="AI35" s="11" t="n"/>
      <c r="AJ35" s="11" t="n"/>
      <c r="AK35" s="11" t="n"/>
      <c r="AL35" s="11" t="n"/>
      <c r="AM35" s="11" t="n"/>
      <c r="AN35" s="11" t="n"/>
      <c r="AO35" s="11" t="n"/>
      <c r="AP35" s="11" t="n"/>
      <c r="AQ35" s="11" t="n"/>
      <c r="AR35" s="11" t="n"/>
      <c r="AS35" s="11" t="n"/>
      <c r="AT35" s="11" t="n"/>
    </row>
    <row r="36" ht="21" customHeight="1">
      <c r="A36" s="402" t="inlineStr">
        <is>
          <t>SOBRAS DATAS COMEMORATIVAS</t>
        </is>
      </c>
      <c r="B36" s="402" t="n"/>
      <c r="C36" s="402" t="n"/>
      <c r="AB36" s="370" t="n"/>
      <c r="AC36" s="355" t="n"/>
      <c r="AG36" s="11" t="n"/>
      <c r="AH36" s="11" t="n"/>
      <c r="AI36" s="11" t="n"/>
      <c r="AJ36" s="11" t="n"/>
      <c r="AK36" s="11" t="n"/>
      <c r="AL36" s="11" t="n"/>
      <c r="AM36" s="11" t="n"/>
      <c r="AN36" s="11" t="n"/>
      <c r="AO36" s="11" t="n"/>
      <c r="AP36" s="11" t="n"/>
      <c r="AQ36" s="11" t="n"/>
      <c r="AR36" s="11" t="n"/>
      <c r="AS36" s="11" t="n"/>
      <c r="AT36" s="11" t="n"/>
    </row>
    <row r="37">
      <c r="A37" s="369" t="inlineStr">
        <is>
          <t>ITENS</t>
        </is>
      </c>
      <c r="B37" s="369" t="n"/>
      <c r="C37" s="369" t="inlineStr">
        <is>
          <t>ESTOQUE</t>
        </is>
      </c>
      <c r="E37" s="41" t="n"/>
      <c r="F37" s="41" t="n"/>
      <c r="G37" s="41" t="n"/>
      <c r="H37" s="41" t="n"/>
      <c r="I37" s="41" t="n"/>
      <c r="J37" s="41" t="n"/>
      <c r="K37" s="41" t="n"/>
      <c r="L37" s="41" t="n"/>
      <c r="M37" s="41" t="n"/>
      <c r="N37" s="41" t="n"/>
      <c r="O37" s="41" t="n"/>
      <c r="P37" s="41" t="n"/>
      <c r="Q37" s="41" t="n"/>
      <c r="R37" s="41" t="n"/>
      <c r="S37" s="41" t="n"/>
      <c r="T37" s="41" t="n"/>
      <c r="U37" s="41" t="n"/>
      <c r="V37" s="41" t="n"/>
      <c r="W37" s="41" t="n"/>
      <c r="X37" s="41" t="n"/>
      <c r="Y37" s="41" t="n"/>
      <c r="Z37" s="41" t="n"/>
      <c r="AA37" s="41" t="n"/>
      <c r="AB37" s="370" t="n"/>
      <c r="AC37" s="355" t="n"/>
      <c r="AD37" s="41" t="n"/>
      <c r="AF37" s="41" t="n"/>
      <c r="AG37" s="11" t="n"/>
      <c r="AH37" s="11" t="n"/>
      <c r="AI37" s="11" t="n"/>
      <c r="AJ37" s="11" t="n"/>
      <c r="AK37" s="11" t="n"/>
      <c r="AL37" s="11" t="n"/>
      <c r="AM37" s="11" t="n"/>
      <c r="AN37" s="11" t="n"/>
      <c r="AO37" s="11" t="n"/>
      <c r="AP37" s="11" t="n"/>
      <c r="AQ37" s="11" t="n"/>
      <c r="AR37" s="11" t="n"/>
      <c r="AS37" s="11" t="n"/>
      <c r="AT37" s="11" t="n"/>
    </row>
    <row r="38">
      <c r="A38" s="156" t="n"/>
      <c r="B38" s="375" t="n"/>
      <c r="C38" s="376" t="n"/>
      <c r="E38" s="41" t="n"/>
      <c r="F38" s="41" t="n"/>
      <c r="G38" s="41" t="n"/>
      <c r="H38" s="41" t="n"/>
      <c r="I38" s="41" t="n"/>
      <c r="J38" s="41" t="n"/>
      <c r="K38" s="41" t="n"/>
      <c r="L38" s="41" t="n"/>
      <c r="M38" s="41" t="n"/>
      <c r="N38" s="41" t="n"/>
      <c r="O38" s="41" t="n"/>
      <c r="P38" s="41" t="n"/>
      <c r="Q38" s="41" t="n"/>
      <c r="R38" s="41" t="n"/>
      <c r="S38" s="41" t="n"/>
      <c r="T38" s="41" t="n"/>
      <c r="U38" s="41" t="n"/>
      <c r="V38" s="41" t="n"/>
      <c r="W38" s="41" t="n"/>
      <c r="X38" s="41" t="n"/>
      <c r="Y38" s="41" t="n"/>
      <c r="Z38" s="41" t="n"/>
      <c r="AA38" s="41" t="n"/>
      <c r="AB38" s="41" t="n"/>
      <c r="AC38" s="355" t="n"/>
      <c r="AD38" s="41" t="n"/>
      <c r="AE38" s="41" t="n"/>
      <c r="AF38" s="41" t="n"/>
      <c r="AG38" s="11" t="n"/>
      <c r="AH38" s="11" t="n"/>
      <c r="AI38" s="11" t="n"/>
      <c r="AJ38" s="11" t="n"/>
      <c r="AK38" s="11" t="n"/>
      <c r="AL38" s="11" t="n"/>
      <c r="AM38" s="11" t="n"/>
      <c r="AN38" s="11" t="n"/>
      <c r="AO38" s="11" t="n"/>
      <c r="AP38" s="11" t="n"/>
      <c r="AQ38" s="11" t="n"/>
      <c r="AR38" s="11" t="n"/>
      <c r="AS38" s="11" t="n"/>
      <c r="AT38" s="11" t="n"/>
      <c r="AU38" s="34" t="n"/>
      <c r="BE38" s="34" t="n"/>
      <c r="BF38" s="34" t="n"/>
      <c r="BG38" s="34" t="n"/>
      <c r="BH38" s="34" t="n"/>
      <c r="BI38" s="34" t="n"/>
      <c r="BJ38" s="34" t="n"/>
      <c r="BK38" s="34" t="n"/>
      <c r="BL38" s="34" t="n"/>
      <c r="BM38" s="34" t="n"/>
      <c r="BN38" s="34" t="n"/>
      <c r="BO38" s="34" t="n"/>
      <c r="BP38" s="34" t="n"/>
      <c r="BQ38" s="34" t="n"/>
      <c r="BR38" s="34" t="n"/>
      <c r="BS38" s="34" t="n"/>
      <c r="BT38" s="34" t="n"/>
      <c r="BU38" s="34" t="n"/>
      <c r="BV38" s="34" t="n"/>
      <c r="BW38" s="34" t="n"/>
      <c r="BX38" s="34" t="n"/>
      <c r="BY38" s="34" t="n"/>
      <c r="BZ38" s="34" t="n"/>
      <c r="CA38" s="34" t="n"/>
      <c r="CB38" s="34" t="n"/>
      <c r="CC38" s="34" t="n"/>
      <c r="CD38" s="34" t="n"/>
      <c r="CE38" s="34" t="n"/>
      <c r="CF38" s="34" t="n"/>
      <c r="CG38" s="34" t="n"/>
      <c r="CH38" s="34" t="n"/>
      <c r="CI38" s="34" t="n"/>
      <c r="CJ38" s="34" t="n"/>
      <c r="CK38" s="34" t="n"/>
      <c r="CL38" s="34" t="n"/>
      <c r="CM38" s="34" t="n"/>
      <c r="CN38" s="34" t="n"/>
      <c r="CO38" s="34" t="n"/>
      <c r="CP38" s="34" t="n"/>
      <c r="CQ38" s="34" t="n"/>
      <c r="CR38" s="34" t="n"/>
      <c r="CS38" s="34" t="n"/>
      <c r="CT38" s="34" t="n"/>
      <c r="CU38" s="34" t="n"/>
      <c r="CV38" s="34" t="n"/>
      <c r="CW38" s="34" t="n"/>
      <c r="CX38" s="34" t="n"/>
      <c r="CY38" s="34" t="n"/>
      <c r="CZ38" s="34" t="n"/>
      <c r="DA38" s="34" t="n"/>
      <c r="DB38" s="34" t="n"/>
      <c r="DC38" s="34" t="n"/>
      <c r="DD38" s="34" t="n"/>
      <c r="DE38" s="34" t="n"/>
      <c r="DF38" s="34" t="n"/>
      <c r="DG38" s="34" t="n"/>
      <c r="DH38" s="34" t="n"/>
      <c r="DI38" s="34" t="n"/>
      <c r="DJ38" s="41" t="n"/>
      <c r="DK38" s="34" t="n"/>
      <c r="DL38" s="41" t="n"/>
      <c r="DM38" s="71" t="n"/>
      <c r="DN38" s="71" t="n"/>
      <c r="DO38" s="34" t="n"/>
      <c r="DP38" s="34" t="n"/>
      <c r="DQ38" s="71" t="n"/>
      <c r="DR38" s="71" t="n"/>
      <c r="DS38" s="34" t="n"/>
      <c r="DT38" s="71" t="n"/>
      <c r="DU38" s="34" t="n"/>
      <c r="DV38" s="34" t="n"/>
      <c r="DW38" s="34" t="n"/>
      <c r="DX38" s="71" t="n"/>
      <c r="DY38" s="358" t="n"/>
      <c r="DZ38" s="34" t="n"/>
      <c r="EA38" s="71" t="n"/>
      <c r="EB38" s="71" t="n"/>
      <c r="EC38" s="71" t="n"/>
      <c r="ED38" s="34" t="n"/>
    </row>
    <row r="39">
      <c r="A39" s="156" t="inlineStr">
        <is>
          <t>SACOLA G NATAL/24</t>
        </is>
      </c>
      <c r="B39" s="375" t="n"/>
      <c r="C39" s="376" t="n">
        <v>100</v>
      </c>
      <c r="E39" s="41" t="n"/>
      <c r="F39" s="41" t="n"/>
      <c r="G39" s="41" t="n"/>
      <c r="H39" s="41" t="n"/>
      <c r="I39" s="41" t="n"/>
      <c r="J39" s="41" t="n"/>
      <c r="K39" s="41" t="n"/>
      <c r="L39" s="41" t="n"/>
      <c r="M39" s="41" t="n"/>
      <c r="N39" s="41" t="n"/>
      <c r="O39" s="41" t="n"/>
      <c r="P39" s="41" t="n"/>
      <c r="Q39" s="41" t="n"/>
      <c r="R39" s="41" t="n"/>
      <c r="S39" s="41" t="n"/>
      <c r="T39" s="41" t="n"/>
      <c r="U39" s="41" t="n"/>
      <c r="V39" s="41" t="n"/>
      <c r="W39" s="41" t="n"/>
      <c r="X39" s="41" t="n"/>
      <c r="Y39" s="41" t="n"/>
      <c r="Z39" s="41" t="n"/>
      <c r="AA39" s="41" t="n"/>
      <c r="AB39" s="41" t="n"/>
      <c r="AC39" s="355" t="n"/>
      <c r="AD39" s="41" t="n"/>
      <c r="AE39" s="41" t="n"/>
      <c r="AF39" s="41" t="n"/>
      <c r="AG39" s="409" t="n"/>
      <c r="AH39" s="409" t="n"/>
      <c r="AI39" s="409" t="n"/>
      <c r="AJ39" s="409" t="n"/>
      <c r="AK39" s="409" t="n"/>
      <c r="AL39" s="409" t="n"/>
      <c r="AM39" s="409" t="n"/>
      <c r="AN39" s="11" t="n"/>
      <c r="AO39" s="11" t="n"/>
      <c r="AP39" s="11" t="n"/>
      <c r="AQ39" s="11" t="n"/>
      <c r="AR39" s="11" t="n"/>
      <c r="AS39" s="11" t="n"/>
      <c r="AT39" s="11" t="n"/>
      <c r="AU39" s="34" t="n"/>
      <c r="BE39" s="34" t="n"/>
      <c r="BF39" s="34" t="n"/>
      <c r="BG39" s="34" t="n"/>
      <c r="BH39" s="34" t="n"/>
      <c r="BI39" s="34" t="n"/>
      <c r="BJ39" s="34" t="n"/>
      <c r="BK39" s="34" t="n"/>
      <c r="BL39" s="34" t="n"/>
      <c r="BM39" s="34" t="n"/>
      <c r="BN39" s="34" t="n"/>
      <c r="BO39" s="34" t="n"/>
      <c r="BP39" s="34" t="n"/>
      <c r="BQ39" s="34" t="n"/>
      <c r="BR39" s="34" t="n"/>
      <c r="BS39" s="34" t="n"/>
      <c r="BT39" s="34" t="n"/>
      <c r="BU39" s="34" t="n"/>
      <c r="BV39" s="34" t="n"/>
      <c r="BW39" s="34" t="n"/>
      <c r="BX39" s="34" t="n"/>
      <c r="BY39" s="34" t="n"/>
      <c r="BZ39" s="34" t="n"/>
      <c r="CA39" s="34" t="n"/>
      <c r="CB39" s="34" t="n"/>
      <c r="CC39" s="34" t="n"/>
      <c r="CD39" s="34" t="n"/>
      <c r="CE39" s="34" t="n"/>
      <c r="CF39" s="34" t="n"/>
      <c r="CG39" s="34" t="n"/>
      <c r="CH39" s="34" t="n"/>
      <c r="CI39" s="34" t="n"/>
      <c r="CJ39" s="34" t="n"/>
      <c r="CK39" s="34" t="n"/>
      <c r="CL39" s="34" t="n"/>
      <c r="CM39" s="34" t="n"/>
      <c r="CN39" s="34" t="n"/>
      <c r="CO39" s="34" t="n"/>
      <c r="CP39" s="34" t="n"/>
      <c r="CQ39" s="34" t="n"/>
      <c r="CR39" s="34" t="n"/>
      <c r="CS39" s="34" t="n"/>
      <c r="CT39" s="34" t="n"/>
      <c r="CU39" s="34" t="n"/>
      <c r="CV39" s="34" t="n"/>
      <c r="CW39" s="34" t="n"/>
      <c r="CX39" s="34" t="n"/>
      <c r="CY39" s="34" t="n"/>
      <c r="CZ39" s="34" t="n"/>
      <c r="DA39" s="34" t="n"/>
      <c r="DB39" s="34" t="n"/>
      <c r="DC39" s="34" t="n"/>
      <c r="DD39" s="34" t="n"/>
      <c r="DE39" s="34" t="n"/>
      <c r="DF39" s="34" t="n"/>
      <c r="DG39" s="34" t="n"/>
      <c r="DH39" s="34" t="n"/>
      <c r="DI39" s="34" t="n"/>
      <c r="DJ39" s="41" t="n"/>
      <c r="DK39" s="34" t="n"/>
      <c r="DL39" s="41" t="n"/>
      <c r="DM39" s="71" t="n"/>
      <c r="DN39" s="71" t="n"/>
      <c r="DO39" s="34" t="n"/>
      <c r="DP39" s="34" t="n"/>
      <c r="DQ39" s="71" t="n"/>
      <c r="DR39" s="71" t="n"/>
      <c r="DS39" s="34" t="n"/>
      <c r="DT39" s="71" t="n"/>
      <c r="DU39" s="34" t="n"/>
      <c r="DV39" s="34" t="n"/>
      <c r="DW39" s="34" t="n"/>
      <c r="DX39" s="71" t="n"/>
      <c r="DY39" s="358" t="n"/>
      <c r="DZ39" s="34" t="n"/>
      <c r="EA39" s="71" t="n"/>
      <c r="EB39" s="71" t="n"/>
      <c r="EC39" s="71" t="n"/>
      <c r="ED39" s="34" t="n"/>
      <c r="EE39" s="409" t="n"/>
      <c r="EG39" s="409" t="n"/>
      <c r="EH39" s="409" t="n"/>
      <c r="EI39" s="409" t="n"/>
      <c r="EJ39" s="409" t="n"/>
      <c r="EK39" s="409" t="n"/>
      <c r="EL39" s="409" t="n"/>
      <c r="EM39" s="409" t="n"/>
      <c r="EO39" s="409" t="n"/>
      <c r="EQ39" s="409" t="n"/>
      <c r="ES39" s="409" t="n"/>
      <c r="ET39" s="409" t="n"/>
      <c r="EU39" s="409" t="n"/>
      <c r="EW39" s="409" t="n"/>
      <c r="EX39" s="409" t="n"/>
      <c r="EY39" s="409" t="n"/>
      <c r="FA39" s="409" t="n"/>
      <c r="FC39" s="409" t="n"/>
      <c r="FD39" s="409" t="n"/>
      <c r="FE39" s="409" t="n"/>
      <c r="FG39" s="409" t="n"/>
      <c r="FH39" s="409" t="n"/>
      <c r="FI39" s="409" t="n"/>
      <c r="FK39" s="409" t="n"/>
      <c r="FL39" s="409" t="n"/>
      <c r="FM39" s="409" t="n"/>
      <c r="FN39" s="409" t="n"/>
      <c r="FO39" s="409" t="n"/>
      <c r="FP39" s="409" t="n"/>
      <c r="FQ39" s="409" t="n"/>
      <c r="FR39" s="409" t="n"/>
      <c r="FS39" s="409" t="n"/>
      <c r="FT39" s="409" t="n"/>
      <c r="FU39" s="409" t="n"/>
      <c r="FV39" s="409" t="n"/>
      <c r="FW39" s="409" t="n"/>
      <c r="FX39" s="409" t="n"/>
    </row>
    <row r="40">
      <c r="A40" s="256" t="inlineStr">
        <is>
          <t>TAG DIVERTIDAMENTE</t>
        </is>
      </c>
      <c r="B40" s="375" t="n"/>
      <c r="C40" s="257" t="n">
        <v>103</v>
      </c>
      <c r="E40" s="41" t="n"/>
      <c r="F40" s="41" t="n"/>
      <c r="G40" s="41" t="n"/>
      <c r="H40" s="41" t="n"/>
      <c r="I40" s="41" t="n"/>
      <c r="J40" s="41" t="n"/>
      <c r="K40" s="41" t="n"/>
      <c r="L40" s="41" t="n"/>
      <c r="M40" s="41" t="n"/>
      <c r="N40" s="41" t="n"/>
      <c r="O40" s="41" t="n"/>
      <c r="P40" s="41" t="n"/>
      <c r="Q40" s="41" t="n"/>
      <c r="R40" s="41" t="n"/>
      <c r="S40" s="41" t="n"/>
      <c r="T40" s="41" t="n"/>
      <c r="U40" s="41" t="n"/>
      <c r="V40" s="41" t="n"/>
      <c r="W40" s="41" t="n"/>
      <c r="X40" s="41" t="n"/>
      <c r="Y40" s="41" t="n"/>
      <c r="Z40" s="41" t="n"/>
      <c r="AA40" s="41" t="n"/>
      <c r="AB40" s="41" t="n"/>
      <c r="AC40" s="355" t="n"/>
      <c r="AD40" s="41" t="n"/>
      <c r="AE40" s="41" t="n"/>
      <c r="AF40" s="41" t="n"/>
      <c r="AG40" s="409" t="n"/>
      <c r="AH40" s="409" t="n"/>
      <c r="AI40" s="409" t="n"/>
      <c r="AJ40" s="409" t="n"/>
      <c r="AK40" s="409" t="n"/>
      <c r="AL40" s="409" t="n"/>
      <c r="AM40" s="409" t="n"/>
      <c r="AN40" s="11" t="n"/>
      <c r="AO40" s="11" t="n"/>
      <c r="AP40" s="11" t="n"/>
      <c r="AQ40" s="11" t="n"/>
      <c r="AR40" s="11" t="n"/>
      <c r="AS40" s="11" t="n"/>
      <c r="AT40" s="11" t="n"/>
      <c r="AU40" s="34" t="n"/>
      <c r="BE40" s="34" t="n"/>
      <c r="BF40" s="34" t="n"/>
      <c r="BG40" s="34" t="n"/>
      <c r="BH40" s="34" t="n"/>
      <c r="BI40" s="34" t="n"/>
      <c r="BJ40" s="34" t="n"/>
      <c r="BK40" s="34" t="n"/>
      <c r="BL40" s="34" t="n"/>
      <c r="BM40" s="34" t="n"/>
      <c r="BN40" s="34" t="n"/>
      <c r="BO40" s="34" t="n"/>
      <c r="BP40" s="34" t="n"/>
      <c r="BQ40" s="34" t="n"/>
      <c r="BR40" s="34" t="n"/>
      <c r="BS40" s="34" t="n"/>
      <c r="BT40" s="34" t="n"/>
      <c r="BU40" s="34" t="n"/>
      <c r="BV40" s="34" t="n"/>
      <c r="BW40" s="34" t="n"/>
      <c r="BX40" s="34" t="n"/>
      <c r="BY40" s="34" t="n"/>
      <c r="BZ40" s="34" t="n"/>
      <c r="CA40" s="34" t="n"/>
      <c r="CB40" s="34" t="n"/>
      <c r="CC40" s="34" t="n"/>
      <c r="CD40" s="34" t="n"/>
      <c r="CE40" s="34" t="n"/>
      <c r="CF40" s="34" t="n"/>
      <c r="CG40" s="34" t="n"/>
      <c r="CH40" s="34" t="n"/>
      <c r="CI40" s="34" t="n"/>
      <c r="CJ40" s="34" t="n"/>
      <c r="CK40" s="34" t="n"/>
      <c r="CL40" s="34" t="n"/>
      <c r="CM40" s="34" t="n"/>
      <c r="CN40" s="34" t="n"/>
      <c r="CO40" s="34" t="n"/>
      <c r="CP40" s="34" t="n"/>
      <c r="CQ40" s="34" t="n"/>
      <c r="CR40" s="34" t="n"/>
      <c r="CS40" s="34" t="n"/>
      <c r="CT40" s="34" t="n"/>
      <c r="CU40" s="34" t="n"/>
      <c r="CV40" s="34" t="n"/>
      <c r="CW40" s="34" t="n"/>
      <c r="CX40" s="34" t="n"/>
      <c r="CY40" s="34" t="n"/>
      <c r="CZ40" s="34" t="n"/>
      <c r="DA40" s="34" t="n"/>
      <c r="DB40" s="34" t="n"/>
      <c r="DC40" s="34" t="n"/>
      <c r="DD40" s="34" t="n"/>
      <c r="DE40" s="34" t="n"/>
      <c r="DF40" s="34" t="n"/>
      <c r="DG40" s="34" t="n"/>
      <c r="DH40" s="34" t="n"/>
      <c r="DI40" s="34" t="n"/>
      <c r="DJ40" s="41" t="n"/>
      <c r="DK40" s="34" t="n"/>
      <c r="DL40" s="41" t="n"/>
      <c r="DM40" s="71" t="n"/>
      <c r="DN40" s="71" t="n"/>
      <c r="DO40" s="34" t="n"/>
      <c r="DP40" s="34" t="n"/>
      <c r="DQ40" s="71" t="n"/>
      <c r="DR40" s="71" t="n"/>
      <c r="DS40" s="34" t="n"/>
      <c r="DT40" s="71" t="n"/>
      <c r="DU40" s="34" t="n"/>
      <c r="DV40" s="34" t="n"/>
      <c r="DW40" s="34" t="n"/>
      <c r="DX40" s="71" t="n"/>
      <c r="DY40" s="358" t="n"/>
      <c r="DZ40" s="34" t="n"/>
      <c r="EA40" s="71" t="n"/>
      <c r="EB40" s="71" t="n"/>
      <c r="EC40" s="71" t="n"/>
      <c r="ED40" s="34" t="n"/>
      <c r="EE40" s="409" t="n"/>
      <c r="EG40" s="409" t="n"/>
      <c r="EH40" s="409" t="n"/>
      <c r="EI40" s="409" t="n"/>
      <c r="EJ40" s="409" t="n"/>
      <c r="EK40" s="409" t="n"/>
      <c r="EL40" s="409" t="n"/>
      <c r="EM40" s="409" t="n"/>
      <c r="EO40" s="409" t="n"/>
      <c r="EQ40" s="409" t="n"/>
      <c r="ES40" s="409" t="n"/>
      <c r="ET40" s="409" t="n"/>
      <c r="EU40" s="409" t="n"/>
      <c r="EW40" s="409" t="n"/>
      <c r="EX40" s="409" t="n"/>
      <c r="EY40" s="409" t="n"/>
      <c r="FA40" s="409" t="n"/>
      <c r="FC40" s="409" t="n"/>
      <c r="FD40" s="409" t="n"/>
      <c r="FE40" s="409" t="n"/>
      <c r="FG40" s="409" t="n"/>
      <c r="FH40" s="409" t="n"/>
      <c r="FI40" s="409" t="n"/>
      <c r="FK40" s="409" t="n"/>
      <c r="FL40" s="409" t="n"/>
      <c r="FM40" s="409" t="n"/>
      <c r="FN40" s="409" t="n"/>
      <c r="FO40" s="409" t="n"/>
      <c r="FP40" s="409" t="n"/>
      <c r="FQ40" s="409" t="n"/>
      <c r="FR40" s="409" t="n"/>
      <c r="FS40" s="409" t="n"/>
      <c r="FT40" s="409" t="n"/>
      <c r="FU40" s="409" t="n"/>
      <c r="FV40" s="409" t="n"/>
      <c r="FW40" s="409" t="n"/>
      <c r="FX40" s="409" t="n"/>
    </row>
    <row r="41">
      <c r="A41" s="252" t="inlineStr">
        <is>
          <t>SACOLA G NATAL/25</t>
        </is>
      </c>
      <c r="B41" s="375" t="n"/>
      <c r="C41" s="376" t="n">
        <v>60</v>
      </c>
      <c r="E41" s="41" t="n"/>
      <c r="F41" s="41" t="n"/>
      <c r="G41" s="41" t="n"/>
      <c r="H41" s="41" t="n"/>
      <c r="I41" s="41" t="n"/>
      <c r="J41" s="41" t="n"/>
      <c r="K41" s="41" t="n"/>
      <c r="L41" s="41" t="n"/>
      <c r="M41" s="41" t="n"/>
      <c r="N41" s="41" t="n"/>
      <c r="O41" s="41" t="n"/>
      <c r="P41" s="41" t="n"/>
      <c r="Q41" s="41" t="n"/>
      <c r="R41" s="41" t="n"/>
      <c r="S41" s="41" t="n"/>
      <c r="T41" s="41" t="n"/>
      <c r="U41" s="41" t="n"/>
      <c r="V41" s="41" t="n"/>
      <c r="W41" s="41" t="n"/>
      <c r="X41" s="41" t="n"/>
      <c r="Y41" s="41" t="n"/>
      <c r="Z41" s="41" t="n"/>
      <c r="AA41" s="41" t="n"/>
      <c r="AB41" s="41" t="n"/>
      <c r="AC41" s="355" t="n"/>
      <c r="AD41" s="41" t="n"/>
      <c r="AE41" s="41" t="n"/>
      <c r="AF41" s="41" t="n"/>
      <c r="AG41" s="41" t="n"/>
      <c r="AH41" s="41" t="n"/>
      <c r="AI41" s="41" t="n"/>
      <c r="AJ41" s="41" t="n"/>
      <c r="AK41" s="41" t="n"/>
      <c r="AL41" s="41" t="n"/>
      <c r="AM41" s="41" t="n"/>
      <c r="AN41" s="11" t="n"/>
      <c r="AO41" s="11" t="n"/>
      <c r="AP41" s="11" t="n"/>
      <c r="AQ41" s="11" t="n"/>
      <c r="AR41" s="11" t="n"/>
      <c r="AS41" s="11" t="n"/>
      <c r="AT41" s="11" t="n"/>
      <c r="AU41" s="34" t="n"/>
      <c r="AV41" s="41" t="n"/>
      <c r="AW41" s="41" t="n"/>
      <c r="AX41" s="41" t="n"/>
      <c r="AY41" s="41" t="n"/>
      <c r="AZ41" s="41" t="n"/>
      <c r="BA41" s="41" t="n"/>
      <c r="BB41" s="41" t="n"/>
      <c r="BC41" s="41" t="n"/>
      <c r="BD41" s="41" t="n"/>
      <c r="BE41" s="34" t="n"/>
      <c r="BF41" s="34" t="n"/>
      <c r="BG41" s="34" t="n"/>
      <c r="BH41" s="34" t="n"/>
      <c r="BI41" s="34" t="n"/>
      <c r="BJ41" s="34" t="n"/>
      <c r="BK41" s="34" t="n"/>
      <c r="BL41" s="34" t="n"/>
      <c r="BM41" s="34" t="n"/>
      <c r="BN41" s="34" t="n"/>
      <c r="BO41" s="34" t="n"/>
      <c r="BP41" s="34" t="n"/>
      <c r="BQ41" s="34" t="n"/>
      <c r="BR41" s="34" t="n"/>
      <c r="BS41" s="34" t="n"/>
      <c r="BT41" s="34" t="n"/>
      <c r="BU41" s="34" t="n"/>
      <c r="BV41" s="34" t="n"/>
      <c r="BW41" s="34" t="n"/>
      <c r="BX41" s="34" t="n"/>
      <c r="BY41" s="34" t="n"/>
      <c r="BZ41" s="34" t="n"/>
      <c r="CA41" s="34" t="n"/>
      <c r="CB41" s="34" t="n"/>
      <c r="CC41" s="34" t="n"/>
      <c r="CD41" s="34" t="n"/>
      <c r="CE41" s="34" t="n"/>
      <c r="CF41" s="34" t="n"/>
      <c r="CG41" s="34" t="n"/>
      <c r="CH41" s="34" t="n"/>
      <c r="CI41" s="34" t="n"/>
      <c r="CJ41" s="34" t="n"/>
      <c r="CK41" s="34" t="n"/>
      <c r="CL41" s="34" t="n"/>
      <c r="CM41" s="34" t="n"/>
      <c r="CN41" s="34" t="n"/>
      <c r="CO41" s="34" t="n"/>
      <c r="CP41" s="34" t="n"/>
      <c r="CQ41" s="34" t="n"/>
      <c r="CR41" s="34" t="n"/>
      <c r="CS41" s="34" t="n"/>
      <c r="CT41" s="34" t="n"/>
      <c r="CU41" s="34" t="n"/>
      <c r="CV41" s="34" t="n"/>
      <c r="CW41" s="34" t="n"/>
      <c r="CX41" s="34" t="n"/>
      <c r="CY41" s="34" t="n"/>
      <c r="CZ41" s="34" t="n"/>
      <c r="DA41" s="34" t="n"/>
      <c r="DB41" s="34" t="n"/>
      <c r="DC41" s="34" t="n"/>
      <c r="DD41" s="34" t="n"/>
      <c r="DE41" s="34" t="n"/>
      <c r="DF41" s="34" t="n"/>
      <c r="DG41" s="34" t="n"/>
      <c r="DH41" s="34" t="n"/>
      <c r="DI41" s="34" t="n"/>
      <c r="DJ41" s="41" t="n"/>
      <c r="DK41" s="34" t="n"/>
      <c r="DL41" s="41" t="n"/>
      <c r="DM41" s="71" t="n"/>
      <c r="DN41" s="71" t="n"/>
      <c r="DO41" s="34" t="n"/>
      <c r="DP41" s="34" t="n"/>
      <c r="DQ41" s="71" t="n"/>
      <c r="DR41" s="71" t="n"/>
      <c r="DS41" s="34" t="n"/>
      <c r="DT41" s="71" t="n"/>
      <c r="DU41" s="34" t="n"/>
      <c r="DV41" s="34" t="n"/>
      <c r="DW41" s="34" t="n"/>
      <c r="DX41" s="71" t="n"/>
      <c r="DY41" s="358" t="n"/>
      <c r="DZ41" s="34" t="n"/>
      <c r="EA41" s="71" t="n"/>
      <c r="EB41" s="71" t="n"/>
      <c r="EC41" s="71" t="n"/>
      <c r="ED41" s="34" t="n"/>
      <c r="EE41" s="409" t="n"/>
      <c r="EG41" s="409" t="n"/>
      <c r="EH41" s="409" t="n"/>
      <c r="EI41" s="409" t="n"/>
      <c r="EJ41" s="409" t="n"/>
      <c r="EK41" s="409" t="n"/>
      <c r="EL41" s="409" t="n"/>
      <c r="EM41" s="409" t="n"/>
      <c r="EO41" s="409" t="n"/>
      <c r="EQ41" s="409" t="n"/>
      <c r="ES41" s="409" t="n"/>
      <c r="ET41" s="409" t="n"/>
      <c r="EU41" s="409" t="n"/>
      <c r="EW41" s="409" t="n"/>
      <c r="EX41" s="409" t="n"/>
      <c r="EY41" s="409" t="n"/>
      <c r="FA41" s="409" t="n"/>
      <c r="FC41" s="409" t="n"/>
      <c r="FD41" s="409" t="n"/>
      <c r="FE41" s="409" t="n"/>
      <c r="FG41" s="409" t="n"/>
      <c r="FH41" s="409" t="n"/>
      <c r="FI41" s="409" t="n"/>
      <c r="FK41" s="409" t="n"/>
      <c r="FL41" s="409" t="n"/>
      <c r="FM41" s="409" t="n"/>
      <c r="FN41" s="409" t="n"/>
      <c r="FO41" s="409" t="n"/>
      <c r="FP41" s="409" t="n"/>
      <c r="FQ41" s="409" t="n"/>
      <c r="FR41" s="409" t="n"/>
      <c r="FS41" s="409" t="n"/>
      <c r="FT41" s="409" t="n"/>
      <c r="FU41" s="409" t="n"/>
      <c r="FV41" s="409" t="n"/>
      <c r="FW41" s="409" t="n"/>
      <c r="FX41" s="409" t="n"/>
    </row>
    <row r="42" customFormat="1" s="34">
      <c r="E42" s="41" t="n"/>
      <c r="F42" s="41" t="n"/>
      <c r="G42" s="41" t="n"/>
      <c r="H42" s="41" t="n"/>
      <c r="I42" s="41" t="n"/>
      <c r="J42" s="41" t="n"/>
      <c r="K42" s="41" t="n"/>
      <c r="L42" s="41" t="n"/>
      <c r="M42" s="41" t="n"/>
      <c r="N42" s="41" t="n"/>
      <c r="O42" s="41" t="n"/>
      <c r="P42" s="41" t="n"/>
      <c r="Q42" s="41" t="n"/>
      <c r="R42" s="41" t="n"/>
      <c r="S42" s="41" t="n"/>
      <c r="T42" s="41" t="n"/>
      <c r="U42" s="41" t="n"/>
      <c r="V42" s="41" t="n"/>
      <c r="W42" s="41" t="n"/>
      <c r="X42" s="41" t="n"/>
      <c r="Y42" s="41" t="n"/>
      <c r="Z42" s="41" t="n"/>
      <c r="AA42" s="41" t="n"/>
      <c r="AD42" s="41" t="n"/>
      <c r="AF42" s="41" t="n"/>
      <c r="AG42" s="41" t="n"/>
      <c r="AH42" s="41" t="n"/>
      <c r="AI42" s="41" t="n"/>
      <c r="AJ42" s="41" t="n"/>
      <c r="AK42" s="41" t="n"/>
      <c r="AL42" s="41" t="n"/>
      <c r="AM42" s="41" t="n"/>
      <c r="AN42" s="11" t="n"/>
      <c r="AO42" s="11" t="n"/>
      <c r="AP42" s="11" t="n"/>
      <c r="AQ42" s="11" t="n"/>
      <c r="AR42" s="409" t="n"/>
      <c r="AS42" s="409" t="n"/>
      <c r="AT42" s="409" t="n"/>
      <c r="AV42" s="41" t="n"/>
      <c r="AW42" s="41" t="n"/>
      <c r="AX42" s="41" t="n"/>
      <c r="AY42" s="41" t="n"/>
      <c r="AZ42" s="41" t="n"/>
      <c r="BA42" s="41" t="n"/>
      <c r="BB42" s="41" t="n"/>
      <c r="BC42" s="41" t="n"/>
      <c r="BD42" s="41" t="n"/>
    </row>
    <row r="43">
      <c r="A43" s="642" t="inlineStr">
        <is>
          <t>FLACONETES</t>
        </is>
      </c>
      <c r="B43" s="625" t="n"/>
      <c r="C43" s="625" t="n"/>
      <c r="D43" s="641" t="n"/>
      <c r="F43" s="643" t="n">
        <v>46013</v>
      </c>
      <c r="G43" s="643" t="n">
        <v>46020</v>
      </c>
      <c r="H43" s="643" t="n">
        <v>46027</v>
      </c>
      <c r="I43" s="643" t="n">
        <v>46034</v>
      </c>
      <c r="J43" s="643" t="n">
        <v>46041</v>
      </c>
      <c r="K43" s="643" t="n">
        <v>46048</v>
      </c>
      <c r="L43" s="643" t="n">
        <v>46055</v>
      </c>
      <c r="M43" s="643" t="n">
        <v>46062</v>
      </c>
      <c r="N43" s="643" t="n">
        <v>46069</v>
      </c>
      <c r="O43" s="643" t="n">
        <v>46076</v>
      </c>
      <c r="P43" s="643" t="n">
        <v>46083</v>
      </c>
      <c r="Q43" s="643" t="n">
        <v>46090</v>
      </c>
      <c r="R43" s="643" t="n">
        <v>46097</v>
      </c>
      <c r="S43" s="643" t="n">
        <v>46104</v>
      </c>
      <c r="T43" s="643" t="n">
        <v>46111</v>
      </c>
      <c r="U43" s="643" t="n">
        <v>46118</v>
      </c>
      <c r="V43" s="643" t="n">
        <v>46125</v>
      </c>
      <c r="W43" s="643" t="n">
        <v>46132</v>
      </c>
      <c r="X43" s="643" t="n">
        <v>46139</v>
      </c>
      <c r="Y43" s="643" t="n">
        <v>46146</v>
      </c>
      <c r="Z43" s="643" t="n">
        <v>46154</v>
      </c>
      <c r="AB43" s="370" t="n"/>
      <c r="AG43" s="41" t="n"/>
      <c r="AH43" s="41" t="n"/>
      <c r="AI43" s="41" t="n"/>
      <c r="AJ43" s="41" t="n"/>
      <c r="AK43" s="41" t="n"/>
      <c r="AL43" s="41" t="n"/>
      <c r="AM43" s="41" t="n"/>
      <c r="AN43" s="11" t="n"/>
      <c r="AO43" s="11" t="n"/>
      <c r="AP43" s="11" t="n"/>
      <c r="AQ43" s="11" t="n"/>
      <c r="AR43" s="409" t="n"/>
      <c r="AS43" s="409" t="n"/>
      <c r="AT43" s="409" t="n"/>
      <c r="AV43" s="41" t="n"/>
      <c r="AW43" s="41" t="n"/>
      <c r="AX43" s="41" t="n"/>
      <c r="AY43" s="41" t="n"/>
      <c r="AZ43" s="41" t="n"/>
      <c r="BA43" s="41" t="n"/>
      <c r="BB43" s="41" t="n"/>
      <c r="BC43" s="41" t="n"/>
      <c r="BD43" s="41" t="n"/>
    </row>
    <row r="44">
      <c r="A44" s="645" t="inlineStr">
        <is>
          <t>MEN NBA</t>
        </is>
      </c>
      <c r="B44" s="625" t="n"/>
      <c r="C44" s="625" t="n"/>
      <c r="D44" s="641" t="n"/>
      <c r="F44" s="366" t="n">
        <v>0</v>
      </c>
      <c r="G44" s="366" t="n">
        <v>0</v>
      </c>
      <c r="H44" s="366" t="n">
        <v>0</v>
      </c>
      <c r="I44" s="366" t="n">
        <v>0</v>
      </c>
      <c r="J44" s="366" t="n">
        <v>0</v>
      </c>
      <c r="K44" s="366" t="n">
        <v>0</v>
      </c>
      <c r="L44" s="366" t="n">
        <v>0</v>
      </c>
      <c r="M44" s="366" t="n">
        <v>0</v>
      </c>
      <c r="N44" s="366" t="n">
        <v>0</v>
      </c>
      <c r="O44" s="366" t="n">
        <v>0</v>
      </c>
      <c r="P44" s="366" t="n">
        <v>0</v>
      </c>
      <c r="Q44" s="366" t="n">
        <v>0</v>
      </c>
      <c r="R44" s="366" t="n">
        <v>0</v>
      </c>
      <c r="S44" s="366" t="n">
        <v>0</v>
      </c>
      <c r="T44" s="366" t="n">
        <v>0</v>
      </c>
      <c r="U44" s="366" t="n">
        <v>0</v>
      </c>
      <c r="V44" s="366" t="n">
        <v>0</v>
      </c>
      <c r="W44" s="366" t="n">
        <v>0</v>
      </c>
      <c r="X44" s="366" t="n">
        <v>0</v>
      </c>
      <c r="Y44" s="366" t="n">
        <v>0</v>
      </c>
      <c r="Z44" s="366" t="n">
        <v>0</v>
      </c>
      <c r="AG44" s="41" t="n"/>
      <c r="AH44" s="41" t="n"/>
      <c r="AI44" s="41" t="n"/>
      <c r="AJ44" s="41" t="n"/>
      <c r="AK44" s="41" t="n"/>
      <c r="AL44" s="41" t="n"/>
      <c r="AM44" s="41" t="n"/>
      <c r="AV44" s="41" t="n"/>
      <c r="AW44" s="41" t="n"/>
      <c r="AX44" s="41" t="n"/>
      <c r="AY44" s="41" t="n"/>
      <c r="AZ44" s="41" t="n"/>
      <c r="BA44" s="41" t="n"/>
      <c r="BB44" s="41" t="n"/>
      <c r="BC44" s="41" t="n"/>
      <c r="BD44" s="41" t="n"/>
    </row>
    <row r="45">
      <c r="A45" s="645" t="inlineStr">
        <is>
          <t>ARBO ATLANTICA</t>
        </is>
      </c>
      <c r="B45" s="625" t="n"/>
      <c r="C45" s="625" t="n"/>
      <c r="D45" s="641" t="n"/>
      <c r="F45" s="366" t="n">
        <v>0</v>
      </c>
      <c r="G45" s="366" t="n">
        <v>0</v>
      </c>
      <c r="H45" s="366" t="n">
        <v>0</v>
      </c>
      <c r="I45" s="366" t="n">
        <v>0</v>
      </c>
      <c r="J45" s="366" t="n">
        <v>0</v>
      </c>
      <c r="K45" s="366" t="n">
        <v>0</v>
      </c>
      <c r="L45" s="366" t="n">
        <v>0</v>
      </c>
      <c r="M45" s="366" t="n">
        <v>0</v>
      </c>
      <c r="N45" s="366" t="n">
        <v>0</v>
      </c>
      <c r="O45" s="366" t="n">
        <v>0</v>
      </c>
      <c r="P45" s="366" t="n">
        <v>0</v>
      </c>
      <c r="Q45" s="366" t="n">
        <v>0</v>
      </c>
      <c r="R45" s="366" t="n">
        <v>0</v>
      </c>
      <c r="S45" s="366" t="n">
        <v>0</v>
      </c>
      <c r="T45" s="366" t="n">
        <v>0</v>
      </c>
      <c r="U45" s="366" t="n">
        <v>0</v>
      </c>
      <c r="V45" s="366" t="n">
        <v>0</v>
      </c>
      <c r="W45" s="366" t="n">
        <v>0</v>
      </c>
      <c r="X45" s="366" t="n">
        <v>0</v>
      </c>
      <c r="Y45" s="366" t="n">
        <v>0</v>
      </c>
      <c r="Z45" s="366" t="n">
        <v>0</v>
      </c>
    </row>
    <row r="46">
      <c r="A46" s="645" t="inlineStr">
        <is>
          <t>QUASAR DEEP BLUE</t>
        </is>
      </c>
      <c r="B46" s="625" t="n"/>
      <c r="C46" s="625" t="n"/>
      <c r="D46" s="641" t="n"/>
      <c r="F46" s="366" t="n">
        <v>0</v>
      </c>
      <c r="G46" s="366" t="n">
        <v>0</v>
      </c>
      <c r="H46" s="366" t="n">
        <v>0</v>
      </c>
      <c r="I46" s="366" t="n">
        <v>0</v>
      </c>
      <c r="J46" s="366" t="n">
        <v>0</v>
      </c>
      <c r="K46" s="366" t="n">
        <v>0</v>
      </c>
      <c r="L46" s="366" t="n">
        <v>0</v>
      </c>
      <c r="M46" s="366" t="n">
        <v>0</v>
      </c>
      <c r="N46" s="366" t="n">
        <v>0</v>
      </c>
      <c r="O46" s="366" t="n">
        <v>0</v>
      </c>
      <c r="P46" s="366" t="n">
        <v>0</v>
      </c>
      <c r="Q46" s="366" t="n">
        <v>0</v>
      </c>
      <c r="R46" s="366" t="n">
        <v>0</v>
      </c>
      <c r="S46" s="366" t="n">
        <v>0</v>
      </c>
      <c r="T46" s="366" t="n">
        <v>0</v>
      </c>
      <c r="U46" s="366" t="n">
        <v>0</v>
      </c>
      <c r="V46" s="366" t="n">
        <v>0</v>
      </c>
      <c r="W46" s="366" t="n">
        <v>0</v>
      </c>
      <c r="X46" s="366" t="n">
        <v>0</v>
      </c>
      <c r="Y46" s="366" t="n">
        <v>0</v>
      </c>
      <c r="Z46" s="366" t="n">
        <v>0</v>
      </c>
    </row>
    <row r="47">
      <c r="A47" s="645" t="inlineStr">
        <is>
          <t>BOTICA 214 SEVILLA DORADA</t>
        </is>
      </c>
      <c r="B47" s="625" t="n"/>
      <c r="C47" s="625" t="n"/>
      <c r="D47" s="641" t="n"/>
      <c r="F47" s="366" t="n">
        <v>0</v>
      </c>
      <c r="G47" s="366" t="n">
        <v>0</v>
      </c>
      <c r="H47" s="366" t="n">
        <v>0</v>
      </c>
      <c r="I47" s="366" t="n">
        <v>0</v>
      </c>
      <c r="J47" s="366" t="n">
        <v>0</v>
      </c>
      <c r="K47" s="366" t="n">
        <v>0</v>
      </c>
      <c r="L47" s="366" t="n">
        <v>0</v>
      </c>
      <c r="M47" s="366" t="n">
        <v>0</v>
      </c>
      <c r="N47" s="366" t="n">
        <v>0</v>
      </c>
      <c r="O47" s="366" t="n">
        <v>0</v>
      </c>
      <c r="P47" s="366" t="n">
        <v>0</v>
      </c>
      <c r="Q47" s="366" t="n">
        <v>0</v>
      </c>
      <c r="R47" s="366" t="n">
        <v>0</v>
      </c>
      <c r="S47" s="366" t="n">
        <v>0</v>
      </c>
      <c r="T47" s="366" t="n">
        <v>0</v>
      </c>
      <c r="U47" s="366" t="n">
        <v>0</v>
      </c>
      <c r="V47" s="366" t="n">
        <v>0</v>
      </c>
      <c r="W47" s="366" t="n">
        <v>0</v>
      </c>
      <c r="X47" s="366" t="n">
        <v>0</v>
      </c>
      <c r="Y47" s="366" t="n">
        <v>0</v>
      </c>
      <c r="Z47" s="366" t="n">
        <v>0</v>
      </c>
      <c r="AG47" s="11" t="n"/>
      <c r="AH47" s="11" t="n"/>
      <c r="AI47" s="11" t="n"/>
      <c r="AJ47" s="11" t="n"/>
      <c r="AK47" s="11" t="n"/>
      <c r="AL47" s="11" t="n"/>
      <c r="AM47" s="11" t="n"/>
    </row>
    <row r="48">
      <c r="A48" s="645" t="inlineStr">
        <is>
          <t>BOTI SUN COM COR</t>
        </is>
      </c>
      <c r="B48" s="625" t="n"/>
      <c r="C48" s="625" t="n"/>
      <c r="D48" s="641" t="n"/>
      <c r="F48" s="366" t="n">
        <v>0</v>
      </c>
      <c r="G48" s="366" t="n">
        <v>0</v>
      </c>
      <c r="H48" s="366" t="n">
        <v>0</v>
      </c>
      <c r="I48" s="366" t="n">
        <v>0</v>
      </c>
      <c r="J48" s="366" t="n">
        <v>0</v>
      </c>
      <c r="K48" s="366" t="n">
        <v>0</v>
      </c>
      <c r="L48" s="366" t="n">
        <v>0</v>
      </c>
      <c r="M48" s="366" t="n">
        <v>0</v>
      </c>
      <c r="N48" s="366" t="n">
        <v>0</v>
      </c>
      <c r="O48" s="366" t="n">
        <v>0</v>
      </c>
      <c r="P48" s="366" t="n">
        <v>0</v>
      </c>
      <c r="Q48" s="366" t="n">
        <v>0</v>
      </c>
      <c r="R48" s="366" t="n">
        <v>0</v>
      </c>
      <c r="S48" s="366" t="n">
        <v>0</v>
      </c>
      <c r="T48" s="366" t="n">
        <v>0</v>
      </c>
      <c r="U48" s="366" t="n">
        <v>0</v>
      </c>
      <c r="V48" s="366" t="n">
        <v>0</v>
      </c>
      <c r="W48" s="366" t="n">
        <v>0</v>
      </c>
      <c r="X48" s="366" t="n">
        <v>0</v>
      </c>
      <c r="Y48" s="366" t="n">
        <v>0</v>
      </c>
      <c r="Z48" s="366" t="n">
        <v>0</v>
      </c>
    </row>
    <row r="49">
      <c r="A49" s="645" t="inlineStr">
        <is>
          <t>CACHOS DE UVA</t>
        </is>
      </c>
      <c r="B49" s="625" t="n"/>
      <c r="C49" s="625" t="n"/>
      <c r="D49" s="641" t="n"/>
      <c r="F49" s="366" t="n">
        <v>0</v>
      </c>
      <c r="G49" s="366" t="n">
        <v>0</v>
      </c>
      <c r="H49" s="366" t="n">
        <v>0</v>
      </c>
      <c r="I49" s="366" t="n">
        <v>0</v>
      </c>
      <c r="J49" s="366" t="n">
        <v>0</v>
      </c>
      <c r="K49" s="366" t="n">
        <v>0</v>
      </c>
      <c r="L49" s="366" t="n">
        <v>0</v>
      </c>
      <c r="M49" s="366" t="n">
        <v>0</v>
      </c>
      <c r="N49" s="366" t="n">
        <v>0</v>
      </c>
      <c r="O49" s="366" t="n">
        <v>0</v>
      </c>
      <c r="P49" s="366" t="n">
        <v>0</v>
      </c>
      <c r="Q49" s="366" t="n">
        <v>0</v>
      </c>
      <c r="R49" s="366" t="n">
        <v>0</v>
      </c>
      <c r="S49" s="366" t="n">
        <v>0</v>
      </c>
      <c r="T49" s="366" t="n">
        <v>0</v>
      </c>
      <c r="U49" s="366" t="n">
        <v>0</v>
      </c>
      <c r="V49" s="366" t="n">
        <v>0</v>
      </c>
      <c r="W49" s="366" t="n">
        <v>0</v>
      </c>
      <c r="X49" s="366" t="n">
        <v>0</v>
      </c>
      <c r="Y49" s="366" t="n">
        <v>0</v>
      </c>
      <c r="Z49" s="366" t="n">
        <v>0</v>
      </c>
    </row>
    <row r="50">
      <c r="A50" s="645" t="inlineStr">
        <is>
          <t>EGEO COGU</t>
        </is>
      </c>
      <c r="B50" s="625" t="n"/>
      <c r="C50" s="625" t="n"/>
      <c r="D50" s="641" t="n"/>
      <c r="F50" s="366" t="n">
        <v>0</v>
      </c>
      <c r="G50" s="366" t="n">
        <v>0</v>
      </c>
      <c r="H50" s="366" t="n">
        <v>0</v>
      </c>
      <c r="I50" s="366" t="n">
        <v>0</v>
      </c>
      <c r="J50" s="366" t="n">
        <v>0</v>
      </c>
      <c r="K50" s="366" t="n">
        <v>0</v>
      </c>
      <c r="L50" s="366" t="n">
        <v>0</v>
      </c>
      <c r="M50" s="366" t="n">
        <v>0</v>
      </c>
      <c r="N50" s="366" t="n">
        <v>0</v>
      </c>
      <c r="O50" s="366" t="n">
        <v>0</v>
      </c>
      <c r="P50" s="366" t="n">
        <v>0</v>
      </c>
      <c r="Q50" s="366" t="n">
        <v>0</v>
      </c>
      <c r="R50" s="366" t="n">
        <v>0</v>
      </c>
      <c r="S50" s="366" t="n">
        <v>0</v>
      </c>
      <c r="T50" s="366" t="n">
        <v>0</v>
      </c>
      <c r="U50" s="366" t="n">
        <v>0</v>
      </c>
      <c r="V50" s="366" t="n">
        <v>0</v>
      </c>
      <c r="W50" s="366" t="n">
        <v>0</v>
      </c>
      <c r="X50" s="366" t="n">
        <v>0</v>
      </c>
      <c r="Y50" s="366" t="n">
        <v>0</v>
      </c>
      <c r="Z50" s="366" t="n">
        <v>0</v>
      </c>
    </row>
    <row r="51">
      <c r="A51" s="645" t="inlineStr">
        <is>
          <t>ZAAD INTENSE</t>
        </is>
      </c>
      <c r="B51" s="625" t="n"/>
      <c r="C51" s="625" t="n"/>
      <c r="D51" s="641" t="n"/>
      <c r="F51" s="366" t="n">
        <v>0</v>
      </c>
      <c r="G51" s="366" t="n">
        <v>0</v>
      </c>
      <c r="H51" s="366" t="n">
        <v>0</v>
      </c>
      <c r="I51" s="366" t="n">
        <v>0</v>
      </c>
      <c r="J51" s="366" t="n">
        <v>0</v>
      </c>
      <c r="K51" s="366" t="n">
        <v>0</v>
      </c>
      <c r="L51" s="366" t="n">
        <v>0</v>
      </c>
      <c r="M51" s="366" t="n">
        <v>0</v>
      </c>
      <c r="N51" s="366" t="n">
        <v>0</v>
      </c>
      <c r="O51" s="366" t="n">
        <v>0</v>
      </c>
      <c r="P51" s="366" t="n">
        <v>0</v>
      </c>
      <c r="Q51" s="366" t="n">
        <v>0</v>
      </c>
      <c r="R51" s="366" t="n">
        <v>0</v>
      </c>
      <c r="S51" s="366" t="n">
        <v>0</v>
      </c>
      <c r="T51" s="366" t="n">
        <v>0</v>
      </c>
      <c r="U51" s="366" t="n">
        <v>0</v>
      </c>
      <c r="V51" s="366" t="n">
        <v>0</v>
      </c>
      <c r="W51" s="366" t="n">
        <v>0</v>
      </c>
      <c r="X51" s="366" t="n">
        <v>0</v>
      </c>
      <c r="Y51" s="366" t="n">
        <v>0</v>
      </c>
      <c r="Z51" s="366" t="n">
        <v>0</v>
      </c>
    </row>
    <row r="52">
      <c r="A52" s="645" t="inlineStr">
        <is>
          <t>HER CODE CLIMAX</t>
        </is>
      </c>
      <c r="B52" s="625" t="n"/>
      <c r="C52" s="625" t="n"/>
      <c r="D52" s="641" t="n"/>
      <c r="F52" s="366" t="n">
        <v>0</v>
      </c>
      <c r="G52" s="366" t="n">
        <v>0</v>
      </c>
      <c r="H52" s="366" t="n">
        <v>0</v>
      </c>
      <c r="I52" s="366" t="n">
        <v>0</v>
      </c>
      <c r="J52" s="366" t="n">
        <v>0</v>
      </c>
      <c r="K52" s="366" t="n">
        <v>0</v>
      </c>
      <c r="L52" s="366" t="n">
        <v>0</v>
      </c>
      <c r="M52" s="366" t="n">
        <v>0</v>
      </c>
      <c r="N52" s="366" t="n">
        <v>0</v>
      </c>
      <c r="O52" s="366" t="n">
        <v>0</v>
      </c>
      <c r="P52" s="366" t="n">
        <v>0</v>
      </c>
      <c r="Q52" s="366" t="n">
        <v>0</v>
      </c>
      <c r="R52" s="366" t="n">
        <v>0</v>
      </c>
      <c r="S52" s="366" t="n">
        <v>0</v>
      </c>
      <c r="T52" s="366" t="n">
        <v>0</v>
      </c>
      <c r="U52" s="366" t="n">
        <v>0</v>
      </c>
      <c r="V52" s="366" t="n">
        <v>0</v>
      </c>
      <c r="W52" s="366" t="n">
        <v>0</v>
      </c>
      <c r="X52" s="366" t="n">
        <v>0</v>
      </c>
      <c r="Y52" s="366" t="n">
        <v>0</v>
      </c>
      <c r="Z52" s="366" t="n">
        <v>0</v>
      </c>
    </row>
  </sheetData>
  <mergeCells count="20">
    <mergeCell ref="A52:D52"/>
    <mergeCell ref="A43:D43"/>
    <mergeCell ref="A44:D44"/>
    <mergeCell ref="A48:D48"/>
    <mergeCell ref="F3:AB3"/>
    <mergeCell ref="A51:D51"/>
    <mergeCell ref="A49:D49"/>
    <mergeCell ref="A5:A6"/>
    <mergeCell ref="A45:D45"/>
    <mergeCell ref="A46:D46"/>
    <mergeCell ref="B5:B6"/>
    <mergeCell ref="D5:D6"/>
    <mergeCell ref="B3:D3"/>
    <mergeCell ref="AV7:BD7"/>
    <mergeCell ref="F5:AA5"/>
    <mergeCell ref="A50:D50"/>
    <mergeCell ref="A47:D47"/>
    <mergeCell ref="A1:AA1"/>
    <mergeCell ref="B2:D2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63" fitToHeight="0"/>
</worksheet>
</file>

<file path=xl/worksheets/sheet14.xml><?xml version="1.0" encoding="utf-8"?>
<worksheet xmlns="http://schemas.openxmlformats.org/spreadsheetml/2006/main">
  <sheetPr codeName="Planilha45">
    <tabColor theme="9"/>
    <outlinePr summaryBelow="1" summaryRight="1"/>
    <pageSetUpPr/>
  </sheetPr>
  <dimension ref="A1:IG50"/>
  <sheetViews>
    <sheetView showGridLines="0" topLeftCell="D1" zoomScale="80" zoomScaleNormal="80" workbookViewId="0">
      <selection activeCell="AL38" sqref="AL38"/>
    </sheetView>
  </sheetViews>
  <sheetFormatPr baseColWidth="8" defaultColWidth="9.140625" defaultRowHeight="18.75"/>
  <cols>
    <col width="27.42578125" customWidth="1" min="1" max="1"/>
    <col width="9.5703125" customWidth="1" min="2" max="2"/>
    <col hidden="1" width="14.85546875" customWidth="1" min="3" max="3"/>
    <col width="14.85546875" customWidth="1" min="4" max="4"/>
    <col width="1.5703125" customWidth="1" min="5" max="5"/>
    <col hidden="1" width="9.42578125" customWidth="1" min="6" max="6"/>
    <col hidden="1" width="13" customWidth="1" min="7" max="7"/>
    <col hidden="1" width="13" customWidth="1" min="8" max="8"/>
    <col hidden="1" width="13" customWidth="1" min="9" max="9"/>
    <col hidden="1" width="13" customWidth="1" min="10" max="10"/>
    <col hidden="1" width="13" customWidth="1" min="11" max="11"/>
    <col hidden="1" width="13" customWidth="1" min="12" max="12"/>
    <col hidden="1" width="13" customWidth="1" min="13" max="13"/>
    <col hidden="1" width="13" customWidth="1" min="14" max="14"/>
    <col hidden="1" width="1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9.42578125" customWidth="1" min="26" max="26"/>
    <col hidden="1" width="13" customWidth="1" min="27" max="27"/>
    <col hidden="1" width="13" customWidth="1" min="28" max="28"/>
    <col width="13" customWidth="1" min="29" max="29"/>
    <col width="13" customWidth="1" min="30" max="30"/>
    <col width="1.5703125" customWidth="1" min="32" max="32"/>
    <col width="52.85546875" customWidth="1" min="33" max="33"/>
    <col width="14.28515625" customWidth="1" min="34" max="34"/>
    <col width="1.140625" customWidth="1" min="35" max="35"/>
    <col width="15.85546875" customWidth="1" min="36" max="36"/>
    <col width="1.28515625" customWidth="1" min="37" max="37"/>
    <col width="8.7109375" customWidth="1" min="38" max="38"/>
    <col width="11.5703125" customWidth="1" min="39" max="39"/>
    <col hidden="1" width="24.85546875" customWidth="1" min="40" max="40"/>
    <col hidden="1" width="8.7109375" customWidth="1" min="41" max="41"/>
    <col hidden="1" width="13" customWidth="1" min="42" max="42"/>
    <col hidden="1" width="13" customWidth="1" min="43" max="43"/>
    <col hidden="1" width="13" customWidth="1" min="44" max="44"/>
    <col hidden="1" width="8.7109375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13" customWidth="1" min="50" max="50"/>
    <col hidden="1" width="13.85546875" customWidth="1" min="51" max="51"/>
    <col hidden="1" width="8.7109375" customWidth="1" min="52" max="52"/>
    <col hidden="1" width="13" customWidth="1" min="53" max="53"/>
    <col hidden="1" width="13.85546875" customWidth="1" min="54" max="54"/>
    <col hidden="1" width="8.7109375" customWidth="1" min="55" max="55"/>
    <col hidden="1" width="13" customWidth="1" min="56" max="56"/>
    <col hidden="1" width="13" customWidth="1" min="57" max="57"/>
    <col hidden="1" width="13" customWidth="1" min="58" max="58"/>
    <col width="9.140625" customWidth="1" min="59" max="59"/>
    <col width="21.85546875" customWidth="1" min="60" max="60"/>
    <col width="9.140625" customWidth="1" min="61" max="61"/>
    <col hidden="1" width="13" customWidth="1" min="62" max="62"/>
    <col hidden="1" width="13" customWidth="1" min="63" max="63"/>
    <col hidden="1" width="13" customWidth="1" min="64" max="64"/>
    <col hidden="1" width="13" customWidth="1" min="65" max="65"/>
    <col hidden="1" width="13" customWidth="1" min="66" max="66"/>
    <col hidden="1" width="9.140625" customWidth="1" min="67" max="67"/>
    <col hidden="1" width="13" customWidth="1" min="68" max="68"/>
    <col hidden="1" width="13" customWidth="1" min="69" max="69"/>
    <col width="13" customWidth="1" min="70" max="70"/>
    <col width="13" customWidth="1" min="71" max="71"/>
  </cols>
  <sheetData>
    <row r="1" ht="23.25" customHeight="1">
      <c r="A1" s="477" t="inlineStr">
        <is>
          <t>Controle de Contagem Semanal - Antilhas</t>
        </is>
      </c>
      <c r="AF1" s="477" t="n"/>
      <c r="AG1" s="361" t="n"/>
      <c r="AH1" s="361" t="n"/>
      <c r="AI1" s="361" t="n"/>
      <c r="AJ1" s="361" t="n"/>
      <c r="AK1" s="361" t="n"/>
      <c r="AL1" s="361" t="n"/>
      <c r="AM1" s="361" t="n"/>
      <c r="AN1" s="361" t="n"/>
      <c r="AO1" s="361" t="n"/>
      <c r="AP1" s="361" t="n"/>
      <c r="AQ1" s="361" t="n"/>
      <c r="AR1" s="361" t="n"/>
      <c r="AS1" s="361" t="n"/>
      <c r="AT1" s="361" t="n"/>
      <c r="AU1" s="361" t="n"/>
      <c r="AV1" s="361" t="n"/>
      <c r="AW1" s="361" t="n"/>
      <c r="AX1" s="361" t="n"/>
      <c r="AY1" s="361" t="n"/>
      <c r="AZ1" s="361" t="n"/>
      <c r="BA1" s="361" t="n"/>
      <c r="BB1" s="361" t="n"/>
      <c r="BC1" s="361" t="n"/>
      <c r="BD1" s="361" t="n"/>
      <c r="BE1" s="361" t="n"/>
      <c r="BF1" s="361" t="n"/>
    </row>
    <row r="2">
      <c r="A2" s="63" t="inlineStr">
        <is>
          <t>LOJA:</t>
        </is>
      </c>
      <c r="B2" s="604" t="inlineStr">
        <is>
          <t>JAU SHOPP</t>
        </is>
      </c>
      <c r="C2" s="605" t="n"/>
      <c r="D2" s="606" t="n"/>
      <c r="AG2" s="11" t="n"/>
      <c r="AH2" s="11" t="n"/>
      <c r="AJ2" s="11" t="n"/>
    </row>
    <row r="3">
      <c r="A3" s="63" t="inlineStr">
        <is>
          <t>Responsável:</t>
        </is>
      </c>
      <c r="B3" s="607" t="inlineStr">
        <is>
          <t>TAMIRES/CLARA</t>
        </is>
      </c>
      <c r="C3" s="605" t="n"/>
      <c r="D3" s="606" t="n"/>
      <c r="E3" s="608" t="n"/>
      <c r="F3" s="608" t="n"/>
      <c r="G3" s="608" t="n"/>
      <c r="H3" s="608" t="n"/>
      <c r="I3" s="608" t="n"/>
      <c r="J3" s="608" t="n"/>
      <c r="K3" s="608" t="n"/>
      <c r="L3" s="608" t="n"/>
      <c r="M3" s="608" t="n"/>
      <c r="N3" s="608" t="n"/>
      <c r="O3" s="608" t="n"/>
      <c r="P3" s="608" t="n"/>
      <c r="Q3" s="608" t="n"/>
      <c r="R3" s="608" t="n"/>
      <c r="S3" s="608" t="n"/>
      <c r="T3" s="608" t="n"/>
      <c r="U3" s="608" t="n"/>
      <c r="V3" s="608" t="n"/>
      <c r="W3" s="608" t="n"/>
      <c r="X3" s="608" t="n"/>
      <c r="Y3" s="608" t="n"/>
      <c r="Z3" s="608" t="n"/>
      <c r="AA3" s="608" t="n"/>
      <c r="AB3" s="609" t="n"/>
      <c r="AC3" s="609" t="n"/>
      <c r="AD3" s="609" t="n"/>
      <c r="AE3" s="608" t="n"/>
      <c r="AF3" s="608" t="n"/>
      <c r="AG3" s="11" t="n"/>
      <c r="AH3" s="11" t="n"/>
      <c r="AI3" s="608" t="n"/>
    </row>
    <row r="4">
      <c r="AK4" s="158" t="n"/>
      <c r="AL4" s="395" t="n"/>
      <c r="AM4" s="395" t="n"/>
      <c r="AN4" s="395" t="n"/>
      <c r="AO4" s="395" t="n"/>
      <c r="AP4" s="395" t="n"/>
      <c r="AQ4" s="395" t="n"/>
      <c r="AR4" s="395" t="n"/>
      <c r="AS4" s="395" t="n"/>
      <c r="AT4" s="395" t="n"/>
      <c r="AU4" s="395" t="n"/>
      <c r="AV4" s="395" t="n"/>
      <c r="AW4" s="395" t="n"/>
      <c r="AX4" s="395" t="n"/>
      <c r="AY4" s="395" t="n"/>
      <c r="AZ4" s="395" t="n"/>
      <c r="BA4" s="395" t="n"/>
      <c r="BB4" s="395" t="n"/>
      <c r="BC4" s="395" t="n"/>
      <c r="BD4" s="395" t="n"/>
      <c r="BE4" s="395" t="n"/>
      <c r="BF4" s="395" t="n"/>
    </row>
    <row r="5" ht="18.75" customHeight="1">
      <c r="A5" s="647" t="inlineStr">
        <is>
          <t>Descrição</t>
        </is>
      </c>
      <c r="B5" s="611" t="inlineStr">
        <is>
          <t>PCT</t>
        </is>
      </c>
      <c r="C5" s="611" t="inlineStr">
        <is>
          <t xml:space="preserve">R$ </t>
        </is>
      </c>
      <c r="D5" s="612" t="inlineStr">
        <is>
          <t>Estoque Ideal</t>
        </is>
      </c>
      <c r="F5" s="40" t="n"/>
      <c r="G5" s="40" t="n"/>
      <c r="H5" s="40" t="n"/>
      <c r="I5" s="40" t="n"/>
      <c r="J5" s="40" t="n"/>
      <c r="K5" s="40" t="n"/>
      <c r="L5" s="40" t="n"/>
      <c r="M5" s="40" t="n"/>
      <c r="N5" s="40" t="n"/>
      <c r="O5" s="40" t="n"/>
      <c r="P5" s="40" t="n"/>
      <c r="Q5" s="40" t="n"/>
      <c r="R5" s="40" t="n"/>
      <c r="S5" s="40" t="n"/>
      <c r="T5" s="40" t="n"/>
      <c r="U5" s="40" t="n"/>
      <c r="V5" s="40" t="n"/>
      <c r="W5" s="40" t="n"/>
      <c r="X5" s="40" t="n"/>
      <c r="Y5" s="40" t="n"/>
      <c r="Z5" s="40" t="n"/>
      <c r="AA5" s="40" t="n"/>
      <c r="AB5" s="40" t="n"/>
      <c r="AC5" s="40" t="n"/>
      <c r="AD5" s="40" t="n"/>
      <c r="AE5" s="40" t="n"/>
      <c r="AG5" s="29" t="inlineStr">
        <is>
          <t>Pendências</t>
        </is>
      </c>
      <c r="AH5" s="29" t="inlineStr">
        <is>
          <t>Pendências</t>
        </is>
      </c>
      <c r="AJ5" s="9" t="inlineStr">
        <is>
          <t>Novo Pedido</t>
        </is>
      </c>
      <c r="AK5" s="613" t="n">
        <v>46161.48295866068</v>
      </c>
      <c r="AL5" s="614" t="n">
        <v>46156</v>
      </c>
      <c r="AM5" s="615" t="inlineStr">
        <is>
          <t>TRANSF.</t>
        </is>
      </c>
      <c r="AN5" s="615" t="inlineStr">
        <is>
          <t>TRANSF.</t>
        </is>
      </c>
      <c r="AO5" s="614" t="n">
        <v>46142</v>
      </c>
      <c r="AP5" s="614" t="n">
        <v>46114</v>
      </c>
      <c r="AQ5" s="616" t="n">
        <v>46065</v>
      </c>
      <c r="AR5" s="614" t="n">
        <v>46099</v>
      </c>
      <c r="AS5" s="614" t="n">
        <v>46092</v>
      </c>
      <c r="AT5" s="614" t="n">
        <v>46084</v>
      </c>
      <c r="AU5" s="614" t="n">
        <v>46071</v>
      </c>
      <c r="AV5" s="614" t="n">
        <v>46056</v>
      </c>
      <c r="AW5" s="614" t="n">
        <v>46048</v>
      </c>
      <c r="AX5" s="614" t="n">
        <v>46035</v>
      </c>
      <c r="AY5" s="617" t="inlineStr">
        <is>
          <t>TRANSF.</t>
        </is>
      </c>
      <c r="AZ5" s="614" t="n">
        <v>46024</v>
      </c>
      <c r="BA5" s="614" t="n">
        <v>46017</v>
      </c>
      <c r="BB5" s="617" t="inlineStr">
        <is>
          <t>TRANSF.</t>
        </is>
      </c>
      <c r="BC5" s="614" t="n">
        <v>46007</v>
      </c>
      <c r="BD5" s="614" t="n">
        <v>46001</v>
      </c>
      <c r="BE5" s="614" t="n">
        <v>45994</v>
      </c>
      <c r="BF5" s="614" t="n">
        <v>45986</v>
      </c>
    </row>
    <row r="6" ht="19.5" customFormat="1" customHeight="1" s="3">
      <c r="A6" s="618" t="n"/>
      <c r="B6" s="618" t="n"/>
      <c r="C6" s="618" t="n"/>
      <c r="D6" s="618" t="n"/>
      <c r="E6" s="30" t="n"/>
      <c r="F6" s="619" t="n">
        <v>46013</v>
      </c>
      <c r="G6" s="619" t="n">
        <v>46020</v>
      </c>
      <c r="H6" s="619" t="n">
        <v>46027</v>
      </c>
      <c r="I6" s="619" t="n">
        <v>46034</v>
      </c>
      <c r="J6" s="619" t="n">
        <v>46041</v>
      </c>
      <c r="K6" s="619" t="n">
        <v>46048</v>
      </c>
      <c r="L6" s="619" t="n">
        <v>46055</v>
      </c>
      <c r="M6" s="619" t="n">
        <v>46062</v>
      </c>
      <c r="N6" s="619" t="n">
        <v>46069</v>
      </c>
      <c r="O6" s="619" t="n">
        <v>46076</v>
      </c>
      <c r="P6" s="619" t="n">
        <v>46083</v>
      </c>
      <c r="Q6" s="619" t="n">
        <v>46090</v>
      </c>
      <c r="R6" s="619" t="n">
        <v>46097</v>
      </c>
      <c r="S6" s="619" t="n">
        <v>46104</v>
      </c>
      <c r="T6" s="619" t="n">
        <v>46111</v>
      </c>
      <c r="U6" s="619" t="n">
        <v>46118</v>
      </c>
      <c r="V6" s="619" t="n">
        <v>46125</v>
      </c>
      <c r="W6" s="619" t="n">
        <v>46132</v>
      </c>
      <c r="X6" s="619" t="n">
        <v>46139</v>
      </c>
      <c r="Y6" s="619" t="n">
        <v>46146</v>
      </c>
      <c r="Z6" s="619" t="n">
        <v>46154</v>
      </c>
      <c r="AA6" s="619" t="n">
        <v>46160</v>
      </c>
      <c r="AB6" s="620" t="n">
        <v>46161.48012836806</v>
      </c>
      <c r="AC6" s="620" t="n">
        <v>46161.48080197917</v>
      </c>
      <c r="AD6" s="620" t="n">
        <v>46161.4829594392</v>
      </c>
      <c r="AE6" s="621" t="inlineStr">
        <is>
          <t>USOU</t>
        </is>
      </c>
      <c r="AF6" s="30" t="n"/>
      <c r="AG6" s="656" t="inlineStr">
        <is>
          <t>TRANSF.</t>
        </is>
      </c>
      <c r="AH6" s="622" t="n">
        <v>46156</v>
      </c>
      <c r="AI6" s="623" t="n"/>
      <c r="AJ6" s="624" t="n"/>
      <c r="AK6" s="614" t="n"/>
      <c r="AL6" s="614" t="n"/>
      <c r="AM6" s="615" t="n">
        <v>46150</v>
      </c>
      <c r="AN6" s="615" t="n">
        <v>46148</v>
      </c>
      <c r="AO6" s="614" t="n">
        <v>46150</v>
      </c>
      <c r="AP6" s="614" t="n">
        <v>46125</v>
      </c>
      <c r="AQ6" s="616" t="n">
        <v>46112</v>
      </c>
      <c r="AR6" s="614" t="n">
        <v>46106</v>
      </c>
      <c r="AS6" s="614" t="n">
        <v>46099</v>
      </c>
      <c r="AT6" s="614" t="n">
        <v>46097</v>
      </c>
      <c r="AU6" s="614" t="n">
        <v>46078</v>
      </c>
      <c r="AV6" s="614" t="n">
        <v>46063</v>
      </c>
      <c r="AW6" s="614" t="n">
        <v>46056</v>
      </c>
      <c r="AX6" s="614" t="n">
        <v>46041</v>
      </c>
      <c r="AY6" s="617" t="n">
        <v>46037</v>
      </c>
      <c r="AZ6" s="614" t="n">
        <v>46034</v>
      </c>
      <c r="BA6" s="614" t="n">
        <v>46029</v>
      </c>
      <c r="BB6" s="617" t="n">
        <v>46027</v>
      </c>
      <c r="BC6" s="614" t="n">
        <v>46010</v>
      </c>
      <c r="BD6" s="614" t="n">
        <v>46010</v>
      </c>
      <c r="BE6" s="614" t="n">
        <v>46003</v>
      </c>
      <c r="BF6" s="614" t="n">
        <v>45994</v>
      </c>
      <c r="BH6" s="11" t="n"/>
      <c r="BI6" s="11" t="n"/>
      <c r="BJ6" s="11" t="n"/>
      <c r="BK6" s="11" t="n"/>
      <c r="BL6" s="11" t="n"/>
      <c r="BM6" s="11" t="n"/>
      <c r="BN6" s="11" t="n"/>
      <c r="BO6" s="11" t="n"/>
      <c r="BP6" s="11" t="n"/>
      <c r="BQ6" s="11" t="n"/>
      <c r="BR6" s="11" t="n"/>
      <c r="BS6" s="11" t="n"/>
      <c r="BT6" s="11" t="n"/>
    </row>
    <row r="7" ht="21.75" customFormat="1" customHeight="1" s="3">
      <c r="A7" s="20" t="inlineStr">
        <is>
          <t xml:space="preserve">SACOLAS </t>
        </is>
      </c>
      <c r="B7" s="4" t="n"/>
      <c r="C7" s="5" t="n"/>
      <c r="D7" s="239" t="n"/>
      <c r="E7" s="11" t="n"/>
      <c r="F7" s="12" t="n"/>
      <c r="G7" s="12" t="n"/>
      <c r="H7" s="12" t="n"/>
      <c r="I7" s="12" t="n"/>
      <c r="J7" s="12" t="n"/>
      <c r="K7" s="12" t="n"/>
      <c r="L7" s="12" t="n"/>
      <c r="M7" s="12" t="n"/>
      <c r="N7" s="12" t="n"/>
      <c r="O7" s="12" t="n"/>
      <c r="P7" s="12" t="n"/>
      <c r="Q7" s="12" t="n"/>
      <c r="R7" s="12" t="n"/>
      <c r="S7" s="12" t="n"/>
      <c r="T7" s="12" t="n"/>
      <c r="U7" s="12" t="n"/>
      <c r="V7" s="12" t="n"/>
      <c r="W7" s="12" t="n"/>
      <c r="X7" s="12" t="n"/>
      <c r="Y7" s="12" t="n"/>
      <c r="Z7" s="12" t="n"/>
      <c r="AA7" s="12" t="n"/>
      <c r="AB7" s="12" t="n"/>
      <c r="AC7" s="12" t="n"/>
      <c r="AD7" s="12" t="n"/>
      <c r="AE7" s="12" t="n"/>
      <c r="AF7" s="11" t="n"/>
      <c r="AG7" s="85" t="n"/>
      <c r="AH7" s="85" t="n"/>
      <c r="AI7" s="11" t="n"/>
      <c r="AJ7" s="113" t="n"/>
      <c r="AK7" s="12" t="n"/>
      <c r="AL7" s="12" t="n"/>
      <c r="AM7" s="12" t="n"/>
      <c r="AN7" s="12" t="n"/>
      <c r="AO7" s="12" t="n"/>
      <c r="AP7" s="12" t="n"/>
      <c r="AQ7" s="12" t="inlineStr">
        <is>
          <t>MÃES</t>
        </is>
      </c>
      <c r="AR7" s="12" t="n"/>
      <c r="AS7" s="12" t="n"/>
      <c r="AT7" s="12" t="n"/>
      <c r="AU7" s="12" t="n"/>
      <c r="AV7" s="12" t="n"/>
      <c r="AW7" s="12" t="n"/>
      <c r="AX7" s="12" t="n"/>
      <c r="AY7" s="12" t="n"/>
      <c r="AZ7" s="12" t="n"/>
      <c r="BA7" s="12" t="n"/>
      <c r="BB7" s="12" t="n"/>
      <c r="BC7" s="12" t="n"/>
      <c r="BD7" s="12" t="n"/>
      <c r="BE7" s="12" t="n"/>
      <c r="BF7" s="12" t="n"/>
      <c r="BG7" s="625" t="n"/>
      <c r="BH7" s="625" t="n"/>
      <c r="BI7" s="625" t="n"/>
      <c r="BJ7" s="625" t="n"/>
      <c r="BK7" s="625" t="n"/>
      <c r="BL7" s="625" t="n"/>
      <c r="BM7" s="625" t="n"/>
      <c r="BN7" s="641" t="n"/>
      <c r="BO7" s="652" t="n"/>
      <c r="BP7" s="625" t="n"/>
      <c r="BQ7" s="626" t="n"/>
      <c r="BR7" s="626" t="n"/>
      <c r="BS7" s="626" t="n"/>
      <c r="BT7" s="476" t="n"/>
    </row>
    <row r="8" ht="19.5" customFormat="1" customHeight="1" s="3">
      <c r="A8" s="21" t="inlineStr">
        <is>
          <t>SACOLA PP VERDE</t>
        </is>
      </c>
      <c r="B8" s="6" t="n">
        <v>300</v>
      </c>
      <c r="C8" s="627" t="n">
        <v>187.12</v>
      </c>
      <c r="D8" s="240" t="n">
        <v>600</v>
      </c>
      <c r="E8" s="11" t="n"/>
      <c r="F8" s="39" t="n">
        <v>1500</v>
      </c>
      <c r="G8" s="39" t="n">
        <v>1000</v>
      </c>
      <c r="H8" s="39" t="n">
        <v>940</v>
      </c>
      <c r="I8" s="39">
        <f>1200+600</f>
        <v/>
      </c>
      <c r="J8" s="39" t="n">
        <v>1800</v>
      </c>
      <c r="K8" s="39" t="n">
        <v>1700</v>
      </c>
      <c r="L8" s="39" t="n">
        <v>1672</v>
      </c>
      <c r="M8" s="39" t="n">
        <v>1849</v>
      </c>
      <c r="N8" s="39" t="n">
        <v>1483</v>
      </c>
      <c r="O8" s="39" t="n">
        <v>1806</v>
      </c>
      <c r="P8" s="39" t="n">
        <v>1800</v>
      </c>
      <c r="Q8" s="39" t="n">
        <v>1021</v>
      </c>
      <c r="R8" s="39" t="n">
        <v>900</v>
      </c>
      <c r="S8" s="39" t="n">
        <v>678</v>
      </c>
      <c r="T8" s="39" t="n">
        <v>642</v>
      </c>
      <c r="U8" s="39" t="n">
        <v>385</v>
      </c>
      <c r="V8" s="39">
        <f>335+AM8</f>
        <v/>
      </c>
      <c r="W8" s="39" t="n">
        <v>600</v>
      </c>
      <c r="X8" s="39" t="n">
        <v>556</v>
      </c>
      <c r="Y8" s="39">
        <f>421+AL8</f>
        <v/>
      </c>
      <c r="Z8" s="39" t="n">
        <v>385</v>
      </c>
      <c r="AA8" s="39" t="n"/>
      <c r="AB8" s="6" t="n"/>
      <c r="AC8" s="6" t="n"/>
      <c r="AD8" s="6" t="n"/>
      <c r="AE8" s="380">
        <f>AC8+IF(NOT(ISBLANK(OFFSET(AE8,0,6))),N(OFFSET(AE8,0,6)),N(OFFSET(AE8,0,7)))-AD8</f>
        <v/>
      </c>
      <c r="AF8" s="11" t="n"/>
      <c r="AG8" s="78" t="n"/>
      <c r="AH8" s="78" t="n">
        <v>300</v>
      </c>
      <c r="AI8" s="11" t="n"/>
      <c r="AJ8" s="32" t="n"/>
      <c r="AK8" s="628" t="n">
        <v>0</v>
      </c>
      <c r="AL8" s="19" t="n">
        <v>0</v>
      </c>
      <c r="AM8" s="304" t="n"/>
      <c r="AN8" s="304" t="n"/>
      <c r="AO8" s="19" t="n">
        <v>300</v>
      </c>
      <c r="AP8" s="19" t="n">
        <v>300</v>
      </c>
      <c r="AQ8" s="19" t="n"/>
      <c r="AR8" s="19" t="n"/>
      <c r="AS8" s="19" t="n"/>
      <c r="AT8" s="19" t="n"/>
      <c r="AU8" s="19" t="n"/>
      <c r="AV8" s="19" t="n"/>
      <c r="AW8" s="19" t="n"/>
      <c r="AX8" s="19" t="n"/>
      <c r="AY8" s="260" t="inlineStr">
        <is>
          <t>600 DE IT</t>
        </is>
      </c>
      <c r="AZ8" s="19" t="n"/>
      <c r="BA8" s="19" t="n">
        <v>300</v>
      </c>
      <c r="BB8" s="19" t="n"/>
      <c r="BC8" s="19" t="n">
        <v>600</v>
      </c>
      <c r="BD8" s="19" t="n">
        <v>300</v>
      </c>
      <c r="BE8" s="19" t="n">
        <v>300</v>
      </c>
      <c r="BF8" s="19" t="n">
        <v>600</v>
      </c>
      <c r="BH8" s="397" t="inlineStr">
        <is>
          <t xml:space="preserve">SACOLAS </t>
        </is>
      </c>
      <c r="BI8" s="384" t="inlineStr">
        <is>
          <t>PCT</t>
        </is>
      </c>
      <c r="BJ8" s="619" t="n">
        <v>46118</v>
      </c>
      <c r="BK8" s="619" t="n">
        <v>46125</v>
      </c>
      <c r="BL8" s="619" t="n">
        <v>46132</v>
      </c>
      <c r="BM8" s="619" t="n">
        <v>46139</v>
      </c>
      <c r="BN8" s="619" t="n">
        <v>46146</v>
      </c>
      <c r="BO8" s="619" t="n">
        <v>46154</v>
      </c>
      <c r="BP8" s="619" t="n">
        <v>46160</v>
      </c>
      <c r="BQ8" s="620" t="n">
        <v>46161.48012793982</v>
      </c>
      <c r="BR8" s="620" t="n">
        <v>46161.4808015625</v>
      </c>
      <c r="BS8" s="620" t="n">
        <v>46161.48295904741</v>
      </c>
      <c r="BT8" s="621" t="inlineStr">
        <is>
          <t>USOU</t>
        </is>
      </c>
    </row>
    <row r="9" ht="19.5" customFormat="1" customHeight="1" s="3">
      <c r="A9" s="21" t="inlineStr">
        <is>
          <t xml:space="preserve">SACOLA P VERDE </t>
        </is>
      </c>
      <c r="B9" s="6" t="n">
        <v>200</v>
      </c>
      <c r="C9" s="627" t="n">
        <v>193.08</v>
      </c>
      <c r="D9" s="240" t="n">
        <v>1200</v>
      </c>
      <c r="E9" s="11" t="n"/>
      <c r="F9" s="39" t="n">
        <v>1947</v>
      </c>
      <c r="G9" s="39" t="n">
        <v>1070</v>
      </c>
      <c r="H9" s="39" t="n">
        <v>783</v>
      </c>
      <c r="I9" s="39" t="n">
        <v>1037</v>
      </c>
      <c r="J9" s="39">
        <f>1582+AU9</f>
        <v/>
      </c>
      <c r="K9" s="39" t="n">
        <v>1425</v>
      </c>
      <c r="L9" s="39">
        <f>1200+AT9</f>
        <v/>
      </c>
      <c r="M9" s="39">
        <f>1310+AS9</f>
        <v/>
      </c>
      <c r="N9" s="39" t="n">
        <v>1400</v>
      </c>
      <c r="O9" s="39" t="n">
        <v>1105</v>
      </c>
      <c r="P9" s="39" t="n">
        <v>1213</v>
      </c>
      <c r="Q9" s="39" t="n">
        <v>643</v>
      </c>
      <c r="R9" s="39">
        <f>200+AP9</f>
        <v/>
      </c>
      <c r="S9" s="39" t="n">
        <v>1054</v>
      </c>
      <c r="T9" s="39" t="n">
        <v>764</v>
      </c>
      <c r="U9" s="39" t="n">
        <v>472</v>
      </c>
      <c r="V9" s="39">
        <f>80+AM9</f>
        <v/>
      </c>
      <c r="W9" s="39" t="n">
        <v>480</v>
      </c>
      <c r="X9" s="211" t="n">
        <v>557</v>
      </c>
      <c r="Y9" s="39">
        <f>557+AL9</f>
        <v/>
      </c>
      <c r="Z9" s="39" t="n">
        <v>557</v>
      </c>
      <c r="AA9" s="39" t="n"/>
      <c r="AB9" s="6" t="n"/>
      <c r="AC9" s="6" t="n"/>
      <c r="AD9" s="6" t="n"/>
      <c r="AE9" s="380">
        <f>AC9+IF(NOT(ISBLANK(OFFSET(AE9,0,6))),N(OFFSET(AE9,0,6)),N(OFFSET(AE9,0,7)))-AD9</f>
        <v/>
      </c>
      <c r="AF9" s="11" t="n"/>
      <c r="AG9" s="78" t="n"/>
      <c r="AH9" s="78" t="n"/>
      <c r="AI9" s="11" t="n"/>
      <c r="AJ9" s="32" t="n"/>
      <c r="AK9" s="629" t="n">
        <v>0</v>
      </c>
      <c r="AL9" s="304" t="n">
        <v>0</v>
      </c>
      <c r="AM9" s="304" t="n"/>
      <c r="AN9" s="304" t="n"/>
      <c r="AO9" s="304" t="n">
        <v>400</v>
      </c>
      <c r="AP9" s="19" t="n">
        <v>400</v>
      </c>
      <c r="AQ9" s="119" t="n">
        <v>3000</v>
      </c>
      <c r="AR9" s="19" t="n"/>
      <c r="AS9" s="19" t="n">
        <v>1200</v>
      </c>
      <c r="AT9" s="19" t="n"/>
      <c r="AU9" s="19" t="n">
        <v>400</v>
      </c>
      <c r="AV9" s="19" t="n">
        <v>400</v>
      </c>
      <c r="AW9" s="19" t="n">
        <v>600</v>
      </c>
      <c r="AX9" s="19" t="n">
        <v>400</v>
      </c>
      <c r="AY9" s="19" t="n"/>
      <c r="AZ9" s="19" t="n">
        <v>600</v>
      </c>
      <c r="BA9" s="19" t="n">
        <v>800</v>
      </c>
      <c r="BB9" s="19" t="n"/>
      <c r="BC9" s="19" t="n">
        <v>1400</v>
      </c>
      <c r="BD9" s="19" t="n">
        <v>800</v>
      </c>
      <c r="BE9" s="19" t="n"/>
      <c r="BF9" s="19" t="n"/>
      <c r="BH9" s="372" t="inlineStr">
        <is>
          <t xml:space="preserve">SACOLA P </t>
        </is>
      </c>
      <c r="BI9" s="139" t="n">
        <v>200</v>
      </c>
      <c r="BJ9" s="39">
        <f>AN9</f>
        <v/>
      </c>
      <c r="BK9" s="39" t="n">
        <v>3000</v>
      </c>
      <c r="BL9" s="39" t="n">
        <v>3000</v>
      </c>
      <c r="BM9" s="39" t="n">
        <v>2356</v>
      </c>
      <c r="BN9" s="39" t="n">
        <v>2178</v>
      </c>
      <c r="BO9" s="39" t="n">
        <v>1200</v>
      </c>
      <c r="BP9" s="39" t="n"/>
      <c r="BQ9" s="6" t="n"/>
      <c r="BR9" s="6" t="n"/>
      <c r="BS9" s="6" t="n"/>
      <c r="BT9" s="26">
        <f>BR9+IF(NOT(ISBLANK(OFFSET(BT9,0,6))),N(OFFSET(BT9,0,6)),N(OFFSET(BT9,0,7)))-BS9</f>
        <v/>
      </c>
    </row>
    <row r="10" ht="19.5" customFormat="1" customHeight="1" s="3">
      <c r="A10" s="21" t="inlineStr">
        <is>
          <t>SACOLA M VERDE</t>
        </is>
      </c>
      <c r="B10" s="6" t="n">
        <v>200</v>
      </c>
      <c r="C10" s="627" t="n">
        <v>253.83</v>
      </c>
      <c r="D10" s="240" t="n">
        <v>800</v>
      </c>
      <c r="E10" s="11" t="n"/>
      <c r="F10" s="39" t="n">
        <v>973</v>
      </c>
      <c r="G10" s="39" t="n">
        <v>262</v>
      </c>
      <c r="H10" s="39">
        <f>0+200</f>
        <v/>
      </c>
      <c r="I10" s="39" t="n">
        <v>501</v>
      </c>
      <c r="J10" s="39">
        <f>1208+AU10</f>
        <v/>
      </c>
      <c r="K10" s="39" t="n">
        <v>1277</v>
      </c>
      <c r="L10" s="39" t="n">
        <v>1000</v>
      </c>
      <c r="M10" s="39">
        <f>1000+AS10</f>
        <v/>
      </c>
      <c r="N10" s="39" t="n">
        <v>1211</v>
      </c>
      <c r="O10" s="39" t="n">
        <v>1128</v>
      </c>
      <c r="P10" s="39" t="n">
        <v>1023</v>
      </c>
      <c r="Q10" s="39" t="n">
        <v>634</v>
      </c>
      <c r="R10" s="39">
        <f>437+AP10</f>
        <v/>
      </c>
      <c r="S10" s="39" t="n">
        <v>600</v>
      </c>
      <c r="T10" s="39" t="n">
        <v>422</v>
      </c>
      <c r="U10" s="39" t="n">
        <v>245</v>
      </c>
      <c r="V10" s="39">
        <f>45+AM10</f>
        <v/>
      </c>
      <c r="W10" s="39" t="n">
        <v>245</v>
      </c>
      <c r="X10" s="211" t="n">
        <v>349</v>
      </c>
      <c r="Y10" s="39">
        <f>349+AL10</f>
        <v/>
      </c>
      <c r="Z10" s="39" t="n">
        <v>600</v>
      </c>
      <c r="AA10" s="39" t="n"/>
      <c r="AB10" s="6" t="n"/>
      <c r="AC10" s="6" t="n"/>
      <c r="AD10" s="6" t="n"/>
      <c r="AE10" s="380">
        <f>AC10+IF(NOT(ISBLANK(OFFSET(AE10,0,6))),N(OFFSET(AE10,0,6)),N(OFFSET(AE10,0,7)))-AD10</f>
        <v/>
      </c>
      <c r="AF10" s="11" t="n"/>
      <c r="AG10" s="78" t="n"/>
      <c r="AH10" s="78" t="n"/>
      <c r="AI10" s="11" t="n"/>
      <c r="AJ10" s="32" t="n"/>
      <c r="AK10" s="629" t="n">
        <v>0</v>
      </c>
      <c r="AL10" s="304" t="n">
        <v>0</v>
      </c>
      <c r="AM10" s="304" t="n"/>
      <c r="AN10" s="304" t="n"/>
      <c r="AO10" s="304" t="n">
        <v>400</v>
      </c>
      <c r="AP10" s="19" t="n">
        <v>200</v>
      </c>
      <c r="AQ10" s="119" t="n">
        <v>1800</v>
      </c>
      <c r="AR10" s="19" t="n"/>
      <c r="AS10" s="19" t="n">
        <v>400</v>
      </c>
      <c r="AT10" s="19" t="n"/>
      <c r="AU10" s="19" t="n"/>
      <c r="AV10" s="19" t="n">
        <v>400</v>
      </c>
      <c r="AW10" s="19" t="n"/>
      <c r="AX10" s="19" t="n">
        <v>200</v>
      </c>
      <c r="AY10" s="19" t="n"/>
      <c r="AZ10" s="19" t="n">
        <v>800</v>
      </c>
      <c r="BA10" s="19" t="n">
        <v>400</v>
      </c>
      <c r="BB10" s="260" t="inlineStr">
        <is>
          <t>200 DE CDJ</t>
        </is>
      </c>
      <c r="BC10" s="19" t="n">
        <v>800</v>
      </c>
      <c r="BD10" s="19" t="n"/>
      <c r="BE10" s="19" t="n"/>
      <c r="BF10" s="19" t="n"/>
      <c r="BH10" s="21" t="inlineStr">
        <is>
          <t xml:space="preserve">SACOLA M </t>
        </is>
      </c>
      <c r="BI10" s="6" t="n">
        <v>200</v>
      </c>
      <c r="BJ10" s="39">
        <f>AN10</f>
        <v/>
      </c>
      <c r="BK10" s="39" t="n">
        <v>1800</v>
      </c>
      <c r="BL10" s="39" t="n">
        <v>1800</v>
      </c>
      <c r="BM10" s="39" t="n">
        <v>1392</v>
      </c>
      <c r="BN10" s="39" t="n">
        <v>1184</v>
      </c>
      <c r="BO10" s="39" t="n">
        <v>0</v>
      </c>
      <c r="BP10" s="39" t="n"/>
      <c r="BQ10" s="6" t="n"/>
      <c r="BR10" s="6" t="n"/>
      <c r="BS10" s="6" t="n"/>
      <c r="BT10" s="26">
        <f>BR10+IF(NOT(ISBLANK(OFFSET(BT10,0,6))),N(OFFSET(BT10,0,6)),N(OFFSET(BT10,0,7)))-BS10</f>
        <v/>
      </c>
    </row>
    <row r="11" ht="19.5" customFormat="1" customHeight="1" s="3">
      <c r="A11" s="22" t="inlineStr">
        <is>
          <t xml:space="preserve">SACOLA G VERDE </t>
        </is>
      </c>
      <c r="B11" s="6" t="n">
        <v>100</v>
      </c>
      <c r="C11" s="627" t="n">
        <v>184.57</v>
      </c>
      <c r="D11" s="240" t="n">
        <v>150</v>
      </c>
      <c r="E11" s="11" t="n"/>
      <c r="F11" s="39" t="n">
        <v>116</v>
      </c>
      <c r="G11" s="39" t="n">
        <v>100</v>
      </c>
      <c r="H11" s="39" t="n">
        <v>100</v>
      </c>
      <c r="I11" s="39" t="n">
        <v>100</v>
      </c>
      <c r="J11" s="39">
        <f>100+AU11</f>
        <v/>
      </c>
      <c r="K11" s="39" t="n">
        <v>350</v>
      </c>
      <c r="L11" s="39" t="n">
        <v>336</v>
      </c>
      <c r="M11" s="39" t="n">
        <v>336</v>
      </c>
      <c r="N11" s="39" t="n">
        <v>334</v>
      </c>
      <c r="O11" s="39" t="n">
        <v>312</v>
      </c>
      <c r="P11" s="39" t="n">
        <v>309</v>
      </c>
      <c r="Q11" s="39" t="n">
        <v>300</v>
      </c>
      <c r="R11" s="39" t="n">
        <v>300</v>
      </c>
      <c r="S11" s="39" t="n">
        <v>300</v>
      </c>
      <c r="T11" s="39" t="n">
        <v>300</v>
      </c>
      <c r="U11" s="39" t="n">
        <v>285</v>
      </c>
      <c r="V11" s="39" t="n">
        <v>274</v>
      </c>
      <c r="W11" s="39" t="n">
        <v>274</v>
      </c>
      <c r="X11" s="39" t="n">
        <v>269</v>
      </c>
      <c r="Y11" s="39" t="n">
        <v>235</v>
      </c>
      <c r="Z11" s="39" t="n">
        <v>200</v>
      </c>
      <c r="AA11" s="39" t="n"/>
      <c r="AB11" s="6" t="n"/>
      <c r="AC11" s="6" t="n"/>
      <c r="AD11" s="6" t="n"/>
      <c r="AE11" s="380">
        <f>AC11+IF(NOT(ISBLANK(OFFSET(AE11,0,6))),N(OFFSET(AE11,0,6)),N(OFFSET(AE11,0,7)))-AD11</f>
        <v/>
      </c>
      <c r="AF11" s="11" t="n"/>
      <c r="AG11" s="78" t="inlineStr">
        <is>
          <t>50 P/ DC</t>
        </is>
      </c>
      <c r="AH11" s="78" t="n"/>
      <c r="AI11" s="11" t="n"/>
      <c r="AJ11" s="32" t="n"/>
      <c r="AK11" s="629" t="n">
        <v>0</v>
      </c>
      <c r="AL11" s="304" t="n">
        <v>0</v>
      </c>
      <c r="AM11" s="304" t="n"/>
      <c r="AN11" s="304" t="n"/>
      <c r="AO11" s="304" t="n">
        <v>0</v>
      </c>
      <c r="AP11" s="19" t="n"/>
      <c r="AQ11" s="119" t="n">
        <v>300</v>
      </c>
      <c r="AR11" s="19" t="n"/>
      <c r="AS11" s="19" t="n"/>
      <c r="AT11" s="19" t="n"/>
      <c r="AU11" s="19" t="n"/>
      <c r="AV11" s="19" t="n"/>
      <c r="AW11" s="19" t="n"/>
      <c r="AX11" s="19" t="n">
        <v>200</v>
      </c>
      <c r="AY11" s="19" t="n"/>
      <c r="AZ11" s="19" t="n"/>
      <c r="BA11" s="19" t="n">
        <v>100</v>
      </c>
      <c r="BB11" s="19" t="n"/>
      <c r="BC11" s="19" t="n"/>
      <c r="BD11" s="19" t="n"/>
      <c r="BE11" s="19" t="n"/>
      <c r="BF11" s="19" t="n"/>
      <c r="BH11" s="22" t="inlineStr">
        <is>
          <t xml:space="preserve">SACOLA G </t>
        </is>
      </c>
      <c r="BI11" s="6" t="n">
        <v>100</v>
      </c>
      <c r="BJ11" s="39">
        <f>AN11</f>
        <v/>
      </c>
      <c r="BK11" s="39" t="n">
        <v>300</v>
      </c>
      <c r="BL11" s="39" t="n">
        <v>300</v>
      </c>
      <c r="BM11" s="39" t="n">
        <v>225</v>
      </c>
      <c r="BN11" s="39" t="n">
        <v>200</v>
      </c>
      <c r="BO11" s="39" t="n">
        <v>136</v>
      </c>
      <c r="BP11" s="39" t="n"/>
      <c r="BQ11" s="6" t="n"/>
      <c r="BR11" s="6" t="n"/>
      <c r="BS11" s="6" t="n"/>
      <c r="BT11" s="26">
        <f>BR11+IF(NOT(ISBLANK(OFFSET(BT11,0,6))),N(OFFSET(BT11,0,6)),N(OFFSET(BT11,0,7)))-BS11</f>
        <v/>
      </c>
    </row>
    <row r="12" ht="16.5" customFormat="1" customHeight="1" s="3">
      <c r="A12" s="23" t="n"/>
      <c r="B12" s="1" t="n"/>
      <c r="C12" s="630" t="n"/>
      <c r="D12" s="277" t="n"/>
      <c r="E12" s="11" t="n"/>
      <c r="F12" s="2" t="n"/>
      <c r="G12" s="2" t="n"/>
      <c r="H12" s="2" t="n"/>
      <c r="I12" s="2" t="n"/>
      <c r="J12" s="2" t="n"/>
      <c r="K12" s="2" t="n"/>
      <c r="L12" s="2" t="n"/>
      <c r="M12" s="2" t="n"/>
      <c r="N12" s="2" t="n"/>
      <c r="O12" s="2" t="n"/>
      <c r="P12" s="2" t="n"/>
      <c r="Q12" s="2" t="n"/>
      <c r="R12" s="2" t="n"/>
      <c r="S12" s="2" t="n"/>
      <c r="T12" s="2" t="n"/>
      <c r="U12" s="2" t="n"/>
      <c r="V12" s="2" t="n"/>
      <c r="W12" s="2" t="n"/>
      <c r="X12" s="2" t="n"/>
      <c r="Y12" s="2" t="n"/>
      <c r="Z12" s="2" t="n"/>
      <c r="AA12" s="2" t="n"/>
      <c r="AB12" s="1" t="n"/>
      <c r="AC12" s="1" t="n"/>
      <c r="AD12" s="1" t="n"/>
      <c r="AE12" s="2" t="n"/>
      <c r="AF12" s="11" t="n"/>
      <c r="AG12" s="350" t="n"/>
      <c r="AH12" s="350" t="n"/>
      <c r="AI12" s="11" t="n"/>
      <c r="AJ12" s="33" t="n"/>
      <c r="AK12" s="396" t="n"/>
      <c r="AL12" s="75" t="n"/>
      <c r="AM12" s="75" t="n"/>
      <c r="AN12" s="75" t="n"/>
      <c r="AO12" s="75" t="n"/>
      <c r="AP12" s="75" t="n"/>
      <c r="AQ12" s="75" t="n"/>
      <c r="AR12" s="75" t="n"/>
      <c r="AS12" s="75" t="n"/>
      <c r="AT12" s="75" t="n"/>
      <c r="AU12" s="75" t="n"/>
      <c r="AV12" s="75" t="n"/>
      <c r="AW12" s="75" t="n"/>
      <c r="AX12" s="75" t="n"/>
      <c r="AY12" s="75" t="n"/>
      <c r="AZ12" s="75" t="n"/>
      <c r="BA12" s="75" t="n"/>
      <c r="BB12" s="75" t="n"/>
      <c r="BC12" s="75" t="n"/>
      <c r="BD12" s="75" t="n"/>
      <c r="BE12" s="75" t="n"/>
      <c r="BF12" s="75" t="n"/>
      <c r="BH12" s="23" t="n"/>
      <c r="BI12" s="1" t="n"/>
      <c r="BJ12" s="2" t="n"/>
      <c r="BK12" s="2" t="n"/>
      <c r="BL12" s="2" t="n"/>
      <c r="BM12" s="2" t="n"/>
      <c r="BN12" s="2" t="n"/>
      <c r="BO12" s="2" t="n"/>
      <c r="BP12" s="2" t="n"/>
      <c r="BQ12" s="1" t="n"/>
      <c r="BR12" s="1" t="n"/>
      <c r="BS12" s="1" t="n"/>
    </row>
    <row r="13" customFormat="1" s="3">
      <c r="A13" s="548" t="inlineStr">
        <is>
          <t>DIVERSOS</t>
        </is>
      </c>
      <c r="B13" s="12" t="n"/>
      <c r="C13" s="631" t="n"/>
      <c r="D13" s="403" t="n"/>
      <c r="E13" s="608" t="n"/>
      <c r="F13" s="619" t="n">
        <v>46013</v>
      </c>
      <c r="G13" s="619" t="n">
        <v>46020</v>
      </c>
      <c r="H13" s="619" t="n">
        <v>46027</v>
      </c>
      <c r="I13" s="619" t="n">
        <v>46034</v>
      </c>
      <c r="J13" s="619" t="n">
        <v>46041</v>
      </c>
      <c r="K13" s="619" t="n">
        <v>46048</v>
      </c>
      <c r="L13" s="619" t="n">
        <v>46055</v>
      </c>
      <c r="M13" s="619" t="n">
        <v>46062</v>
      </c>
      <c r="N13" s="619" t="n">
        <v>46069</v>
      </c>
      <c r="O13" s="619" t="n">
        <v>46076</v>
      </c>
      <c r="P13" s="619" t="n">
        <v>46083</v>
      </c>
      <c r="Q13" s="619" t="n">
        <v>46090</v>
      </c>
      <c r="R13" s="619" t="n">
        <v>46097</v>
      </c>
      <c r="S13" s="619" t="n">
        <v>46104</v>
      </c>
      <c r="T13" s="619" t="n">
        <v>46111</v>
      </c>
      <c r="U13" s="619" t="n">
        <v>46118</v>
      </c>
      <c r="V13" s="619" t="n">
        <v>46125</v>
      </c>
      <c r="W13" s="619" t="n">
        <v>46132</v>
      </c>
      <c r="X13" s="619" t="n">
        <v>46139</v>
      </c>
      <c r="Y13" s="619" t="n">
        <v>46146</v>
      </c>
      <c r="Z13" s="619" t="n">
        <v>46154</v>
      </c>
      <c r="AA13" s="619" t="n">
        <v>46160</v>
      </c>
      <c r="AB13" s="620" t="n">
        <v>46161.48012836806</v>
      </c>
      <c r="AC13" s="620" t="n">
        <v>46161.48080197917</v>
      </c>
      <c r="AD13" s="620" t="n">
        <v>46161.48295943951</v>
      </c>
      <c r="AE13" s="621" t="inlineStr">
        <is>
          <t>USOU</t>
        </is>
      </c>
      <c r="AF13" s="608" t="n"/>
      <c r="AG13" s="29" t="inlineStr">
        <is>
          <t>Pendências</t>
        </is>
      </c>
      <c r="AH13" s="29" t="inlineStr">
        <is>
          <t>Pendências</t>
        </is>
      </c>
      <c r="AI13" s="11" t="n"/>
      <c r="AJ13" s="9" t="inlineStr">
        <is>
          <t>Novo Pedido</t>
        </is>
      </c>
      <c r="AK13" s="649" t="n">
        <v>46161.48295866118</v>
      </c>
      <c r="AL13" s="614" t="n">
        <v>46156</v>
      </c>
      <c r="AM13" s="615" t="n">
        <v>46148</v>
      </c>
      <c r="AN13" s="615" t="n">
        <v>46148</v>
      </c>
      <c r="AO13" s="614" t="n">
        <v>46142</v>
      </c>
      <c r="AP13" s="614" t="n">
        <v>46114</v>
      </c>
      <c r="AQ13" s="616" t="n">
        <v>46065</v>
      </c>
      <c r="AR13" s="614" t="n">
        <v>46099</v>
      </c>
      <c r="AS13" s="614" t="n">
        <v>46092</v>
      </c>
      <c r="AT13" s="614" t="n">
        <v>46084</v>
      </c>
      <c r="AU13" s="614" t="n">
        <v>46071</v>
      </c>
      <c r="AV13" s="614" t="n">
        <v>46056</v>
      </c>
      <c r="AW13" s="614" t="n">
        <v>46048</v>
      </c>
      <c r="AX13" s="614" t="n">
        <v>46035</v>
      </c>
      <c r="AY13" s="617" t="n">
        <v>46037</v>
      </c>
      <c r="AZ13" s="614" t="n">
        <v>46024</v>
      </c>
      <c r="BA13" s="614" t="n">
        <v>46017</v>
      </c>
      <c r="BB13" s="617" t="n">
        <v>46027</v>
      </c>
      <c r="BC13" s="614" t="n">
        <v>46007</v>
      </c>
      <c r="BD13" s="614" t="n">
        <v>46001</v>
      </c>
      <c r="BE13" s="614" t="n">
        <v>45994</v>
      </c>
      <c r="BF13" s="614" t="n">
        <v>45986</v>
      </c>
      <c r="BH13" s="397" t="inlineStr">
        <is>
          <t>DIVERSOS</t>
        </is>
      </c>
      <c r="BI13" s="384" t="inlineStr">
        <is>
          <t>PCT</t>
        </is>
      </c>
      <c r="BJ13" s="619" t="n">
        <v>46118</v>
      </c>
      <c r="BK13" s="619" t="n">
        <v>46125</v>
      </c>
      <c r="BL13" s="619" t="n">
        <v>46132</v>
      </c>
      <c r="BM13" s="619" t="n">
        <v>46139</v>
      </c>
      <c r="BN13" s="619" t="n">
        <v>46146</v>
      </c>
      <c r="BO13" s="619" t="n">
        <v>46154</v>
      </c>
      <c r="BP13" s="619" t="n">
        <v>46160</v>
      </c>
      <c r="BQ13" s="620" t="n">
        <v>46161.48012793982</v>
      </c>
      <c r="BR13" s="620" t="n">
        <v>46161.4808015625</v>
      </c>
      <c r="BS13" s="620" t="n">
        <v>46161.48295904769</v>
      </c>
      <c r="BT13" s="621" t="inlineStr">
        <is>
          <t>USOU</t>
        </is>
      </c>
    </row>
    <row r="14" customFormat="1" s="3">
      <c r="A14" s="25" t="inlineStr">
        <is>
          <t xml:space="preserve">PAPEL DE SEDA </t>
        </is>
      </c>
      <c r="B14" s="6" t="n">
        <v>500</v>
      </c>
      <c r="C14" s="632" t="n">
        <v>99.26000000000001</v>
      </c>
      <c r="D14" s="240" t="n">
        <v>7</v>
      </c>
      <c r="E14" s="608" t="n"/>
      <c r="F14" s="125" t="n">
        <v>5</v>
      </c>
      <c r="G14" s="125" t="n">
        <v>4</v>
      </c>
      <c r="H14" s="125" t="n">
        <v>3</v>
      </c>
      <c r="I14" s="125" t="n">
        <v>7</v>
      </c>
      <c r="J14" s="125" t="n">
        <v>16</v>
      </c>
      <c r="K14" s="125" t="n">
        <v>15</v>
      </c>
      <c r="L14" s="125" t="n">
        <v>14</v>
      </c>
      <c r="M14" s="125" t="n">
        <v>11</v>
      </c>
      <c r="N14" s="125" t="n">
        <v>10</v>
      </c>
      <c r="O14" s="125" t="n">
        <v>8</v>
      </c>
      <c r="P14" s="125" t="n">
        <v>8</v>
      </c>
      <c r="Q14" s="125" t="n">
        <v>3</v>
      </c>
      <c r="R14" s="125">
        <f>1+AP14</f>
        <v/>
      </c>
      <c r="S14" s="125" t="n">
        <v>8</v>
      </c>
      <c r="T14" s="125" t="n">
        <v>7</v>
      </c>
      <c r="U14" s="125" t="n">
        <v>5</v>
      </c>
      <c r="V14" s="125">
        <f>4+AM14</f>
        <v/>
      </c>
      <c r="W14" s="125" t="n">
        <v>9</v>
      </c>
      <c r="X14" s="125" t="n">
        <v>9</v>
      </c>
      <c r="Y14" s="125">
        <f>7+AL14-3</f>
        <v/>
      </c>
      <c r="Z14" s="125" t="n">
        <v>9</v>
      </c>
      <c r="AA14" s="125" t="n"/>
      <c r="AB14" s="84" t="n"/>
      <c r="AC14" s="84" t="n"/>
      <c r="AD14" s="84" t="n"/>
      <c r="AE14" s="380">
        <f>AC14+IF(NOT(ISBLANK(OFFSET(AE14,0,6))),N(OFFSET(AE14,0,6)),N(OFFSET(AE14,0,7)))-AD14</f>
        <v/>
      </c>
      <c r="AF14" s="608" t="n"/>
      <c r="AG14" s="78" t="n"/>
      <c r="AH14" s="78" t="n"/>
      <c r="AI14" s="608" t="n"/>
      <c r="AJ14" s="401" t="n"/>
      <c r="AK14" s="650" t="n">
        <v>0</v>
      </c>
      <c r="AL14" s="304" t="n">
        <v>0</v>
      </c>
      <c r="AM14" s="260" t="inlineStr">
        <is>
          <t>03 P/ ERJ</t>
        </is>
      </c>
      <c r="AN14" s="304" t="n"/>
      <c r="AO14" s="304" t="n">
        <v>5</v>
      </c>
      <c r="AP14" s="19" t="n">
        <v>5</v>
      </c>
      <c r="AQ14" s="119" t="n">
        <v>15</v>
      </c>
      <c r="AR14" s="19" t="n"/>
      <c r="AS14" s="19" t="n">
        <v>10</v>
      </c>
      <c r="AT14" s="19" t="n"/>
      <c r="AU14" s="19" t="n"/>
      <c r="AV14" s="19" t="n"/>
      <c r="AW14" s="19" t="n"/>
      <c r="AX14" s="19" t="n"/>
      <c r="AY14" s="19" t="n"/>
      <c r="AZ14" s="19" t="n">
        <v>10</v>
      </c>
      <c r="BA14" s="19" t="n">
        <v>4</v>
      </c>
      <c r="BB14" s="19" t="n"/>
      <c r="BC14" s="19" t="n">
        <v>3</v>
      </c>
      <c r="BD14" s="19" t="n"/>
      <c r="BE14" s="19" t="n"/>
      <c r="BF14" s="19" t="n"/>
      <c r="BH14" s="372" t="inlineStr">
        <is>
          <t>PAPEL DE SEDA</t>
        </is>
      </c>
      <c r="BI14" s="139" t="n">
        <v>200</v>
      </c>
      <c r="BJ14" s="39">
        <f>AN14</f>
        <v/>
      </c>
      <c r="BK14" s="39" t="n">
        <v>15</v>
      </c>
      <c r="BL14" s="39" t="n">
        <v>15</v>
      </c>
      <c r="BM14" s="39" t="n">
        <v>10</v>
      </c>
      <c r="BN14" s="39" t="n">
        <v>8</v>
      </c>
      <c r="BO14" s="39" t="n">
        <v>0</v>
      </c>
      <c r="BP14" s="39" t="n"/>
      <c r="BQ14" s="6" t="n"/>
      <c r="BR14" s="6" t="n"/>
      <c r="BS14" s="6" t="n"/>
      <c r="BT14" s="26">
        <f>BR14+IF(NOT(ISBLANK(OFFSET(BT14,0,6))),N(OFFSET(BT14,0,6)),N(OFFSET(BT14,0,7)))-BS14</f>
        <v/>
      </c>
    </row>
    <row r="15" customFormat="1" s="3">
      <c r="A15" s="25" t="inlineStr">
        <is>
          <t>ETIQUETAS</t>
        </is>
      </c>
      <c r="B15" s="6" t="n">
        <v>2000</v>
      </c>
      <c r="C15" s="632" t="n">
        <v>55.36</v>
      </c>
      <c r="D15" s="240" t="n">
        <v>2</v>
      </c>
      <c r="E15" s="608" t="n"/>
      <c r="F15" s="125" t="n">
        <v>8</v>
      </c>
      <c r="G15" s="125" t="n">
        <v>11</v>
      </c>
      <c r="H15" s="125" t="n">
        <v>11</v>
      </c>
      <c r="I15" s="125" t="n">
        <v>9</v>
      </c>
      <c r="J15" s="125" t="n">
        <v>11</v>
      </c>
      <c r="K15" s="125" t="n">
        <v>11</v>
      </c>
      <c r="L15" s="125" t="n">
        <v>11</v>
      </c>
      <c r="M15" s="125" t="n">
        <v>11</v>
      </c>
      <c r="N15" s="125" t="n">
        <v>7</v>
      </c>
      <c r="O15" s="125" t="n">
        <v>10</v>
      </c>
      <c r="P15" s="125" t="n">
        <v>10</v>
      </c>
      <c r="Q15" s="125" t="n">
        <v>9</v>
      </c>
      <c r="R15" s="125" t="n">
        <v>9</v>
      </c>
      <c r="S15" s="125" t="n">
        <v>9</v>
      </c>
      <c r="T15" s="125" t="n">
        <v>9</v>
      </c>
      <c r="U15" s="125" t="n">
        <v>8</v>
      </c>
      <c r="V15" s="125" t="n">
        <v>7</v>
      </c>
      <c r="W15" s="125" t="n">
        <v>7</v>
      </c>
      <c r="X15" s="125" t="n">
        <v>7</v>
      </c>
      <c r="Y15" s="125" t="n">
        <v>6</v>
      </c>
      <c r="Z15" s="125" t="n">
        <v>5</v>
      </c>
      <c r="AA15" s="125" t="n"/>
      <c r="AB15" s="84" t="n"/>
      <c r="AC15" s="84" t="n"/>
      <c r="AD15" s="84" t="n"/>
      <c r="AE15" s="380">
        <f>AC15+IF(NOT(ISBLANK(OFFSET(AE15,0,6))),N(OFFSET(AE15,0,6)),N(OFFSET(AE15,0,7)))-AD15</f>
        <v/>
      </c>
      <c r="AF15" s="608" t="n"/>
      <c r="AG15" s="78" t="n"/>
      <c r="AH15" s="78" t="n"/>
      <c r="AI15" s="608" t="n"/>
      <c r="AJ15" s="32" t="n"/>
      <c r="AK15" s="650" t="n">
        <v>0</v>
      </c>
      <c r="AL15" s="304" t="n">
        <v>0</v>
      </c>
      <c r="AM15" s="304" t="n"/>
      <c r="AN15" s="304" t="n"/>
      <c r="AO15" s="304" t="n">
        <v>0</v>
      </c>
      <c r="AP15" s="19" t="n"/>
      <c r="AQ15" s="119" t="n">
        <v>6</v>
      </c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>
        <v>8</v>
      </c>
      <c r="BD15" s="19" t="n">
        <v>3</v>
      </c>
      <c r="BE15" s="19" t="n">
        <v>2</v>
      </c>
      <c r="BF15" s="19" t="n"/>
      <c r="BH15" s="21" t="inlineStr">
        <is>
          <t>ADESIVOS</t>
        </is>
      </c>
      <c r="BI15" s="6" t="n">
        <v>200</v>
      </c>
      <c r="BJ15" s="39">
        <f>AN15</f>
        <v/>
      </c>
      <c r="BK15" s="39" t="n">
        <v>6</v>
      </c>
      <c r="BL15" s="39" t="n">
        <v>6</v>
      </c>
      <c r="BM15" s="39" t="n">
        <v>4</v>
      </c>
      <c r="BN15" s="39" t="n">
        <v>4</v>
      </c>
      <c r="BO15" s="39" t="n">
        <v>0</v>
      </c>
      <c r="BP15" s="39" t="n"/>
      <c r="BQ15" s="6" t="n"/>
      <c r="BR15" s="6" t="n"/>
      <c r="BS15" s="6" t="n"/>
      <c r="BT15" s="26">
        <f>BR15+IF(NOT(ISBLANK(OFFSET(BT15,0,6))),N(OFFSET(BT15,0,6)),N(OFFSET(BT15,0,7)))-BS15</f>
        <v/>
      </c>
    </row>
    <row r="16" customFormat="1" s="3">
      <c r="A16" s="25" t="inlineStr">
        <is>
          <t xml:space="preserve">TAGS </t>
        </is>
      </c>
      <c r="B16" s="6" t="n">
        <v>200</v>
      </c>
      <c r="C16" s="632" t="n">
        <v>10.28</v>
      </c>
      <c r="D16" s="240" t="n">
        <v>6</v>
      </c>
      <c r="E16" s="1" t="n"/>
      <c r="F16" s="125" t="n">
        <v>11</v>
      </c>
      <c r="G16" s="125" t="n">
        <v>8</v>
      </c>
      <c r="H16" s="125" t="n">
        <v>7</v>
      </c>
      <c r="I16" s="125" t="n">
        <v>6</v>
      </c>
      <c r="J16" s="125" t="n">
        <v>11</v>
      </c>
      <c r="K16" s="125" t="n">
        <v>11</v>
      </c>
      <c r="L16" s="125" t="n">
        <v>9</v>
      </c>
      <c r="M16" s="125" t="n">
        <v>8</v>
      </c>
      <c r="N16" s="125" t="n">
        <v>7</v>
      </c>
      <c r="O16" s="125" t="n">
        <v>7</v>
      </c>
      <c r="P16" s="125" t="n">
        <v>6</v>
      </c>
      <c r="Q16" s="125" t="n">
        <v>5</v>
      </c>
      <c r="R16" s="125" t="n">
        <v>4</v>
      </c>
      <c r="S16" s="125" t="n">
        <v>4</v>
      </c>
      <c r="T16" s="125" t="n">
        <v>3</v>
      </c>
      <c r="U16" s="125" t="n">
        <v>2</v>
      </c>
      <c r="V16" s="125" t="n">
        <v>2</v>
      </c>
      <c r="W16" s="125" t="n">
        <v>2</v>
      </c>
      <c r="X16" s="125" t="n">
        <v>0</v>
      </c>
      <c r="Y16" s="125">
        <f>0+AL16+5+4-3</f>
        <v/>
      </c>
      <c r="Z16" s="125" t="n">
        <v>12</v>
      </c>
      <c r="AA16" s="125" t="n"/>
      <c r="AB16" s="84" t="n"/>
      <c r="AC16" s="84" t="n"/>
      <c r="AD16" s="84" t="n"/>
      <c r="AE16" s="380">
        <f>AC16+IF(NOT(ISBLANK(OFFSET(AE16,0,6))),N(OFFSET(AE16,0,6)),N(OFFSET(AE16,0,7)))-AD16</f>
        <v/>
      </c>
      <c r="AF16" s="1" t="n"/>
      <c r="AG16" s="78" t="inlineStr">
        <is>
          <t>02 P/ JDM + 01 P/ BR + 02 P/ ERJ + 01 P/ ER SM</t>
        </is>
      </c>
      <c r="AH16" s="78" t="n"/>
      <c r="AI16" s="1" t="n"/>
      <c r="AJ16" s="32" t="n"/>
      <c r="AK16" s="628" t="n">
        <v>0</v>
      </c>
      <c r="AL16" s="19" t="n">
        <v>0</v>
      </c>
      <c r="AM16" s="260" t="inlineStr">
        <is>
          <t>03 P/ ERJ</t>
        </is>
      </c>
      <c r="AN16" s="260" t="inlineStr">
        <is>
          <t>05 DE IT + 04 DE DC</t>
        </is>
      </c>
      <c r="AO16" s="19" t="n">
        <v>6</v>
      </c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>
        <v>4</v>
      </c>
      <c r="BA16" s="19" t="n"/>
      <c r="BB16" s="19" t="n"/>
      <c r="BC16" s="19" t="n">
        <v>6</v>
      </c>
      <c r="BD16" s="19" t="n"/>
      <c r="BE16" s="19" t="n"/>
      <c r="BF16" s="19" t="n">
        <v>6</v>
      </c>
    </row>
    <row r="17" customFormat="1" s="3">
      <c r="A17" s="25" t="inlineStr">
        <is>
          <t>LÂMINA OLFATIVA</t>
        </is>
      </c>
      <c r="B17" s="6" t="n">
        <v>3000</v>
      </c>
      <c r="C17" s="632" t="n">
        <v>71.8</v>
      </c>
      <c r="D17" s="240" t="n">
        <v>4</v>
      </c>
      <c r="E17" s="1" t="n"/>
      <c r="F17" s="125" t="n">
        <v>5</v>
      </c>
      <c r="G17" s="125" t="n">
        <v>8</v>
      </c>
      <c r="H17" s="125" t="n">
        <v>7</v>
      </c>
      <c r="I17" s="125" t="n">
        <v>11</v>
      </c>
      <c r="J17" s="125" t="n">
        <v>11</v>
      </c>
      <c r="K17" s="125" t="n">
        <v>11</v>
      </c>
      <c r="L17" s="125" t="n">
        <v>10</v>
      </c>
      <c r="M17" s="125" t="n">
        <v>8</v>
      </c>
      <c r="N17" s="125" t="n">
        <v>8</v>
      </c>
      <c r="O17" s="125" t="n">
        <v>8</v>
      </c>
      <c r="P17" s="125" t="n">
        <v>7</v>
      </c>
      <c r="Q17" s="125" t="n">
        <v>6</v>
      </c>
      <c r="R17" s="125" t="n">
        <v>6</v>
      </c>
      <c r="S17" s="125" t="n">
        <v>5</v>
      </c>
      <c r="T17" s="125" t="n">
        <v>4</v>
      </c>
      <c r="U17" s="125" t="n">
        <v>3</v>
      </c>
      <c r="V17" s="125">
        <f>2+AM17</f>
        <v/>
      </c>
      <c r="W17" s="125" t="n">
        <v>4</v>
      </c>
      <c r="X17" s="125" t="n">
        <v>4</v>
      </c>
      <c r="Y17" s="125" t="n">
        <v>3</v>
      </c>
      <c r="Z17" s="125" t="n">
        <v>2</v>
      </c>
      <c r="AA17" s="125" t="n"/>
      <c r="AB17" s="84" t="n"/>
      <c r="AC17" s="84" t="n"/>
      <c r="AD17" s="84" t="n"/>
      <c r="AE17" s="380">
        <f>AC17+IF(NOT(ISBLANK(OFFSET(AE17,0,6))),N(OFFSET(AE17,0,6)),N(OFFSET(AE17,0,7)))-AD17</f>
        <v/>
      </c>
      <c r="AF17" s="1" t="n"/>
      <c r="AG17" s="78" t="n"/>
      <c r="AH17" s="78" t="n">
        <v>2</v>
      </c>
      <c r="AI17" s="1" t="n"/>
      <c r="AJ17" s="32" t="n"/>
      <c r="AK17" s="628" t="n">
        <v>0</v>
      </c>
      <c r="AL17" s="19" t="n">
        <v>0</v>
      </c>
      <c r="AM17" s="19" t="n"/>
      <c r="AN17" s="19" t="n"/>
      <c r="AO17" s="19" t="n">
        <v>0</v>
      </c>
      <c r="AP17" s="19" t="n">
        <v>2</v>
      </c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>
        <v>5</v>
      </c>
      <c r="BB17" s="19" t="n"/>
      <c r="BC17" s="19" t="n"/>
      <c r="BD17" s="19" t="n">
        <v>6</v>
      </c>
      <c r="BE17" s="19" t="n">
        <v>4</v>
      </c>
      <c r="BF17" s="19" t="n">
        <v>2</v>
      </c>
    </row>
    <row r="18" ht="14.25" customFormat="1" customHeight="1" s="3">
      <c r="A18" s="23" t="n"/>
      <c r="D18" s="277" t="n"/>
      <c r="AG18" s="398" t="n"/>
      <c r="AH18" s="398" t="n"/>
      <c r="AJ18" s="352" t="n"/>
      <c r="AK18" s="396" t="n"/>
      <c r="AL18" s="396" t="n"/>
      <c r="AM18" s="396" t="n"/>
      <c r="AN18" s="396" t="n"/>
      <c r="AO18" s="396" t="n"/>
      <c r="AP18" s="396" t="n"/>
      <c r="AQ18" s="396" t="n"/>
      <c r="AR18" s="396" t="n"/>
      <c r="AS18" s="396" t="n"/>
      <c r="AT18" s="396" t="n"/>
      <c r="AU18" s="396" t="n"/>
      <c r="AV18" s="396" t="n"/>
      <c r="AW18" s="396" t="n"/>
      <c r="AX18" s="396" t="n"/>
      <c r="AY18" s="396" t="n"/>
      <c r="AZ18" s="396" t="n"/>
      <c r="BA18" s="396" t="n"/>
      <c r="BB18" s="396" t="n"/>
      <c r="BC18" s="396" t="n"/>
      <c r="BD18" s="396" t="n"/>
      <c r="BE18" s="396" t="n"/>
      <c r="BF18" s="396" t="n"/>
    </row>
    <row r="19" customFormat="1" s="3">
      <c r="A19" s="548" t="inlineStr">
        <is>
          <t>CAIXAS</t>
        </is>
      </c>
      <c r="B19" s="12" t="n"/>
      <c r="C19" s="654" t="n"/>
      <c r="D19" s="403" t="n"/>
      <c r="E19" s="1" t="n"/>
      <c r="F19" s="619" t="n">
        <v>46013</v>
      </c>
      <c r="G19" s="619" t="n">
        <v>46020</v>
      </c>
      <c r="H19" s="619" t="n">
        <v>46027</v>
      </c>
      <c r="I19" s="619" t="n">
        <v>46034</v>
      </c>
      <c r="J19" s="619" t="n">
        <v>46041</v>
      </c>
      <c r="K19" s="619" t="n">
        <v>46048</v>
      </c>
      <c r="L19" s="619" t="n">
        <v>46055</v>
      </c>
      <c r="M19" s="619" t="n">
        <v>46062</v>
      </c>
      <c r="N19" s="619" t="n">
        <v>46069</v>
      </c>
      <c r="O19" s="619" t="n">
        <v>46076</v>
      </c>
      <c r="P19" s="619" t="n">
        <v>46083</v>
      </c>
      <c r="Q19" s="619" t="n">
        <v>46090</v>
      </c>
      <c r="R19" s="619" t="n">
        <v>46097</v>
      </c>
      <c r="S19" s="619" t="n">
        <v>46104</v>
      </c>
      <c r="T19" s="619" t="n">
        <v>46111</v>
      </c>
      <c r="U19" s="619" t="n">
        <v>46118</v>
      </c>
      <c r="V19" s="619" t="n">
        <v>46125</v>
      </c>
      <c r="W19" s="619" t="n">
        <v>46132</v>
      </c>
      <c r="X19" s="619" t="n">
        <v>46139</v>
      </c>
      <c r="Y19" s="619" t="n">
        <v>46146</v>
      </c>
      <c r="Z19" s="619" t="n">
        <v>46154</v>
      </c>
      <c r="AA19" s="619" t="n">
        <v>46160</v>
      </c>
      <c r="AB19" s="620" t="n">
        <v>46161.48012836806</v>
      </c>
      <c r="AC19" s="620" t="n">
        <v>46161.48080197917</v>
      </c>
      <c r="AD19" s="620" t="n">
        <v>46161.48295943965</v>
      </c>
      <c r="AE19" s="621" t="inlineStr">
        <is>
          <t>USOU</t>
        </is>
      </c>
      <c r="AF19" s="1" t="n"/>
      <c r="AG19" s="29" t="inlineStr">
        <is>
          <t>Pendências</t>
        </is>
      </c>
      <c r="AH19" s="29" t="inlineStr">
        <is>
          <t>Pendências</t>
        </is>
      </c>
      <c r="AI19" s="11" t="n"/>
      <c r="AJ19" s="9" t="inlineStr">
        <is>
          <t>Novo Pedido</t>
        </is>
      </c>
      <c r="AK19" s="613" t="n">
        <v>46161.48295866147</v>
      </c>
      <c r="AL19" s="614" t="n">
        <v>46156</v>
      </c>
      <c r="AM19" s="615" t="n">
        <v>46148</v>
      </c>
      <c r="AN19" s="615" t="n">
        <v>46148</v>
      </c>
      <c r="AO19" s="614" t="n">
        <v>46142</v>
      </c>
      <c r="AP19" s="614" t="n">
        <v>46114</v>
      </c>
      <c r="AQ19" s="616" t="n">
        <v>46065</v>
      </c>
      <c r="AR19" s="614" t="n">
        <v>46099</v>
      </c>
      <c r="AS19" s="614" t="n">
        <v>46092</v>
      </c>
      <c r="AT19" s="614" t="n">
        <v>46084</v>
      </c>
      <c r="AU19" s="614" t="n">
        <v>46071</v>
      </c>
      <c r="AV19" s="614" t="n">
        <v>46056</v>
      </c>
      <c r="AW19" s="614" t="n">
        <v>46048</v>
      </c>
      <c r="AX19" s="614" t="n">
        <v>46035</v>
      </c>
      <c r="AY19" s="617" t="n">
        <v>46037</v>
      </c>
      <c r="AZ19" s="614" t="n">
        <v>46024</v>
      </c>
      <c r="BA19" s="614" t="n">
        <v>46017</v>
      </c>
      <c r="BB19" s="617" t="n">
        <v>46027</v>
      </c>
      <c r="BC19" s="614" t="n">
        <v>46007</v>
      </c>
      <c r="BD19" s="614" t="n">
        <v>46001</v>
      </c>
      <c r="BE19" s="614" t="n">
        <v>45994</v>
      </c>
      <c r="BF19" s="614" t="n">
        <v>45986</v>
      </c>
      <c r="BH19" s="397" t="inlineStr">
        <is>
          <t>CAIXAS</t>
        </is>
      </c>
      <c r="BI19" s="384" t="inlineStr">
        <is>
          <t>PCT</t>
        </is>
      </c>
      <c r="BJ19" s="619" t="n">
        <v>46118</v>
      </c>
      <c r="BK19" s="619" t="n">
        <v>46125</v>
      </c>
      <c r="BL19" s="619" t="n">
        <v>46132</v>
      </c>
      <c r="BM19" s="619" t="n">
        <v>46139</v>
      </c>
      <c r="BN19" s="619" t="n">
        <v>46146</v>
      </c>
      <c r="BO19" s="619" t="n">
        <v>46154</v>
      </c>
      <c r="BP19" s="619" t="n">
        <v>46160</v>
      </c>
      <c r="BQ19" s="620" t="n">
        <v>46161.48012793982</v>
      </c>
      <c r="BR19" s="620" t="n">
        <v>46161.4808015625</v>
      </c>
      <c r="BS19" s="620" t="n">
        <v>46161.48295904783</v>
      </c>
      <c r="BT19" s="621" t="inlineStr">
        <is>
          <t>USOU</t>
        </is>
      </c>
    </row>
    <row r="20" ht="18" customFormat="1" customHeight="1" s="3">
      <c r="A20" s="25" t="inlineStr">
        <is>
          <t>CAIXA P VERDE</t>
        </is>
      </c>
      <c r="B20" s="6" t="n">
        <v>150</v>
      </c>
      <c r="C20" s="627" t="n">
        <v>334.31</v>
      </c>
      <c r="D20" s="240" t="n">
        <v>200</v>
      </c>
      <c r="E20" s="1" t="n"/>
      <c r="F20" s="27" t="n">
        <v>458</v>
      </c>
      <c r="G20" s="27" t="n">
        <v>455</v>
      </c>
      <c r="H20" s="27" t="n">
        <v>455</v>
      </c>
      <c r="I20" s="27" t="n">
        <v>455</v>
      </c>
      <c r="J20" s="27" t="n">
        <v>283</v>
      </c>
      <c r="K20" s="27" t="n">
        <v>290</v>
      </c>
      <c r="L20" s="27" t="n">
        <v>204</v>
      </c>
      <c r="M20" s="27" t="n">
        <v>312</v>
      </c>
      <c r="N20" s="27" t="n">
        <v>299</v>
      </c>
      <c r="O20" s="27" t="n">
        <v>288</v>
      </c>
      <c r="P20" s="27" t="n">
        <v>264</v>
      </c>
      <c r="Q20" s="27" t="n">
        <v>221</v>
      </c>
      <c r="R20" s="27" t="n">
        <v>174</v>
      </c>
      <c r="S20" s="27">
        <f>172+AO20</f>
        <v/>
      </c>
      <c r="T20" s="27" t="n">
        <v>283</v>
      </c>
      <c r="U20" s="27" t="n"/>
      <c r="V20" s="27" t="n"/>
      <c r="W20" s="27" t="n"/>
      <c r="X20" s="27" t="n">
        <v>243</v>
      </c>
      <c r="Y20" s="27" t="n">
        <v>243</v>
      </c>
      <c r="Z20" s="27" t="n">
        <v>243</v>
      </c>
      <c r="AA20" s="27" t="n">
        <v>217</v>
      </c>
      <c r="AB20" s="651" t="n">
        <v>217</v>
      </c>
      <c r="AC20" s="651" t="n">
        <v>217</v>
      </c>
      <c r="AD20" s="651" t="n">
        <v>217</v>
      </c>
      <c r="AE20" s="380">
        <f>AC20+IF(NOT(ISBLANK(OFFSET(AE20,0,6))),N(OFFSET(AE20,0,6)),N(OFFSET(AE20,0,7)))-AD20</f>
        <v/>
      </c>
      <c r="AF20" s="1" t="n"/>
      <c r="AG20" s="78" t="n"/>
      <c r="AH20" s="78" t="n"/>
      <c r="AI20" s="1" t="n"/>
      <c r="AJ20" s="32" t="n"/>
      <c r="AK20" s="628" t="n">
        <v>0</v>
      </c>
      <c r="AL20" s="19" t="n">
        <v>0</v>
      </c>
      <c r="AM20" s="19" t="n"/>
      <c r="AN20" s="19" t="n"/>
      <c r="AO20" s="19" t="n">
        <v>0</v>
      </c>
      <c r="AP20" s="19" t="n"/>
      <c r="AQ20" s="119" t="n">
        <v>150</v>
      </c>
      <c r="AR20" s="19" t="n">
        <v>150</v>
      </c>
      <c r="AS20" s="19" t="n"/>
      <c r="AT20" s="19" t="n"/>
      <c r="AU20" s="19" t="n"/>
      <c r="AV20" s="19" t="n">
        <v>150</v>
      </c>
      <c r="AW20" s="19" t="n"/>
      <c r="AX20" s="19" t="n"/>
      <c r="AY20" s="19" t="n"/>
      <c r="AZ20" s="19" t="n"/>
      <c r="BA20" s="19" t="n"/>
      <c r="BB20" s="19" t="n"/>
      <c r="BC20" s="19" t="n">
        <v>300</v>
      </c>
      <c r="BD20" s="19" t="n"/>
      <c r="BE20" s="19" t="n"/>
      <c r="BF20" s="19" t="n"/>
      <c r="BH20" s="372" t="inlineStr">
        <is>
          <t>CAIXA P</t>
        </is>
      </c>
      <c r="BI20" s="139" t="n">
        <v>150</v>
      </c>
      <c r="BJ20" s="39">
        <f>AN20</f>
        <v/>
      </c>
      <c r="BK20" s="39" t="n"/>
      <c r="BL20" s="39" t="n"/>
      <c r="BM20" s="39" t="n">
        <v>117</v>
      </c>
      <c r="BN20" s="39" t="n">
        <v>97</v>
      </c>
      <c r="BO20" s="39" t="n">
        <v>10</v>
      </c>
      <c r="BP20" s="39" t="n">
        <v>3</v>
      </c>
      <c r="BQ20" s="6" t="n"/>
      <c r="BR20" s="6" t="n"/>
      <c r="BS20" s="6" t="n"/>
      <c r="BT20" s="26">
        <f>BR20+IF(NOT(ISBLANK(OFFSET(BT20,0,6))),N(OFFSET(BT20,0,6)),N(OFFSET(BT20,0,7)))-BS20</f>
        <v/>
      </c>
    </row>
    <row r="21" ht="18.75" customFormat="1" customHeight="1" s="3">
      <c r="A21" s="25" t="inlineStr">
        <is>
          <t>CAIXA M VERDE</t>
        </is>
      </c>
      <c r="B21" s="6" t="n">
        <v>100</v>
      </c>
      <c r="C21" s="634" t="n">
        <v>292.25</v>
      </c>
      <c r="D21" s="243" t="n">
        <v>200</v>
      </c>
      <c r="E21" s="1" t="n"/>
      <c r="F21" s="27" t="n">
        <v>349</v>
      </c>
      <c r="G21" s="27" t="n">
        <v>347</v>
      </c>
      <c r="H21" s="27" t="n">
        <v>347</v>
      </c>
      <c r="I21" s="27" t="n">
        <v>347</v>
      </c>
      <c r="J21" s="27" t="n">
        <v>241</v>
      </c>
      <c r="K21" s="27" t="n">
        <v>202</v>
      </c>
      <c r="L21" s="27" t="n">
        <v>98</v>
      </c>
      <c r="M21" s="27" t="n">
        <v>287</v>
      </c>
      <c r="N21" s="27" t="n">
        <v>271</v>
      </c>
      <c r="O21" s="27" t="n">
        <v>239</v>
      </c>
      <c r="P21" s="27" t="n">
        <v>206</v>
      </c>
      <c r="Q21" s="27" t="n">
        <v>146</v>
      </c>
      <c r="R21" s="27">
        <f>94+AP21</f>
        <v/>
      </c>
      <c r="S21" s="27" t="n">
        <v>268</v>
      </c>
      <c r="T21" s="27" t="n">
        <v>249</v>
      </c>
      <c r="U21" s="27" t="n"/>
      <c r="V21" s="27" t="n"/>
      <c r="W21" s="27" t="n"/>
      <c r="X21" s="27" t="n">
        <v>300</v>
      </c>
      <c r="Y21" s="27" t="n">
        <v>300</v>
      </c>
      <c r="Z21" s="27" t="n">
        <v>170</v>
      </c>
      <c r="AA21" s="27" t="n">
        <v>130</v>
      </c>
      <c r="AB21" s="651" t="n">
        <v>130</v>
      </c>
      <c r="AC21" s="651" t="n">
        <v>130</v>
      </c>
      <c r="AD21" s="651" t="n">
        <v>130</v>
      </c>
      <c r="AE21" s="380">
        <f>AC21+IF(NOT(ISBLANK(OFFSET(AE21,0,6))),N(OFFSET(AE21,0,6)),N(OFFSET(AE21,0,7)))-AD21</f>
        <v/>
      </c>
      <c r="AF21" s="1" t="n"/>
      <c r="AG21" s="78" t="n"/>
      <c r="AH21" s="78" t="n">
        <v>100</v>
      </c>
      <c r="AI21" s="1" t="n"/>
      <c r="AJ21" s="32" t="n"/>
      <c r="AK21" s="628" t="n">
        <v>0</v>
      </c>
      <c r="AL21" s="19" t="n">
        <v>0</v>
      </c>
      <c r="AM21" s="19" t="n"/>
      <c r="AN21" s="19" t="n"/>
      <c r="AO21" s="19" t="n">
        <v>0</v>
      </c>
      <c r="AP21" s="19" t="n">
        <v>100</v>
      </c>
      <c r="AQ21" s="119" t="n">
        <v>200</v>
      </c>
      <c r="AR21" s="19" t="n"/>
      <c r="AS21" s="19" t="n">
        <v>200</v>
      </c>
      <c r="AT21" s="19" t="n"/>
      <c r="AU21" s="19" t="n"/>
      <c r="AV21" s="19" t="n">
        <v>200</v>
      </c>
      <c r="AW21" s="19" t="n"/>
      <c r="AX21" s="19" t="n"/>
      <c r="AY21" s="19" t="n"/>
      <c r="AZ21" s="19" t="n"/>
      <c r="BA21" s="19" t="n"/>
      <c r="BB21" s="19" t="n"/>
      <c r="BC21" s="19" t="n">
        <v>100</v>
      </c>
      <c r="BD21" s="19" t="n"/>
      <c r="BE21" s="19" t="n"/>
      <c r="BF21" s="19" t="n"/>
      <c r="BH21" s="21" t="inlineStr">
        <is>
          <t>CAIXA M</t>
        </is>
      </c>
      <c r="BI21" s="6" t="n">
        <v>100</v>
      </c>
      <c r="BJ21" s="39">
        <f>AN21</f>
        <v/>
      </c>
      <c r="BK21" s="39" t="n"/>
      <c r="BL21" s="39" t="n"/>
      <c r="BM21" s="39" t="n">
        <v>140</v>
      </c>
      <c r="BN21" s="39" t="n">
        <v>113</v>
      </c>
      <c r="BO21" s="39" t="n">
        <v>0</v>
      </c>
      <c r="BP21" s="39" t="n">
        <v>-1</v>
      </c>
      <c r="BQ21" s="6" t="n"/>
      <c r="BR21" s="6" t="n"/>
      <c r="BS21" s="6" t="n"/>
      <c r="BT21" s="26">
        <f>BR21+IF(NOT(ISBLANK(OFFSET(BT21,0,6))),N(OFFSET(BT21,0,6)),N(OFFSET(BT21,0,7)))-BS21</f>
        <v/>
      </c>
    </row>
    <row r="22" customFormat="1" s="3">
      <c r="A22" s="25" t="inlineStr">
        <is>
          <t>CAIXA G VERDE</t>
        </is>
      </c>
      <c r="B22" s="6" t="n">
        <v>75</v>
      </c>
      <c r="C22" s="632" t="n">
        <v>425.38</v>
      </c>
      <c r="D22" s="240" t="n">
        <v>30</v>
      </c>
      <c r="E22" s="608" t="n"/>
      <c r="F22" s="39" t="n">
        <v>61</v>
      </c>
      <c r="G22" s="39" t="n">
        <v>59</v>
      </c>
      <c r="H22" s="39" t="n">
        <v>59</v>
      </c>
      <c r="I22" s="39" t="n">
        <v>58</v>
      </c>
      <c r="J22" s="39" t="n">
        <v>58</v>
      </c>
      <c r="K22" s="39" t="n">
        <v>60</v>
      </c>
      <c r="L22" s="39" t="n">
        <v>60</v>
      </c>
      <c r="M22" s="39" t="n">
        <v>60</v>
      </c>
      <c r="N22" s="39" t="n">
        <v>58</v>
      </c>
      <c r="O22" s="39" t="n">
        <v>58</v>
      </c>
      <c r="P22" s="39" t="n">
        <v>58</v>
      </c>
      <c r="Q22" s="39" t="n">
        <v>58</v>
      </c>
      <c r="R22" s="39" t="n">
        <v>58</v>
      </c>
      <c r="S22" s="39" t="n">
        <v>58</v>
      </c>
      <c r="T22" s="39" t="n">
        <v>58</v>
      </c>
      <c r="U22" s="39" t="n">
        <v>58</v>
      </c>
      <c r="V22" s="39" t="n">
        <v>58</v>
      </c>
      <c r="W22" s="39" t="n">
        <v>58</v>
      </c>
      <c r="X22" s="39" t="n">
        <v>58</v>
      </c>
      <c r="Y22" s="39" t="n">
        <v>58</v>
      </c>
      <c r="Z22" s="39" t="n">
        <v>58</v>
      </c>
      <c r="AA22" s="39" t="n">
        <v>57</v>
      </c>
      <c r="AB22" s="6" t="n">
        <v>57</v>
      </c>
      <c r="AC22" s="6" t="n">
        <v>57</v>
      </c>
      <c r="AD22" s="6" t="n">
        <v>57</v>
      </c>
      <c r="AE22" s="380">
        <f>AC22+IF(NOT(ISBLANK(OFFSET(AE22,0,6))),N(OFFSET(AE22,0,6)),N(OFFSET(AE22,0,7)))-AD22</f>
        <v/>
      </c>
      <c r="AF22" s="608" t="n"/>
      <c r="AG22" s="287" t="n"/>
      <c r="AH22" s="287" t="n"/>
      <c r="AI22" s="608" t="n"/>
      <c r="AJ22" s="32" t="n"/>
      <c r="AK22" s="114" t="n">
        <v>0</v>
      </c>
      <c r="AL22" s="19" t="n">
        <v>0</v>
      </c>
      <c r="AM22" s="19" t="n"/>
      <c r="AN22" s="19" t="n"/>
      <c r="AO22" s="19" t="n">
        <v>0</v>
      </c>
      <c r="AP22" s="19" t="n"/>
      <c r="AQ22" s="119" t="n">
        <v>400</v>
      </c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H22" s="22" t="inlineStr">
        <is>
          <t>CARTUCHO P</t>
        </is>
      </c>
      <c r="BI22" s="6" t="n">
        <v>200</v>
      </c>
      <c r="BJ22" s="39">
        <f>AN22</f>
        <v/>
      </c>
      <c r="BK22" s="39" t="n"/>
      <c r="BL22" s="39" t="n"/>
      <c r="BM22" s="39" t="n">
        <v>237</v>
      </c>
      <c r="BN22" s="39" t="n">
        <v>123</v>
      </c>
      <c r="BO22" s="39" t="n">
        <v>-4</v>
      </c>
      <c r="BP22" s="39" t="n">
        <v>-5</v>
      </c>
      <c r="BQ22" s="6" t="n"/>
      <c r="BR22" s="6" t="n"/>
      <c r="BS22" s="6" t="n"/>
      <c r="BT22" s="26">
        <f>BR22+IF(NOT(ISBLANK(OFFSET(BT22,0,6))),N(OFFSET(BT22,0,6)),N(OFFSET(BT22,0,7)))-BS22</f>
        <v/>
      </c>
    </row>
    <row r="23">
      <c r="A23" s="25" t="inlineStr">
        <is>
          <t>CARTUCHO M VERDE</t>
        </is>
      </c>
      <c r="B23" s="6" t="n">
        <v>150</v>
      </c>
      <c r="C23" s="632" t="n">
        <v>427.5</v>
      </c>
      <c r="D23" s="240" t="n">
        <v>300</v>
      </c>
      <c r="E23" s="608" t="n"/>
      <c r="F23" s="39" t="n">
        <v>150</v>
      </c>
      <c r="G23" s="39" t="n">
        <v>150</v>
      </c>
      <c r="H23" s="39" t="n">
        <v>150</v>
      </c>
      <c r="I23" s="39" t="n">
        <v>150</v>
      </c>
      <c r="J23" s="39" t="n">
        <v>150</v>
      </c>
      <c r="K23" s="39" t="n">
        <v>150</v>
      </c>
      <c r="L23" s="39" t="n">
        <v>150</v>
      </c>
      <c r="M23" s="39" t="n">
        <v>84</v>
      </c>
      <c r="N23" s="39" t="n">
        <v>29</v>
      </c>
      <c r="O23" s="39" t="n">
        <v>1</v>
      </c>
      <c r="P23" s="39" t="n">
        <v>237</v>
      </c>
      <c r="Q23" s="39" t="n">
        <v>0</v>
      </c>
      <c r="R23" s="39">
        <f>145+AP23</f>
        <v/>
      </c>
      <c r="S23" s="39">
        <f>180+AO23</f>
        <v/>
      </c>
      <c r="T23" s="39" t="n">
        <v>268</v>
      </c>
      <c r="U23" s="39" t="n"/>
      <c r="V23" s="39" t="n"/>
      <c r="W23" s="39" t="n"/>
      <c r="X23" s="39" t="n">
        <v>228</v>
      </c>
      <c r="Y23" s="39" t="n">
        <v>207</v>
      </c>
      <c r="Z23" s="39" t="n">
        <v>0</v>
      </c>
      <c r="AA23" s="39" t="n">
        <v>0</v>
      </c>
      <c r="AB23" s="6" t="n">
        <v>0</v>
      </c>
      <c r="AC23" s="6" t="n">
        <v>0</v>
      </c>
      <c r="AD23" s="6" t="n">
        <v>0</v>
      </c>
      <c r="AE23" s="380">
        <f>AC23+IF(NOT(ISBLANK(OFFSET(AE23,0,6))),N(OFFSET(AE23,0,6)),N(OFFSET(AE23,0,7)))-AD23</f>
        <v/>
      </c>
      <c r="AF23" s="608" t="n"/>
      <c r="AG23" s="78" t="n"/>
      <c r="AH23" s="78" t="n">
        <v>150</v>
      </c>
      <c r="AJ23" s="32" t="n"/>
      <c r="AK23" s="628" t="n">
        <v>0</v>
      </c>
      <c r="AL23" s="19" t="n">
        <v>0</v>
      </c>
      <c r="AM23" s="19" t="n"/>
      <c r="AN23" s="19" t="n"/>
      <c r="AO23" s="19" t="n">
        <v>0</v>
      </c>
      <c r="AP23" s="19" t="n">
        <v>150</v>
      </c>
      <c r="AQ23" s="119" t="n">
        <v>300</v>
      </c>
      <c r="AR23" s="19" t="n">
        <v>150</v>
      </c>
      <c r="AS23" s="19" t="n">
        <v>150</v>
      </c>
      <c r="AT23" s="19" t="n">
        <v>150</v>
      </c>
      <c r="AU23" s="19" t="n">
        <v>300</v>
      </c>
      <c r="AV23" s="19" t="n"/>
      <c r="AW23" s="19" t="n"/>
      <c r="AX23" s="19" t="n"/>
      <c r="AY23" s="19" t="n"/>
      <c r="AZ23" s="19" t="n"/>
      <c r="BA23" s="19" t="n"/>
      <c r="BB23" s="19" t="n"/>
      <c r="BC23" s="19" t="n">
        <v>150</v>
      </c>
      <c r="BD23" s="157" t="n"/>
      <c r="BE23" s="157" t="n"/>
      <c r="BF23" s="157" t="n"/>
      <c r="BH23" s="22" t="inlineStr">
        <is>
          <t>CARTUCHO M</t>
        </is>
      </c>
      <c r="BI23" s="6" t="n">
        <v>150</v>
      </c>
      <c r="BJ23" s="39">
        <f>AN23</f>
        <v/>
      </c>
      <c r="BK23" s="39" t="n"/>
      <c r="BL23" s="39" t="n"/>
      <c r="BM23" s="39" t="n">
        <v>184</v>
      </c>
      <c r="BN23" s="39" t="n">
        <v>154</v>
      </c>
      <c r="BO23" s="39" t="n">
        <v>-3</v>
      </c>
      <c r="BP23" s="39" t="n">
        <v>-4</v>
      </c>
      <c r="BQ23" s="6" t="n"/>
      <c r="BR23" s="6" t="n"/>
      <c r="BS23" s="6" t="n"/>
      <c r="BT23" s="26">
        <f>BR23+IF(NOT(ISBLANK(OFFSET(BT23,0,6))),N(OFFSET(BT23,0,6)),N(OFFSET(BT23,0,7)))-BS23</f>
        <v/>
      </c>
    </row>
    <row r="24">
      <c r="AG24" s="355" t="n"/>
      <c r="AH24" s="355" t="n"/>
      <c r="AK24" s="11" t="n"/>
      <c r="AL24" s="11" t="n"/>
      <c r="AM24" s="11" t="n"/>
      <c r="AN24" s="11" t="n"/>
      <c r="AO24" s="11" t="n"/>
      <c r="AP24" s="11" t="n"/>
      <c r="AQ24" s="11" t="n"/>
      <c r="AR24" s="11" t="n"/>
      <c r="AS24" s="11" t="n"/>
      <c r="AT24" s="11" t="n"/>
      <c r="AU24" s="11" t="n"/>
      <c r="AV24" s="11" t="n"/>
      <c r="AW24" s="11" t="n"/>
      <c r="AX24" s="11" t="n"/>
      <c r="AY24" s="11" t="n"/>
      <c r="AZ24" s="11" t="n"/>
      <c r="BA24" s="11" t="n"/>
      <c r="BB24" s="11" t="n"/>
      <c r="BC24" s="11" t="n"/>
      <c r="BD24" s="11" t="n"/>
      <c r="BE24" s="11" t="n"/>
      <c r="BF24" s="11" t="n"/>
    </row>
    <row r="25" ht="18.75" customHeight="1">
      <c r="A25" s="386" t="inlineStr">
        <is>
          <t>SOBRAS CAIXAS</t>
        </is>
      </c>
      <c r="B25" s="387" t="inlineStr">
        <is>
          <t>PCT</t>
        </is>
      </c>
      <c r="C25" s="387" t="inlineStr">
        <is>
          <t xml:space="preserve">R$ </t>
        </is>
      </c>
      <c r="D25" s="387" t="n"/>
      <c r="F25" s="619" t="n">
        <v>46013</v>
      </c>
      <c r="G25" s="619" t="n">
        <v>46020</v>
      </c>
      <c r="H25" s="619" t="n">
        <v>46027</v>
      </c>
      <c r="I25" s="619" t="n">
        <v>46034</v>
      </c>
      <c r="J25" s="619" t="n">
        <v>46041</v>
      </c>
      <c r="K25" s="619" t="n">
        <v>46048</v>
      </c>
      <c r="L25" s="619" t="n">
        <v>46055</v>
      </c>
      <c r="M25" s="619" t="n">
        <v>46062</v>
      </c>
      <c r="N25" s="619" t="n">
        <v>46069</v>
      </c>
      <c r="O25" s="619" t="n">
        <v>46076</v>
      </c>
      <c r="P25" s="619" t="n">
        <v>46083</v>
      </c>
      <c r="Q25" s="619" t="n">
        <v>46090</v>
      </c>
      <c r="R25" s="619" t="n">
        <v>46097</v>
      </c>
      <c r="S25" s="619" t="n">
        <v>46104</v>
      </c>
      <c r="T25" s="619" t="n">
        <v>46111</v>
      </c>
      <c r="U25" s="619" t="n">
        <v>46118</v>
      </c>
      <c r="V25" s="619" t="n">
        <v>46125</v>
      </c>
      <c r="W25" s="619" t="n">
        <v>46132</v>
      </c>
      <c r="X25" s="619" t="n">
        <v>46139</v>
      </c>
      <c r="Y25" s="619" t="n">
        <v>46146</v>
      </c>
      <c r="Z25" s="619" t="n">
        <v>46154</v>
      </c>
      <c r="AA25" s="619" t="n">
        <v>46160</v>
      </c>
      <c r="AB25" s="620" t="n">
        <v>46161.48012836806</v>
      </c>
      <c r="AC25" s="620" t="n">
        <v>46161.48080197917</v>
      </c>
      <c r="AD25" s="620" t="n">
        <v>46161.48295943988</v>
      </c>
      <c r="AE25" s="621" t="inlineStr">
        <is>
          <t>USOU</t>
        </is>
      </c>
      <c r="AG25" s="355" t="n"/>
      <c r="AH25" s="355" t="n"/>
      <c r="AK25" s="11" t="n"/>
      <c r="AL25" s="11" t="n"/>
      <c r="AM25" s="11" t="n"/>
      <c r="AN25" s="11" t="n"/>
      <c r="AO25" s="11" t="n"/>
      <c r="AP25" s="11" t="n"/>
      <c r="AQ25" s="11" t="n"/>
      <c r="AR25" s="11" t="n"/>
      <c r="AS25" s="11" t="n"/>
      <c r="AT25" s="11" t="n"/>
      <c r="AU25" s="11" t="n"/>
      <c r="AV25" s="11" t="n"/>
      <c r="AW25" s="11" t="n"/>
      <c r="AX25" s="11" t="n"/>
      <c r="AY25" s="11" t="n"/>
      <c r="AZ25" s="11" t="n"/>
      <c r="BA25" s="11" t="n"/>
      <c r="BB25" s="11" t="n"/>
      <c r="BC25" s="11" t="n"/>
      <c r="BD25" s="11" t="n"/>
      <c r="BE25" s="11" t="n"/>
      <c r="BF25" s="11" t="n"/>
    </row>
    <row r="26" ht="18" customHeight="1">
      <c r="A26" s="392" t="inlineStr">
        <is>
          <t>CAIXA M DIVERT./24</t>
        </is>
      </c>
      <c r="B26" s="393" t="n">
        <v>100</v>
      </c>
      <c r="C26" s="635" t="n">
        <v>790</v>
      </c>
      <c r="D26" s="404" t="n"/>
      <c r="F26" s="39" t="n">
        <v>350</v>
      </c>
      <c r="G26" s="39" t="n">
        <v>400</v>
      </c>
      <c r="H26" s="39" t="n">
        <v>301</v>
      </c>
      <c r="I26" s="39" t="n">
        <v>363</v>
      </c>
      <c r="J26" s="39" t="n">
        <v>363</v>
      </c>
      <c r="K26" s="39" t="n">
        <v>399</v>
      </c>
      <c r="L26" s="39" t="n">
        <v>349</v>
      </c>
      <c r="M26" s="39" t="n">
        <v>349</v>
      </c>
      <c r="N26" s="39" t="n">
        <v>349</v>
      </c>
      <c r="O26" s="39" t="n">
        <v>349</v>
      </c>
      <c r="P26" s="39" t="n">
        <v>349</v>
      </c>
      <c r="Q26" s="39" t="n">
        <v>349</v>
      </c>
      <c r="R26" s="211" t="n">
        <v>245</v>
      </c>
      <c r="S26" s="6" t="n">
        <v>245</v>
      </c>
      <c r="T26" s="6" t="n">
        <v>245</v>
      </c>
      <c r="U26" s="6" t="n">
        <v>245</v>
      </c>
      <c r="V26" s="6" t="n">
        <v>245</v>
      </c>
      <c r="W26" s="6" t="n">
        <v>245</v>
      </c>
      <c r="X26" s="381" t="n">
        <v>295</v>
      </c>
      <c r="Y26" s="6" t="n">
        <v>295</v>
      </c>
      <c r="Z26" s="6" t="n">
        <v>347</v>
      </c>
      <c r="AA26" s="6" t="n">
        <v>347</v>
      </c>
      <c r="AB26" s="6" t="n">
        <v>347</v>
      </c>
      <c r="AC26" s="6" t="n">
        <v>347</v>
      </c>
      <c r="AD26" s="6" t="n">
        <v>347</v>
      </c>
      <c r="AE26" s="380">
        <f>AC26+IF(NOT(ISBLANK(OFFSET(AE26,0,6))),N(OFFSET(AE26,0,6)),N(OFFSET(AE26,0,7)))-AD26</f>
        <v/>
      </c>
      <c r="AG26" s="355" t="n"/>
      <c r="AH26" s="355" t="n"/>
      <c r="AK26" s="11" t="n"/>
      <c r="AL26" s="11" t="n"/>
      <c r="AM26" s="11" t="n"/>
      <c r="AN26" s="11" t="n"/>
      <c r="AO26" s="11" t="n"/>
      <c r="AP26" s="11" t="n"/>
      <c r="AQ26" s="11" t="n"/>
      <c r="AR26" s="11" t="n"/>
      <c r="AS26" s="11" t="n"/>
      <c r="AT26" s="11" t="n"/>
      <c r="AU26" s="11" t="n"/>
      <c r="AV26" s="11" t="n"/>
      <c r="AW26" s="11" t="n"/>
      <c r="AX26" s="11" t="n"/>
      <c r="AY26" s="11" t="n"/>
      <c r="AZ26" s="11" t="n"/>
      <c r="BA26" s="11" t="n"/>
      <c r="BB26" s="11" t="n"/>
      <c r="BC26" s="11" t="n"/>
      <c r="BD26" s="11" t="n"/>
      <c r="BE26" s="11" t="n"/>
      <c r="BF26" s="11" t="n"/>
    </row>
    <row r="27">
      <c r="A27" s="412" t="inlineStr">
        <is>
          <t>CAIXA DORAMA/25</t>
        </is>
      </c>
      <c r="B27" s="413" t="n">
        <v>100</v>
      </c>
      <c r="C27" s="655" t="n">
        <v>841.1</v>
      </c>
      <c r="D27" s="404" t="n"/>
      <c r="F27" s="6" t="n">
        <v>12</v>
      </c>
      <c r="G27" s="6" t="n">
        <v>11</v>
      </c>
      <c r="H27" s="6" t="n">
        <v>10</v>
      </c>
      <c r="I27" s="6" t="n">
        <v>9</v>
      </c>
      <c r="J27" s="6" t="n">
        <v>9</v>
      </c>
      <c r="K27" s="6" t="n">
        <v>9</v>
      </c>
      <c r="L27" s="6" t="n">
        <v>9</v>
      </c>
      <c r="M27" s="6" t="n">
        <v>9</v>
      </c>
      <c r="N27" s="6" t="n">
        <v>8</v>
      </c>
      <c r="O27" s="6" t="n">
        <v>8</v>
      </c>
      <c r="P27" s="6" t="n">
        <v>8</v>
      </c>
      <c r="Q27" s="6" t="n">
        <v>8</v>
      </c>
      <c r="R27" s="6" t="n">
        <v>8</v>
      </c>
      <c r="S27" s="6" t="n">
        <v>8</v>
      </c>
      <c r="T27" s="6" t="n">
        <v>8</v>
      </c>
      <c r="U27" s="6" t="n">
        <v>8</v>
      </c>
      <c r="V27" s="6" t="n">
        <v>8</v>
      </c>
      <c r="W27" s="6" t="n">
        <v>8</v>
      </c>
      <c r="X27" s="6" t="n">
        <v>8</v>
      </c>
      <c r="Y27" s="6" t="n">
        <v>8</v>
      </c>
      <c r="Z27" s="6" t="n">
        <v>8</v>
      </c>
      <c r="AA27" s="6" t="n">
        <v>8</v>
      </c>
      <c r="AB27" s="6" t="n">
        <v>8</v>
      </c>
      <c r="AC27" s="6" t="n">
        <v>8</v>
      </c>
      <c r="AD27" s="6" t="n">
        <v>8</v>
      </c>
      <c r="AE27" s="380">
        <f>AC27+IF(NOT(ISBLANK(OFFSET(AE27,0,6))),N(OFFSET(AE27,0,6)),N(OFFSET(AE27,0,7)))-AD27</f>
        <v/>
      </c>
      <c r="AG27" s="41" t="n"/>
      <c r="AH27" s="41" t="n"/>
      <c r="AK27" s="11" t="n"/>
      <c r="AL27" s="11" t="n"/>
      <c r="AM27" s="11" t="n"/>
      <c r="AN27" s="11" t="n"/>
      <c r="AO27" s="11" t="n"/>
      <c r="AP27" s="11" t="n"/>
      <c r="AQ27" s="11" t="n"/>
      <c r="AR27" s="11" t="n"/>
      <c r="AS27" s="11" t="n"/>
      <c r="AT27" s="11" t="n"/>
      <c r="AU27" s="11" t="n"/>
      <c r="AV27" s="11" t="n"/>
      <c r="AW27" s="11" t="n"/>
      <c r="AX27" s="11" t="n"/>
      <c r="AY27" s="41" t="n"/>
      <c r="AZ27" s="11" t="n"/>
      <c r="BA27" s="11" t="n"/>
      <c r="BB27" s="41" t="n"/>
      <c r="BC27" s="41" t="n"/>
      <c r="BD27" s="41" t="n"/>
      <c r="BE27" s="41" t="n"/>
      <c r="BF27" s="41" t="n"/>
    </row>
    <row r="28">
      <c r="A28" s="25" t="inlineStr">
        <is>
          <t>CAIXA P NATAL/25</t>
        </is>
      </c>
      <c r="B28" s="6" t="n">
        <v>150</v>
      </c>
      <c r="C28" s="639" t="n">
        <v>805.35</v>
      </c>
      <c r="D28" s="404" t="n"/>
      <c r="F28" s="6" t="n">
        <v>156</v>
      </c>
      <c r="G28" s="6" t="n">
        <v>63</v>
      </c>
      <c r="H28" s="6" t="n">
        <v>42</v>
      </c>
      <c r="I28" s="6" t="n">
        <v>6</v>
      </c>
      <c r="J28" s="6" t="n">
        <v>0</v>
      </c>
      <c r="K28" s="381" t="n">
        <v>24</v>
      </c>
      <c r="L28" s="6" t="n">
        <v>24</v>
      </c>
      <c r="M28" s="6" t="n">
        <v>21</v>
      </c>
      <c r="N28" s="6" t="n">
        <v>21</v>
      </c>
      <c r="O28" s="6" t="n">
        <v>18</v>
      </c>
      <c r="P28" s="6" t="n">
        <v>17</v>
      </c>
      <c r="Q28" s="6" t="n">
        <v>6</v>
      </c>
      <c r="R28" s="6" t="n">
        <v>6</v>
      </c>
      <c r="S28" s="6" t="n">
        <v>8</v>
      </c>
      <c r="T28" s="6" t="n">
        <v>7</v>
      </c>
      <c r="U28" s="6" t="n"/>
      <c r="V28" s="6" t="n"/>
      <c r="W28" s="6" t="n"/>
      <c r="X28" s="6" t="n">
        <v>4</v>
      </c>
      <c r="Y28" s="6" t="n">
        <v>4</v>
      </c>
      <c r="Z28" s="6" t="n">
        <v>4</v>
      </c>
      <c r="AA28" s="6" t="n">
        <v>3</v>
      </c>
      <c r="AB28" s="6" t="n">
        <v>3</v>
      </c>
      <c r="AC28" s="6" t="n">
        <v>3</v>
      </c>
      <c r="AD28" s="6" t="n">
        <v>3</v>
      </c>
      <c r="AE28" s="380">
        <f>AC28+IF(NOT(ISBLANK(OFFSET(AE28,0,6))),N(OFFSET(AE28,0,6)),N(OFFSET(AE28,0,7)))-AD28</f>
        <v/>
      </c>
      <c r="AG28" s="41" t="n"/>
      <c r="AH28" s="41" t="n"/>
      <c r="AK28" s="11" t="n"/>
      <c r="AL28" s="11" t="n"/>
      <c r="AM28" s="11" t="n"/>
      <c r="AN28" s="11" t="n"/>
      <c r="AO28" s="11" t="n"/>
      <c r="AP28" s="11" t="n"/>
      <c r="AQ28" s="11" t="n"/>
      <c r="AR28" s="11" t="n"/>
      <c r="AS28" s="11" t="n"/>
      <c r="AT28" s="11" t="n"/>
      <c r="AU28" s="11" t="n"/>
      <c r="AV28" s="11" t="n"/>
      <c r="AW28" s="11" t="n"/>
      <c r="AX28" s="11" t="n"/>
      <c r="AY28" s="41" t="n"/>
      <c r="AZ28" s="11" t="n"/>
      <c r="BA28" s="11" t="n"/>
      <c r="BB28" s="41" t="n"/>
      <c r="BC28" s="41" t="n"/>
      <c r="BD28" s="41" t="n"/>
      <c r="BE28" s="41" t="n"/>
      <c r="BF28" s="41" t="n"/>
    </row>
    <row r="29">
      <c r="A29" s="25" t="inlineStr">
        <is>
          <t>CAIXA M NATAL/25</t>
        </is>
      </c>
      <c r="B29" s="6" t="n">
        <v>100</v>
      </c>
      <c r="C29" s="639" t="n">
        <v>792.2</v>
      </c>
      <c r="D29" s="404" t="n"/>
      <c r="F29" s="6" t="n">
        <v>296</v>
      </c>
      <c r="G29" s="6" t="n">
        <v>228</v>
      </c>
      <c r="H29" s="6" t="n">
        <v>197</v>
      </c>
      <c r="I29" s="6" t="n">
        <v>144</v>
      </c>
      <c r="J29" s="6" t="n">
        <v>125</v>
      </c>
      <c r="K29" s="6" t="n">
        <v>90</v>
      </c>
      <c r="L29" s="6" t="n">
        <v>83</v>
      </c>
      <c r="M29" s="6" t="n">
        <v>76</v>
      </c>
      <c r="N29" s="6" t="n">
        <v>74</v>
      </c>
      <c r="O29" s="6" t="n">
        <v>79</v>
      </c>
      <c r="P29" s="6" t="n">
        <v>79</v>
      </c>
      <c r="Q29" s="6" t="n">
        <v>76</v>
      </c>
      <c r="R29" s="6" t="n">
        <v>76</v>
      </c>
      <c r="S29" s="6" t="n">
        <v>76</v>
      </c>
      <c r="T29" s="6" t="n">
        <v>76</v>
      </c>
      <c r="U29" s="6" t="n"/>
      <c r="V29" s="6" t="n"/>
      <c r="W29" s="6" t="n"/>
      <c r="X29" s="6" t="n">
        <v>73</v>
      </c>
      <c r="Y29" s="6" t="n">
        <v>73</v>
      </c>
      <c r="Z29" s="6" t="n">
        <v>32</v>
      </c>
      <c r="AA29" s="6" t="n">
        <v>31</v>
      </c>
      <c r="AB29" s="6" t="n">
        <v>31</v>
      </c>
      <c r="AC29" s="6" t="n">
        <v>31</v>
      </c>
      <c r="AD29" s="6" t="n">
        <v>31</v>
      </c>
      <c r="AE29" s="380">
        <f>AC29+IF(NOT(ISBLANK(OFFSET(AE29,0,6))),N(OFFSET(AE29,0,6)),N(OFFSET(AE29,0,7)))-AD29</f>
        <v/>
      </c>
      <c r="AG29" s="41" t="n"/>
      <c r="AH29" s="41" t="n"/>
      <c r="AK29" s="11" t="n"/>
      <c r="AL29" s="11" t="n"/>
      <c r="AM29" s="11" t="n"/>
      <c r="AN29" s="11" t="n"/>
      <c r="AO29" s="11" t="n"/>
      <c r="AP29" s="11" t="n"/>
      <c r="AQ29" s="11" t="n"/>
      <c r="AR29" s="11" t="n"/>
      <c r="AS29" s="11" t="n"/>
      <c r="AT29" s="11" t="n"/>
      <c r="AU29" s="11" t="n"/>
      <c r="AV29" s="11" t="n"/>
      <c r="AW29" s="11" t="n"/>
      <c r="AX29" s="11" t="n"/>
      <c r="AY29" s="41" t="n"/>
      <c r="AZ29" s="11" t="n"/>
      <c r="BA29" s="11" t="n"/>
      <c r="BB29" s="41" t="n"/>
      <c r="BC29" s="41" t="n"/>
      <c r="BD29" s="41" t="n"/>
      <c r="BE29" s="41" t="n"/>
      <c r="BF29" s="41" t="n"/>
    </row>
    <row r="30" hidden="1">
      <c r="A30" s="25" t="inlineStr">
        <is>
          <t>CARTUCHO P NATAL/25</t>
        </is>
      </c>
      <c r="B30" s="6" t="n">
        <v>200</v>
      </c>
      <c r="C30" s="639" t="n">
        <v>487.2</v>
      </c>
      <c r="D30" s="404" t="n"/>
      <c r="F30" s="6" t="n">
        <v>103</v>
      </c>
      <c r="G30" s="6" t="n">
        <v>84</v>
      </c>
      <c r="H30" s="6" t="n">
        <v>84</v>
      </c>
      <c r="I30" s="6" t="n">
        <v>0</v>
      </c>
      <c r="J30" s="6" t="n">
        <v>0</v>
      </c>
      <c r="K30" s="6" t="n">
        <v>0</v>
      </c>
      <c r="L30" s="6" t="n"/>
      <c r="M30" s="6" t="n"/>
      <c r="N30" s="6" t="n"/>
      <c r="O30" s="6" t="n"/>
      <c r="P30" s="6" t="n"/>
      <c r="Q30" s="6" t="n"/>
      <c r="R30" s="6" t="n"/>
      <c r="S30" s="6" t="n"/>
      <c r="T30" s="6" t="n"/>
      <c r="U30" s="6" t="n"/>
      <c r="V30" s="6" t="n"/>
      <c r="W30" s="6" t="n"/>
      <c r="X30" s="6" t="n"/>
      <c r="Y30" s="6" t="n"/>
      <c r="Z30" s="6" t="n"/>
      <c r="AA30" s="6" t="n"/>
      <c r="AB30" s="6" t="n"/>
      <c r="AC30" s="6" t="n"/>
      <c r="AD30" s="6" t="n"/>
      <c r="AE30" s="380">
        <f>AC30+IF(NOT(ISBLANK(OFFSET(AE30,0,6))),N(OFFSET(AE30,0,6)),N(OFFSET(AE30,0,7)))-AD30</f>
        <v/>
      </c>
      <c r="AG30" s="41" t="n"/>
      <c r="AH30" s="41" t="n"/>
      <c r="AK30" s="11" t="n"/>
      <c r="AL30" s="11" t="n"/>
      <c r="AM30" s="11" t="n"/>
      <c r="AN30" s="11" t="n"/>
      <c r="AO30" s="11" t="n"/>
      <c r="AP30" s="11" t="n"/>
      <c r="AQ30" s="11" t="n"/>
      <c r="AR30" s="11" t="n"/>
      <c r="AS30" s="11" t="n"/>
      <c r="AT30" s="11" t="n"/>
      <c r="AU30" s="11" t="n"/>
      <c r="AV30" s="11" t="n"/>
      <c r="AW30" s="11" t="n"/>
      <c r="AX30" s="11" t="n"/>
      <c r="AY30" s="41" t="n"/>
      <c r="AZ30" s="11" t="n"/>
      <c r="BA30" s="11" t="n"/>
      <c r="BB30" s="41" t="n"/>
      <c r="BC30" s="41" t="n"/>
      <c r="BD30" s="41" t="n"/>
      <c r="BE30" s="41" t="n"/>
      <c r="BF30" s="41" t="n"/>
    </row>
    <row r="31" hidden="1">
      <c r="A31" s="25" t="inlineStr">
        <is>
          <t>CARTUCHO M NATAL/25</t>
        </is>
      </c>
      <c r="B31" s="6" t="n">
        <v>150</v>
      </c>
      <c r="C31" s="639" t="n">
        <v>460.35</v>
      </c>
      <c r="D31" s="404" t="n"/>
      <c r="F31" s="6" t="n">
        <v>51</v>
      </c>
      <c r="G31" s="6" t="n">
        <v>-88</v>
      </c>
      <c r="H31" s="6" t="n">
        <v>0</v>
      </c>
      <c r="I31" s="6" t="n">
        <v>0</v>
      </c>
      <c r="J31" s="6" t="n">
        <v>0</v>
      </c>
      <c r="K31" s="6" t="n">
        <v>0</v>
      </c>
      <c r="L31" s="6" t="n"/>
      <c r="M31" s="6" t="n"/>
      <c r="N31" s="6" t="n"/>
      <c r="O31" s="6" t="n"/>
      <c r="P31" s="6" t="n"/>
      <c r="Q31" s="6" t="n"/>
      <c r="R31" s="6" t="n"/>
      <c r="S31" s="6" t="n"/>
      <c r="T31" s="6" t="n"/>
      <c r="U31" s="6" t="n"/>
      <c r="V31" s="6" t="n"/>
      <c r="W31" s="6" t="n"/>
      <c r="X31" s="6" t="n"/>
      <c r="Y31" s="6" t="n"/>
      <c r="Z31" s="6" t="n"/>
      <c r="AA31" s="6" t="n"/>
      <c r="AB31" s="6" t="n"/>
      <c r="AC31" s="6" t="n"/>
      <c r="AD31" s="6" t="n"/>
      <c r="AE31" s="380">
        <f>AC31+IF(NOT(ISBLANK(OFFSET(AE31,0,6))),N(OFFSET(AE31,0,6)),N(OFFSET(AE31,0,7)))-AD31</f>
        <v/>
      </c>
      <c r="AG31" s="41" t="n"/>
      <c r="AH31" s="41" t="n"/>
      <c r="AK31" s="11" t="n"/>
      <c r="AL31" s="11" t="n"/>
      <c r="AM31" s="11" t="n"/>
      <c r="AN31" s="11" t="n"/>
      <c r="AO31" s="11" t="n"/>
      <c r="AP31" s="11" t="n"/>
      <c r="AQ31" s="11" t="n"/>
      <c r="AR31" s="11" t="n"/>
      <c r="AS31" s="11" t="n"/>
      <c r="AT31" s="11" t="n"/>
      <c r="AU31" s="11" t="n"/>
      <c r="AV31" s="11" t="n"/>
      <c r="AW31" s="11" t="n"/>
      <c r="AX31" s="11" t="n"/>
      <c r="AY31" s="41" t="n"/>
      <c r="AZ31" s="11" t="n"/>
      <c r="BA31" s="11" t="n"/>
      <c r="BB31" s="41" t="n"/>
      <c r="BC31" s="41" t="n"/>
      <c r="BD31" s="41" t="n"/>
      <c r="BE31" s="41" t="n"/>
      <c r="BF31" s="41" t="n"/>
    </row>
    <row r="32">
      <c r="A32" s="25" t="inlineStr">
        <is>
          <t>PIN NATAL/25</t>
        </is>
      </c>
      <c r="B32" s="6" t="n">
        <v>10</v>
      </c>
      <c r="C32" s="639" t="n">
        <v>120</v>
      </c>
      <c r="D32" s="404" t="n"/>
      <c r="F32" s="6" t="n">
        <v>3</v>
      </c>
      <c r="G32" s="6" t="n">
        <v>1</v>
      </c>
      <c r="H32" s="6" t="n">
        <v>1</v>
      </c>
      <c r="I32" s="6" t="n">
        <v>0</v>
      </c>
      <c r="J32" s="6" t="n">
        <v>0</v>
      </c>
      <c r="K32" s="6" t="n">
        <v>0</v>
      </c>
      <c r="L32" s="6" t="n"/>
      <c r="M32" s="6" t="n"/>
      <c r="N32" s="6" t="n">
        <v>5</v>
      </c>
      <c r="O32" s="6" t="n">
        <v>5</v>
      </c>
      <c r="P32" s="6" t="n">
        <v>5</v>
      </c>
      <c r="Q32" s="6" t="n">
        <v>5</v>
      </c>
      <c r="R32" s="6" t="n">
        <v>5</v>
      </c>
      <c r="S32" s="6" t="n">
        <v>5</v>
      </c>
      <c r="T32" s="6" t="n">
        <v>5</v>
      </c>
      <c r="U32" s="6" t="n">
        <v>5</v>
      </c>
      <c r="V32" s="6" t="n">
        <v>5</v>
      </c>
      <c r="W32" s="6" t="n">
        <v>5</v>
      </c>
      <c r="X32" s="6" t="n">
        <v>5</v>
      </c>
      <c r="Y32" s="6" t="n">
        <v>5</v>
      </c>
      <c r="Z32" s="6" t="n">
        <v>5</v>
      </c>
      <c r="AA32" s="6" t="n">
        <v>5</v>
      </c>
      <c r="AB32" s="6" t="n">
        <v>5</v>
      </c>
      <c r="AC32" s="6" t="n">
        <v>5</v>
      </c>
      <c r="AD32" s="6" t="n">
        <v>5</v>
      </c>
      <c r="AE32" s="380">
        <f>AC32+IF(NOT(ISBLANK(OFFSET(AE32,0,6))),N(OFFSET(AE32,0,6)),N(OFFSET(AE32,0,7)))-AD32</f>
        <v/>
      </c>
      <c r="AG32" s="41" t="n"/>
      <c r="AH32" s="41" t="n"/>
      <c r="AK32" s="11" t="n"/>
      <c r="AL32" s="11" t="n"/>
      <c r="AM32" s="11" t="n"/>
      <c r="AN32" s="11" t="n"/>
      <c r="AO32" s="11" t="n"/>
      <c r="AP32" s="11" t="n"/>
      <c r="AQ32" s="11" t="n"/>
      <c r="AR32" s="11" t="n"/>
      <c r="AS32" s="11" t="n"/>
      <c r="AT32" s="11" t="n"/>
      <c r="AU32" s="11" t="n"/>
      <c r="AV32" s="11" t="n"/>
      <c r="AW32" s="11" t="n"/>
      <c r="AX32" s="11" t="n"/>
      <c r="AY32" s="41" t="n"/>
      <c r="AZ32" s="11" t="n"/>
      <c r="BA32" s="11" t="n"/>
      <c r="BB32" s="41" t="n"/>
      <c r="BC32" s="41" t="n"/>
      <c r="BD32" s="41" t="n"/>
      <c r="BE32" s="41" t="n"/>
      <c r="BF32" s="41" t="n"/>
    </row>
    <row r="33">
      <c r="A33" s="291" t="inlineStr">
        <is>
          <t>CAIXA M HOMEM ARANHA</t>
        </is>
      </c>
      <c r="B33" s="292" t="n">
        <v>100</v>
      </c>
      <c r="C33" s="638" t="n">
        <v>1490</v>
      </c>
      <c r="D33" s="404" t="n"/>
      <c r="R33" s="6" t="n">
        <v>11</v>
      </c>
      <c r="S33" s="6" t="n">
        <v>11</v>
      </c>
      <c r="T33" s="6" t="n">
        <v>11</v>
      </c>
      <c r="U33" s="6" t="n">
        <v>11</v>
      </c>
      <c r="V33" s="6" t="n">
        <v>11</v>
      </c>
      <c r="W33" s="6" t="n">
        <v>11</v>
      </c>
      <c r="X33" s="6" t="n">
        <v>11</v>
      </c>
      <c r="Y33" s="6" t="n">
        <v>11</v>
      </c>
      <c r="Z33" s="6" t="n">
        <v>11</v>
      </c>
      <c r="AA33" s="6" t="n">
        <v>11</v>
      </c>
      <c r="AB33" s="6" t="n">
        <v>11</v>
      </c>
      <c r="AC33" s="6" t="n">
        <v>11</v>
      </c>
      <c r="AD33" s="6" t="n">
        <v>11</v>
      </c>
      <c r="AE33" s="380">
        <f>AC33+IF(NOT(ISBLANK(OFFSET(AE33,0,6))),N(OFFSET(AE33,0,6)),N(OFFSET(AE33,0,7)))-AD33</f>
        <v/>
      </c>
      <c r="AG33" s="41" t="n"/>
      <c r="AH33" s="41" t="n"/>
      <c r="AK33" s="11" t="n"/>
      <c r="AL33" s="11" t="n"/>
      <c r="AM33" s="11" t="n"/>
      <c r="AN33" s="11" t="n"/>
      <c r="AO33" s="11" t="n"/>
      <c r="AP33" s="11" t="n"/>
      <c r="AQ33" s="11" t="n"/>
      <c r="AR33" s="11" t="n"/>
      <c r="AS33" s="11" t="n"/>
      <c r="AT33" s="11" t="n"/>
      <c r="AU33" s="11" t="n"/>
      <c r="AV33" s="11" t="n"/>
      <c r="AW33" s="11" t="n"/>
      <c r="AX33" s="11" t="n"/>
      <c r="AY33" s="41" t="n"/>
      <c r="AZ33" s="11" t="n"/>
      <c r="BA33" s="11" t="n"/>
      <c r="BB33" s="41" t="n"/>
      <c r="BC33" s="41" t="n"/>
      <c r="BD33" s="41" t="n"/>
      <c r="BE33" s="41" t="n"/>
      <c r="BF33" s="41" t="n"/>
    </row>
    <row r="34">
      <c r="Z34" s="1" t="n"/>
      <c r="AA34" s="1" t="n"/>
      <c r="AB34" s="1" t="n"/>
      <c r="AC34" s="1" t="n"/>
      <c r="AD34" s="1" t="n"/>
      <c r="AG34" s="41" t="n"/>
      <c r="AH34" s="41" t="n"/>
      <c r="AK34" s="11" t="n"/>
      <c r="AL34" s="11" t="n"/>
      <c r="AM34" s="11" t="n"/>
      <c r="AN34" s="11" t="n"/>
      <c r="AO34" s="11" t="n"/>
      <c r="AP34" s="11" t="n"/>
      <c r="AQ34" s="11" t="n"/>
      <c r="AR34" s="11" t="n"/>
      <c r="AS34" s="11" t="n"/>
      <c r="AT34" s="11" t="n"/>
      <c r="AU34" s="11" t="n"/>
      <c r="AV34" s="11" t="n"/>
      <c r="AW34" s="11" t="n"/>
      <c r="AX34" s="11" t="n"/>
      <c r="AY34" s="41" t="n"/>
      <c r="AZ34" s="11" t="n"/>
      <c r="BA34" s="11" t="n"/>
      <c r="BB34" s="41" t="n"/>
      <c r="BC34" s="41" t="n"/>
      <c r="BD34" s="41" t="n"/>
      <c r="BE34" s="41" t="n"/>
      <c r="BF34" s="41" t="n"/>
    </row>
    <row r="35" ht="21" customHeight="1">
      <c r="A35" s="402" t="inlineStr">
        <is>
          <t>SOBRAS DATAS COMEMORATIVAS</t>
        </is>
      </c>
      <c r="B35" s="402" t="n"/>
      <c r="C35" s="402" t="n"/>
      <c r="AG35" s="41" t="n"/>
      <c r="AH35" s="41" t="n"/>
      <c r="AI35" s="41" t="n"/>
      <c r="AK35" s="11" t="n"/>
      <c r="AL35" s="11" t="n"/>
      <c r="AM35" s="11" t="n"/>
      <c r="AN35" s="11" t="n"/>
      <c r="AO35" s="11" t="n"/>
      <c r="AP35" s="11" t="n"/>
      <c r="AQ35" s="11" t="n"/>
      <c r="AR35" s="11" t="n"/>
      <c r="AS35" s="11" t="n"/>
      <c r="AT35" s="11" t="n"/>
      <c r="AU35" s="11" t="n"/>
      <c r="AV35" s="11" t="n"/>
      <c r="AW35" s="11" t="n"/>
      <c r="AX35" s="11" t="n"/>
      <c r="AY35" s="41" t="n"/>
      <c r="AZ35" s="11" t="n"/>
      <c r="BA35" s="11" t="n"/>
      <c r="BB35" s="41" t="n"/>
      <c r="BC35" s="41" t="n"/>
      <c r="BD35" s="41" t="n"/>
      <c r="BE35" s="41" t="n"/>
      <c r="BF35" s="41" t="n"/>
    </row>
    <row r="36">
      <c r="A36" s="369" t="inlineStr">
        <is>
          <t>ITENS</t>
        </is>
      </c>
      <c r="B36" s="369" t="n"/>
      <c r="C36" s="369" t="inlineStr">
        <is>
          <t>ESTOQUE</t>
        </is>
      </c>
      <c r="E36" s="41" t="n"/>
      <c r="F36" s="41" t="n"/>
      <c r="G36" s="41" t="n"/>
      <c r="H36" s="41" t="n"/>
      <c r="I36" s="41" t="n"/>
      <c r="J36" s="41" t="n"/>
      <c r="K36" s="41" t="n"/>
      <c r="L36" s="41" t="n"/>
      <c r="M36" s="41" t="n"/>
      <c r="N36" s="41" t="n"/>
      <c r="O36" s="41" t="n"/>
      <c r="P36" s="41" t="n"/>
      <c r="Q36" s="41" t="n"/>
      <c r="R36" s="41" t="n"/>
      <c r="S36" s="41" t="n"/>
      <c r="T36" s="41" t="n"/>
      <c r="U36" s="41" t="n"/>
      <c r="V36" s="41" t="n"/>
      <c r="W36" s="41" t="n"/>
      <c r="X36" s="41" t="n"/>
      <c r="Y36" s="41" t="n"/>
      <c r="AE36" s="41" t="n"/>
      <c r="AF36" s="41" t="n"/>
      <c r="AG36" s="41" t="n"/>
      <c r="AH36" s="41" t="n"/>
      <c r="AI36" s="41" t="n"/>
      <c r="AJ36" s="41" t="n"/>
      <c r="AK36" s="11" t="n"/>
      <c r="AL36" s="11" t="n"/>
      <c r="AM36" s="11" t="n"/>
      <c r="AN36" s="11" t="n"/>
      <c r="AO36" s="11" t="n"/>
      <c r="AP36" s="11" t="n"/>
      <c r="AQ36" s="11" t="n"/>
      <c r="AR36" s="11" t="n"/>
      <c r="AS36" s="11" t="n"/>
      <c r="AT36" s="11" t="n"/>
      <c r="AU36" s="11" t="n"/>
      <c r="AV36" s="11" t="n"/>
      <c r="AW36" s="11" t="n"/>
      <c r="AX36" s="11" t="n"/>
      <c r="AY36" s="41" t="n"/>
      <c r="AZ36" s="11" t="n"/>
      <c r="BA36" s="11" t="n"/>
      <c r="BB36" s="41" t="n"/>
      <c r="BC36" s="41" t="n"/>
      <c r="BD36" s="41" t="n"/>
      <c r="BE36" s="41" t="n"/>
      <c r="BF36" s="41" t="n"/>
      <c r="BG36" s="370" t="n"/>
      <c r="BU36" s="370" t="n"/>
      <c r="BV36" s="370" t="n"/>
      <c r="BW36" s="370" t="n"/>
      <c r="BX36" s="370" t="n"/>
      <c r="BY36" s="370" t="n"/>
      <c r="BZ36" s="370" t="n"/>
      <c r="CA36" s="370" t="n"/>
      <c r="CB36" s="370" t="n"/>
      <c r="CC36" s="370" t="n"/>
      <c r="CD36" s="370" t="n"/>
      <c r="CE36" s="370" t="n"/>
      <c r="CF36" s="370" t="n"/>
      <c r="CG36" s="370" t="n"/>
      <c r="CH36" s="370" t="n"/>
      <c r="CI36" s="370" t="n"/>
      <c r="CJ36" s="370" t="n"/>
      <c r="CK36" s="370" t="n"/>
      <c r="CL36" s="370" t="n"/>
      <c r="CM36" s="370" t="n"/>
      <c r="CN36" s="370" t="n"/>
      <c r="CO36" s="370" t="n"/>
      <c r="CP36" s="370" t="n"/>
      <c r="CQ36" s="370" t="n"/>
      <c r="CR36" s="370" t="n"/>
      <c r="CS36" s="370" t="n"/>
      <c r="CT36" s="370" t="n"/>
      <c r="CU36" s="370" t="n"/>
      <c r="CV36" s="370" t="n"/>
      <c r="CW36" s="370" t="n"/>
      <c r="CX36" s="370" t="n"/>
      <c r="CY36" s="370" t="n"/>
      <c r="CZ36" s="370" t="n"/>
      <c r="DA36" s="370" t="n"/>
      <c r="DB36" s="370" t="n"/>
      <c r="DC36" s="370" t="n"/>
      <c r="DD36" s="41" t="n"/>
      <c r="DE36" s="34" t="n"/>
      <c r="DF36" s="34" t="n"/>
      <c r="DG36" s="34" t="n"/>
      <c r="DH36" s="34" t="n"/>
      <c r="DI36" s="34" t="n"/>
      <c r="DJ36" s="34" t="n"/>
      <c r="DK36" s="34" t="n"/>
      <c r="DL36" s="34" t="n"/>
      <c r="DM36" s="34" t="n"/>
      <c r="DN36" s="34" t="n"/>
      <c r="DO36" s="34" t="n"/>
      <c r="DP36" s="34" t="n"/>
      <c r="DQ36" s="34" t="n"/>
      <c r="DR36" s="34" t="n"/>
      <c r="DS36" s="34" t="n"/>
      <c r="DT36" s="41" t="n"/>
      <c r="DU36" s="41" t="n"/>
      <c r="DV36" s="34" t="n"/>
      <c r="DW36" s="41" t="n"/>
      <c r="DX36" s="34" t="n"/>
      <c r="DY36" s="41" t="n"/>
      <c r="DZ36" s="409" t="n"/>
      <c r="EA36" s="409" t="n"/>
      <c r="EB36" s="409" t="n"/>
      <c r="EC36" s="409" t="n"/>
      <c r="ED36" s="374" t="n"/>
      <c r="EE36" s="374" t="n"/>
      <c r="EF36" s="374" t="n"/>
      <c r="EG36" s="409" t="n"/>
      <c r="EH36" s="409" t="n"/>
      <c r="EI36" s="374" t="n"/>
      <c r="EJ36" s="409" t="n"/>
      <c r="EK36" s="374" t="n"/>
      <c r="EL36" s="374" t="n"/>
      <c r="EM36" s="409" t="n"/>
      <c r="EN36" s="34" t="n"/>
      <c r="EO36" s="409" t="n"/>
      <c r="EP36" s="409" t="n"/>
      <c r="EQ36" s="374" t="n"/>
      <c r="ER36" s="409" t="n"/>
      <c r="ES36" s="356" t="n"/>
      <c r="ET36" s="409" t="n"/>
      <c r="EU36" s="409" t="n"/>
      <c r="EV36" s="374" t="n"/>
      <c r="EW36" s="374" t="n"/>
      <c r="EX36" s="409" t="n"/>
      <c r="EY36" s="409" t="n"/>
      <c r="EZ36" s="34" t="n"/>
      <c r="FA36" s="409" t="n"/>
      <c r="FB36" s="374" t="n"/>
      <c r="FC36" s="409" t="n"/>
      <c r="FD36" s="409" t="n"/>
      <c r="FE36" s="409" t="n"/>
      <c r="FF36" s="409" t="n"/>
      <c r="FG36" s="409" t="n"/>
      <c r="FH36" s="409" t="n"/>
      <c r="FI36" s="356" t="n"/>
      <c r="FJ36" s="409" t="n"/>
      <c r="FK36" s="409" t="n"/>
      <c r="FL36" s="409" t="n"/>
      <c r="FM36" s="409" t="n"/>
      <c r="FN36" s="409" t="n"/>
      <c r="FO36" s="409" t="n"/>
      <c r="FP36" s="409" t="n"/>
      <c r="FQ36" s="409" t="n"/>
      <c r="FR36" s="409" t="n"/>
      <c r="FS36" s="409" t="n"/>
      <c r="FT36" s="409" t="n"/>
      <c r="FU36" s="409" t="n"/>
      <c r="FV36" s="159" t="n"/>
      <c r="FW36" s="409" t="n"/>
      <c r="FX36" s="409" t="n"/>
      <c r="FY36" s="409" t="n"/>
      <c r="FZ36" s="409" t="n"/>
      <c r="GA36" s="409" t="n"/>
      <c r="GB36" s="409" t="n"/>
      <c r="GC36" s="409" t="n"/>
      <c r="GD36" s="409" t="n"/>
      <c r="GE36" s="409" t="n"/>
      <c r="GF36" s="409" t="n"/>
      <c r="GG36" s="409" t="n"/>
      <c r="GH36" s="409" t="n"/>
      <c r="GI36" s="409" t="n"/>
      <c r="GJ36" s="409" t="n"/>
      <c r="GK36" s="409" t="n"/>
      <c r="GL36" s="409" t="n"/>
      <c r="GM36" s="409" t="n"/>
      <c r="GN36" s="409" t="n"/>
      <c r="GO36" s="409" t="n"/>
      <c r="GP36" s="409" t="n"/>
      <c r="GQ36" s="409" t="n"/>
      <c r="GR36" s="409" t="n"/>
      <c r="GS36" s="409" t="n"/>
      <c r="GT36" s="409" t="n"/>
      <c r="GU36" s="409" t="n"/>
      <c r="GV36" s="409" t="n"/>
      <c r="GW36" s="409" t="n"/>
      <c r="GX36" s="409" t="n"/>
      <c r="GY36" s="409" t="n"/>
      <c r="GZ36" s="409" t="n"/>
      <c r="HA36" s="409" t="n"/>
      <c r="HB36" s="409" t="n"/>
      <c r="HC36" s="409" t="n"/>
      <c r="HD36" s="409" t="n"/>
      <c r="HE36" s="409" t="n"/>
      <c r="HF36" s="409" t="n"/>
      <c r="HG36" s="409" t="n"/>
      <c r="HH36" s="409" t="n"/>
      <c r="HI36" s="409" t="n"/>
      <c r="HJ36" s="409" t="n"/>
      <c r="HK36" s="409" t="n"/>
      <c r="HL36" s="409" t="n"/>
      <c r="HM36" s="409" t="n"/>
      <c r="HN36" s="409" t="n"/>
      <c r="HO36" s="409" t="n"/>
      <c r="HP36" s="409" t="n"/>
      <c r="HQ36" s="409" t="n"/>
      <c r="HR36" s="409" t="n"/>
      <c r="HS36" s="409" t="n"/>
      <c r="HT36" s="409" t="n"/>
      <c r="HU36" s="409" t="n"/>
      <c r="HV36" s="409" t="n"/>
      <c r="HW36" s="409" t="n"/>
      <c r="HX36" s="409" t="n"/>
      <c r="HY36" s="409" t="n"/>
      <c r="HZ36" s="409" t="n"/>
      <c r="IA36" s="409" t="n"/>
      <c r="IB36" s="409" t="n"/>
      <c r="IC36" s="409" t="n"/>
      <c r="ID36" s="409" t="n"/>
      <c r="IE36" s="409" t="n"/>
      <c r="IF36" s="409" t="n"/>
      <c r="IG36" s="409" t="n"/>
    </row>
    <row r="37" customFormat="1" s="34">
      <c r="A37" s="187" t="n"/>
      <c r="B37" s="188" t="n"/>
      <c r="C37" s="189" t="n"/>
      <c r="E37" s="41" t="n"/>
      <c r="F37" s="41" t="n"/>
      <c r="G37" s="41" t="n"/>
      <c r="H37" s="41" t="n"/>
      <c r="I37" s="41" t="n"/>
      <c r="J37" s="41" t="n"/>
      <c r="K37" s="41" t="n"/>
      <c r="L37" s="41" t="n"/>
      <c r="M37" s="41" t="n"/>
      <c r="N37" s="41" t="n"/>
      <c r="O37" s="41" t="n"/>
      <c r="P37" s="41" t="n"/>
      <c r="Q37" s="41" t="n"/>
      <c r="R37" s="41" t="n"/>
      <c r="S37" s="41" t="n"/>
      <c r="T37" s="41" t="n"/>
      <c r="U37" s="41" t="n"/>
      <c r="V37" s="41" t="n"/>
      <c r="W37" s="41" t="n"/>
      <c r="X37" s="41" t="n"/>
      <c r="Y37" s="41" t="n"/>
      <c r="Z37" s="41" t="n"/>
      <c r="AA37" s="41" t="n"/>
      <c r="AB37" s="41" t="n"/>
      <c r="AC37" s="41" t="n"/>
      <c r="AD37" s="41" t="n"/>
      <c r="AE37" s="41" t="n"/>
      <c r="AF37" s="41" t="n"/>
      <c r="AG37" s="355" t="n"/>
      <c r="AH37" s="355" t="n"/>
      <c r="AI37" s="41" t="n"/>
      <c r="AJ37" s="41" t="n"/>
      <c r="AK37" s="11" t="n"/>
      <c r="AL37" s="11" t="n"/>
      <c r="AM37" s="11" t="n"/>
      <c r="AN37" s="11" t="n"/>
      <c r="AO37" s="11" t="n"/>
      <c r="AP37" s="11" t="n"/>
      <c r="AQ37" s="11" t="n"/>
      <c r="AR37" s="41" t="n"/>
      <c r="AS37" s="41" t="n"/>
      <c r="AT37" s="41" t="n"/>
      <c r="AU37" s="41" t="n"/>
      <c r="AV37" s="41" t="n"/>
      <c r="AW37" s="41" t="n"/>
      <c r="AX37" s="409" t="n"/>
      <c r="AZ37" s="409" t="n"/>
      <c r="BA37" s="409" t="n"/>
      <c r="BH37" s="11" t="n"/>
      <c r="BI37" s="11" t="n"/>
      <c r="BJ37" s="11" t="n"/>
      <c r="BK37" s="11" t="n"/>
      <c r="BL37" s="11" t="n"/>
      <c r="BM37" s="11" t="n"/>
      <c r="BN37" s="11" t="n"/>
      <c r="BO37" s="11" t="n"/>
      <c r="BP37" s="11" t="n"/>
      <c r="BQ37" s="11" t="n"/>
      <c r="BR37" s="11" t="n"/>
      <c r="BS37" s="11" t="n"/>
      <c r="BT37" s="11" t="n"/>
      <c r="DD37" s="41" t="n"/>
      <c r="DT37" s="41" t="n"/>
      <c r="DU37" s="41" t="n"/>
      <c r="DW37" s="41" t="n"/>
      <c r="DY37" s="41" t="n"/>
      <c r="ED37" s="374" t="n"/>
      <c r="EE37" s="374" t="n"/>
      <c r="EF37" s="374" t="n"/>
      <c r="EI37" s="374" t="n"/>
      <c r="EK37" s="374" t="n"/>
      <c r="EL37" s="374" t="n"/>
      <c r="EQ37" s="374" t="n"/>
      <c r="EV37" s="374" t="n"/>
      <c r="EW37" s="374" t="n"/>
      <c r="FB37" s="374" t="n"/>
      <c r="FH37" s="154" t="n"/>
      <c r="FI37" s="377" t="n"/>
      <c r="FP37" s="154" t="n"/>
      <c r="FV37" s="374" t="n"/>
    </row>
    <row r="38" customFormat="1" s="34">
      <c r="A38" s="392" t="inlineStr">
        <is>
          <t>TAG MÃES/25</t>
        </is>
      </c>
      <c r="B38" s="408" t="n"/>
      <c r="C38" s="365" t="n">
        <v>200</v>
      </c>
      <c r="E38" s="41" t="n"/>
      <c r="F38" s="41" t="n"/>
      <c r="G38" s="41" t="n"/>
      <c r="H38" s="41" t="n"/>
      <c r="I38" s="41" t="n"/>
      <c r="J38" s="41" t="n"/>
      <c r="K38" s="41" t="n"/>
      <c r="L38" s="41" t="n"/>
      <c r="M38" s="41" t="n"/>
      <c r="N38" s="41" t="n"/>
      <c r="O38" s="41" t="n"/>
      <c r="P38" s="41" t="n"/>
      <c r="Q38" s="41" t="n"/>
      <c r="R38" s="41" t="n"/>
      <c r="S38" s="41" t="n"/>
      <c r="T38" s="41" t="n"/>
      <c r="U38" s="41" t="n"/>
      <c r="V38" s="41" t="n"/>
      <c r="W38" s="41" t="n"/>
      <c r="X38" s="41" t="n"/>
      <c r="Y38" s="41" t="n"/>
      <c r="Z38" s="41" t="n"/>
      <c r="AA38" s="41" t="n"/>
      <c r="AB38" s="41" t="n"/>
      <c r="AC38" s="41" t="n"/>
      <c r="AD38" s="41" t="n"/>
      <c r="AE38" s="41" t="n"/>
      <c r="AF38" s="41" t="n"/>
      <c r="AG38" s="355" t="n"/>
      <c r="AH38" s="355" t="n"/>
      <c r="AI38" s="41" t="n"/>
      <c r="AJ38" s="41" t="n"/>
      <c r="AK38" s="11" t="n"/>
      <c r="AL38" s="11" t="n"/>
      <c r="AM38" s="11" t="n"/>
      <c r="AN38" s="11" t="n"/>
      <c r="AO38" s="11" t="n"/>
      <c r="AP38" s="11" t="n"/>
      <c r="AQ38" s="11" t="n"/>
      <c r="AR38" s="41" t="n"/>
      <c r="AS38" s="41" t="n"/>
      <c r="AT38" s="41" t="n"/>
      <c r="AU38" s="41" t="n"/>
      <c r="AV38" s="41" t="n"/>
      <c r="AW38" s="41" t="n"/>
      <c r="AX38" s="409" t="n"/>
      <c r="AZ38" s="409" t="n"/>
      <c r="BA38" s="409" t="n"/>
      <c r="BH38" s="11" t="n"/>
      <c r="BI38" s="11" t="n"/>
      <c r="BJ38" s="11" t="n"/>
      <c r="BK38" s="11" t="n"/>
      <c r="BL38" s="11" t="n"/>
      <c r="BM38" s="11" t="n"/>
      <c r="BN38" s="11" t="n"/>
      <c r="BO38" s="11" t="n"/>
      <c r="BP38" s="11" t="n"/>
      <c r="BQ38" s="11" t="n"/>
      <c r="BR38" s="11" t="n"/>
      <c r="BS38" s="11" t="n"/>
      <c r="BT38" s="11" t="n"/>
      <c r="CG38" s="370" t="n"/>
      <c r="CH38" s="370" t="n"/>
      <c r="CI38" s="370" t="n"/>
      <c r="CJ38" s="370" t="n"/>
      <c r="CK38" s="370" t="n"/>
      <c r="CL38" s="370" t="n"/>
      <c r="CM38" s="370" t="n"/>
      <c r="CN38" s="370" t="n"/>
      <c r="CO38" s="370" t="n"/>
      <c r="DD38" s="41" t="n"/>
      <c r="DE38" s="370" t="n"/>
      <c r="DF38" s="370" t="n"/>
      <c r="DG38" s="370" t="n"/>
      <c r="DH38" s="370" t="n"/>
      <c r="DI38" s="370" t="n"/>
      <c r="DJ38" s="370" t="n"/>
      <c r="DK38" s="370" t="n"/>
      <c r="DL38" s="370" t="n"/>
      <c r="DM38" s="370" t="n"/>
      <c r="DN38" s="370" t="n"/>
      <c r="DO38" s="370" t="n"/>
      <c r="DP38" s="370" t="n"/>
      <c r="DQ38" s="370" t="n"/>
      <c r="DR38" s="370" t="n"/>
      <c r="DS38" s="370" t="n"/>
      <c r="DT38" s="41" t="n"/>
      <c r="DU38" s="41" t="n"/>
      <c r="DW38" s="41" t="n"/>
      <c r="DY38" s="41" t="n"/>
      <c r="ED38" s="374" t="n"/>
      <c r="EE38" s="374" t="n"/>
      <c r="EF38" s="374" t="n"/>
      <c r="EI38" s="374" t="n"/>
      <c r="EK38" s="374" t="n"/>
      <c r="EL38" s="374" t="n"/>
      <c r="EN38" s="11" t="n"/>
      <c r="EQ38" s="374" t="n"/>
      <c r="EV38" s="374" t="n"/>
      <c r="EW38" s="374" t="n"/>
      <c r="EZ38" s="11" t="n"/>
      <c r="FB38" s="374" t="n"/>
      <c r="FH38" s="154" t="n"/>
      <c r="FI38" s="356" t="n"/>
      <c r="FP38" s="154" t="n"/>
      <c r="FV38" s="374" t="n"/>
    </row>
    <row r="39" customFormat="1" s="34">
      <c r="A39" s="187" t="n"/>
      <c r="B39" s="188" t="n"/>
      <c r="C39" s="189" t="n"/>
      <c r="E39" s="11" t="n"/>
      <c r="F39" s="11" t="n"/>
      <c r="G39" s="11" t="n"/>
      <c r="H39" s="11" t="n"/>
      <c r="I39" s="11" t="n"/>
      <c r="J39" s="11" t="n"/>
      <c r="K39" s="11" t="n"/>
      <c r="L39" s="11" t="n"/>
      <c r="M39" s="11" t="n"/>
      <c r="N39" s="11" t="n"/>
      <c r="O39" s="11" t="n"/>
      <c r="P39" s="11" t="n"/>
      <c r="Q39" s="11" t="n"/>
      <c r="R39" s="11" t="n"/>
      <c r="S39" s="11" t="n"/>
      <c r="T39" s="11" t="n"/>
      <c r="U39" s="11" t="n"/>
      <c r="V39" s="11" t="n"/>
      <c r="W39" s="11" t="n"/>
      <c r="X39" s="11" t="n"/>
      <c r="Y39" s="11" t="n"/>
      <c r="Z39" s="41" t="n"/>
      <c r="AA39" s="41" t="n"/>
      <c r="AB39" s="41" t="n"/>
      <c r="AC39" s="41" t="n"/>
      <c r="AD39" s="41" t="n"/>
      <c r="AE39" s="11" t="n"/>
      <c r="AF39" s="11" t="n"/>
      <c r="AI39" s="11" t="n"/>
      <c r="AJ39" s="11" t="n"/>
      <c r="AK39" s="11" t="n"/>
      <c r="AL39" s="11" t="n"/>
      <c r="AM39" s="409" t="n"/>
      <c r="AN39" s="409" t="n"/>
      <c r="AO39" s="11" t="n"/>
      <c r="AP39" s="11" t="n"/>
      <c r="AQ39" s="11" t="n"/>
      <c r="AR39" s="71" t="n"/>
      <c r="AS39" s="71" t="n"/>
      <c r="AT39" s="71" t="n"/>
      <c r="AU39" s="71" t="n"/>
      <c r="AV39" s="71" t="n"/>
      <c r="AW39" s="71" t="n"/>
      <c r="AX39" s="11" t="n"/>
      <c r="AY39" s="71" t="n"/>
      <c r="AZ39" s="11" t="n"/>
      <c r="BA39" s="11" t="n"/>
      <c r="BB39" s="71" t="n"/>
      <c r="BC39" s="71" t="n"/>
      <c r="BD39" s="71" t="n"/>
      <c r="BE39" s="71" t="n"/>
      <c r="BF39" s="71" t="n"/>
      <c r="BH39" s="11" t="n"/>
      <c r="BI39" s="11" t="n"/>
      <c r="BJ39" s="11" t="n"/>
      <c r="BK39" s="11" t="n"/>
      <c r="BL39" s="11" t="n"/>
      <c r="BM39" s="11" t="n"/>
      <c r="BN39" s="11" t="n"/>
      <c r="BO39" s="11" t="n"/>
      <c r="BP39" s="11" t="n"/>
      <c r="BQ39" s="11" t="n"/>
      <c r="BR39" s="11" t="n"/>
      <c r="BS39" s="11" t="n"/>
      <c r="BT39" s="11" t="n"/>
      <c r="DD39" s="11" t="n"/>
      <c r="DT39" s="11" t="n"/>
      <c r="DU39" s="11" t="n"/>
      <c r="DW39" s="11" t="n"/>
      <c r="DY39" s="11" t="n"/>
      <c r="ED39" s="374" t="n"/>
      <c r="EE39" s="374" t="n"/>
      <c r="EF39" s="374" t="n"/>
      <c r="EI39" s="374" t="n"/>
      <c r="EK39" s="374" t="n"/>
      <c r="EL39" s="374" t="n"/>
      <c r="EQ39" s="374" t="n"/>
      <c r="EV39" s="374" t="n"/>
      <c r="EW39" s="374" t="n"/>
      <c r="FB39" s="374" t="n"/>
      <c r="FH39" s="71" t="n"/>
      <c r="FP39" s="71" t="n"/>
      <c r="FV39" s="374" t="n"/>
    </row>
    <row r="40" customFormat="1" s="34">
      <c r="A40" s="186" t="inlineStr">
        <is>
          <t>TAG HOMEM ARANHA</t>
        </is>
      </c>
      <c r="B40" s="408" t="n"/>
      <c r="C40" s="365" t="n">
        <v>180</v>
      </c>
      <c r="E40" s="11" t="n"/>
      <c r="F40" s="11" t="n"/>
      <c r="G40" s="11" t="n"/>
      <c r="H40" s="11" t="n"/>
      <c r="I40" s="11" t="n"/>
      <c r="J40" s="11" t="n"/>
      <c r="K40" s="11" t="n"/>
      <c r="L40" s="11" t="n"/>
      <c r="M40" s="11" t="n"/>
      <c r="N40" s="11" t="n"/>
      <c r="O40" s="11" t="n"/>
      <c r="P40" s="11" t="n"/>
      <c r="Q40" s="11" t="n"/>
      <c r="R40" s="11" t="n"/>
      <c r="S40" s="11" t="n"/>
      <c r="T40" s="11" t="n"/>
      <c r="U40" s="11" t="n"/>
      <c r="V40" s="11" t="n"/>
      <c r="W40" s="11" t="n"/>
      <c r="X40" s="11" t="n"/>
      <c r="Y40" s="11" t="n"/>
      <c r="Z40" s="11" t="n"/>
      <c r="AA40" s="11" t="n"/>
      <c r="AB40" s="11" t="n"/>
      <c r="AC40" s="11" t="n"/>
      <c r="AD40" s="11" t="n"/>
      <c r="AE40" s="11" t="n"/>
      <c r="AF40" s="11" t="n"/>
      <c r="AI40" s="11" t="n"/>
      <c r="AJ40" s="11" t="n"/>
      <c r="AK40" s="409" t="n"/>
      <c r="AL40" s="409" t="n"/>
      <c r="AM40" s="409" t="n"/>
      <c r="AN40" s="409" t="n"/>
      <c r="AO40" s="409" t="n"/>
      <c r="AP40" s="409" t="n"/>
      <c r="AQ40" s="409" t="n"/>
      <c r="AR40" s="71" t="n"/>
      <c r="AS40" s="71" t="n"/>
      <c r="AT40" s="71" t="n"/>
      <c r="AU40" s="71" t="n"/>
      <c r="AV40" s="71" t="n"/>
      <c r="AW40" s="71" t="n"/>
      <c r="AX40" s="357" t="n"/>
      <c r="AY40" s="71" t="n"/>
      <c r="AZ40" s="357" t="n"/>
      <c r="BA40" s="357" t="n"/>
      <c r="BB40" s="71" t="n"/>
      <c r="BC40" s="71" t="n"/>
      <c r="BD40" s="71" t="n"/>
      <c r="BE40" s="71" t="n"/>
      <c r="BF40" s="71" t="n"/>
      <c r="BH40" s="11" t="n"/>
      <c r="BI40" s="11" t="n"/>
      <c r="BJ40" s="11" t="n"/>
      <c r="BK40" s="11" t="n"/>
      <c r="BL40" s="11" t="n"/>
      <c r="BM40" s="11" t="n"/>
      <c r="BN40" s="11" t="n"/>
      <c r="BO40" s="11" t="n"/>
      <c r="BP40" s="11" t="n"/>
      <c r="BQ40" s="11" t="n"/>
      <c r="BR40" s="11" t="n"/>
      <c r="BS40" s="11" t="n"/>
      <c r="BT40" s="11" t="n"/>
      <c r="DD40" s="11" t="n"/>
      <c r="DT40" s="11" t="n"/>
      <c r="DU40" s="11" t="n"/>
      <c r="DW40" s="11" t="n"/>
      <c r="DY40" s="11" t="n"/>
      <c r="ED40" s="374" t="n"/>
      <c r="EE40" s="374" t="n"/>
      <c r="EF40" s="374" t="n"/>
      <c r="EI40" s="374" t="n"/>
      <c r="EK40" s="374" t="n"/>
      <c r="EL40" s="374" t="n"/>
      <c r="EQ40" s="374" t="n"/>
      <c r="EV40" s="374" t="n"/>
      <c r="EW40" s="374" t="n"/>
      <c r="FB40" s="374" t="n"/>
      <c r="FH40" s="71" t="n"/>
      <c r="FP40" s="71" t="n"/>
      <c r="FV40" s="374" t="n"/>
    </row>
    <row r="41" customFormat="1" s="34">
      <c r="A41" s="187" t="n"/>
      <c r="B41" s="188" t="n"/>
      <c r="C41" s="189" t="n"/>
      <c r="E41" s="11" t="n"/>
      <c r="F41" s="11" t="n"/>
      <c r="G41" s="11" t="n"/>
      <c r="H41" s="11" t="n"/>
      <c r="I41" s="11" t="n"/>
      <c r="J41" s="11" t="n"/>
      <c r="K41" s="11" t="n"/>
      <c r="L41" s="11" t="n"/>
      <c r="M41" s="11" t="n"/>
      <c r="N41" s="11" t="n"/>
      <c r="O41" s="11" t="n"/>
      <c r="P41" s="11" t="n"/>
      <c r="Q41" s="11" t="n"/>
      <c r="R41" s="11" t="n"/>
      <c r="S41" s="11" t="n"/>
      <c r="T41" s="11" t="n"/>
      <c r="U41" s="11" t="n"/>
      <c r="V41" s="11" t="n"/>
      <c r="W41" s="11" t="n"/>
      <c r="X41" s="11" t="n"/>
      <c r="Y41" s="11" t="n"/>
      <c r="Z41" s="11" t="n"/>
      <c r="AA41" s="11" t="n"/>
      <c r="AB41" s="11" t="n"/>
      <c r="AC41" s="11" t="n"/>
      <c r="AD41" s="11" t="n"/>
      <c r="AE41" s="11" t="n"/>
      <c r="AF41" s="11" t="n"/>
      <c r="AI41" s="11" t="n"/>
      <c r="AJ41" s="11" t="n"/>
      <c r="AK41" s="409" t="n"/>
      <c r="AL41" s="409" t="n"/>
      <c r="AM41" s="41" t="n"/>
      <c r="AN41" s="41" t="n"/>
      <c r="AO41" s="409" t="n"/>
      <c r="AP41" s="409" t="n"/>
      <c r="AQ41" s="409" t="n"/>
      <c r="AR41" s="71" t="n"/>
      <c r="AS41" s="71" t="n"/>
      <c r="AT41" s="71" t="n"/>
      <c r="AU41" s="71" t="n"/>
      <c r="AV41" s="71" t="n"/>
      <c r="AW41" s="71" t="n"/>
      <c r="AX41" s="357" t="n"/>
      <c r="AY41" s="71" t="n"/>
      <c r="AZ41" s="357" t="n"/>
      <c r="BA41" s="357" t="n"/>
      <c r="BB41" s="71" t="n"/>
      <c r="BC41" s="71" t="n"/>
      <c r="BD41" s="71" t="n"/>
      <c r="BE41" s="71" t="n"/>
      <c r="BF41" s="71" t="n"/>
      <c r="BH41" s="11" t="n"/>
      <c r="BI41" s="11" t="n"/>
      <c r="BJ41" s="11" t="n"/>
      <c r="BK41" s="11" t="n"/>
      <c r="BL41" s="11" t="n"/>
      <c r="BM41" s="11" t="n"/>
      <c r="BN41" s="11" t="n"/>
      <c r="BO41" s="41" t="n"/>
      <c r="BP41" s="41" t="n"/>
      <c r="BQ41" s="41" t="n"/>
      <c r="BR41" s="41" t="n"/>
      <c r="BS41" s="41" t="n"/>
      <c r="BT41" s="11" t="n"/>
      <c r="DD41" s="11" t="n"/>
      <c r="DT41" s="11" t="n"/>
      <c r="DU41" s="11" t="n"/>
      <c r="DW41" s="11" t="n"/>
      <c r="DY41" s="11" t="n"/>
      <c r="ED41" s="374" t="n"/>
      <c r="EE41" s="374" t="n"/>
      <c r="EF41" s="374" t="n"/>
      <c r="EI41" s="374" t="n"/>
      <c r="EK41" s="374" t="n"/>
      <c r="EL41" s="374" t="n"/>
      <c r="EQ41" s="374" t="n"/>
      <c r="EV41" s="374" t="n"/>
      <c r="EW41" s="374" t="n"/>
      <c r="FB41" s="374" t="n"/>
      <c r="FH41" s="71" t="n"/>
      <c r="FP41" s="71" t="n"/>
      <c r="FV41" s="374" t="n"/>
    </row>
    <row r="42" customFormat="1" s="34">
      <c r="A42" s="407" t="inlineStr">
        <is>
          <t>TAG NAMO/25</t>
        </is>
      </c>
      <c r="B42" s="408" t="n"/>
      <c r="C42" s="365" t="n">
        <v>200</v>
      </c>
      <c r="E42" s="11" t="n"/>
      <c r="F42" s="11" t="n"/>
      <c r="G42" s="11" t="n"/>
      <c r="H42" s="11" t="n"/>
      <c r="I42" s="11" t="n"/>
      <c r="J42" s="11" t="n"/>
      <c r="K42" s="11" t="n"/>
      <c r="L42" s="11" t="n"/>
      <c r="M42" s="11" t="n"/>
      <c r="N42" s="11" t="n"/>
      <c r="O42" s="11" t="n"/>
      <c r="P42" s="11" t="n"/>
      <c r="Q42" s="11" t="n"/>
      <c r="R42" s="11" t="n"/>
      <c r="S42" s="11" t="n"/>
      <c r="T42" s="11" t="n"/>
      <c r="U42" s="11" t="n"/>
      <c r="V42" s="11" t="n"/>
      <c r="W42" s="11" t="n"/>
      <c r="X42" s="11" t="n"/>
      <c r="Y42" s="11" t="n"/>
      <c r="Z42" s="11" t="n"/>
      <c r="AA42" s="11" t="n"/>
      <c r="AB42" s="11" t="n"/>
      <c r="AC42" s="11" t="n"/>
      <c r="AD42" s="11" t="n"/>
      <c r="AE42" s="11" t="n"/>
      <c r="AF42" s="11" t="n"/>
      <c r="AI42" s="11" t="n"/>
      <c r="AJ42" s="11" t="n"/>
      <c r="AK42" s="41" t="n"/>
      <c r="AL42" s="41" t="n"/>
      <c r="AM42" s="41" t="n"/>
      <c r="AN42" s="41" t="n"/>
      <c r="AO42" s="41" t="n"/>
      <c r="AP42" s="41" t="n"/>
      <c r="AQ42" s="41" t="n"/>
      <c r="AR42" s="71" t="n"/>
      <c r="AS42" s="71" t="n"/>
      <c r="AT42" s="71" t="n"/>
      <c r="AU42" s="71" t="n"/>
      <c r="AV42" s="71" t="n"/>
      <c r="AW42" s="71" t="n"/>
      <c r="AY42" s="71" t="n"/>
      <c r="BB42" s="71" t="n"/>
      <c r="BC42" s="71" t="n"/>
      <c r="BD42" s="71" t="n"/>
      <c r="BE42" s="71" t="n"/>
      <c r="BF42" s="71" t="n"/>
      <c r="BH42" s="41" t="n"/>
      <c r="BI42" s="41" t="n"/>
      <c r="BJ42" s="41" t="n"/>
      <c r="BK42" s="41" t="n"/>
      <c r="BL42" s="41" t="n"/>
      <c r="BM42" s="41" t="n"/>
      <c r="BN42" s="41" t="n"/>
      <c r="BO42" s="41" t="n"/>
      <c r="BP42" s="41" t="n"/>
      <c r="BQ42" s="41" t="n"/>
      <c r="BR42" s="41" t="n"/>
      <c r="BS42" s="41" t="n"/>
      <c r="BT42" s="41" t="n"/>
      <c r="DD42" s="11" t="n"/>
      <c r="DT42" s="11" t="n"/>
      <c r="DU42" s="11" t="n"/>
      <c r="DW42" s="11" t="n"/>
      <c r="DY42" s="11" t="n"/>
      <c r="ED42" s="374" t="n"/>
      <c r="EE42" s="374" t="n"/>
      <c r="EF42" s="374" t="n"/>
      <c r="EI42" s="374" t="n"/>
      <c r="EK42" s="374" t="n"/>
      <c r="EL42" s="374" t="n"/>
      <c r="EQ42" s="374" t="n"/>
      <c r="EV42" s="374" t="n"/>
      <c r="EW42" s="374" t="n"/>
      <c r="FB42" s="374" t="n"/>
      <c r="FH42" s="71" t="n"/>
      <c r="FP42" s="71" t="n"/>
      <c r="FV42" s="374" t="n"/>
    </row>
    <row r="43">
      <c r="C43" s="382" t="n"/>
      <c r="D43" s="382" t="n"/>
      <c r="AK43" s="41" t="n"/>
      <c r="AL43" s="41" t="n"/>
      <c r="AM43" s="41" t="n"/>
      <c r="AN43" s="41" t="n"/>
      <c r="AO43" s="41" t="n"/>
      <c r="AP43" s="41" t="n"/>
      <c r="AQ43" s="41" t="n"/>
      <c r="BH43" s="41" t="n"/>
      <c r="BI43" s="41" t="n"/>
      <c r="BJ43" s="41" t="n"/>
      <c r="BK43" s="41" t="n"/>
      <c r="BL43" s="41" t="n"/>
      <c r="BM43" s="41" t="n"/>
      <c r="BN43" s="41" t="n"/>
      <c r="BO43" s="41" t="n"/>
      <c r="BP43" s="41" t="n"/>
      <c r="BQ43" s="41" t="n"/>
      <c r="BR43" s="41" t="n"/>
      <c r="BS43" s="41" t="n"/>
      <c r="BT43" s="41" t="n"/>
    </row>
    <row r="44" ht="18.75" customHeight="1">
      <c r="A44" s="642" t="inlineStr">
        <is>
          <t>FLACONETES</t>
        </is>
      </c>
      <c r="B44" s="625" t="n"/>
      <c r="C44" s="625" t="n"/>
      <c r="D44" s="641" t="n"/>
      <c r="F44" s="643" t="n">
        <v>46013</v>
      </c>
      <c r="G44" s="643" t="n">
        <v>46020</v>
      </c>
      <c r="H44" s="643" t="n">
        <v>46027</v>
      </c>
      <c r="I44" s="643" t="n">
        <v>46034</v>
      </c>
      <c r="J44" s="643" t="n">
        <v>46041</v>
      </c>
      <c r="K44" s="643" t="n">
        <v>46048</v>
      </c>
      <c r="L44" s="643" t="n">
        <v>46055</v>
      </c>
      <c r="M44" s="643" t="n">
        <v>46062</v>
      </c>
      <c r="N44" s="643" t="n">
        <v>46069</v>
      </c>
      <c r="O44" s="643" t="n">
        <v>46076</v>
      </c>
      <c r="P44" s="643" t="n">
        <v>46083</v>
      </c>
      <c r="Q44" s="643" t="n">
        <v>46090</v>
      </c>
      <c r="R44" s="643" t="n">
        <v>46097</v>
      </c>
      <c r="S44" s="643" t="n">
        <v>46104</v>
      </c>
      <c r="T44" s="643" t="n">
        <v>46111</v>
      </c>
      <c r="U44" s="643" t="n">
        <v>46118</v>
      </c>
      <c r="V44" s="643" t="n">
        <v>46125</v>
      </c>
      <c r="W44" s="643" t="n">
        <v>46132</v>
      </c>
      <c r="X44" s="643" t="n">
        <v>46139</v>
      </c>
      <c r="Y44" s="643" t="n">
        <v>46146</v>
      </c>
      <c r="Z44" s="643" t="n">
        <v>46154</v>
      </c>
      <c r="AA44" s="643" t="n">
        <v>46160</v>
      </c>
      <c r="AB44" s="644" t="n">
        <v>46161.48012836806</v>
      </c>
      <c r="AC44" s="644" t="n">
        <v>46161.48080197917</v>
      </c>
      <c r="AD44" s="644" t="n">
        <v>46161.48295944023</v>
      </c>
      <c r="AK44" s="41" t="n"/>
      <c r="AL44" s="41" t="n"/>
      <c r="AM44" s="41" t="n"/>
      <c r="AN44" s="41" t="n"/>
      <c r="AO44" s="41" t="n"/>
      <c r="AP44" s="41" t="n"/>
      <c r="AQ44" s="41" t="n"/>
      <c r="BH44" s="41" t="n"/>
      <c r="BI44" s="41" t="n"/>
      <c r="BJ44" s="41" t="n"/>
      <c r="BK44" s="41" t="n"/>
      <c r="BL44" s="41" t="n"/>
      <c r="BM44" s="41" t="n"/>
      <c r="BN44" s="41" t="n"/>
      <c r="BO44" s="41" t="n"/>
      <c r="BP44" s="41" t="n"/>
      <c r="BQ44" s="41" t="n"/>
      <c r="BR44" s="41" t="n"/>
      <c r="BS44" s="41" t="n"/>
      <c r="BT44" s="41" t="n"/>
    </row>
    <row r="45">
      <c r="A45" s="645" t="inlineStr">
        <is>
          <t>EGEO DOLCE ILUSION</t>
        </is>
      </c>
      <c r="B45" s="625" t="n"/>
      <c r="C45" s="625" t="n"/>
      <c r="D45" s="641" t="n"/>
      <c r="F45" s="366" t="n">
        <v>122</v>
      </c>
      <c r="G45" s="366" t="n">
        <v>122</v>
      </c>
      <c r="H45" s="366" t="n">
        <v>193</v>
      </c>
      <c r="I45" s="366" t="n">
        <v>186</v>
      </c>
      <c r="J45" s="366" t="n">
        <v>142</v>
      </c>
      <c r="K45" s="366" t="n">
        <v>140</v>
      </c>
      <c r="L45" s="366" t="n">
        <v>119</v>
      </c>
      <c r="M45" s="366" t="n">
        <v>119</v>
      </c>
      <c r="N45" s="366" t="n">
        <v>113</v>
      </c>
      <c r="O45" s="366" t="n">
        <v>113</v>
      </c>
      <c r="P45" s="366" t="n">
        <v>113</v>
      </c>
      <c r="Q45" s="366" t="n">
        <v>0</v>
      </c>
      <c r="R45" s="366" t="n">
        <v>0</v>
      </c>
      <c r="S45" s="366" t="n">
        <v>0</v>
      </c>
      <c r="T45" s="366" t="n">
        <v>0</v>
      </c>
      <c r="U45" s="366" t="n">
        <v>0</v>
      </c>
      <c r="V45" s="366" t="n">
        <v>0</v>
      </c>
      <c r="W45" s="366" t="n">
        <v>0</v>
      </c>
      <c r="X45" s="366" t="n">
        <v>0</v>
      </c>
      <c r="Y45" s="366" t="n">
        <v>0</v>
      </c>
      <c r="Z45" s="366" t="n">
        <v>0</v>
      </c>
      <c r="AA45" s="366" t="n"/>
      <c r="AB45" s="646" t="n"/>
      <c r="AC45" s="646" t="n"/>
      <c r="AD45" s="646" t="n"/>
      <c r="AK45" s="41" t="n"/>
      <c r="AL45" s="41" t="n"/>
      <c r="AO45" s="41" t="n"/>
      <c r="AP45" s="41" t="n"/>
      <c r="AQ45" s="41" t="n"/>
      <c r="BH45" s="41" t="n"/>
      <c r="BI45" s="41" t="n"/>
      <c r="BJ45" s="41" t="n"/>
      <c r="BK45" s="41" t="n"/>
      <c r="BL45" s="41" t="n"/>
      <c r="BM45" s="41" t="n"/>
      <c r="BN45" s="41" t="n"/>
      <c r="BT45" s="41" t="n"/>
    </row>
    <row r="46">
      <c r="A46" s="645" t="inlineStr">
        <is>
          <t>HADYA</t>
        </is>
      </c>
      <c r="B46" s="625" t="n"/>
      <c r="C46" s="625" t="n"/>
      <c r="D46" s="641" t="n"/>
      <c r="F46" s="366" t="n">
        <v>82</v>
      </c>
      <c r="G46" s="366" t="n">
        <v>82</v>
      </c>
      <c r="H46" s="366" t="n">
        <v>76</v>
      </c>
      <c r="I46" s="366" t="n">
        <v>70</v>
      </c>
      <c r="J46" s="366" t="n">
        <v>64</v>
      </c>
      <c r="K46" s="366" t="n">
        <v>65</v>
      </c>
      <c r="L46" s="366" t="n">
        <v>46</v>
      </c>
      <c r="M46" s="366" t="n">
        <v>46</v>
      </c>
      <c r="N46" s="366" t="n">
        <v>21</v>
      </c>
      <c r="O46" s="366" t="n">
        <v>21</v>
      </c>
      <c r="P46" s="366" t="n">
        <v>21</v>
      </c>
      <c r="Q46" s="366" t="n">
        <v>0</v>
      </c>
      <c r="R46" s="366" t="n">
        <v>0</v>
      </c>
      <c r="S46" s="366" t="n">
        <v>0</v>
      </c>
      <c r="T46" s="366" t="n">
        <v>0</v>
      </c>
      <c r="U46" s="366" t="n">
        <v>0</v>
      </c>
      <c r="V46" s="366" t="n">
        <v>0</v>
      </c>
      <c r="W46" s="366" t="n">
        <v>0</v>
      </c>
      <c r="X46" s="366" t="n">
        <v>0</v>
      </c>
      <c r="Y46" s="366" t="n">
        <v>0</v>
      </c>
      <c r="Z46" s="366" t="n">
        <v>0</v>
      </c>
      <c r="AA46" s="366" t="n"/>
      <c r="AB46" s="646" t="n"/>
      <c r="AC46" s="646" t="n"/>
      <c r="AD46" s="646" t="n"/>
    </row>
    <row r="47">
      <c r="A47" s="645" t="inlineStr">
        <is>
          <t>HIDRATANTE CEREJA DE FASES</t>
        </is>
      </c>
      <c r="B47" s="625" t="n"/>
      <c r="C47" s="625" t="n"/>
      <c r="D47" s="641" t="n"/>
      <c r="F47" s="366" t="n"/>
      <c r="G47" s="366" t="n"/>
      <c r="H47" s="366" t="n"/>
      <c r="I47" s="366" t="n"/>
      <c r="J47" s="366" t="n"/>
      <c r="K47" s="366" t="n"/>
      <c r="L47" s="366" t="n"/>
      <c r="M47" s="366" t="n"/>
      <c r="N47" s="366" t="n">
        <v>0</v>
      </c>
      <c r="O47" s="366" t="n">
        <v>0</v>
      </c>
      <c r="P47" s="366" t="n">
        <v>0</v>
      </c>
      <c r="Q47" s="366" t="n">
        <v>0</v>
      </c>
      <c r="R47" s="366" t="n">
        <v>0</v>
      </c>
      <c r="S47" s="366" t="n">
        <v>82</v>
      </c>
      <c r="T47" s="366" t="n">
        <v>67</v>
      </c>
      <c r="U47" s="366" t="n">
        <v>50</v>
      </c>
      <c r="V47" s="366" t="n">
        <v>50</v>
      </c>
      <c r="W47" s="366" t="n">
        <v>50</v>
      </c>
      <c r="X47" s="366" t="n">
        <v>0</v>
      </c>
      <c r="Y47" s="366" t="n">
        <v>0</v>
      </c>
      <c r="Z47" s="366" t="n">
        <v>0</v>
      </c>
      <c r="AA47" s="366" t="n"/>
      <c r="AB47" s="646" t="n"/>
      <c r="AC47" s="646" t="n"/>
      <c r="AD47" s="646" t="n"/>
      <c r="AM47" s="11" t="n"/>
      <c r="AN47" s="11" t="n"/>
    </row>
    <row r="48">
      <c r="A48" s="645" t="n"/>
      <c r="B48" s="625" t="n"/>
      <c r="C48" s="625" t="n"/>
      <c r="D48" s="641" t="n"/>
      <c r="N48" s="366" t="n"/>
      <c r="O48" s="366" t="n"/>
      <c r="P48" s="366" t="n"/>
      <c r="Q48" s="366" t="n"/>
      <c r="R48" s="366" t="n"/>
      <c r="S48" s="366" t="n"/>
      <c r="T48" s="366" t="n"/>
      <c r="U48" s="366" t="n"/>
      <c r="V48" s="366" t="n"/>
      <c r="W48" s="366" t="n"/>
      <c r="X48" s="366" t="n"/>
      <c r="Y48" s="366" t="n"/>
      <c r="Z48" s="366" t="n"/>
      <c r="AA48" s="366" t="n"/>
      <c r="AB48" s="646" t="n"/>
      <c r="AC48" s="646" t="n"/>
      <c r="AD48" s="646" t="n"/>
      <c r="AK48" s="11" t="n"/>
      <c r="AL48" s="11" t="n"/>
      <c r="AO48" s="11" t="n"/>
      <c r="AP48" s="11" t="n"/>
      <c r="AQ48" s="11" t="n"/>
    </row>
    <row r="49">
      <c r="A49" s="645" t="n"/>
      <c r="B49" s="625" t="n"/>
      <c r="C49" s="625" t="n"/>
      <c r="D49" s="641" t="n"/>
      <c r="N49" s="366" t="n"/>
      <c r="O49" s="366" t="n"/>
      <c r="P49" s="366" t="n"/>
      <c r="Q49" s="366" t="n"/>
      <c r="R49" s="366" t="n"/>
      <c r="S49" s="366" t="n"/>
      <c r="T49" s="366" t="n"/>
      <c r="U49" s="366" t="n"/>
      <c r="V49" s="366" t="n"/>
      <c r="W49" s="366" t="n"/>
      <c r="X49" s="366" t="n"/>
      <c r="Y49" s="366" t="n"/>
      <c r="Z49" s="366" t="n"/>
      <c r="AA49" s="366" t="n"/>
      <c r="AB49" s="646" t="n"/>
      <c r="AC49" s="646" t="n"/>
      <c r="AD49" s="646" t="n"/>
    </row>
    <row r="50">
      <c r="A50" s="645" t="n"/>
      <c r="B50" s="625" t="n"/>
      <c r="C50" s="625" t="n"/>
      <c r="D50" s="641" t="n"/>
      <c r="N50" s="366" t="n"/>
      <c r="O50" s="366" t="n"/>
      <c r="P50" s="366" t="n"/>
      <c r="Q50" s="366" t="n"/>
      <c r="R50" s="366" t="n"/>
      <c r="S50" s="366" t="n"/>
      <c r="T50" s="366" t="n"/>
      <c r="U50" s="366" t="n"/>
      <c r="V50" s="366" t="n"/>
      <c r="W50" s="366" t="n"/>
      <c r="X50" s="366" t="n"/>
      <c r="Y50" s="366" t="n"/>
      <c r="Z50" s="366" t="n"/>
      <c r="AA50" s="366" t="n"/>
      <c r="AB50" s="646" t="n"/>
      <c r="AC50" s="646" t="n"/>
      <c r="AD50" s="646" t="n"/>
    </row>
  </sheetData>
  <mergeCells count="15">
    <mergeCell ref="A5:A6"/>
    <mergeCell ref="A45:D45"/>
    <mergeCell ref="B3:D3"/>
    <mergeCell ref="BE7:BM7"/>
    <mergeCell ref="A44:D44"/>
    <mergeCell ref="A50:D50"/>
    <mergeCell ref="A48:D48"/>
    <mergeCell ref="A1:AB1"/>
    <mergeCell ref="A49:D49"/>
    <mergeCell ref="A47:D47"/>
    <mergeCell ref="D5:D6"/>
    <mergeCell ref="A46:D46"/>
    <mergeCell ref="B5:B6"/>
    <mergeCell ref="B2:D2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59" fitToHeight="0"/>
</worksheet>
</file>

<file path=xl/worksheets/sheet15.xml><?xml version="1.0" encoding="utf-8"?>
<worksheet xmlns="http://schemas.openxmlformats.org/spreadsheetml/2006/main">
  <sheetPr codeName="Planilha59">
    <tabColor theme="9"/>
    <outlinePr summaryBelow="1" summaryRight="1"/>
    <pageSetUpPr/>
  </sheetPr>
  <dimension ref="A1:HY50"/>
  <sheetViews>
    <sheetView showGridLines="0" topLeftCell="B4" zoomScale="80" zoomScaleNormal="80" workbookViewId="0">
      <selection activeCell="AJ35" sqref="AJ35"/>
    </sheetView>
  </sheetViews>
  <sheetFormatPr baseColWidth="8" defaultColWidth="9.140625" defaultRowHeight="18.75"/>
  <cols>
    <col width="27.42578125" customWidth="1" style="62" min="1" max="1"/>
    <col width="9.5703125" customWidth="1" style="11" min="2" max="2"/>
    <col width="14.85546875" customWidth="1" style="11" min="3" max="4"/>
    <col width="1.5703125" customWidth="1" style="11" min="5" max="5"/>
    <col hidden="1" width="9.42578125" customWidth="1" style="11" min="6" max="24"/>
    <col width="9.42578125" customWidth="1" style="11" min="25" max="27"/>
    <col width="1.5703125" customWidth="1" style="11" min="28" max="28"/>
    <col width="52.85546875" customWidth="1" style="34" min="29" max="29"/>
    <col width="14.28515625" bestFit="1" customWidth="1" style="34" min="30" max="30"/>
    <col width="1.140625" customWidth="1" style="11" min="31" max="31"/>
    <col width="15.85546875" bestFit="1" customWidth="1" style="34" min="32" max="32"/>
    <col width="1.28515625" customWidth="1" style="11" min="33" max="33"/>
    <col width="8.7109375" customWidth="1" style="71" min="34" max="34"/>
    <col width="11.5703125" bestFit="1" customWidth="1" style="71" min="35" max="35"/>
    <col width="24.85546875" customWidth="1" style="71" min="36" max="36"/>
    <col width="8.7109375" customWidth="1" style="71" min="37" max="40"/>
    <col hidden="1" width="8.7109375" customWidth="1" style="71" min="41" max="46"/>
    <col hidden="1" width="13.85546875" customWidth="1" style="71" min="47" max="47"/>
    <col hidden="1" width="8.7109375" customWidth="1" style="71" min="48" max="49"/>
    <col hidden="1" width="13.85546875" customWidth="1" style="71" min="50" max="50"/>
    <col hidden="1" width="8.7109375" customWidth="1" style="71" min="51" max="54"/>
    <col width="9.140625" customWidth="1" style="11" min="55" max="55"/>
    <col width="21.85546875" bestFit="1" customWidth="1" style="11" min="56" max="56"/>
    <col width="9.140625" customWidth="1" style="11" min="57" max="57"/>
    <col hidden="1" width="13" customWidth="1" style="11" min="58" max="61"/>
    <col width="9.140625" customWidth="1" style="11" min="62" max="16384"/>
  </cols>
  <sheetData>
    <row r="1" ht="23.25" customHeight="1">
      <c r="A1" s="477" t="inlineStr">
        <is>
          <t>Controle de Contagem Semanal - Antilhas</t>
        </is>
      </c>
      <c r="AC1" s="361" t="n"/>
      <c r="AD1" s="361" t="n"/>
      <c r="AE1" s="361" t="n"/>
      <c r="AF1" s="361" t="n"/>
      <c r="AG1" s="361" t="n"/>
      <c r="AH1" s="361" t="n"/>
      <c r="AI1" s="361" t="n"/>
      <c r="AJ1" s="361" t="n"/>
      <c r="AK1" s="361" t="n"/>
      <c r="AL1" s="361" t="n"/>
      <c r="AM1" s="361" t="n"/>
      <c r="AN1" s="361" t="n"/>
      <c r="AO1" s="361" t="n"/>
      <c r="AP1" s="361" t="n"/>
      <c r="AQ1" s="361" t="n"/>
      <c r="AR1" s="361" t="n"/>
      <c r="AS1" s="361" t="n"/>
      <c r="AT1" s="361" t="n"/>
      <c r="AU1" s="361" t="n"/>
      <c r="AV1" s="361" t="n"/>
      <c r="AW1" s="361" t="n"/>
      <c r="AX1" s="361" t="n"/>
      <c r="AY1" s="361" t="n"/>
      <c r="AZ1" s="361" t="n"/>
      <c r="BA1" s="361" t="n"/>
      <c r="BB1" s="361" t="n"/>
    </row>
    <row r="2">
      <c r="A2" s="63" t="inlineStr">
        <is>
          <t>LOJA:</t>
        </is>
      </c>
      <c r="B2" s="604" t="inlineStr">
        <is>
          <t>JAU SHOPP</t>
        </is>
      </c>
      <c r="C2" s="605" t="n"/>
      <c r="D2" s="606" t="n"/>
      <c r="AC2" s="11" t="n"/>
      <c r="AD2" s="11" t="n"/>
      <c r="AF2" s="11" t="n"/>
    </row>
    <row r="3">
      <c r="A3" s="63" t="inlineStr">
        <is>
          <t>Responsável:</t>
        </is>
      </c>
      <c r="B3" s="607" t="inlineStr">
        <is>
          <t>TAMIRES/CLARA</t>
        </is>
      </c>
      <c r="C3" s="605" t="n"/>
      <c r="D3" s="606" t="n"/>
      <c r="E3" s="608" t="n"/>
      <c r="F3" s="608" t="n"/>
      <c r="G3" s="608" t="n"/>
      <c r="H3" s="608" t="n"/>
      <c r="I3" s="608" t="n"/>
      <c r="J3" s="608" t="n"/>
      <c r="K3" s="608" t="n"/>
      <c r="L3" s="608" t="n"/>
      <c r="M3" s="608" t="n"/>
      <c r="N3" s="608" t="n"/>
      <c r="O3" s="608" t="n"/>
      <c r="P3" s="608" t="n"/>
      <c r="Q3" s="608" t="n"/>
      <c r="R3" s="608" t="n"/>
      <c r="S3" s="608" t="n"/>
      <c r="T3" s="608" t="n"/>
      <c r="U3" s="608" t="n"/>
      <c r="V3" s="608" t="n"/>
      <c r="W3" s="608" t="n"/>
      <c r="X3" s="608" t="n"/>
      <c r="Y3" s="608" t="n"/>
      <c r="Z3" s="608" t="n"/>
      <c r="AA3" s="608" t="n"/>
      <c r="AB3" s="608" t="n"/>
      <c r="AC3" s="11" t="n"/>
      <c r="AD3" s="11" t="n"/>
      <c r="AE3" s="608" t="n"/>
    </row>
    <row r="4">
      <c r="AH4" s="395" t="n"/>
      <c r="AI4" s="395" t="n"/>
      <c r="AJ4" s="395" t="n"/>
      <c r="AK4" s="395" t="n"/>
      <c r="AL4" s="395" t="n"/>
      <c r="AM4" s="395" t="n"/>
      <c r="AN4" s="395" t="n"/>
      <c r="AO4" s="395" t="n"/>
      <c r="AP4" s="395" t="n"/>
      <c r="AQ4" s="395" t="n"/>
      <c r="AR4" s="395" t="n"/>
      <c r="AS4" s="395" t="n"/>
      <c r="AT4" s="395" t="n"/>
      <c r="AU4" s="395" t="n"/>
      <c r="AV4" s="395" t="n"/>
      <c r="AW4" s="395" t="n"/>
      <c r="AX4" s="395" t="n"/>
      <c r="AY4" s="395" t="n"/>
      <c r="AZ4" s="395" t="n"/>
      <c r="BA4" s="395" t="n"/>
      <c r="BB4" s="395" t="n"/>
    </row>
    <row r="5" ht="18.75" customHeight="1">
      <c r="A5" s="647" t="inlineStr">
        <is>
          <t>Descrição</t>
        </is>
      </c>
      <c r="B5" s="611" t="inlineStr">
        <is>
          <t>PCT</t>
        </is>
      </c>
      <c r="C5" s="611" t="inlineStr">
        <is>
          <t xml:space="preserve">R$ </t>
        </is>
      </c>
      <c r="D5" s="612" t="inlineStr">
        <is>
          <t>Estoque Ideal</t>
        </is>
      </c>
      <c r="F5" s="40" t="n"/>
      <c r="G5" s="40" t="n"/>
      <c r="H5" s="40" t="n"/>
      <c r="I5" s="40" t="n"/>
      <c r="J5" s="40" t="n"/>
      <c r="K5" s="40" t="n"/>
      <c r="L5" s="40" t="n"/>
      <c r="M5" s="40" t="n"/>
      <c r="N5" s="40" t="n"/>
      <c r="O5" s="40" t="n"/>
      <c r="P5" s="40" t="n"/>
      <c r="Q5" s="40" t="n"/>
      <c r="R5" s="40" t="n"/>
      <c r="S5" s="40" t="n"/>
      <c r="T5" s="40" t="n"/>
      <c r="U5" s="40" t="n"/>
      <c r="V5" s="40" t="n"/>
      <c r="W5" s="40" t="n"/>
      <c r="X5" s="40" t="n"/>
      <c r="Y5" s="40" t="n"/>
      <c r="Z5" s="40" t="n"/>
      <c r="AA5" s="40" t="n"/>
      <c r="AC5" s="29" t="inlineStr">
        <is>
          <t>Pendências</t>
        </is>
      </c>
      <c r="AD5" s="29" t="inlineStr">
        <is>
          <t>Pendências</t>
        </is>
      </c>
      <c r="AF5" s="9" t="inlineStr">
        <is>
          <t>Novo Pedido</t>
        </is>
      </c>
      <c r="AH5" s="614" t="n"/>
      <c r="AI5" s="615" t="inlineStr">
        <is>
          <t>TRANSF.</t>
        </is>
      </c>
      <c r="AJ5" s="615" t="inlineStr">
        <is>
          <t>TRANSF.</t>
        </is>
      </c>
      <c r="AK5" s="614" t="n">
        <v>46142</v>
      </c>
      <c r="AL5" s="614" t="n">
        <v>46114</v>
      </c>
      <c r="AM5" s="616" t="n">
        <v>46065</v>
      </c>
      <c r="AN5" s="614" t="n">
        <v>46099</v>
      </c>
      <c r="AO5" s="614" t="n">
        <v>46092</v>
      </c>
      <c r="AP5" s="614" t="n">
        <v>46084</v>
      </c>
      <c r="AQ5" s="614" t="n">
        <v>46071</v>
      </c>
      <c r="AR5" s="614" t="n">
        <v>46056</v>
      </c>
      <c r="AS5" s="614" t="n">
        <v>46048</v>
      </c>
      <c r="AT5" s="614" t="n">
        <v>46035</v>
      </c>
      <c r="AU5" s="617" t="inlineStr">
        <is>
          <t>TRANSF.</t>
        </is>
      </c>
      <c r="AV5" s="614" t="n">
        <v>46024</v>
      </c>
      <c r="AW5" s="614" t="n">
        <v>46017</v>
      </c>
      <c r="AX5" s="617" t="inlineStr">
        <is>
          <t>TRANSF.</t>
        </is>
      </c>
      <c r="AY5" s="614" t="n">
        <v>46007</v>
      </c>
      <c r="AZ5" s="614" t="n">
        <v>46001</v>
      </c>
      <c r="BA5" s="614" t="n">
        <v>45994</v>
      </c>
      <c r="BB5" s="614" t="n">
        <v>45986</v>
      </c>
    </row>
    <row r="6" ht="19.5" customFormat="1" customHeight="1" s="3">
      <c r="A6" s="618" t="n"/>
      <c r="B6" s="618" t="n"/>
      <c r="C6" s="618" t="n"/>
      <c r="D6" s="618" t="n"/>
      <c r="E6" s="30" t="n"/>
      <c r="F6" s="619" t="n">
        <v>46013</v>
      </c>
      <c r="G6" s="619" t="n">
        <v>46020</v>
      </c>
      <c r="H6" s="619" t="n">
        <v>46027</v>
      </c>
      <c r="I6" s="619" t="n">
        <v>46034</v>
      </c>
      <c r="J6" s="619" t="n">
        <v>46041</v>
      </c>
      <c r="K6" s="619" t="n">
        <v>46048</v>
      </c>
      <c r="L6" s="619" t="n">
        <v>46055</v>
      </c>
      <c r="M6" s="619" t="n">
        <v>46062</v>
      </c>
      <c r="N6" s="619" t="n">
        <v>46069</v>
      </c>
      <c r="O6" s="619" t="n">
        <v>46076</v>
      </c>
      <c r="P6" s="619" t="n">
        <v>46083</v>
      </c>
      <c r="Q6" s="619" t="n">
        <v>46090</v>
      </c>
      <c r="R6" s="619" t="n">
        <v>46097</v>
      </c>
      <c r="S6" s="619" t="n">
        <v>46104</v>
      </c>
      <c r="T6" s="619" t="n">
        <v>46111</v>
      </c>
      <c r="U6" s="619" t="n">
        <v>46118</v>
      </c>
      <c r="V6" s="619" t="n">
        <v>46125</v>
      </c>
      <c r="W6" s="619" t="n">
        <v>46132</v>
      </c>
      <c r="X6" s="619" t="n">
        <v>46139</v>
      </c>
      <c r="Y6" s="619" t="n">
        <v>46146</v>
      </c>
      <c r="Z6" s="619" t="n">
        <v>46154</v>
      </c>
      <c r="AA6" s="621" t="inlineStr">
        <is>
          <t>USOU</t>
        </is>
      </c>
      <c r="AB6" s="30" t="n"/>
      <c r="AC6" s="656" t="inlineStr">
        <is>
          <t>TRANSF.</t>
        </is>
      </c>
      <c r="AD6" s="622" t="n"/>
      <c r="AE6" s="623" t="n"/>
      <c r="AF6" s="624" t="n">
        <v>46155</v>
      </c>
      <c r="AG6" s="623" t="n"/>
      <c r="AH6" s="614" t="n"/>
      <c r="AI6" s="615" t="n">
        <v>46150</v>
      </c>
      <c r="AJ6" s="615" t="n">
        <v>46148</v>
      </c>
      <c r="AK6" s="614" t="n">
        <v>46150</v>
      </c>
      <c r="AL6" s="614" t="n">
        <v>46125</v>
      </c>
      <c r="AM6" s="616" t="n">
        <v>46112</v>
      </c>
      <c r="AN6" s="614" t="n">
        <v>46106</v>
      </c>
      <c r="AO6" s="614" t="n">
        <v>46099</v>
      </c>
      <c r="AP6" s="614" t="n">
        <v>46097</v>
      </c>
      <c r="AQ6" s="614" t="n">
        <v>46078</v>
      </c>
      <c r="AR6" s="614" t="n">
        <v>46063</v>
      </c>
      <c r="AS6" s="614" t="n">
        <v>46056</v>
      </c>
      <c r="AT6" s="614" t="n">
        <v>46041</v>
      </c>
      <c r="AU6" s="617" t="n">
        <v>46037</v>
      </c>
      <c r="AV6" s="614" t="n">
        <v>46034</v>
      </c>
      <c r="AW6" s="614" t="n">
        <v>46029</v>
      </c>
      <c r="AX6" s="617" t="n">
        <v>46027</v>
      </c>
      <c r="AY6" s="614" t="n">
        <v>46010</v>
      </c>
      <c r="AZ6" s="614" t="n">
        <v>46010</v>
      </c>
      <c r="BA6" s="614" t="n">
        <v>46003</v>
      </c>
      <c r="BB6" s="614" t="n">
        <v>45994</v>
      </c>
      <c r="BD6" s="11" t="n"/>
      <c r="BE6" s="11" t="n"/>
      <c r="BF6" s="11" t="n"/>
      <c r="BG6" s="11" t="n"/>
      <c r="BH6" s="11" t="n"/>
      <c r="BI6" s="11" t="n"/>
      <c r="BJ6" s="11" t="n"/>
      <c r="BK6" s="11" t="n"/>
      <c r="BL6" s="11" t="n"/>
    </row>
    <row r="7" ht="21.75" customFormat="1" customHeight="1" s="3">
      <c r="A7" s="20" t="inlineStr">
        <is>
          <t xml:space="preserve">SACOLAS </t>
        </is>
      </c>
      <c r="B7" s="4" t="n"/>
      <c r="C7" s="5" t="n"/>
      <c r="D7" s="239" t="n"/>
      <c r="E7" s="11" t="n"/>
      <c r="F7" s="12" t="n"/>
      <c r="G7" s="12" t="n"/>
      <c r="H7" s="12" t="n"/>
      <c r="I7" s="12" t="n"/>
      <c r="J7" s="12" t="n"/>
      <c r="K7" s="12" t="n"/>
      <c r="L7" s="12" t="n"/>
      <c r="M7" s="12" t="n"/>
      <c r="N7" s="12" t="n"/>
      <c r="O7" s="12" t="n"/>
      <c r="P7" s="12" t="n"/>
      <c r="Q7" s="12" t="n"/>
      <c r="R7" s="12" t="n"/>
      <c r="S7" s="12" t="n"/>
      <c r="T7" s="12" t="n"/>
      <c r="U7" s="12" t="n"/>
      <c r="V7" s="12" t="n"/>
      <c r="W7" s="12" t="n"/>
      <c r="X7" s="12" t="n"/>
      <c r="Y7" s="12" t="n"/>
      <c r="Z7" s="12" t="n"/>
      <c r="AA7" s="12" t="n"/>
      <c r="AB7" s="11" t="n"/>
      <c r="AC7" s="85" t="n"/>
      <c r="AD7" s="85" t="n"/>
      <c r="AE7" s="11" t="n"/>
      <c r="AF7" s="113" t="n"/>
      <c r="AG7" s="11" t="n"/>
      <c r="AH7" s="12" t="n"/>
      <c r="AI7" s="12" t="n"/>
      <c r="AJ7" s="12" t="n"/>
      <c r="AK7" s="12" t="n"/>
      <c r="AL7" s="12" t="n"/>
      <c r="AM7" s="12" t="inlineStr">
        <is>
          <t>MÃES</t>
        </is>
      </c>
      <c r="AN7" s="12" t="n"/>
      <c r="AO7" s="12" t="n"/>
      <c r="AP7" s="12" t="n"/>
      <c r="AQ7" s="12" t="n"/>
      <c r="AR7" s="12" t="n"/>
      <c r="AS7" s="12" t="n"/>
      <c r="AT7" s="12" t="n"/>
      <c r="AU7" s="12" t="n"/>
      <c r="AV7" s="12" t="n"/>
      <c r="AW7" s="12" t="n"/>
      <c r="AX7" s="12" t="n"/>
      <c r="AY7" s="12" t="n"/>
      <c r="AZ7" s="12" t="n"/>
      <c r="BA7" s="12" t="n"/>
      <c r="BB7" s="12" t="n"/>
      <c r="BD7" s="384" t="inlineStr">
        <is>
          <t>MÃES 2026</t>
        </is>
      </c>
      <c r="BE7" s="625" t="n"/>
      <c r="BF7" s="625" t="n"/>
      <c r="BG7" s="625" t="n"/>
      <c r="BH7" s="625" t="n"/>
      <c r="BI7" s="625" t="n"/>
      <c r="BJ7" s="625" t="n"/>
      <c r="BK7" s="625" t="n"/>
      <c r="BL7" s="641" t="n"/>
    </row>
    <row r="8" ht="19.5" customFormat="1" customHeight="1" s="3">
      <c r="A8" s="21" t="inlineStr">
        <is>
          <t>SACOLA PP VERDE</t>
        </is>
      </c>
      <c r="B8" s="6" t="n">
        <v>300</v>
      </c>
      <c r="C8" s="627" t="n">
        <v>187.12</v>
      </c>
      <c r="D8" s="240" t="n">
        <v>600</v>
      </c>
      <c r="E8" s="11" t="n"/>
      <c r="F8" s="39" t="n">
        <v>1500</v>
      </c>
      <c r="G8" s="39" t="n">
        <v>1000</v>
      </c>
      <c r="H8" s="39" t="n">
        <v>940</v>
      </c>
      <c r="I8" s="39">
        <f>1200+600</f>
        <v/>
      </c>
      <c r="J8" s="39" t="n">
        <v>1800</v>
      </c>
      <c r="K8" s="39" t="n">
        <v>1700</v>
      </c>
      <c r="L8" s="39" t="n">
        <v>1672</v>
      </c>
      <c r="M8" s="39" t="n">
        <v>1849</v>
      </c>
      <c r="N8" s="39" t="n">
        <v>1483</v>
      </c>
      <c r="O8" s="39" t="n">
        <v>1806</v>
      </c>
      <c r="P8" s="39" t="n">
        <v>1800</v>
      </c>
      <c r="Q8" s="39" t="n">
        <v>1021</v>
      </c>
      <c r="R8" s="39" t="n">
        <v>900</v>
      </c>
      <c r="S8" s="39" t="n">
        <v>678</v>
      </c>
      <c r="T8" s="39" t="n">
        <v>642</v>
      </c>
      <c r="U8" s="39" t="n">
        <v>385</v>
      </c>
      <c r="V8" s="39">
        <f>335+AL8</f>
        <v/>
      </c>
      <c r="W8" s="39" t="n">
        <v>600</v>
      </c>
      <c r="X8" s="39" t="n">
        <v>556</v>
      </c>
      <c r="Y8" s="39">
        <f>421+AK8</f>
        <v/>
      </c>
      <c r="Z8" s="39" t="n">
        <v>385</v>
      </c>
      <c r="AA8" s="380">
        <f>Y8+IF(NOT(ISBLANK(OFFSET(AA8,0,6))),N(OFFSET(AA8,0,6)),N(OFFSET(AA8,0,7)))-Z8</f>
        <v/>
      </c>
      <c r="AB8" s="11" t="n"/>
      <c r="AC8" s="78" t="n"/>
      <c r="AD8" s="78" t="n"/>
      <c r="AE8" s="11" t="n"/>
      <c r="AF8" s="32" t="n">
        <v>300</v>
      </c>
      <c r="AG8" s="11" t="n"/>
      <c r="AH8" s="19" t="n">
        <v>0</v>
      </c>
      <c r="AI8" s="304" t="n"/>
      <c r="AJ8" s="304" t="n"/>
      <c r="AK8" s="19" t="n">
        <v>300</v>
      </c>
      <c r="AL8" s="19" t="n">
        <v>300</v>
      </c>
      <c r="AM8" s="19" t="n"/>
      <c r="AN8" s="19" t="n"/>
      <c r="AO8" s="19" t="n"/>
      <c r="AP8" s="19" t="n"/>
      <c r="AQ8" s="19" t="n"/>
      <c r="AR8" s="19" t="n"/>
      <c r="AS8" s="19" t="n"/>
      <c r="AT8" s="19" t="n"/>
      <c r="AU8" s="260" t="inlineStr">
        <is>
          <t>600 DE IT</t>
        </is>
      </c>
      <c r="AV8" s="19" t="n"/>
      <c r="AW8" s="19" t="n">
        <v>300</v>
      </c>
      <c r="AX8" s="19" t="n"/>
      <c r="AY8" s="19" t="n">
        <v>600</v>
      </c>
      <c r="AZ8" s="19" t="n">
        <v>300</v>
      </c>
      <c r="BA8" s="19" t="n">
        <v>300</v>
      </c>
      <c r="BB8" s="19" t="n">
        <v>600</v>
      </c>
      <c r="BD8" s="397" t="inlineStr">
        <is>
          <t xml:space="preserve">SACOLAS </t>
        </is>
      </c>
      <c r="BE8" s="384" t="inlineStr">
        <is>
          <t>PCT</t>
        </is>
      </c>
      <c r="BF8" s="619" t="n">
        <v>46118</v>
      </c>
      <c r="BG8" s="619" t="n">
        <v>46125</v>
      </c>
      <c r="BH8" s="619" t="n">
        <v>46132</v>
      </c>
      <c r="BI8" s="619" t="n">
        <v>46139</v>
      </c>
      <c r="BJ8" s="619" t="n">
        <v>46146</v>
      </c>
      <c r="BK8" s="619" t="n">
        <v>46154</v>
      </c>
      <c r="BL8" s="621" t="inlineStr">
        <is>
          <t>USOU</t>
        </is>
      </c>
    </row>
    <row r="9" ht="19.5" customFormat="1" customHeight="1" s="3">
      <c r="A9" s="21" t="inlineStr">
        <is>
          <t xml:space="preserve">SACOLA P VERDE </t>
        </is>
      </c>
      <c r="B9" s="6" t="n">
        <v>200</v>
      </c>
      <c r="C9" s="627" t="n">
        <v>193.08</v>
      </c>
      <c r="D9" s="240" t="n">
        <v>1200</v>
      </c>
      <c r="E9" s="11" t="n"/>
      <c r="F9" s="39" t="n">
        <v>1947</v>
      </c>
      <c r="G9" s="39" t="n">
        <v>1070</v>
      </c>
      <c r="H9" s="39" t="n">
        <v>783</v>
      </c>
      <c r="I9" s="39" t="n">
        <v>1037</v>
      </c>
      <c r="J9" s="39">
        <f>1582+AT9</f>
        <v/>
      </c>
      <c r="K9" s="39" t="n">
        <v>1425</v>
      </c>
      <c r="L9" s="39">
        <f>1200+AS9</f>
        <v/>
      </c>
      <c r="M9" s="39">
        <f>1310+AR9</f>
        <v/>
      </c>
      <c r="N9" s="39" t="n">
        <v>1400</v>
      </c>
      <c r="O9" s="39" t="n">
        <v>1105</v>
      </c>
      <c r="P9" s="39" t="n">
        <v>1213</v>
      </c>
      <c r="Q9" s="39" t="n">
        <v>643</v>
      </c>
      <c r="R9" s="39">
        <f>200+AO9</f>
        <v/>
      </c>
      <c r="S9" s="39" t="n">
        <v>1054</v>
      </c>
      <c r="T9" s="39" t="n">
        <v>764</v>
      </c>
      <c r="U9" s="39" t="n">
        <v>472</v>
      </c>
      <c r="V9" s="39">
        <f>80+AL9</f>
        <v/>
      </c>
      <c r="W9" s="39" t="n">
        <v>480</v>
      </c>
      <c r="X9" s="211" t="n">
        <v>557</v>
      </c>
      <c r="Y9" s="39">
        <f>557+AK9</f>
        <v/>
      </c>
      <c r="Z9" s="39" t="n">
        <v>557</v>
      </c>
      <c r="AA9" s="380">
        <f>Y9+IF(NOT(ISBLANK(OFFSET(AA9,0,6))),N(OFFSET(AA9,0,6)),N(OFFSET(AA9,0,7)))-Z9</f>
        <v/>
      </c>
      <c r="AB9" s="11" t="n"/>
      <c r="AC9" s="78" t="n"/>
      <c r="AD9" s="78" t="n"/>
      <c r="AE9" s="11" t="n"/>
      <c r="AF9" s="32" t="n"/>
      <c r="AG9" s="11" t="n"/>
      <c r="AH9" s="304" t="n">
        <v>0</v>
      </c>
      <c r="AI9" s="304" t="n"/>
      <c r="AJ9" s="304" t="n"/>
      <c r="AK9" s="304" t="n">
        <v>400</v>
      </c>
      <c r="AL9" s="19" t="n">
        <v>400</v>
      </c>
      <c r="AM9" s="119" t="n">
        <v>3000</v>
      </c>
      <c r="AN9" s="19" t="n"/>
      <c r="AO9" s="19" t="n">
        <v>1200</v>
      </c>
      <c r="AP9" s="19" t="n"/>
      <c r="AQ9" s="19" t="n">
        <v>400</v>
      </c>
      <c r="AR9" s="19" t="n">
        <v>400</v>
      </c>
      <c r="AS9" s="19" t="n">
        <v>600</v>
      </c>
      <c r="AT9" s="19" t="n">
        <v>400</v>
      </c>
      <c r="AU9" s="19" t="n"/>
      <c r="AV9" s="19" t="n">
        <v>600</v>
      </c>
      <c r="AW9" s="19" t="n">
        <v>800</v>
      </c>
      <c r="AX9" s="19" t="n"/>
      <c r="AY9" s="19" t="n">
        <v>1400</v>
      </c>
      <c r="AZ9" s="19" t="n">
        <v>800</v>
      </c>
      <c r="BA9" s="19" t="n"/>
      <c r="BB9" s="19" t="n"/>
      <c r="BD9" s="372" t="inlineStr">
        <is>
          <t xml:space="preserve">SACOLA P </t>
        </is>
      </c>
      <c r="BE9" s="139" t="n">
        <v>200</v>
      </c>
      <c r="BF9" s="39">
        <f>AM9</f>
        <v/>
      </c>
      <c r="BG9" s="39" t="n">
        <v>3000</v>
      </c>
      <c r="BH9" s="39" t="n">
        <v>3000</v>
      </c>
      <c r="BI9" s="39" t="n">
        <v>2356</v>
      </c>
      <c r="BJ9" s="39" t="n">
        <v>2178</v>
      </c>
      <c r="BK9" s="39" t="n">
        <v>1200</v>
      </c>
      <c r="BL9" s="26">
        <f>BJ9+IF(NOT(ISBLANK(OFFSET(BL9,0,6))),N(OFFSET(BL9,0,6)),N(OFFSET(BL9,0,7)))-BK9</f>
        <v/>
      </c>
    </row>
    <row r="10" ht="19.5" customFormat="1" customHeight="1" s="3">
      <c r="A10" s="21" t="inlineStr">
        <is>
          <t>SACOLA M VERDE</t>
        </is>
      </c>
      <c r="B10" s="6" t="n">
        <v>200</v>
      </c>
      <c r="C10" s="627" t="n">
        <v>253.83</v>
      </c>
      <c r="D10" s="240" t="n">
        <v>800</v>
      </c>
      <c r="E10" s="11" t="n"/>
      <c r="F10" s="39" t="n">
        <v>973</v>
      </c>
      <c r="G10" s="39" t="n">
        <v>262</v>
      </c>
      <c r="H10" s="39">
        <f>0+200</f>
        <v/>
      </c>
      <c r="I10" s="39" t="n">
        <v>501</v>
      </c>
      <c r="J10" s="39">
        <f>1208+AT10</f>
        <v/>
      </c>
      <c r="K10" s="39" t="n">
        <v>1277</v>
      </c>
      <c r="L10" s="39" t="n">
        <v>1000</v>
      </c>
      <c r="M10" s="39">
        <f>1000+AR10</f>
        <v/>
      </c>
      <c r="N10" s="39" t="n">
        <v>1211</v>
      </c>
      <c r="O10" s="39" t="n">
        <v>1128</v>
      </c>
      <c r="P10" s="39" t="n">
        <v>1023</v>
      </c>
      <c r="Q10" s="39" t="n">
        <v>634</v>
      </c>
      <c r="R10" s="39">
        <f>437+AO10</f>
        <v/>
      </c>
      <c r="S10" s="39" t="n">
        <v>600</v>
      </c>
      <c r="T10" s="39" t="n">
        <v>422</v>
      </c>
      <c r="U10" s="39" t="n">
        <v>245</v>
      </c>
      <c r="V10" s="39">
        <f>45+AL10</f>
        <v/>
      </c>
      <c r="W10" s="39" t="n">
        <v>245</v>
      </c>
      <c r="X10" s="211" t="n">
        <v>349</v>
      </c>
      <c r="Y10" s="39">
        <f>349+AK10</f>
        <v/>
      </c>
      <c r="Z10" s="39" t="n">
        <v>600</v>
      </c>
      <c r="AA10" s="380">
        <f>Y10+IF(NOT(ISBLANK(OFFSET(AA10,0,6))),N(OFFSET(AA10,0,6)),N(OFFSET(AA10,0,7)))-Z10</f>
        <v/>
      </c>
      <c r="AB10" s="11" t="n"/>
      <c r="AC10" s="78" t="n"/>
      <c r="AD10" s="78" t="n"/>
      <c r="AE10" s="11" t="n"/>
      <c r="AF10" s="32" t="n"/>
      <c r="AG10" s="11" t="n"/>
      <c r="AH10" s="304" t="n">
        <v>0</v>
      </c>
      <c r="AI10" s="304" t="n"/>
      <c r="AJ10" s="304" t="n"/>
      <c r="AK10" s="304" t="n">
        <v>400</v>
      </c>
      <c r="AL10" s="19" t="n">
        <v>200</v>
      </c>
      <c r="AM10" s="119" t="n">
        <v>1800</v>
      </c>
      <c r="AN10" s="19" t="n"/>
      <c r="AO10" s="19" t="n">
        <v>400</v>
      </c>
      <c r="AP10" s="19" t="n"/>
      <c r="AQ10" s="19" t="n"/>
      <c r="AR10" s="19" t="n">
        <v>400</v>
      </c>
      <c r="AS10" s="19" t="n"/>
      <c r="AT10" s="19" t="n">
        <v>200</v>
      </c>
      <c r="AU10" s="19" t="n"/>
      <c r="AV10" s="19" t="n">
        <v>800</v>
      </c>
      <c r="AW10" s="19" t="n">
        <v>400</v>
      </c>
      <c r="AX10" s="260" t="inlineStr">
        <is>
          <t>200 DE CDJ</t>
        </is>
      </c>
      <c r="AY10" s="19" t="n">
        <v>800</v>
      </c>
      <c r="AZ10" s="19" t="n"/>
      <c r="BA10" s="19" t="n"/>
      <c r="BB10" s="19" t="n"/>
      <c r="BD10" s="21" t="inlineStr">
        <is>
          <t xml:space="preserve">SACOLA M </t>
        </is>
      </c>
      <c r="BE10" s="6" t="n">
        <v>200</v>
      </c>
      <c r="BF10" s="39">
        <f>AM10</f>
        <v/>
      </c>
      <c r="BG10" s="39" t="n">
        <v>1800</v>
      </c>
      <c r="BH10" s="39" t="n">
        <v>1800</v>
      </c>
      <c r="BI10" s="39" t="n">
        <v>1392</v>
      </c>
      <c r="BJ10" s="39" t="n">
        <v>1184</v>
      </c>
      <c r="BK10" s="39" t="n">
        <v>0</v>
      </c>
      <c r="BL10" s="26">
        <f>BJ10+IF(NOT(ISBLANK(OFFSET(BL10,0,6))),N(OFFSET(BL10,0,6)),N(OFFSET(BL10,0,7)))-BK10</f>
        <v/>
      </c>
    </row>
    <row r="11" ht="19.5" customFormat="1" customHeight="1" s="3">
      <c r="A11" s="22" t="inlineStr">
        <is>
          <t xml:space="preserve">SACOLA G VERDE </t>
        </is>
      </c>
      <c r="B11" s="6" t="n">
        <v>100</v>
      </c>
      <c r="C11" s="627" t="n">
        <v>184.57</v>
      </c>
      <c r="D11" s="240" t="n">
        <v>150</v>
      </c>
      <c r="E11" s="11" t="n"/>
      <c r="F11" s="39" t="n">
        <v>116</v>
      </c>
      <c r="G11" s="39" t="n">
        <v>100</v>
      </c>
      <c r="H11" s="39" t="n">
        <v>100</v>
      </c>
      <c r="I11" s="39" t="n">
        <v>100</v>
      </c>
      <c r="J11" s="39">
        <f>100+AT11</f>
        <v/>
      </c>
      <c r="K11" s="39" t="n">
        <v>350</v>
      </c>
      <c r="L11" s="39" t="n">
        <v>336</v>
      </c>
      <c r="M11" s="39" t="n">
        <v>336</v>
      </c>
      <c r="N11" s="39" t="n">
        <v>334</v>
      </c>
      <c r="O11" s="39" t="n">
        <v>312</v>
      </c>
      <c r="P11" s="39" t="n">
        <v>309</v>
      </c>
      <c r="Q11" s="39" t="n">
        <v>300</v>
      </c>
      <c r="R11" s="39" t="n">
        <v>300</v>
      </c>
      <c r="S11" s="39" t="n">
        <v>300</v>
      </c>
      <c r="T11" s="39" t="n">
        <v>300</v>
      </c>
      <c r="U11" s="39" t="n">
        <v>285</v>
      </c>
      <c r="V11" s="39" t="n">
        <v>274</v>
      </c>
      <c r="W11" s="39" t="n">
        <v>274</v>
      </c>
      <c r="X11" s="39" t="n">
        <v>269</v>
      </c>
      <c r="Y11" s="39" t="n">
        <v>235</v>
      </c>
      <c r="Z11" s="39" t="n">
        <v>200</v>
      </c>
      <c r="AA11" s="380">
        <f>Y11+IF(NOT(ISBLANK(OFFSET(AA11,0,6))),N(OFFSET(AA11,0,6)),N(OFFSET(AA11,0,7)))-Z11</f>
        <v/>
      </c>
      <c r="AB11" s="11" t="n"/>
      <c r="AC11" s="78" t="inlineStr">
        <is>
          <t>50 P/ DC</t>
        </is>
      </c>
      <c r="AD11" s="78" t="n"/>
      <c r="AE11" s="11" t="n"/>
      <c r="AF11" s="32" t="n"/>
      <c r="AG11" s="11" t="n"/>
      <c r="AH11" s="304" t="n">
        <v>0</v>
      </c>
      <c r="AI11" s="304" t="n"/>
      <c r="AJ11" s="304" t="n"/>
      <c r="AK11" s="304" t="n">
        <v>0</v>
      </c>
      <c r="AL11" s="19" t="n"/>
      <c r="AM11" s="119" t="n">
        <v>300</v>
      </c>
      <c r="AN11" s="19" t="n"/>
      <c r="AO11" s="19" t="n"/>
      <c r="AP11" s="19" t="n"/>
      <c r="AQ11" s="19" t="n"/>
      <c r="AR11" s="19" t="n"/>
      <c r="AS11" s="19" t="n"/>
      <c r="AT11" s="19" t="n">
        <v>200</v>
      </c>
      <c r="AU11" s="19" t="n"/>
      <c r="AV11" s="19" t="n"/>
      <c r="AW11" s="19" t="n">
        <v>100</v>
      </c>
      <c r="AX11" s="19" t="n"/>
      <c r="AY11" s="19" t="n"/>
      <c r="AZ11" s="19" t="n"/>
      <c r="BA11" s="19" t="n"/>
      <c r="BB11" s="19" t="n"/>
      <c r="BD11" s="22" t="inlineStr">
        <is>
          <t xml:space="preserve">SACOLA G </t>
        </is>
      </c>
      <c r="BE11" s="6" t="n">
        <v>100</v>
      </c>
      <c r="BF11" s="39">
        <f>AM11</f>
        <v/>
      </c>
      <c r="BG11" s="39" t="n">
        <v>300</v>
      </c>
      <c r="BH11" s="39" t="n">
        <v>300</v>
      </c>
      <c r="BI11" s="39" t="n">
        <v>225</v>
      </c>
      <c r="BJ11" s="39" t="n">
        <v>200</v>
      </c>
      <c r="BK11" s="39" t="n">
        <v>136</v>
      </c>
      <c r="BL11" s="26">
        <f>BJ11+IF(NOT(ISBLANK(OFFSET(BL11,0,6))),N(OFFSET(BL11,0,6)),N(OFFSET(BL11,0,7)))-BK11</f>
        <v/>
      </c>
    </row>
    <row r="12" ht="16.5" customFormat="1" customHeight="1" s="3">
      <c r="A12" s="23" t="n"/>
      <c r="B12" s="1" t="n"/>
      <c r="C12" s="630" t="n"/>
      <c r="D12" s="277" t="n"/>
      <c r="E12" s="11" t="n"/>
      <c r="F12" s="2" t="n"/>
      <c r="G12" s="2" t="n"/>
      <c r="H12" s="2" t="n"/>
      <c r="I12" s="2" t="n"/>
      <c r="J12" s="2" t="n"/>
      <c r="K12" s="2" t="n"/>
      <c r="L12" s="2" t="n"/>
      <c r="M12" s="2" t="n"/>
      <c r="N12" s="2" t="n"/>
      <c r="O12" s="2" t="n"/>
      <c r="P12" s="2" t="n"/>
      <c r="Q12" s="2" t="n"/>
      <c r="R12" s="2" t="n"/>
      <c r="S12" s="2" t="n"/>
      <c r="T12" s="2" t="n"/>
      <c r="U12" s="2" t="n"/>
      <c r="V12" s="2" t="n"/>
      <c r="W12" s="2" t="n"/>
      <c r="X12" s="2" t="n"/>
      <c r="Y12" s="2" t="n"/>
      <c r="Z12" s="2" t="n"/>
      <c r="AA12" s="2" t="n"/>
      <c r="AB12" s="11" t="n"/>
      <c r="AC12" s="350" t="n"/>
      <c r="AD12" s="350" t="n"/>
      <c r="AE12" s="11" t="n"/>
      <c r="AF12" s="33" t="n"/>
      <c r="AG12" s="11" t="n"/>
      <c r="AH12" s="75" t="n"/>
      <c r="AI12" s="75" t="n"/>
      <c r="AJ12" s="75" t="n"/>
      <c r="AK12" s="75" t="n"/>
      <c r="AL12" s="75" t="n"/>
      <c r="AM12" s="75" t="n"/>
      <c r="AN12" s="75" t="n"/>
      <c r="AO12" s="75" t="n"/>
      <c r="AP12" s="75" t="n"/>
      <c r="AQ12" s="75" t="n"/>
      <c r="AR12" s="75" t="n"/>
      <c r="AS12" s="75" t="n"/>
      <c r="AT12" s="75" t="n"/>
      <c r="AU12" s="75" t="n"/>
      <c r="AV12" s="75" t="n"/>
      <c r="AW12" s="75" t="n"/>
      <c r="AX12" s="75" t="n"/>
      <c r="AY12" s="75" t="n"/>
      <c r="AZ12" s="75" t="n"/>
      <c r="BA12" s="75" t="n"/>
      <c r="BB12" s="75" t="n"/>
      <c r="BD12" s="23" t="n"/>
      <c r="BE12" s="1" t="n"/>
      <c r="BF12" s="2" t="n"/>
      <c r="BG12" s="2" t="n"/>
      <c r="BH12" s="2" t="n"/>
      <c r="BI12" s="2" t="n"/>
      <c r="BJ12" s="2" t="n"/>
      <c r="BK12" s="2" t="n"/>
    </row>
    <row r="13" customFormat="1" s="3">
      <c r="A13" s="548" t="inlineStr">
        <is>
          <t>DIVERSOS</t>
        </is>
      </c>
      <c r="B13" s="12" t="n"/>
      <c r="C13" s="631" t="n"/>
      <c r="D13" s="403" t="n"/>
      <c r="E13" s="608" t="n"/>
      <c r="F13" s="619" t="n">
        <v>46013</v>
      </c>
      <c r="G13" s="619" t="n">
        <v>46020</v>
      </c>
      <c r="H13" s="619" t="n">
        <v>46027</v>
      </c>
      <c r="I13" s="619" t="n">
        <v>46034</v>
      </c>
      <c r="J13" s="619" t="n">
        <v>46041</v>
      </c>
      <c r="K13" s="619" t="n">
        <v>46048</v>
      </c>
      <c r="L13" s="619" t="n">
        <v>46055</v>
      </c>
      <c r="M13" s="619" t="n">
        <v>46062</v>
      </c>
      <c r="N13" s="619" t="n">
        <v>46069</v>
      </c>
      <c r="O13" s="619" t="n">
        <v>46076</v>
      </c>
      <c r="P13" s="619" t="n">
        <v>46083</v>
      </c>
      <c r="Q13" s="619" t="n">
        <v>46090</v>
      </c>
      <c r="R13" s="619" t="n">
        <v>46097</v>
      </c>
      <c r="S13" s="619" t="n">
        <v>46104</v>
      </c>
      <c r="T13" s="619" t="n">
        <v>46111</v>
      </c>
      <c r="U13" s="619" t="n">
        <v>46118</v>
      </c>
      <c r="V13" s="619" t="n">
        <v>46125</v>
      </c>
      <c r="W13" s="619" t="n">
        <v>46132</v>
      </c>
      <c r="X13" s="619" t="n">
        <v>46139</v>
      </c>
      <c r="Y13" s="619" t="n">
        <v>46146</v>
      </c>
      <c r="Z13" s="619" t="n">
        <v>46154</v>
      </c>
      <c r="AA13" s="621" t="inlineStr">
        <is>
          <t>USOU</t>
        </is>
      </c>
      <c r="AB13" s="608" t="n"/>
      <c r="AC13" s="29" t="inlineStr">
        <is>
          <t>Pendências</t>
        </is>
      </c>
      <c r="AD13" s="29" t="inlineStr">
        <is>
          <t>Pendências</t>
        </is>
      </c>
      <c r="AE13" s="11" t="n"/>
      <c r="AF13" s="9" t="inlineStr">
        <is>
          <t>Novo Pedido</t>
        </is>
      </c>
      <c r="AG13" s="608" t="n"/>
      <c r="AH13" s="614" t="n"/>
      <c r="AI13" s="615" t="n">
        <v>46148</v>
      </c>
      <c r="AJ13" s="615" t="n">
        <v>46148</v>
      </c>
      <c r="AK13" s="614" t="n">
        <v>46142</v>
      </c>
      <c r="AL13" s="614" t="n">
        <v>46114</v>
      </c>
      <c r="AM13" s="616" t="n">
        <v>46065</v>
      </c>
      <c r="AN13" s="614" t="n">
        <v>46099</v>
      </c>
      <c r="AO13" s="614" t="n">
        <v>46092</v>
      </c>
      <c r="AP13" s="614" t="n">
        <v>46084</v>
      </c>
      <c r="AQ13" s="614" t="n">
        <v>46071</v>
      </c>
      <c r="AR13" s="614" t="n">
        <v>46056</v>
      </c>
      <c r="AS13" s="614" t="n">
        <v>46048</v>
      </c>
      <c r="AT13" s="614" t="n">
        <v>46035</v>
      </c>
      <c r="AU13" s="617" t="n">
        <v>46037</v>
      </c>
      <c r="AV13" s="614" t="n">
        <v>46024</v>
      </c>
      <c r="AW13" s="614" t="n">
        <v>46017</v>
      </c>
      <c r="AX13" s="617" t="n">
        <v>46027</v>
      </c>
      <c r="AY13" s="614" t="n">
        <v>46007</v>
      </c>
      <c r="AZ13" s="614" t="n">
        <v>46001</v>
      </c>
      <c r="BA13" s="614" t="n">
        <v>45994</v>
      </c>
      <c r="BB13" s="614" t="n">
        <v>45986</v>
      </c>
      <c r="BD13" s="397" t="inlineStr">
        <is>
          <t>DIVERSOS</t>
        </is>
      </c>
      <c r="BE13" s="384" t="inlineStr">
        <is>
          <t>PCT</t>
        </is>
      </c>
      <c r="BF13" s="619" t="n">
        <v>46118</v>
      </c>
      <c r="BG13" s="619" t="n">
        <v>46125</v>
      </c>
      <c r="BH13" s="619" t="n">
        <v>46132</v>
      </c>
      <c r="BI13" s="619" t="n">
        <v>46139</v>
      </c>
      <c r="BJ13" s="619" t="n">
        <v>46146</v>
      </c>
      <c r="BK13" s="619" t="n">
        <v>46154</v>
      </c>
      <c r="BL13" s="621" t="inlineStr">
        <is>
          <t>USOU</t>
        </is>
      </c>
    </row>
    <row r="14" customFormat="1" s="3">
      <c r="A14" s="25" t="inlineStr">
        <is>
          <t xml:space="preserve">PAPEL DE SEDA </t>
        </is>
      </c>
      <c r="B14" s="6" t="n">
        <v>500</v>
      </c>
      <c r="C14" s="632" t="n">
        <v>99.26000000000001</v>
      </c>
      <c r="D14" s="240" t="n">
        <v>7</v>
      </c>
      <c r="E14" s="608" t="n"/>
      <c r="F14" s="125" t="n">
        <v>5</v>
      </c>
      <c r="G14" s="125" t="n">
        <v>4</v>
      </c>
      <c r="H14" s="125" t="n">
        <v>3</v>
      </c>
      <c r="I14" s="125" t="n">
        <v>7</v>
      </c>
      <c r="J14" s="125" t="n">
        <v>16</v>
      </c>
      <c r="K14" s="125" t="n">
        <v>15</v>
      </c>
      <c r="L14" s="125" t="n">
        <v>14</v>
      </c>
      <c r="M14" s="125" t="n">
        <v>11</v>
      </c>
      <c r="N14" s="125" t="n">
        <v>10</v>
      </c>
      <c r="O14" s="125" t="n">
        <v>8</v>
      </c>
      <c r="P14" s="125" t="n">
        <v>8</v>
      </c>
      <c r="Q14" s="125" t="n">
        <v>3</v>
      </c>
      <c r="R14" s="125">
        <f>1+AO14</f>
        <v/>
      </c>
      <c r="S14" s="125" t="n">
        <v>8</v>
      </c>
      <c r="T14" s="125" t="n">
        <v>7</v>
      </c>
      <c r="U14" s="125" t="n">
        <v>5</v>
      </c>
      <c r="V14" s="125">
        <f>4+AL14</f>
        <v/>
      </c>
      <c r="W14" s="125" t="n">
        <v>9</v>
      </c>
      <c r="X14" s="125" t="n">
        <v>9</v>
      </c>
      <c r="Y14" s="125">
        <f>7+AK14-3</f>
        <v/>
      </c>
      <c r="Z14" s="125" t="n">
        <v>9</v>
      </c>
      <c r="AA14" s="380">
        <f>Y14+IF(NOT(ISBLANK(OFFSET(AA14,0,6))),N(OFFSET(AA14,0,6)),N(OFFSET(AA14,0,7)))-Z14</f>
        <v/>
      </c>
      <c r="AB14" s="608" t="n"/>
      <c r="AC14" s="78" t="n"/>
      <c r="AD14" s="78" t="n"/>
      <c r="AE14" s="608" t="n"/>
      <c r="AF14" s="401" t="n"/>
      <c r="AG14" s="608" t="n"/>
      <c r="AH14" s="304" t="n">
        <v>0</v>
      </c>
      <c r="AI14" s="260" t="inlineStr">
        <is>
          <t>03 P/ ERJ</t>
        </is>
      </c>
      <c r="AJ14" s="304" t="n"/>
      <c r="AK14" s="304" t="n">
        <v>5</v>
      </c>
      <c r="AL14" s="19" t="n">
        <v>5</v>
      </c>
      <c r="AM14" s="119" t="n">
        <v>15</v>
      </c>
      <c r="AN14" s="19" t="n"/>
      <c r="AO14" s="19" t="n">
        <v>10</v>
      </c>
      <c r="AP14" s="19" t="n"/>
      <c r="AQ14" s="19" t="n"/>
      <c r="AR14" s="19" t="n"/>
      <c r="AS14" s="19" t="n"/>
      <c r="AT14" s="19" t="n"/>
      <c r="AU14" s="19" t="n"/>
      <c r="AV14" s="19" t="n">
        <v>10</v>
      </c>
      <c r="AW14" s="19" t="n">
        <v>4</v>
      </c>
      <c r="AX14" s="19" t="n"/>
      <c r="AY14" s="19" t="n">
        <v>3</v>
      </c>
      <c r="AZ14" s="19" t="n"/>
      <c r="BA14" s="19" t="n"/>
      <c r="BB14" s="19" t="n"/>
      <c r="BD14" s="372" t="inlineStr">
        <is>
          <t>PAPEL DE SEDA</t>
        </is>
      </c>
      <c r="BE14" s="139" t="n">
        <v>200</v>
      </c>
      <c r="BF14" s="39">
        <f>AM14</f>
        <v/>
      </c>
      <c r="BG14" s="39" t="n">
        <v>15</v>
      </c>
      <c r="BH14" s="39" t="n">
        <v>15</v>
      </c>
      <c r="BI14" s="39" t="n">
        <v>10</v>
      </c>
      <c r="BJ14" s="39" t="n">
        <v>8</v>
      </c>
      <c r="BK14" s="39" t="n">
        <v>0</v>
      </c>
      <c r="BL14" s="26">
        <f>BJ14+IF(NOT(ISBLANK(OFFSET(BL14,0,6))),N(OFFSET(BL14,0,6)),N(OFFSET(BL14,0,7)))-BK14</f>
        <v/>
      </c>
    </row>
    <row r="15" customFormat="1" s="3">
      <c r="A15" s="25" t="inlineStr">
        <is>
          <t>ETIQUETAS</t>
        </is>
      </c>
      <c r="B15" s="6" t="n">
        <v>2000</v>
      </c>
      <c r="C15" s="632" t="n">
        <v>55.36</v>
      </c>
      <c r="D15" s="240" t="n">
        <v>2</v>
      </c>
      <c r="E15" s="608" t="n"/>
      <c r="F15" s="125" t="n">
        <v>8</v>
      </c>
      <c r="G15" s="125" t="n">
        <v>11</v>
      </c>
      <c r="H15" s="125" t="n">
        <v>11</v>
      </c>
      <c r="I15" s="125" t="n">
        <v>9</v>
      </c>
      <c r="J15" s="125" t="n">
        <v>11</v>
      </c>
      <c r="K15" s="125" t="n">
        <v>11</v>
      </c>
      <c r="L15" s="125" t="n">
        <v>11</v>
      </c>
      <c r="M15" s="125" t="n">
        <v>11</v>
      </c>
      <c r="N15" s="125" t="n">
        <v>7</v>
      </c>
      <c r="O15" s="125" t="n">
        <v>10</v>
      </c>
      <c r="P15" s="125" t="n">
        <v>10</v>
      </c>
      <c r="Q15" s="125" t="n">
        <v>9</v>
      </c>
      <c r="R15" s="125" t="n">
        <v>9</v>
      </c>
      <c r="S15" s="125" t="n">
        <v>9</v>
      </c>
      <c r="T15" s="125" t="n">
        <v>9</v>
      </c>
      <c r="U15" s="125" t="n">
        <v>8</v>
      </c>
      <c r="V15" s="125" t="n">
        <v>7</v>
      </c>
      <c r="W15" s="125" t="n">
        <v>7</v>
      </c>
      <c r="X15" s="125" t="n">
        <v>7</v>
      </c>
      <c r="Y15" s="125" t="n">
        <v>6</v>
      </c>
      <c r="Z15" s="125" t="n">
        <v>5</v>
      </c>
      <c r="AA15" s="380">
        <f>Y15+IF(NOT(ISBLANK(OFFSET(AA15,0,6))),N(OFFSET(AA15,0,6)),N(OFFSET(AA15,0,7)))-Z15</f>
        <v/>
      </c>
      <c r="AB15" s="608" t="n"/>
      <c r="AC15" s="78" t="n"/>
      <c r="AD15" s="78" t="n"/>
      <c r="AE15" s="608" t="n"/>
      <c r="AF15" s="32" t="n"/>
      <c r="AG15" s="608" t="n"/>
      <c r="AH15" s="304" t="n">
        <v>0</v>
      </c>
      <c r="AI15" s="304" t="n"/>
      <c r="AJ15" s="304" t="n"/>
      <c r="AK15" s="304" t="n">
        <v>0</v>
      </c>
      <c r="AL15" s="19" t="n"/>
      <c r="AM15" s="119" t="n">
        <v>6</v>
      </c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>
        <v>8</v>
      </c>
      <c r="AZ15" s="19" t="n">
        <v>3</v>
      </c>
      <c r="BA15" s="19" t="n">
        <v>2</v>
      </c>
      <c r="BB15" s="19" t="n"/>
      <c r="BD15" s="21" t="inlineStr">
        <is>
          <t>ADESIVOS</t>
        </is>
      </c>
      <c r="BE15" s="6" t="n">
        <v>200</v>
      </c>
      <c r="BF15" s="39">
        <f>AM15</f>
        <v/>
      </c>
      <c r="BG15" s="39" t="n">
        <v>6</v>
      </c>
      <c r="BH15" s="39" t="n">
        <v>6</v>
      </c>
      <c r="BI15" s="39" t="n">
        <v>4</v>
      </c>
      <c r="BJ15" s="39" t="n">
        <v>4</v>
      </c>
      <c r="BK15" s="39" t="n">
        <v>0</v>
      </c>
      <c r="BL15" s="26">
        <f>BJ15+IF(NOT(ISBLANK(OFFSET(BL15,0,6))),N(OFFSET(BL15,0,6)),N(OFFSET(BL15,0,7)))-BK15</f>
        <v/>
      </c>
    </row>
    <row r="16" customFormat="1" s="3">
      <c r="A16" s="25" t="inlineStr">
        <is>
          <t xml:space="preserve">TAGS </t>
        </is>
      </c>
      <c r="B16" s="6" t="n">
        <v>200</v>
      </c>
      <c r="C16" s="632" t="n">
        <v>10.28</v>
      </c>
      <c r="D16" s="240" t="n">
        <v>6</v>
      </c>
      <c r="E16" s="1" t="n"/>
      <c r="F16" s="125" t="n">
        <v>11</v>
      </c>
      <c r="G16" s="125" t="n">
        <v>8</v>
      </c>
      <c r="H16" s="125" t="n">
        <v>7</v>
      </c>
      <c r="I16" s="125" t="n">
        <v>6</v>
      </c>
      <c r="J16" s="125" t="n">
        <v>11</v>
      </c>
      <c r="K16" s="125" t="n">
        <v>11</v>
      </c>
      <c r="L16" s="125" t="n">
        <v>9</v>
      </c>
      <c r="M16" s="125" t="n">
        <v>8</v>
      </c>
      <c r="N16" s="125" t="n">
        <v>7</v>
      </c>
      <c r="O16" s="125" t="n">
        <v>7</v>
      </c>
      <c r="P16" s="125" t="n">
        <v>6</v>
      </c>
      <c r="Q16" s="125" t="n">
        <v>5</v>
      </c>
      <c r="R16" s="125" t="n">
        <v>4</v>
      </c>
      <c r="S16" s="125" t="n">
        <v>4</v>
      </c>
      <c r="T16" s="125" t="n">
        <v>3</v>
      </c>
      <c r="U16" s="125" t="n">
        <v>2</v>
      </c>
      <c r="V16" s="125" t="n">
        <v>2</v>
      </c>
      <c r="W16" s="125" t="n">
        <v>2</v>
      </c>
      <c r="X16" s="125" t="n">
        <v>0</v>
      </c>
      <c r="Y16" s="125">
        <f>0+AK16+5+4-3</f>
        <v/>
      </c>
      <c r="Z16" s="125" t="n">
        <v>12</v>
      </c>
      <c r="AA16" s="380">
        <f>Y16+IF(NOT(ISBLANK(OFFSET(AA16,0,6))),N(OFFSET(AA16,0,6)),N(OFFSET(AA16,0,7)))-Z16</f>
        <v/>
      </c>
      <c r="AB16" s="1" t="n"/>
      <c r="AC16" s="78" t="inlineStr">
        <is>
          <t>02 P/ JDM + 01 P/ BR + 02 P/ ERJ + 01 P/ ER SM</t>
        </is>
      </c>
      <c r="AD16" s="78" t="n"/>
      <c r="AE16" s="1" t="n"/>
      <c r="AF16" s="32" t="n"/>
      <c r="AG16" s="1" t="n"/>
      <c r="AH16" s="19" t="n">
        <v>0</v>
      </c>
      <c r="AI16" s="260" t="inlineStr">
        <is>
          <t>03 P/ ERJ</t>
        </is>
      </c>
      <c r="AJ16" s="260" t="inlineStr">
        <is>
          <t>05 DE IT + 04 DE DC</t>
        </is>
      </c>
      <c r="AK16" s="19" t="n">
        <v>6</v>
      </c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>
        <v>4</v>
      </c>
      <c r="AW16" s="19" t="n"/>
      <c r="AX16" s="19" t="n"/>
      <c r="AY16" s="19" t="n">
        <v>6</v>
      </c>
      <c r="AZ16" s="19" t="n"/>
      <c r="BA16" s="19" t="n"/>
      <c r="BB16" s="19" t="n">
        <v>6</v>
      </c>
    </row>
    <row r="17" customFormat="1" s="3">
      <c r="A17" s="25" t="inlineStr">
        <is>
          <t>LÂMINA OLFATIVA</t>
        </is>
      </c>
      <c r="B17" s="6" t="n">
        <v>3000</v>
      </c>
      <c r="C17" s="632" t="n">
        <v>71.8</v>
      </c>
      <c r="D17" s="240" t="n">
        <v>4</v>
      </c>
      <c r="E17" s="1" t="n"/>
      <c r="F17" s="125" t="n">
        <v>5</v>
      </c>
      <c r="G17" s="125" t="n">
        <v>8</v>
      </c>
      <c r="H17" s="125" t="n">
        <v>7</v>
      </c>
      <c r="I17" s="125" t="n">
        <v>11</v>
      </c>
      <c r="J17" s="125" t="n">
        <v>11</v>
      </c>
      <c r="K17" s="125" t="n">
        <v>11</v>
      </c>
      <c r="L17" s="125" t="n">
        <v>10</v>
      </c>
      <c r="M17" s="125" t="n">
        <v>8</v>
      </c>
      <c r="N17" s="125" t="n">
        <v>8</v>
      </c>
      <c r="O17" s="125" t="n">
        <v>8</v>
      </c>
      <c r="P17" s="125" t="n">
        <v>7</v>
      </c>
      <c r="Q17" s="125" t="n">
        <v>6</v>
      </c>
      <c r="R17" s="125" t="n">
        <v>6</v>
      </c>
      <c r="S17" s="125" t="n">
        <v>5</v>
      </c>
      <c r="T17" s="125" t="n">
        <v>4</v>
      </c>
      <c r="U17" s="125" t="n">
        <v>3</v>
      </c>
      <c r="V17" s="125">
        <f>2+AL17</f>
        <v/>
      </c>
      <c r="W17" s="125" t="n">
        <v>4</v>
      </c>
      <c r="X17" s="125" t="n">
        <v>4</v>
      </c>
      <c r="Y17" s="125" t="n">
        <v>3</v>
      </c>
      <c r="Z17" s="125" t="n">
        <v>2</v>
      </c>
      <c r="AA17" s="380">
        <f>Y17+IF(NOT(ISBLANK(OFFSET(AA17,0,6))),N(OFFSET(AA17,0,6)),N(OFFSET(AA17,0,7)))-Z17</f>
        <v/>
      </c>
      <c r="AB17" s="1" t="n"/>
      <c r="AC17" s="78" t="n"/>
      <c r="AD17" s="78" t="n"/>
      <c r="AE17" s="1" t="n"/>
      <c r="AF17" s="32" t="n">
        <v>2</v>
      </c>
      <c r="AG17" s="1" t="n"/>
      <c r="AH17" s="19" t="n">
        <v>0</v>
      </c>
      <c r="AI17" s="19" t="n"/>
      <c r="AJ17" s="19" t="n"/>
      <c r="AK17" s="19" t="n">
        <v>0</v>
      </c>
      <c r="AL17" s="19" t="n">
        <v>2</v>
      </c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>
        <v>5</v>
      </c>
      <c r="AX17" s="19" t="n"/>
      <c r="AY17" s="19" t="n"/>
      <c r="AZ17" s="19" t="n">
        <v>6</v>
      </c>
      <c r="BA17" s="19" t="n">
        <v>4</v>
      </c>
      <c r="BB17" s="19" t="n">
        <v>2</v>
      </c>
    </row>
    <row r="18" ht="14.25" customFormat="1" customHeight="1" s="3">
      <c r="A18" s="23" t="n"/>
      <c r="D18" s="277" t="n"/>
      <c r="AC18" s="398" t="n"/>
      <c r="AD18" s="398" t="n"/>
      <c r="AF18" s="352" t="n"/>
      <c r="AH18" s="396" t="n"/>
      <c r="AI18" s="396" t="n"/>
      <c r="AJ18" s="396" t="n"/>
      <c r="AK18" s="396" t="n"/>
      <c r="AL18" s="396" t="n"/>
      <c r="AM18" s="396" t="n"/>
      <c r="AN18" s="396" t="n"/>
      <c r="AO18" s="396" t="n"/>
      <c r="AP18" s="396" t="n"/>
      <c r="AQ18" s="396" t="n"/>
      <c r="AR18" s="396" t="n"/>
      <c r="AS18" s="396" t="n"/>
      <c r="AT18" s="396" t="n"/>
      <c r="AU18" s="396" t="n"/>
      <c r="AV18" s="396" t="n"/>
      <c r="AW18" s="396" t="n"/>
      <c r="AX18" s="396" t="n"/>
      <c r="AY18" s="396" t="n"/>
      <c r="AZ18" s="396" t="n"/>
      <c r="BA18" s="396" t="n"/>
      <c r="BB18" s="396" t="n"/>
    </row>
    <row r="19" customFormat="1" s="3">
      <c r="A19" s="548" t="inlineStr">
        <is>
          <t>CAIXAS</t>
        </is>
      </c>
      <c r="B19" s="12" t="n"/>
      <c r="C19" s="654" t="n"/>
      <c r="D19" s="403" t="n"/>
      <c r="E19" s="1" t="n"/>
      <c r="F19" s="619" t="n">
        <v>46013</v>
      </c>
      <c r="G19" s="619" t="n">
        <v>46020</v>
      </c>
      <c r="H19" s="619" t="n">
        <v>46027</v>
      </c>
      <c r="I19" s="619" t="n">
        <v>46034</v>
      </c>
      <c r="J19" s="619" t="n">
        <v>46041</v>
      </c>
      <c r="K19" s="619" t="n">
        <v>46048</v>
      </c>
      <c r="L19" s="619" t="n">
        <v>46055</v>
      </c>
      <c r="M19" s="619" t="n">
        <v>46062</v>
      </c>
      <c r="N19" s="619" t="n">
        <v>46069</v>
      </c>
      <c r="O19" s="619" t="n">
        <v>46076</v>
      </c>
      <c r="P19" s="619" t="n">
        <v>46083</v>
      </c>
      <c r="Q19" s="619" t="n">
        <v>46090</v>
      </c>
      <c r="R19" s="619" t="n">
        <v>46097</v>
      </c>
      <c r="S19" s="619" t="n">
        <v>46104</v>
      </c>
      <c r="T19" s="619" t="n">
        <v>46111</v>
      </c>
      <c r="U19" s="619" t="n">
        <v>46118</v>
      </c>
      <c r="V19" s="619" t="n">
        <v>46125</v>
      </c>
      <c r="W19" s="619" t="n">
        <v>46132</v>
      </c>
      <c r="X19" s="619" t="n">
        <v>46139</v>
      </c>
      <c r="Y19" s="619" t="n">
        <v>46146</v>
      </c>
      <c r="Z19" s="619" t="n">
        <v>46154</v>
      </c>
      <c r="AA19" s="621" t="inlineStr">
        <is>
          <t>USOU</t>
        </is>
      </c>
      <c r="AB19" s="1" t="n"/>
      <c r="AC19" s="29" t="inlineStr">
        <is>
          <t>Pendências</t>
        </is>
      </c>
      <c r="AD19" s="29" t="inlineStr">
        <is>
          <t>Pendências</t>
        </is>
      </c>
      <c r="AE19" s="11" t="n"/>
      <c r="AF19" s="9" t="inlineStr">
        <is>
          <t>Novo Pedido</t>
        </is>
      </c>
      <c r="AG19" s="1" t="n"/>
      <c r="AH19" s="614" t="n"/>
      <c r="AI19" s="615" t="n">
        <v>46148</v>
      </c>
      <c r="AJ19" s="615" t="n">
        <v>46148</v>
      </c>
      <c r="AK19" s="614" t="n">
        <v>46142</v>
      </c>
      <c r="AL19" s="614" t="n">
        <v>46114</v>
      </c>
      <c r="AM19" s="616" t="n">
        <v>46065</v>
      </c>
      <c r="AN19" s="614" t="n">
        <v>46099</v>
      </c>
      <c r="AO19" s="614" t="n">
        <v>46092</v>
      </c>
      <c r="AP19" s="614" t="n">
        <v>46084</v>
      </c>
      <c r="AQ19" s="614" t="n">
        <v>46071</v>
      </c>
      <c r="AR19" s="614" t="n">
        <v>46056</v>
      </c>
      <c r="AS19" s="614" t="n">
        <v>46048</v>
      </c>
      <c r="AT19" s="614" t="n">
        <v>46035</v>
      </c>
      <c r="AU19" s="617" t="n">
        <v>46037</v>
      </c>
      <c r="AV19" s="614" t="n">
        <v>46024</v>
      </c>
      <c r="AW19" s="614" t="n">
        <v>46017</v>
      </c>
      <c r="AX19" s="617" t="n">
        <v>46027</v>
      </c>
      <c r="AY19" s="614" t="n">
        <v>46007</v>
      </c>
      <c r="AZ19" s="614" t="n">
        <v>46001</v>
      </c>
      <c r="BA19" s="614" t="n">
        <v>45994</v>
      </c>
      <c r="BB19" s="614" t="n">
        <v>45986</v>
      </c>
      <c r="BD19" s="397" t="inlineStr">
        <is>
          <t>CAIXAS</t>
        </is>
      </c>
      <c r="BE19" s="384" t="inlineStr">
        <is>
          <t>PCT</t>
        </is>
      </c>
      <c r="BF19" s="619" t="n">
        <v>46118</v>
      </c>
      <c r="BG19" s="619" t="n">
        <v>46125</v>
      </c>
      <c r="BH19" s="619" t="n">
        <v>46132</v>
      </c>
      <c r="BI19" s="619" t="n">
        <v>46139</v>
      </c>
      <c r="BJ19" s="619" t="n">
        <v>46146</v>
      </c>
      <c r="BK19" s="619" t="n">
        <v>46154</v>
      </c>
      <c r="BL19" s="621" t="inlineStr">
        <is>
          <t>USOU</t>
        </is>
      </c>
    </row>
    <row r="20" ht="18" customFormat="1" customHeight="1" s="3">
      <c r="A20" s="25" t="inlineStr">
        <is>
          <t>CAIXA P VERDE</t>
        </is>
      </c>
      <c r="B20" s="6" t="n">
        <v>150</v>
      </c>
      <c r="C20" s="627" t="n">
        <v>334.31</v>
      </c>
      <c r="D20" s="240" t="n">
        <v>200</v>
      </c>
      <c r="E20" s="1" t="n"/>
      <c r="F20" s="27" t="n">
        <v>458</v>
      </c>
      <c r="G20" s="27" t="n">
        <v>455</v>
      </c>
      <c r="H20" s="27" t="n">
        <v>455</v>
      </c>
      <c r="I20" s="27" t="n">
        <v>455</v>
      </c>
      <c r="J20" s="27" t="n">
        <v>283</v>
      </c>
      <c r="K20" s="27" t="n">
        <v>290</v>
      </c>
      <c r="L20" s="27" t="n">
        <v>204</v>
      </c>
      <c r="M20" s="27" t="n">
        <v>312</v>
      </c>
      <c r="N20" s="27" t="n">
        <v>299</v>
      </c>
      <c r="O20" s="27" t="n">
        <v>288</v>
      </c>
      <c r="P20" s="27" t="n">
        <v>264</v>
      </c>
      <c r="Q20" s="27" t="n">
        <v>221</v>
      </c>
      <c r="R20" s="27" t="n">
        <v>174</v>
      </c>
      <c r="S20" s="27">
        <f>172+AN20</f>
        <v/>
      </c>
      <c r="T20" s="27" t="n">
        <v>283</v>
      </c>
      <c r="U20" s="27" t="n"/>
      <c r="V20" s="27" t="n"/>
      <c r="W20" s="27" t="n"/>
      <c r="X20" s="27" t="n">
        <v>243</v>
      </c>
      <c r="Y20" s="27" t="n">
        <v>243</v>
      </c>
      <c r="Z20" s="27" t="n">
        <v>243</v>
      </c>
      <c r="AA20" s="380">
        <f>Y20+IF(NOT(ISBLANK(OFFSET(AA20,0,6))),N(OFFSET(AA20,0,6)),N(OFFSET(AA20,0,7)))-Z20</f>
        <v/>
      </c>
      <c r="AB20" s="1" t="n"/>
      <c r="AC20" s="78" t="n"/>
      <c r="AD20" s="78" t="n"/>
      <c r="AE20" s="1" t="n"/>
      <c r="AF20" s="32" t="n"/>
      <c r="AG20" s="1" t="n"/>
      <c r="AH20" s="19" t="n">
        <v>0</v>
      </c>
      <c r="AI20" s="19" t="n"/>
      <c r="AJ20" s="19" t="n"/>
      <c r="AK20" s="19" t="n">
        <v>0</v>
      </c>
      <c r="AL20" s="19" t="n"/>
      <c r="AM20" s="119" t="n">
        <v>150</v>
      </c>
      <c r="AN20" s="19" t="n">
        <v>150</v>
      </c>
      <c r="AO20" s="19" t="n"/>
      <c r="AP20" s="19" t="n"/>
      <c r="AQ20" s="19" t="n"/>
      <c r="AR20" s="19" t="n">
        <v>150</v>
      </c>
      <c r="AS20" s="19" t="n"/>
      <c r="AT20" s="19" t="n"/>
      <c r="AU20" s="19" t="n"/>
      <c r="AV20" s="19" t="n"/>
      <c r="AW20" s="19" t="n"/>
      <c r="AX20" s="19" t="n"/>
      <c r="AY20" s="19" t="n">
        <v>300</v>
      </c>
      <c r="AZ20" s="19" t="n"/>
      <c r="BA20" s="19" t="n"/>
      <c r="BB20" s="19" t="n"/>
      <c r="BD20" s="372" t="inlineStr">
        <is>
          <t>CAIXA P</t>
        </is>
      </c>
      <c r="BE20" s="139" t="n">
        <v>150</v>
      </c>
      <c r="BF20" s="39">
        <f>AM20</f>
        <v/>
      </c>
      <c r="BG20" s="39" t="n"/>
      <c r="BH20" s="39" t="n"/>
      <c r="BI20" s="39" t="n">
        <v>117</v>
      </c>
      <c r="BJ20" s="39" t="n">
        <v>97</v>
      </c>
      <c r="BK20" s="39" t="n">
        <v>10</v>
      </c>
      <c r="BL20" s="26">
        <f>BJ20+IF(NOT(ISBLANK(OFFSET(BL20,0,6))),N(OFFSET(BL20,0,6)),N(OFFSET(BL20,0,7)))-BK20</f>
        <v/>
      </c>
    </row>
    <row r="21" ht="18.75" customFormat="1" customHeight="1" s="3">
      <c r="A21" s="25" t="inlineStr">
        <is>
          <t>CAIXA M VERDE</t>
        </is>
      </c>
      <c r="B21" s="6" t="n">
        <v>100</v>
      </c>
      <c r="C21" s="634" t="n">
        <v>292.25</v>
      </c>
      <c r="D21" s="243" t="n">
        <v>200</v>
      </c>
      <c r="E21" s="1" t="n"/>
      <c r="F21" s="27" t="n">
        <v>349</v>
      </c>
      <c r="G21" s="27" t="n">
        <v>347</v>
      </c>
      <c r="H21" s="27" t="n">
        <v>347</v>
      </c>
      <c r="I21" s="27" t="n">
        <v>347</v>
      </c>
      <c r="J21" s="27" t="n">
        <v>241</v>
      </c>
      <c r="K21" s="27" t="n">
        <v>202</v>
      </c>
      <c r="L21" s="27" t="n">
        <v>98</v>
      </c>
      <c r="M21" s="27" t="n">
        <v>287</v>
      </c>
      <c r="N21" s="27" t="n">
        <v>271</v>
      </c>
      <c r="O21" s="27" t="n">
        <v>239</v>
      </c>
      <c r="P21" s="27" t="n">
        <v>206</v>
      </c>
      <c r="Q21" s="27" t="n">
        <v>146</v>
      </c>
      <c r="R21" s="27">
        <f>94+AO21</f>
        <v/>
      </c>
      <c r="S21" s="27" t="n">
        <v>268</v>
      </c>
      <c r="T21" s="27" t="n">
        <v>249</v>
      </c>
      <c r="U21" s="27" t="n"/>
      <c r="V21" s="27" t="n"/>
      <c r="W21" s="27" t="n"/>
      <c r="X21" s="27" t="n">
        <v>300</v>
      </c>
      <c r="Y21" s="27" t="n">
        <v>300</v>
      </c>
      <c r="Z21" s="27" t="n">
        <v>170</v>
      </c>
      <c r="AA21" s="380">
        <f>Y21+IF(NOT(ISBLANK(OFFSET(AA21,0,6))),N(OFFSET(AA21,0,6)),N(OFFSET(AA21,0,7)))-Z21</f>
        <v/>
      </c>
      <c r="AB21" s="1" t="n"/>
      <c r="AC21" s="78" t="n"/>
      <c r="AD21" s="78" t="n"/>
      <c r="AE21" s="1" t="n"/>
      <c r="AF21" s="32" t="n">
        <v>100</v>
      </c>
      <c r="AG21" s="1" t="n"/>
      <c r="AH21" s="19" t="n">
        <v>0</v>
      </c>
      <c r="AI21" s="19" t="n"/>
      <c r="AJ21" s="19" t="n"/>
      <c r="AK21" s="19" t="n">
        <v>0</v>
      </c>
      <c r="AL21" s="19" t="n">
        <v>100</v>
      </c>
      <c r="AM21" s="119" t="n">
        <v>200</v>
      </c>
      <c r="AN21" s="19" t="n"/>
      <c r="AO21" s="19" t="n">
        <v>200</v>
      </c>
      <c r="AP21" s="19" t="n"/>
      <c r="AQ21" s="19" t="n"/>
      <c r="AR21" s="19" t="n">
        <v>200</v>
      </c>
      <c r="AS21" s="19" t="n"/>
      <c r="AT21" s="19" t="n"/>
      <c r="AU21" s="19" t="n"/>
      <c r="AV21" s="19" t="n"/>
      <c r="AW21" s="19" t="n"/>
      <c r="AX21" s="19" t="n"/>
      <c r="AY21" s="19" t="n">
        <v>100</v>
      </c>
      <c r="AZ21" s="19" t="n"/>
      <c r="BA21" s="19" t="n"/>
      <c r="BB21" s="19" t="n"/>
      <c r="BD21" s="21" t="inlineStr">
        <is>
          <t>CAIXA M</t>
        </is>
      </c>
      <c r="BE21" s="6" t="n">
        <v>100</v>
      </c>
      <c r="BF21" s="39">
        <f>AM21</f>
        <v/>
      </c>
      <c r="BG21" s="39" t="n"/>
      <c r="BH21" s="39" t="n"/>
      <c r="BI21" s="39" t="n">
        <v>140</v>
      </c>
      <c r="BJ21" s="39" t="n">
        <v>113</v>
      </c>
      <c r="BK21" s="39" t="n">
        <v>0</v>
      </c>
      <c r="BL21" s="26">
        <f>BJ21+IF(NOT(ISBLANK(OFFSET(BL21,0,6))),N(OFFSET(BL21,0,6)),N(OFFSET(BL21,0,7)))-BK21</f>
        <v/>
      </c>
    </row>
    <row r="22" customFormat="1" s="3">
      <c r="A22" s="25" t="inlineStr">
        <is>
          <t>CAIXA G VERDE</t>
        </is>
      </c>
      <c r="B22" s="6" t="n">
        <v>75</v>
      </c>
      <c r="C22" s="632" t="n">
        <v>425.38</v>
      </c>
      <c r="D22" s="240" t="n">
        <v>30</v>
      </c>
      <c r="E22" s="608" t="n"/>
      <c r="F22" s="39" t="n">
        <v>61</v>
      </c>
      <c r="G22" s="39" t="n">
        <v>59</v>
      </c>
      <c r="H22" s="39" t="n">
        <v>59</v>
      </c>
      <c r="I22" s="39" t="n">
        <v>58</v>
      </c>
      <c r="J22" s="39" t="n">
        <v>58</v>
      </c>
      <c r="K22" s="39" t="n">
        <v>60</v>
      </c>
      <c r="L22" s="39" t="n">
        <v>60</v>
      </c>
      <c r="M22" s="39" t="n">
        <v>60</v>
      </c>
      <c r="N22" s="39" t="n">
        <v>58</v>
      </c>
      <c r="O22" s="39" t="n">
        <v>58</v>
      </c>
      <c r="P22" s="39" t="n">
        <v>58</v>
      </c>
      <c r="Q22" s="39" t="n">
        <v>58</v>
      </c>
      <c r="R22" s="39" t="n">
        <v>58</v>
      </c>
      <c r="S22" s="39" t="n">
        <v>58</v>
      </c>
      <c r="T22" s="39" t="n">
        <v>58</v>
      </c>
      <c r="U22" s="39" t="n">
        <v>58</v>
      </c>
      <c r="V22" s="39" t="n">
        <v>58</v>
      </c>
      <c r="W22" s="39" t="n">
        <v>58</v>
      </c>
      <c r="X22" s="39" t="n">
        <v>58</v>
      </c>
      <c r="Y22" s="39" t="n">
        <v>58</v>
      </c>
      <c r="Z22" s="39" t="n">
        <v>58</v>
      </c>
      <c r="AA22" s="380">
        <f>Y22+IF(NOT(ISBLANK(OFFSET(AA22,0,6))),N(OFFSET(AA22,0,6)),N(OFFSET(AA22,0,7)))-Z22</f>
        <v/>
      </c>
      <c r="AB22" s="608" t="n"/>
      <c r="AC22" s="287" t="n"/>
      <c r="AD22" s="287" t="n"/>
      <c r="AE22" s="608" t="n"/>
      <c r="AF22" s="32" t="n"/>
      <c r="AG22" s="608" t="n"/>
      <c r="AH22" s="19" t="n">
        <v>0</v>
      </c>
      <c r="AI22" s="19" t="n"/>
      <c r="AJ22" s="19" t="n"/>
      <c r="AK22" s="19" t="n">
        <v>0</v>
      </c>
      <c r="AL22" s="19" t="n"/>
      <c r="AM22" s="119" t="n">
        <v>400</v>
      </c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D22" s="22" t="inlineStr">
        <is>
          <t>CARTUCHO P</t>
        </is>
      </c>
      <c r="BE22" s="6" t="n">
        <v>200</v>
      </c>
      <c r="BF22" s="39">
        <f>AM22</f>
        <v/>
      </c>
      <c r="BG22" s="39" t="n"/>
      <c r="BH22" s="39" t="n"/>
      <c r="BI22" s="39" t="n">
        <v>237</v>
      </c>
      <c r="BJ22" s="39" t="n">
        <v>123</v>
      </c>
      <c r="BK22" s="39" t="n">
        <v>-4</v>
      </c>
      <c r="BL22" s="26">
        <f>BJ22+IF(NOT(ISBLANK(OFFSET(BL22,0,6))),N(OFFSET(BL22,0,6)),N(OFFSET(BL22,0,7)))-BK22</f>
        <v/>
      </c>
    </row>
    <row r="23">
      <c r="A23" s="25" t="inlineStr">
        <is>
          <t>CARTUCHO M VERDE</t>
        </is>
      </c>
      <c r="B23" s="6" t="n">
        <v>150</v>
      </c>
      <c r="C23" s="632" t="n">
        <v>427.5</v>
      </c>
      <c r="D23" s="240" t="n">
        <v>300</v>
      </c>
      <c r="E23" s="608" t="n"/>
      <c r="F23" s="39" t="n">
        <v>150</v>
      </c>
      <c r="G23" s="39" t="n">
        <v>150</v>
      </c>
      <c r="H23" s="39" t="n">
        <v>150</v>
      </c>
      <c r="I23" s="39" t="n">
        <v>150</v>
      </c>
      <c r="J23" s="39" t="n">
        <v>150</v>
      </c>
      <c r="K23" s="39" t="n">
        <v>150</v>
      </c>
      <c r="L23" s="39" t="n">
        <v>150</v>
      </c>
      <c r="M23" s="39" t="n">
        <v>84</v>
      </c>
      <c r="N23" s="39" t="n">
        <v>29</v>
      </c>
      <c r="O23" s="39" t="n">
        <v>1</v>
      </c>
      <c r="P23" s="39" t="n">
        <v>237</v>
      </c>
      <c r="Q23" s="39" t="n">
        <v>0</v>
      </c>
      <c r="R23" s="39">
        <f>145+AO23</f>
        <v/>
      </c>
      <c r="S23" s="39">
        <f>180+AN23</f>
        <v/>
      </c>
      <c r="T23" s="39" t="n">
        <v>268</v>
      </c>
      <c r="U23" s="39" t="n"/>
      <c r="V23" s="39" t="n"/>
      <c r="W23" s="39" t="n"/>
      <c r="X23" s="39" t="n">
        <v>228</v>
      </c>
      <c r="Y23" s="39" t="n">
        <v>207</v>
      </c>
      <c r="Z23" s="211" t="n">
        <v>-2</v>
      </c>
      <c r="AA23" s="380">
        <f>Y23+IF(NOT(ISBLANK(OFFSET(AA23,0,6))),N(OFFSET(AA23,0,6)),N(OFFSET(AA23,0,7)))-Z23</f>
        <v/>
      </c>
      <c r="AB23" s="608" t="n"/>
      <c r="AC23" s="78" t="n"/>
      <c r="AD23" s="78" t="n"/>
      <c r="AF23" s="32" t="n">
        <v>150</v>
      </c>
      <c r="AH23" s="19" t="n">
        <v>0</v>
      </c>
      <c r="AI23" s="19" t="n"/>
      <c r="AJ23" s="19" t="n"/>
      <c r="AK23" s="19" t="n">
        <v>0</v>
      </c>
      <c r="AL23" s="19" t="n">
        <v>150</v>
      </c>
      <c r="AM23" s="119" t="n">
        <v>300</v>
      </c>
      <c r="AN23" s="19" t="n">
        <v>150</v>
      </c>
      <c r="AO23" s="19" t="n">
        <v>150</v>
      </c>
      <c r="AP23" s="19" t="n">
        <v>150</v>
      </c>
      <c r="AQ23" s="19" t="n">
        <v>300</v>
      </c>
      <c r="AR23" s="19" t="n"/>
      <c r="AS23" s="19" t="n"/>
      <c r="AT23" s="19" t="n"/>
      <c r="AU23" s="19" t="n"/>
      <c r="AV23" s="19" t="n"/>
      <c r="AW23" s="19" t="n"/>
      <c r="AX23" s="19" t="n"/>
      <c r="AY23" s="19" t="n">
        <v>150</v>
      </c>
      <c r="AZ23" s="157" t="n"/>
      <c r="BA23" s="157" t="n"/>
      <c r="BB23" s="157" t="n"/>
      <c r="BD23" s="22" t="inlineStr">
        <is>
          <t>CARTUCHO M</t>
        </is>
      </c>
      <c r="BE23" s="6" t="n">
        <v>150</v>
      </c>
      <c r="BF23" s="39">
        <f>AM23</f>
        <v/>
      </c>
      <c r="BG23" s="39" t="n"/>
      <c r="BH23" s="39" t="n"/>
      <c r="BI23" s="39" t="n">
        <v>184</v>
      </c>
      <c r="BJ23" s="39" t="n">
        <v>154</v>
      </c>
      <c r="BK23" s="39" t="n">
        <v>-3</v>
      </c>
      <c r="BL23" s="26">
        <f>BJ23+IF(NOT(ISBLANK(OFFSET(BL23,0,6))),N(OFFSET(BL23,0,6)),N(OFFSET(BL23,0,7)))-BK23</f>
        <v/>
      </c>
    </row>
    <row r="24">
      <c r="AC24" s="355" t="n"/>
      <c r="AD24" s="355" t="n"/>
      <c r="AH24" s="11" t="n"/>
      <c r="AI24" s="11" t="n"/>
      <c r="AJ24" s="11" t="n"/>
      <c r="AK24" s="11" t="n"/>
      <c r="AL24" s="11" t="n"/>
      <c r="AM24" s="11" t="n"/>
      <c r="AN24" s="11" t="n"/>
      <c r="AO24" s="11" t="n"/>
      <c r="AP24" s="11" t="n"/>
      <c r="AQ24" s="11" t="n"/>
      <c r="AR24" s="11" t="n"/>
      <c r="AS24" s="11" t="n"/>
      <c r="AT24" s="11" t="n"/>
      <c r="AU24" s="11" t="n"/>
      <c r="AV24" s="11" t="n"/>
      <c r="AW24" s="11" t="n"/>
      <c r="AX24" s="11" t="n"/>
      <c r="AY24" s="11" t="n"/>
      <c r="AZ24" s="11" t="n"/>
      <c r="BA24" s="11" t="n"/>
      <c r="BB24" s="11" t="n"/>
    </row>
    <row r="25" ht="18.75" customHeight="1">
      <c r="A25" s="386" t="inlineStr">
        <is>
          <t>SOBRAS CAIXAS</t>
        </is>
      </c>
      <c r="B25" s="387" t="inlineStr">
        <is>
          <t>PCT</t>
        </is>
      </c>
      <c r="C25" s="387" t="inlineStr">
        <is>
          <t xml:space="preserve">R$ </t>
        </is>
      </c>
      <c r="D25" s="387" t="n"/>
      <c r="F25" s="619" t="n">
        <v>46013</v>
      </c>
      <c r="G25" s="619" t="n">
        <v>46020</v>
      </c>
      <c r="H25" s="619" t="n">
        <v>46027</v>
      </c>
      <c r="I25" s="619" t="n">
        <v>46034</v>
      </c>
      <c r="J25" s="619" t="n">
        <v>46041</v>
      </c>
      <c r="K25" s="619" t="n">
        <v>46048</v>
      </c>
      <c r="L25" s="619" t="n">
        <v>46055</v>
      </c>
      <c r="M25" s="619" t="n">
        <v>46062</v>
      </c>
      <c r="N25" s="619" t="n">
        <v>46069</v>
      </c>
      <c r="O25" s="619" t="n">
        <v>46076</v>
      </c>
      <c r="P25" s="619" t="n">
        <v>46083</v>
      </c>
      <c r="Q25" s="619" t="n">
        <v>46090</v>
      </c>
      <c r="R25" s="619" t="n">
        <v>46097</v>
      </c>
      <c r="S25" s="619" t="n">
        <v>46104</v>
      </c>
      <c r="T25" s="619" t="n">
        <v>46111</v>
      </c>
      <c r="U25" s="619" t="n">
        <v>46118</v>
      </c>
      <c r="V25" s="619" t="n">
        <v>46125</v>
      </c>
      <c r="W25" s="619" t="n">
        <v>46132</v>
      </c>
      <c r="X25" s="619" t="n">
        <v>46139</v>
      </c>
      <c r="Y25" s="619" t="n">
        <v>46146</v>
      </c>
      <c r="Z25" s="619" t="n">
        <v>46154</v>
      </c>
      <c r="AA25" s="621" t="inlineStr">
        <is>
          <t>USOU</t>
        </is>
      </c>
      <c r="AC25" s="355" t="n"/>
      <c r="AD25" s="355" t="n"/>
      <c r="AH25" s="11" t="n"/>
      <c r="AI25" s="11" t="n"/>
      <c r="AJ25" s="11" t="n"/>
      <c r="AK25" s="11" t="n"/>
      <c r="AL25" s="11" t="n"/>
      <c r="AM25" s="11" t="n"/>
      <c r="AN25" s="11" t="n"/>
      <c r="AO25" s="11" t="n"/>
      <c r="AP25" s="11" t="n"/>
      <c r="AQ25" s="11" t="n"/>
      <c r="AR25" s="11" t="n"/>
      <c r="AS25" s="11" t="n"/>
      <c r="AT25" s="11" t="n"/>
      <c r="AU25" s="11" t="n"/>
      <c r="AV25" s="11" t="n"/>
      <c r="AW25" s="11" t="n"/>
      <c r="AX25" s="11" t="n"/>
      <c r="AY25" s="11" t="n"/>
      <c r="AZ25" s="11" t="n"/>
      <c r="BA25" s="11" t="n"/>
      <c r="BB25" s="11" t="n"/>
    </row>
    <row r="26" ht="18" customHeight="1">
      <c r="A26" s="392" t="inlineStr">
        <is>
          <t>CAIXA M DIVERT./24</t>
        </is>
      </c>
      <c r="B26" s="393" t="n">
        <v>100</v>
      </c>
      <c r="C26" s="635" t="n">
        <v>790</v>
      </c>
      <c r="D26" s="404" t="n"/>
      <c r="F26" s="39" t="n">
        <v>350</v>
      </c>
      <c r="G26" s="39" t="n">
        <v>400</v>
      </c>
      <c r="H26" s="39" t="n">
        <v>301</v>
      </c>
      <c r="I26" s="39" t="n">
        <v>363</v>
      </c>
      <c r="J26" s="39" t="n">
        <v>363</v>
      </c>
      <c r="K26" s="39" t="n">
        <v>399</v>
      </c>
      <c r="L26" s="39" t="n">
        <v>349</v>
      </c>
      <c r="M26" s="39" t="n">
        <v>349</v>
      </c>
      <c r="N26" s="39" t="n">
        <v>349</v>
      </c>
      <c r="O26" s="39" t="n">
        <v>349</v>
      </c>
      <c r="P26" s="39" t="n">
        <v>349</v>
      </c>
      <c r="Q26" s="39" t="n">
        <v>349</v>
      </c>
      <c r="R26" s="211" t="n">
        <v>245</v>
      </c>
      <c r="S26" s="6" t="n">
        <v>245</v>
      </c>
      <c r="T26" s="6" t="n">
        <v>245</v>
      </c>
      <c r="U26" s="6" t="n">
        <v>245</v>
      </c>
      <c r="V26" s="6" t="n">
        <v>245</v>
      </c>
      <c r="W26" s="6" t="n">
        <v>245</v>
      </c>
      <c r="X26" s="381" t="n">
        <v>295</v>
      </c>
      <c r="Y26" s="6" t="n">
        <v>295</v>
      </c>
      <c r="Z26" s="6" t="n">
        <v>347</v>
      </c>
      <c r="AA26" s="380">
        <f>Y26+IF(NOT(ISBLANK(OFFSET(AA26,0,6))),N(OFFSET(AA26,0,6)),N(OFFSET(AA26,0,7)))-Z26</f>
        <v/>
      </c>
      <c r="AC26" s="355" t="n"/>
      <c r="AD26" s="355" t="n"/>
      <c r="AH26" s="11" t="n"/>
      <c r="AI26" s="11" t="n"/>
      <c r="AJ26" s="11" t="n"/>
      <c r="AK26" s="11" t="n"/>
      <c r="AL26" s="11" t="n"/>
      <c r="AM26" s="11" t="n"/>
      <c r="AN26" s="11" t="n"/>
      <c r="AO26" s="11" t="n"/>
      <c r="AP26" s="11" t="n"/>
      <c r="AQ26" s="11" t="n"/>
      <c r="AR26" s="11" t="n"/>
      <c r="AS26" s="11" t="n"/>
      <c r="AT26" s="11" t="n"/>
      <c r="AU26" s="11" t="n"/>
      <c r="AV26" s="11" t="n"/>
      <c r="AW26" s="11" t="n"/>
      <c r="AX26" s="11" t="n"/>
      <c r="AY26" s="11" t="n"/>
      <c r="AZ26" s="11" t="n"/>
      <c r="BA26" s="11" t="n"/>
      <c r="BB26" s="11" t="n"/>
    </row>
    <row r="27">
      <c r="A27" s="412" t="inlineStr">
        <is>
          <t>CAIXA DORAMA/25</t>
        </is>
      </c>
      <c r="B27" s="413" t="n">
        <v>100</v>
      </c>
      <c r="C27" s="655" t="n">
        <v>841.1</v>
      </c>
      <c r="D27" s="404" t="n"/>
      <c r="F27" s="6" t="n">
        <v>12</v>
      </c>
      <c r="G27" s="6" t="n">
        <v>11</v>
      </c>
      <c r="H27" s="6" t="n">
        <v>10</v>
      </c>
      <c r="I27" s="6" t="n">
        <v>9</v>
      </c>
      <c r="J27" s="6" t="n">
        <v>9</v>
      </c>
      <c r="K27" s="6" t="n">
        <v>9</v>
      </c>
      <c r="L27" s="6" t="n">
        <v>9</v>
      </c>
      <c r="M27" s="6" t="n">
        <v>9</v>
      </c>
      <c r="N27" s="6" t="n">
        <v>8</v>
      </c>
      <c r="O27" s="6" t="n">
        <v>8</v>
      </c>
      <c r="P27" s="6" t="n">
        <v>8</v>
      </c>
      <c r="Q27" s="6" t="n">
        <v>8</v>
      </c>
      <c r="R27" s="6" t="n">
        <v>8</v>
      </c>
      <c r="S27" s="6" t="n">
        <v>8</v>
      </c>
      <c r="T27" s="6" t="n">
        <v>8</v>
      </c>
      <c r="U27" s="6" t="n">
        <v>8</v>
      </c>
      <c r="V27" s="6" t="n">
        <v>8</v>
      </c>
      <c r="W27" s="6" t="n">
        <v>8</v>
      </c>
      <c r="X27" s="6" t="n">
        <v>8</v>
      </c>
      <c r="Y27" s="6" t="n">
        <v>8</v>
      </c>
      <c r="Z27" s="6" t="n">
        <v>8</v>
      </c>
      <c r="AA27" s="380">
        <f>Y27+IF(NOT(ISBLANK(OFFSET(AA27,0,6))),N(OFFSET(AA27,0,6)),N(OFFSET(AA27,0,7)))-Z27</f>
        <v/>
      </c>
      <c r="AC27" s="41" t="n"/>
      <c r="AD27" s="41" t="n"/>
      <c r="AH27" s="11" t="n"/>
      <c r="AI27" s="11" t="n"/>
      <c r="AJ27" s="11" t="n"/>
      <c r="AK27" s="11" t="n"/>
      <c r="AL27" s="11" t="n"/>
      <c r="AM27" s="11" t="n"/>
      <c r="AN27" s="11" t="n"/>
      <c r="AO27" s="11" t="n"/>
      <c r="AP27" s="11" t="n"/>
      <c r="AQ27" s="11" t="n"/>
      <c r="AR27" s="11" t="n"/>
      <c r="AS27" s="11" t="n"/>
      <c r="AT27" s="11" t="n"/>
      <c r="AU27" s="41" t="n"/>
      <c r="AV27" s="11" t="n"/>
      <c r="AW27" s="11" t="n"/>
      <c r="AX27" s="41" t="n"/>
      <c r="AY27" s="41" t="n"/>
      <c r="AZ27" s="41" t="n"/>
      <c r="BA27" s="41" t="n"/>
      <c r="BB27" s="41" t="n"/>
    </row>
    <row r="28">
      <c r="A28" s="25" t="inlineStr">
        <is>
          <t>CAIXA P NATAL/25</t>
        </is>
      </c>
      <c r="B28" s="6" t="n">
        <v>150</v>
      </c>
      <c r="C28" s="639" t="n">
        <v>805.35</v>
      </c>
      <c r="D28" s="404" t="n"/>
      <c r="F28" s="6" t="n">
        <v>156</v>
      </c>
      <c r="G28" s="6" t="n">
        <v>63</v>
      </c>
      <c r="H28" s="6" t="n">
        <v>42</v>
      </c>
      <c r="I28" s="6" t="n">
        <v>6</v>
      </c>
      <c r="J28" s="6" t="n">
        <v>0</v>
      </c>
      <c r="K28" s="381" t="n">
        <v>24</v>
      </c>
      <c r="L28" s="6" t="n">
        <v>24</v>
      </c>
      <c r="M28" s="6" t="n">
        <v>21</v>
      </c>
      <c r="N28" s="6" t="n">
        <v>21</v>
      </c>
      <c r="O28" s="6" t="n">
        <v>18</v>
      </c>
      <c r="P28" s="6" t="n">
        <v>17</v>
      </c>
      <c r="Q28" s="6" t="n">
        <v>6</v>
      </c>
      <c r="R28" s="6" t="n">
        <v>6</v>
      </c>
      <c r="S28" s="6" t="n">
        <v>8</v>
      </c>
      <c r="T28" s="6" t="n">
        <v>7</v>
      </c>
      <c r="U28" s="6" t="n"/>
      <c r="V28" s="6" t="n"/>
      <c r="W28" s="6" t="n"/>
      <c r="X28" s="6" t="n">
        <v>4</v>
      </c>
      <c r="Y28" s="6" t="n">
        <v>4</v>
      </c>
      <c r="Z28" s="6" t="n">
        <v>4</v>
      </c>
      <c r="AA28" s="380">
        <f>Y28+IF(NOT(ISBLANK(OFFSET(AA28,0,6))),N(OFFSET(AA28,0,6)),N(OFFSET(AA28,0,7)))-Z28</f>
        <v/>
      </c>
      <c r="AC28" s="41" t="n"/>
      <c r="AD28" s="41" t="n"/>
      <c r="AH28" s="11" t="n"/>
      <c r="AI28" s="11" t="n"/>
      <c r="AJ28" s="11" t="n"/>
      <c r="AK28" s="11" t="n"/>
      <c r="AL28" s="11" t="n"/>
      <c r="AM28" s="11" t="n"/>
      <c r="AN28" s="11" t="n"/>
      <c r="AO28" s="11" t="n"/>
      <c r="AP28" s="11" t="n"/>
      <c r="AQ28" s="11" t="n"/>
      <c r="AR28" s="11" t="n"/>
      <c r="AS28" s="11" t="n"/>
      <c r="AT28" s="11" t="n"/>
      <c r="AU28" s="41" t="n"/>
      <c r="AV28" s="11" t="n"/>
      <c r="AW28" s="11" t="n"/>
      <c r="AX28" s="41" t="n"/>
      <c r="AY28" s="41" t="n"/>
      <c r="AZ28" s="41" t="n"/>
      <c r="BA28" s="41" t="n"/>
      <c r="BB28" s="41" t="n"/>
    </row>
    <row r="29">
      <c r="A29" s="25" t="inlineStr">
        <is>
          <t>CAIXA M NATAL/25</t>
        </is>
      </c>
      <c r="B29" s="6" t="n">
        <v>100</v>
      </c>
      <c r="C29" s="639" t="n">
        <v>792.2</v>
      </c>
      <c r="D29" s="404" t="n"/>
      <c r="F29" s="6" t="n">
        <v>296</v>
      </c>
      <c r="G29" s="6" t="n">
        <v>228</v>
      </c>
      <c r="H29" s="6" t="n">
        <v>197</v>
      </c>
      <c r="I29" s="6" t="n">
        <v>144</v>
      </c>
      <c r="J29" s="6" t="n">
        <v>125</v>
      </c>
      <c r="K29" s="6" t="n">
        <v>90</v>
      </c>
      <c r="L29" s="6" t="n">
        <v>83</v>
      </c>
      <c r="M29" s="6" t="n">
        <v>76</v>
      </c>
      <c r="N29" s="6" t="n">
        <v>74</v>
      </c>
      <c r="O29" s="6" t="n">
        <v>79</v>
      </c>
      <c r="P29" s="6" t="n">
        <v>79</v>
      </c>
      <c r="Q29" s="6" t="n">
        <v>76</v>
      </c>
      <c r="R29" s="6" t="n">
        <v>76</v>
      </c>
      <c r="S29" s="6" t="n">
        <v>76</v>
      </c>
      <c r="T29" s="6" t="n">
        <v>76</v>
      </c>
      <c r="U29" s="6" t="n"/>
      <c r="V29" s="6" t="n"/>
      <c r="W29" s="6" t="n"/>
      <c r="X29" s="6" t="n">
        <v>73</v>
      </c>
      <c r="Y29" s="6" t="n">
        <v>73</v>
      </c>
      <c r="Z29" s="6" t="n">
        <v>32</v>
      </c>
      <c r="AA29" s="380">
        <f>Y29+IF(NOT(ISBLANK(OFFSET(AA29,0,6))),N(OFFSET(AA29,0,6)),N(OFFSET(AA29,0,7)))-Z29</f>
        <v/>
      </c>
      <c r="AC29" s="41" t="n"/>
      <c r="AD29" s="41" t="n"/>
      <c r="AH29" s="11" t="n"/>
      <c r="AI29" s="11" t="n"/>
      <c r="AJ29" s="11" t="n"/>
      <c r="AK29" s="11" t="n"/>
      <c r="AL29" s="11" t="n"/>
      <c r="AM29" s="11" t="n"/>
      <c r="AN29" s="11" t="n"/>
      <c r="AO29" s="11" t="n"/>
      <c r="AP29" s="11" t="n"/>
      <c r="AQ29" s="11" t="n"/>
      <c r="AR29" s="11" t="n"/>
      <c r="AS29" s="11" t="n"/>
      <c r="AT29" s="11" t="n"/>
      <c r="AU29" s="41" t="n"/>
      <c r="AV29" s="11" t="n"/>
      <c r="AW29" s="11" t="n"/>
      <c r="AX29" s="41" t="n"/>
      <c r="AY29" s="41" t="n"/>
      <c r="AZ29" s="41" t="n"/>
      <c r="BA29" s="41" t="n"/>
      <c r="BB29" s="41" t="n"/>
    </row>
    <row r="30" hidden="1">
      <c r="A30" s="25" t="inlineStr">
        <is>
          <t>CARTUCHO P NATAL/25</t>
        </is>
      </c>
      <c r="B30" s="6" t="n">
        <v>200</v>
      </c>
      <c r="C30" s="639" t="n">
        <v>487.2</v>
      </c>
      <c r="D30" s="404" t="n"/>
      <c r="F30" s="6" t="n">
        <v>103</v>
      </c>
      <c r="G30" s="6" t="n">
        <v>84</v>
      </c>
      <c r="H30" s="6" t="n">
        <v>84</v>
      </c>
      <c r="I30" s="6" t="n">
        <v>0</v>
      </c>
      <c r="J30" s="6" t="n">
        <v>0</v>
      </c>
      <c r="K30" s="6" t="n">
        <v>0</v>
      </c>
      <c r="L30" s="6" t="n"/>
      <c r="M30" s="6" t="n"/>
      <c r="N30" s="6" t="n"/>
      <c r="O30" s="6" t="n"/>
      <c r="P30" s="6" t="n"/>
      <c r="Q30" s="6" t="n"/>
      <c r="R30" s="6" t="n"/>
      <c r="S30" s="6" t="n"/>
      <c r="T30" s="6" t="n"/>
      <c r="U30" s="6" t="n"/>
      <c r="V30" s="6" t="n"/>
      <c r="W30" s="6" t="n"/>
      <c r="X30" s="6" t="n"/>
      <c r="Y30" s="6" t="n"/>
      <c r="Z30" s="6" t="n"/>
      <c r="AA30" s="380">
        <f>Y30+IF(NOT(ISBLANK(OFFSET(AA30,0,6))),N(OFFSET(AA30,0,6)),N(OFFSET(AA30,0,7)))-Z30</f>
        <v/>
      </c>
      <c r="AC30" s="41" t="n"/>
      <c r="AD30" s="41" t="n"/>
      <c r="AH30" s="11" t="n"/>
      <c r="AI30" s="11" t="n"/>
      <c r="AJ30" s="11" t="n"/>
      <c r="AK30" s="11" t="n"/>
      <c r="AL30" s="11" t="n"/>
      <c r="AM30" s="11" t="n"/>
      <c r="AN30" s="11" t="n"/>
      <c r="AO30" s="11" t="n"/>
      <c r="AP30" s="11" t="n"/>
      <c r="AQ30" s="11" t="n"/>
      <c r="AR30" s="11" t="n"/>
      <c r="AS30" s="11" t="n"/>
      <c r="AT30" s="11" t="n"/>
      <c r="AU30" s="41" t="n"/>
      <c r="AV30" s="11" t="n"/>
      <c r="AW30" s="11" t="n"/>
      <c r="AX30" s="41" t="n"/>
      <c r="AY30" s="41" t="n"/>
      <c r="AZ30" s="41" t="n"/>
      <c r="BA30" s="41" t="n"/>
      <c r="BB30" s="41" t="n"/>
    </row>
    <row r="31" hidden="1">
      <c r="A31" s="25" t="inlineStr">
        <is>
          <t>CARTUCHO M NATAL/25</t>
        </is>
      </c>
      <c r="B31" s="6" t="n">
        <v>150</v>
      </c>
      <c r="C31" s="639" t="n">
        <v>460.35</v>
      </c>
      <c r="D31" s="404" t="n"/>
      <c r="F31" s="6" t="n">
        <v>51</v>
      </c>
      <c r="G31" s="6" t="n">
        <v>-88</v>
      </c>
      <c r="H31" s="6" t="n">
        <v>0</v>
      </c>
      <c r="I31" s="6" t="n">
        <v>0</v>
      </c>
      <c r="J31" s="6" t="n">
        <v>0</v>
      </c>
      <c r="K31" s="6" t="n">
        <v>0</v>
      </c>
      <c r="L31" s="6" t="n"/>
      <c r="M31" s="6" t="n"/>
      <c r="N31" s="6" t="n"/>
      <c r="O31" s="6" t="n"/>
      <c r="P31" s="6" t="n"/>
      <c r="Q31" s="6" t="n"/>
      <c r="R31" s="6" t="n"/>
      <c r="S31" s="6" t="n"/>
      <c r="T31" s="6" t="n"/>
      <c r="U31" s="6" t="n"/>
      <c r="V31" s="6" t="n"/>
      <c r="W31" s="6" t="n"/>
      <c r="X31" s="6" t="n"/>
      <c r="Y31" s="6" t="n"/>
      <c r="Z31" s="6" t="n"/>
      <c r="AA31" s="380">
        <f>Y31+IF(NOT(ISBLANK(OFFSET(AA31,0,6))),N(OFFSET(AA31,0,6)),N(OFFSET(AA31,0,7)))-Z31</f>
        <v/>
      </c>
      <c r="AC31" s="41" t="n"/>
      <c r="AD31" s="41" t="n"/>
      <c r="AH31" s="11" t="n"/>
      <c r="AI31" s="11" t="n"/>
      <c r="AJ31" s="11" t="n"/>
      <c r="AK31" s="11" t="n"/>
      <c r="AL31" s="11" t="n"/>
      <c r="AM31" s="11" t="n"/>
      <c r="AN31" s="11" t="n"/>
      <c r="AO31" s="11" t="n"/>
      <c r="AP31" s="11" t="n"/>
      <c r="AQ31" s="11" t="n"/>
      <c r="AR31" s="11" t="n"/>
      <c r="AS31" s="11" t="n"/>
      <c r="AT31" s="11" t="n"/>
      <c r="AU31" s="41" t="n"/>
      <c r="AV31" s="11" t="n"/>
      <c r="AW31" s="11" t="n"/>
      <c r="AX31" s="41" t="n"/>
      <c r="AY31" s="41" t="n"/>
      <c r="AZ31" s="41" t="n"/>
      <c r="BA31" s="41" t="n"/>
      <c r="BB31" s="41" t="n"/>
    </row>
    <row r="32">
      <c r="A32" s="25" t="inlineStr">
        <is>
          <t>PIN NATAL/25</t>
        </is>
      </c>
      <c r="B32" s="6" t="n">
        <v>10</v>
      </c>
      <c r="C32" s="639" t="n">
        <v>120</v>
      </c>
      <c r="D32" s="404" t="n"/>
      <c r="F32" s="6" t="n">
        <v>3</v>
      </c>
      <c r="G32" s="6" t="n">
        <v>1</v>
      </c>
      <c r="H32" s="6" t="n">
        <v>1</v>
      </c>
      <c r="I32" s="6" t="n">
        <v>0</v>
      </c>
      <c r="J32" s="6" t="n">
        <v>0</v>
      </c>
      <c r="K32" s="6" t="n">
        <v>0</v>
      </c>
      <c r="L32" s="6" t="n"/>
      <c r="M32" s="6" t="n"/>
      <c r="N32" s="6" t="n">
        <v>5</v>
      </c>
      <c r="O32" s="6" t="n">
        <v>5</v>
      </c>
      <c r="P32" s="6" t="n">
        <v>5</v>
      </c>
      <c r="Q32" s="6" t="n">
        <v>5</v>
      </c>
      <c r="R32" s="6" t="n">
        <v>5</v>
      </c>
      <c r="S32" s="6" t="n">
        <v>5</v>
      </c>
      <c r="T32" s="6" t="n">
        <v>5</v>
      </c>
      <c r="U32" s="6" t="n">
        <v>5</v>
      </c>
      <c r="V32" s="6" t="n">
        <v>5</v>
      </c>
      <c r="W32" s="6" t="n">
        <v>5</v>
      </c>
      <c r="X32" s="6" t="n">
        <v>5</v>
      </c>
      <c r="Y32" s="6" t="n">
        <v>5</v>
      </c>
      <c r="Z32" s="6" t="n">
        <v>5</v>
      </c>
      <c r="AA32" s="380">
        <f>Y32+IF(NOT(ISBLANK(OFFSET(AA32,0,6))),N(OFFSET(AA32,0,6)),N(OFFSET(AA32,0,7)))-Z32</f>
        <v/>
      </c>
      <c r="AC32" s="41" t="n"/>
      <c r="AD32" s="41" t="n"/>
      <c r="AH32" s="11" t="n"/>
      <c r="AI32" s="11" t="n"/>
      <c r="AJ32" s="11" t="n"/>
      <c r="AK32" s="11" t="n"/>
      <c r="AL32" s="11" t="n"/>
      <c r="AM32" s="11" t="n"/>
      <c r="AN32" s="11" t="n"/>
      <c r="AO32" s="11" t="n"/>
      <c r="AP32" s="11" t="n"/>
      <c r="AQ32" s="11" t="n"/>
      <c r="AR32" s="11" t="n"/>
      <c r="AS32" s="11" t="n"/>
      <c r="AT32" s="11" t="n"/>
      <c r="AU32" s="41" t="n"/>
      <c r="AV32" s="11" t="n"/>
      <c r="AW32" s="11" t="n"/>
      <c r="AX32" s="41" t="n"/>
      <c r="AY32" s="41" t="n"/>
      <c r="AZ32" s="41" t="n"/>
      <c r="BA32" s="41" t="n"/>
      <c r="BB32" s="41" t="n"/>
    </row>
    <row r="33">
      <c r="A33" s="291" t="inlineStr">
        <is>
          <t>CAIXA M HOMEM ARANHA</t>
        </is>
      </c>
      <c r="B33" s="292" t="n">
        <v>100</v>
      </c>
      <c r="C33" s="638" t="n">
        <v>1490</v>
      </c>
      <c r="D33" s="404" t="n"/>
      <c r="R33" s="6" t="n">
        <v>11</v>
      </c>
      <c r="S33" s="6" t="n">
        <v>11</v>
      </c>
      <c r="T33" s="6" t="n">
        <v>11</v>
      </c>
      <c r="U33" s="6" t="n">
        <v>11</v>
      </c>
      <c r="V33" s="6" t="n">
        <v>11</v>
      </c>
      <c r="W33" s="6" t="n">
        <v>11</v>
      </c>
      <c r="X33" s="6" t="n">
        <v>11</v>
      </c>
      <c r="Y33" s="6" t="n">
        <v>11</v>
      </c>
      <c r="Z33" s="6" t="n">
        <v>11</v>
      </c>
      <c r="AA33" s="380">
        <f>Y33+IF(NOT(ISBLANK(OFFSET(AA33,0,6))),N(OFFSET(AA33,0,6)),N(OFFSET(AA33,0,7)))-Z33</f>
        <v/>
      </c>
      <c r="AC33" s="41" t="n"/>
      <c r="AD33" s="41" t="n"/>
      <c r="AH33" s="11" t="n"/>
      <c r="AI33" s="11" t="n"/>
      <c r="AJ33" s="11" t="n"/>
      <c r="AK33" s="11" t="n"/>
      <c r="AL33" s="11" t="n"/>
      <c r="AM33" s="11" t="n"/>
      <c r="AN33" s="11" t="n"/>
      <c r="AO33" s="11" t="n"/>
      <c r="AP33" s="11" t="n"/>
      <c r="AQ33" s="11" t="n"/>
      <c r="AR33" s="11" t="n"/>
      <c r="AS33" s="11" t="n"/>
      <c r="AT33" s="11" t="n"/>
      <c r="AU33" s="41" t="n"/>
      <c r="AV33" s="11" t="n"/>
      <c r="AW33" s="11" t="n"/>
      <c r="AX33" s="41" t="n"/>
      <c r="AY33" s="41" t="n"/>
      <c r="AZ33" s="41" t="n"/>
      <c r="BA33" s="41" t="n"/>
      <c r="BB33" s="41" t="n"/>
    </row>
    <row r="34">
      <c r="Z34" s="1" t="n"/>
      <c r="AC34" s="41" t="n"/>
      <c r="AD34" s="41" t="n"/>
      <c r="AH34" s="11" t="n"/>
      <c r="AI34" s="11" t="n"/>
      <c r="AJ34" s="11" t="n"/>
      <c r="AK34" s="11" t="n"/>
      <c r="AL34" s="11" t="n"/>
      <c r="AM34" s="11" t="n"/>
      <c r="AN34" s="11" t="n"/>
      <c r="AO34" s="11" t="n"/>
      <c r="AP34" s="11" t="n"/>
      <c r="AQ34" s="11" t="n"/>
      <c r="AR34" s="11" t="n"/>
      <c r="AS34" s="11" t="n"/>
      <c r="AT34" s="11" t="n"/>
      <c r="AU34" s="41" t="n"/>
      <c r="AV34" s="11" t="n"/>
      <c r="AW34" s="11" t="n"/>
      <c r="AX34" s="41" t="n"/>
      <c r="AY34" s="41" t="n"/>
      <c r="AZ34" s="41" t="n"/>
      <c r="BA34" s="41" t="n"/>
      <c r="BB34" s="41" t="n"/>
    </row>
    <row r="35" ht="21" customHeight="1">
      <c r="A35" s="402" t="inlineStr">
        <is>
          <t>SOBRAS DATAS COMEMORATIVAS</t>
        </is>
      </c>
      <c r="B35" s="402" t="n"/>
      <c r="C35" s="402" t="n"/>
      <c r="AC35" s="41" t="n"/>
      <c r="AD35" s="41" t="n"/>
      <c r="AE35" s="41" t="n"/>
      <c r="AG35" s="41" t="n"/>
      <c r="AH35" s="11" t="n"/>
      <c r="AI35" s="11" t="n"/>
      <c r="AJ35" s="11" t="n"/>
      <c r="AK35" s="11" t="n"/>
      <c r="AL35" s="11" t="n"/>
      <c r="AM35" s="11" t="n"/>
      <c r="AN35" s="11" t="n"/>
      <c r="AO35" s="11" t="n"/>
      <c r="AP35" s="11" t="n"/>
      <c r="AQ35" s="11" t="n"/>
      <c r="AR35" s="11" t="n"/>
      <c r="AS35" s="11" t="n"/>
      <c r="AT35" s="11" t="n"/>
      <c r="AU35" s="41" t="n"/>
      <c r="AV35" s="11" t="n"/>
      <c r="AW35" s="11" t="n"/>
      <c r="AX35" s="41" t="n"/>
      <c r="AY35" s="41" t="n"/>
      <c r="AZ35" s="41" t="n"/>
      <c r="BA35" s="41" t="n"/>
      <c r="BB35" s="41" t="n"/>
    </row>
    <row r="36">
      <c r="A36" s="369" t="inlineStr">
        <is>
          <t>ITENS</t>
        </is>
      </c>
      <c r="B36" s="369" t="n"/>
      <c r="C36" s="369" t="inlineStr">
        <is>
          <t>ESTOQUE</t>
        </is>
      </c>
      <c r="E36" s="41" t="n"/>
      <c r="F36" s="41" t="n"/>
      <c r="G36" s="41" t="n"/>
      <c r="H36" s="41" t="n"/>
      <c r="I36" s="41" t="n"/>
      <c r="J36" s="41" t="n"/>
      <c r="K36" s="41" t="n"/>
      <c r="L36" s="41" t="n"/>
      <c r="M36" s="41" t="n"/>
      <c r="N36" s="41" t="n"/>
      <c r="O36" s="41" t="n"/>
      <c r="P36" s="41" t="n"/>
      <c r="Q36" s="41" t="n"/>
      <c r="R36" s="41" t="n"/>
      <c r="S36" s="41" t="n"/>
      <c r="T36" s="41" t="n"/>
      <c r="U36" s="41" t="n"/>
      <c r="V36" s="41" t="n"/>
      <c r="W36" s="41" t="n"/>
      <c r="X36" s="41" t="n"/>
      <c r="Y36" s="41" t="n"/>
      <c r="AA36" s="41" t="n"/>
      <c r="AB36" s="41" t="n"/>
      <c r="AC36" s="41" t="n"/>
      <c r="AD36" s="41" t="n"/>
      <c r="AE36" s="41" t="n"/>
      <c r="AF36" s="41" t="n"/>
      <c r="AG36" s="41" t="n"/>
      <c r="AH36" s="11" t="n"/>
      <c r="AI36" s="11" t="n"/>
      <c r="AJ36" s="11" t="n"/>
      <c r="AK36" s="11" t="n"/>
      <c r="AL36" s="11" t="n"/>
      <c r="AM36" s="11" t="n"/>
      <c r="AN36" s="11" t="n"/>
      <c r="AO36" s="11" t="n"/>
      <c r="AP36" s="11" t="n"/>
      <c r="AQ36" s="11" t="n"/>
      <c r="AR36" s="11" t="n"/>
      <c r="AS36" s="11" t="n"/>
      <c r="AT36" s="11" t="n"/>
      <c r="AU36" s="41" t="n"/>
      <c r="AV36" s="11" t="n"/>
      <c r="AW36" s="11" t="n"/>
      <c r="AX36" s="41" t="n"/>
      <c r="AY36" s="41" t="n"/>
      <c r="AZ36" s="41" t="n"/>
      <c r="BA36" s="41" t="n"/>
      <c r="BB36" s="41" t="n"/>
      <c r="BC36" s="370" t="n"/>
      <c r="BM36" s="370" t="n"/>
      <c r="BN36" s="370" t="n"/>
      <c r="BO36" s="370" t="n"/>
      <c r="BP36" s="370" t="n"/>
      <c r="BQ36" s="370" t="n"/>
      <c r="BR36" s="370" t="n"/>
      <c r="BS36" s="370" t="n"/>
      <c r="BT36" s="370" t="n"/>
      <c r="BU36" s="370" t="n"/>
      <c r="BV36" s="370" t="n"/>
      <c r="BW36" s="370" t="n"/>
      <c r="BX36" s="370" t="n"/>
      <c r="BY36" s="370" t="n"/>
      <c r="BZ36" s="370" t="n"/>
      <c r="CA36" s="370" t="n"/>
      <c r="CB36" s="370" t="n"/>
      <c r="CC36" s="370" t="n"/>
      <c r="CD36" s="370" t="n"/>
      <c r="CE36" s="370" t="n"/>
      <c r="CF36" s="370" t="n"/>
      <c r="CG36" s="370" t="n"/>
      <c r="CH36" s="370" t="n"/>
      <c r="CI36" s="370" t="n"/>
      <c r="CJ36" s="370" t="n"/>
      <c r="CK36" s="370" t="n"/>
      <c r="CL36" s="370" t="n"/>
      <c r="CM36" s="370" t="n"/>
      <c r="CN36" s="370" t="n"/>
      <c r="CO36" s="370" t="n"/>
      <c r="CP36" s="370" t="n"/>
      <c r="CQ36" s="370" t="n"/>
      <c r="CR36" s="370" t="n"/>
      <c r="CS36" s="370" t="n"/>
      <c r="CT36" s="370" t="n"/>
      <c r="CU36" s="370" t="n"/>
      <c r="CV36" s="41" t="n"/>
      <c r="CW36" s="34" t="n"/>
      <c r="CX36" s="34" t="n"/>
      <c r="CY36" s="34" t="n"/>
      <c r="CZ36" s="34" t="n"/>
      <c r="DA36" s="34" t="n"/>
      <c r="DB36" s="34" t="n"/>
      <c r="DC36" s="34" t="n"/>
      <c r="DD36" s="34" t="n"/>
      <c r="DE36" s="34" t="n"/>
      <c r="DF36" s="34" t="n"/>
      <c r="DG36" s="34" t="n"/>
      <c r="DH36" s="34" t="n"/>
      <c r="DI36" s="34" t="n"/>
      <c r="DJ36" s="34" t="n"/>
      <c r="DK36" s="34" t="n"/>
      <c r="DL36" s="41" t="n"/>
      <c r="DM36" s="41" t="n"/>
      <c r="DN36" s="34" t="n"/>
      <c r="DO36" s="41" t="n"/>
      <c r="DP36" s="34" t="n"/>
      <c r="DQ36" s="41" t="n"/>
      <c r="DR36" s="409" t="n"/>
      <c r="DS36" s="409" t="n"/>
      <c r="DT36" s="409" t="n"/>
      <c r="DU36" s="409" t="n"/>
      <c r="DV36" s="374" t="n"/>
      <c r="DW36" s="374" t="n"/>
      <c r="DX36" s="374" t="n"/>
      <c r="DY36" s="409" t="n"/>
      <c r="DZ36" s="409" t="n"/>
      <c r="EA36" s="374" t="n"/>
      <c r="EB36" s="409" t="n"/>
      <c r="EC36" s="374" t="n"/>
      <c r="ED36" s="374" t="n"/>
      <c r="EE36" s="409" t="n"/>
      <c r="EF36" s="34" t="n"/>
      <c r="EG36" s="409" t="n"/>
      <c r="EH36" s="409" t="n"/>
      <c r="EI36" s="374" t="n"/>
      <c r="EJ36" s="409" t="n"/>
      <c r="EK36" s="356" t="n"/>
      <c r="EL36" s="409" t="n"/>
      <c r="EM36" s="409" t="n"/>
      <c r="EN36" s="374" t="n"/>
      <c r="EO36" s="374" t="n"/>
      <c r="EP36" s="409" t="n"/>
      <c r="EQ36" s="409" t="n"/>
      <c r="ER36" s="34" t="n"/>
      <c r="ES36" s="409" t="n"/>
      <c r="ET36" s="374" t="n"/>
      <c r="EU36" s="409" t="n"/>
      <c r="EV36" s="409" t="n"/>
      <c r="EW36" s="409" t="n"/>
      <c r="EX36" s="409" t="n"/>
      <c r="EY36" s="409" t="n"/>
      <c r="EZ36" s="409" t="n"/>
      <c r="FA36" s="356" t="n"/>
      <c r="FB36" s="409" t="n"/>
      <c r="FC36" s="409" t="n"/>
      <c r="FD36" s="409" t="n"/>
      <c r="FE36" s="409" t="n"/>
      <c r="FF36" s="409" t="n"/>
      <c r="FG36" s="409" t="n"/>
      <c r="FH36" s="409" t="n"/>
      <c r="FI36" s="409" t="n"/>
      <c r="FJ36" s="409" t="n"/>
      <c r="FK36" s="409" t="n"/>
      <c r="FL36" s="409" t="n"/>
      <c r="FM36" s="409" t="n"/>
      <c r="FN36" s="159" t="n"/>
      <c r="FO36" s="409" t="n"/>
      <c r="FP36" s="409" t="n"/>
      <c r="FQ36" s="409" t="n"/>
      <c r="FR36" s="409" t="n"/>
      <c r="FS36" s="409" t="n"/>
      <c r="FT36" s="409" t="n"/>
      <c r="FU36" s="409" t="n"/>
      <c r="FV36" s="409" t="n"/>
      <c r="FW36" s="409" t="n"/>
      <c r="FX36" s="409" t="n"/>
      <c r="FY36" s="409" t="n"/>
      <c r="FZ36" s="409" t="n"/>
      <c r="GA36" s="409" t="n"/>
      <c r="GB36" s="409" t="n"/>
      <c r="GC36" s="409" t="n"/>
      <c r="GD36" s="409" t="n"/>
      <c r="GE36" s="409" t="n"/>
      <c r="GF36" s="409" t="n"/>
      <c r="GG36" s="409" t="n"/>
      <c r="GH36" s="409" t="n"/>
      <c r="GI36" s="409" t="n"/>
      <c r="GJ36" s="409" t="n"/>
      <c r="GK36" s="409" t="n"/>
      <c r="GL36" s="409" t="n"/>
      <c r="GM36" s="409" t="n"/>
      <c r="GN36" s="409" t="n"/>
      <c r="GO36" s="409" t="n"/>
      <c r="GP36" s="409" t="n"/>
      <c r="GQ36" s="409" t="n"/>
      <c r="GR36" s="409" t="n"/>
      <c r="GS36" s="409" t="n"/>
      <c r="GT36" s="409" t="n"/>
      <c r="GU36" s="409" t="n"/>
      <c r="GV36" s="409" t="n"/>
      <c r="GW36" s="409" t="n"/>
      <c r="GX36" s="409" t="n"/>
      <c r="GY36" s="409" t="n"/>
      <c r="GZ36" s="409" t="n"/>
      <c r="HA36" s="409" t="n"/>
      <c r="HB36" s="409" t="n"/>
      <c r="HC36" s="409" t="n"/>
      <c r="HD36" s="409" t="n"/>
      <c r="HE36" s="409" t="n"/>
      <c r="HF36" s="409" t="n"/>
      <c r="HG36" s="409" t="n"/>
      <c r="HH36" s="409" t="n"/>
      <c r="HI36" s="409" t="n"/>
      <c r="HJ36" s="409" t="n"/>
      <c r="HK36" s="409" t="n"/>
      <c r="HL36" s="409" t="n"/>
      <c r="HM36" s="409" t="n"/>
      <c r="HN36" s="409" t="n"/>
      <c r="HO36" s="409" t="n"/>
      <c r="HP36" s="409" t="n"/>
      <c r="HQ36" s="409" t="n"/>
      <c r="HR36" s="409" t="n"/>
      <c r="HS36" s="409" t="n"/>
      <c r="HT36" s="409" t="n"/>
      <c r="HU36" s="409" t="n"/>
      <c r="HV36" s="409" t="n"/>
      <c r="HW36" s="409" t="n"/>
      <c r="HX36" s="409" t="n"/>
      <c r="HY36" s="409" t="n"/>
    </row>
    <row r="37" customFormat="1" s="34">
      <c r="A37" s="187" t="n"/>
      <c r="B37" s="188" t="n"/>
      <c r="C37" s="189" t="n"/>
      <c r="E37" s="41" t="n"/>
      <c r="F37" s="41" t="n"/>
      <c r="G37" s="41" t="n"/>
      <c r="H37" s="41" t="n"/>
      <c r="I37" s="41" t="n"/>
      <c r="J37" s="41" t="n"/>
      <c r="K37" s="41" t="n"/>
      <c r="L37" s="41" t="n"/>
      <c r="M37" s="41" t="n"/>
      <c r="N37" s="41" t="n"/>
      <c r="O37" s="41" t="n"/>
      <c r="P37" s="41" t="n"/>
      <c r="Q37" s="41" t="n"/>
      <c r="R37" s="41" t="n"/>
      <c r="S37" s="41" t="n"/>
      <c r="T37" s="41" t="n"/>
      <c r="U37" s="41" t="n"/>
      <c r="V37" s="41" t="n"/>
      <c r="W37" s="41" t="n"/>
      <c r="X37" s="41" t="n"/>
      <c r="Y37" s="41" t="n"/>
      <c r="Z37" s="41" t="n"/>
      <c r="AA37" s="41" t="n"/>
      <c r="AB37" s="41" t="n"/>
      <c r="AC37" s="355" t="n"/>
      <c r="AD37" s="355" t="n"/>
      <c r="AE37" s="41" t="n"/>
      <c r="AF37" s="41" t="n"/>
      <c r="AG37" s="41" t="n"/>
      <c r="AH37" s="11" t="n"/>
      <c r="AI37" s="11" t="n"/>
      <c r="AJ37" s="11" t="n"/>
      <c r="AK37" s="11" t="n"/>
      <c r="AL37" s="11" t="n"/>
      <c r="AM37" s="11" t="n"/>
      <c r="AN37" s="41" t="n"/>
      <c r="AO37" s="41" t="n"/>
      <c r="AP37" s="41" t="n"/>
      <c r="AQ37" s="41" t="n"/>
      <c r="AR37" s="41" t="n"/>
      <c r="AS37" s="41" t="n"/>
      <c r="AT37" s="409" t="n"/>
      <c r="AV37" s="409" t="n"/>
      <c r="AW37" s="409" t="n"/>
      <c r="BD37" s="11" t="n"/>
      <c r="BE37" s="11" t="n"/>
      <c r="BF37" s="11" t="n"/>
      <c r="BG37" s="11" t="n"/>
      <c r="BH37" s="11" t="n"/>
      <c r="BI37" s="11" t="n"/>
      <c r="BJ37" s="11" t="n"/>
      <c r="BK37" s="11" t="n"/>
      <c r="BL37" s="11" t="n"/>
      <c r="CV37" s="41" t="n"/>
      <c r="DL37" s="41" t="n"/>
      <c r="DM37" s="41" t="n"/>
      <c r="DO37" s="41" t="n"/>
      <c r="DQ37" s="41" t="n"/>
      <c r="DV37" s="374" t="n"/>
      <c r="DW37" s="374" t="n"/>
      <c r="DX37" s="374" t="n"/>
      <c r="EA37" s="374" t="n"/>
      <c r="EC37" s="374" t="n"/>
      <c r="ED37" s="374" t="n"/>
      <c r="EI37" s="374" t="n"/>
      <c r="EN37" s="374" t="n"/>
      <c r="EO37" s="374" t="n"/>
      <c r="ET37" s="374" t="n"/>
      <c r="EZ37" s="154" t="n"/>
      <c r="FA37" s="377" t="n"/>
      <c r="FH37" s="154" t="n"/>
      <c r="FN37" s="374" t="n"/>
    </row>
    <row r="38" customFormat="1" s="34">
      <c r="A38" s="392" t="inlineStr">
        <is>
          <t>TAG MÃES/25</t>
        </is>
      </c>
      <c r="B38" s="408" t="n"/>
      <c r="C38" s="365" t="n">
        <v>200</v>
      </c>
      <c r="E38" s="41" t="n"/>
      <c r="F38" s="41" t="n"/>
      <c r="G38" s="41" t="n"/>
      <c r="H38" s="41" t="n"/>
      <c r="I38" s="41" t="n"/>
      <c r="J38" s="41" t="n"/>
      <c r="K38" s="41" t="n"/>
      <c r="L38" s="41" t="n"/>
      <c r="M38" s="41" t="n"/>
      <c r="N38" s="41" t="n"/>
      <c r="O38" s="41" t="n"/>
      <c r="P38" s="41" t="n"/>
      <c r="Q38" s="41" t="n"/>
      <c r="R38" s="41" t="n"/>
      <c r="S38" s="41" t="n"/>
      <c r="T38" s="41" t="n"/>
      <c r="U38" s="41" t="n"/>
      <c r="V38" s="41" t="n"/>
      <c r="W38" s="41" t="n"/>
      <c r="X38" s="41" t="n"/>
      <c r="Y38" s="41" t="n"/>
      <c r="Z38" s="41" t="n"/>
      <c r="AA38" s="41" t="n"/>
      <c r="AB38" s="41" t="n"/>
      <c r="AC38" s="355" t="n"/>
      <c r="AD38" s="355" t="n"/>
      <c r="AE38" s="41" t="n"/>
      <c r="AF38" s="41" t="n"/>
      <c r="AG38" s="41" t="n"/>
      <c r="AH38" s="11" t="n"/>
      <c r="AI38" s="11" t="n"/>
      <c r="AJ38" s="11" t="n"/>
      <c r="AK38" s="11" t="n"/>
      <c r="AL38" s="11" t="n"/>
      <c r="AM38" s="11" t="n"/>
      <c r="AN38" s="41" t="n"/>
      <c r="AO38" s="41" t="n"/>
      <c r="AP38" s="41" t="n"/>
      <c r="AQ38" s="41" t="n"/>
      <c r="AR38" s="41" t="n"/>
      <c r="AS38" s="41" t="n"/>
      <c r="AT38" s="409" t="n"/>
      <c r="AV38" s="409" t="n"/>
      <c r="AW38" s="409" t="n"/>
      <c r="BD38" s="11" t="n"/>
      <c r="BE38" s="11" t="n"/>
      <c r="BF38" s="11" t="n"/>
      <c r="BG38" s="11" t="n"/>
      <c r="BH38" s="11" t="n"/>
      <c r="BI38" s="11" t="n"/>
      <c r="BJ38" s="11" t="n"/>
      <c r="BK38" s="11" t="n"/>
      <c r="BL38" s="11" t="n"/>
      <c r="BY38" s="370" t="n"/>
      <c r="BZ38" s="370" t="n"/>
      <c r="CA38" s="370" t="n"/>
      <c r="CB38" s="370" t="n"/>
      <c r="CC38" s="370" t="n"/>
      <c r="CD38" s="370" t="n"/>
      <c r="CE38" s="370" t="n"/>
      <c r="CF38" s="370" t="n"/>
      <c r="CG38" s="370" t="n"/>
      <c r="CV38" s="41" t="n"/>
      <c r="CW38" s="370" t="n"/>
      <c r="CX38" s="370" t="n"/>
      <c r="CY38" s="370" t="n"/>
      <c r="CZ38" s="370" t="n"/>
      <c r="DA38" s="370" t="n"/>
      <c r="DB38" s="370" t="n"/>
      <c r="DC38" s="370" t="n"/>
      <c r="DD38" s="370" t="n"/>
      <c r="DE38" s="370" t="n"/>
      <c r="DF38" s="370" t="n"/>
      <c r="DG38" s="370" t="n"/>
      <c r="DH38" s="370" t="n"/>
      <c r="DI38" s="370" t="n"/>
      <c r="DJ38" s="370" t="n"/>
      <c r="DK38" s="370" t="n"/>
      <c r="DL38" s="41" t="n"/>
      <c r="DM38" s="41" t="n"/>
      <c r="DO38" s="41" t="n"/>
      <c r="DQ38" s="41" t="n"/>
      <c r="DV38" s="374" t="n"/>
      <c r="DW38" s="374" t="n"/>
      <c r="DX38" s="374" t="n"/>
      <c r="EA38" s="374" t="n"/>
      <c r="EC38" s="374" t="n"/>
      <c r="ED38" s="374" t="n"/>
      <c r="EF38" s="11" t="n"/>
      <c r="EI38" s="374" t="n"/>
      <c r="EN38" s="374" t="n"/>
      <c r="EO38" s="374" t="n"/>
      <c r="ER38" s="11" t="n"/>
      <c r="ET38" s="374" t="n"/>
      <c r="EZ38" s="154" t="n"/>
      <c r="FA38" s="356" t="n"/>
      <c r="FH38" s="154" t="n"/>
      <c r="FN38" s="374" t="n"/>
    </row>
    <row r="39" customFormat="1" s="34">
      <c r="A39" s="187" t="n"/>
      <c r="B39" s="188" t="n"/>
      <c r="C39" s="189" t="n"/>
      <c r="E39" s="11" t="n"/>
      <c r="F39" s="11" t="n"/>
      <c r="G39" s="11" t="n"/>
      <c r="H39" s="11" t="n"/>
      <c r="I39" s="11" t="n"/>
      <c r="J39" s="11" t="n"/>
      <c r="K39" s="11" t="n"/>
      <c r="L39" s="11" t="n"/>
      <c r="M39" s="11" t="n"/>
      <c r="N39" s="11" t="n"/>
      <c r="O39" s="11" t="n"/>
      <c r="P39" s="11" t="n"/>
      <c r="Q39" s="11" t="n"/>
      <c r="R39" s="11" t="n"/>
      <c r="S39" s="11" t="n"/>
      <c r="T39" s="11" t="n"/>
      <c r="U39" s="11" t="n"/>
      <c r="V39" s="11" t="n"/>
      <c r="W39" s="11" t="n"/>
      <c r="X39" s="11" t="n"/>
      <c r="Y39" s="11" t="n"/>
      <c r="Z39" s="41" t="n"/>
      <c r="AA39" s="11" t="n"/>
      <c r="AB39" s="11" t="n"/>
      <c r="AE39" s="11" t="n"/>
      <c r="AF39" s="11" t="n"/>
      <c r="AG39" s="11" t="n"/>
      <c r="AH39" s="11" t="n"/>
      <c r="AI39" s="409" t="n"/>
      <c r="AJ39" s="409" t="n"/>
      <c r="AK39" s="11" t="n"/>
      <c r="AL39" s="11" t="n"/>
      <c r="AM39" s="11" t="n"/>
      <c r="AN39" s="71" t="n"/>
      <c r="AO39" s="71" t="n"/>
      <c r="AP39" s="71" t="n"/>
      <c r="AQ39" s="71" t="n"/>
      <c r="AR39" s="71" t="n"/>
      <c r="AS39" s="71" t="n"/>
      <c r="AT39" s="11" t="n"/>
      <c r="AU39" s="71" t="n"/>
      <c r="AV39" s="11" t="n"/>
      <c r="AW39" s="11" t="n"/>
      <c r="AX39" s="71" t="n"/>
      <c r="AY39" s="71" t="n"/>
      <c r="AZ39" s="71" t="n"/>
      <c r="BA39" s="71" t="n"/>
      <c r="BB39" s="71" t="n"/>
      <c r="BD39" s="11" t="n"/>
      <c r="BE39" s="11" t="n"/>
      <c r="BF39" s="11" t="n"/>
      <c r="BG39" s="11" t="n"/>
      <c r="BH39" s="11" t="n"/>
      <c r="BI39" s="11" t="n"/>
      <c r="BJ39" s="11" t="n"/>
      <c r="BK39" s="11" t="n"/>
      <c r="BL39" s="11" t="n"/>
      <c r="CV39" s="11" t="n"/>
      <c r="DL39" s="11" t="n"/>
      <c r="DM39" s="11" t="n"/>
      <c r="DO39" s="11" t="n"/>
      <c r="DQ39" s="11" t="n"/>
      <c r="DV39" s="374" t="n"/>
      <c r="DW39" s="374" t="n"/>
      <c r="DX39" s="374" t="n"/>
      <c r="EA39" s="374" t="n"/>
      <c r="EC39" s="374" t="n"/>
      <c r="ED39" s="374" t="n"/>
      <c r="EI39" s="374" t="n"/>
      <c r="EN39" s="374" t="n"/>
      <c r="EO39" s="374" t="n"/>
      <c r="ET39" s="374" t="n"/>
      <c r="EZ39" s="71" t="n"/>
      <c r="FH39" s="71" t="n"/>
      <c r="FN39" s="374" t="n"/>
    </row>
    <row r="40" customFormat="1" s="34">
      <c r="A40" s="186" t="inlineStr">
        <is>
          <t>TAG HOMEM ARANHA</t>
        </is>
      </c>
      <c r="B40" s="408" t="n"/>
      <c r="C40" s="365" t="n">
        <v>180</v>
      </c>
      <c r="E40" s="11" t="n"/>
      <c r="F40" s="11" t="n"/>
      <c r="G40" s="11" t="n"/>
      <c r="H40" s="11" t="n"/>
      <c r="I40" s="11" t="n"/>
      <c r="J40" s="11" t="n"/>
      <c r="K40" s="11" t="n"/>
      <c r="L40" s="11" t="n"/>
      <c r="M40" s="11" t="n"/>
      <c r="N40" s="11" t="n"/>
      <c r="O40" s="11" t="n"/>
      <c r="P40" s="11" t="n"/>
      <c r="Q40" s="11" t="n"/>
      <c r="R40" s="11" t="n"/>
      <c r="S40" s="11" t="n"/>
      <c r="T40" s="11" t="n"/>
      <c r="U40" s="11" t="n"/>
      <c r="V40" s="11" t="n"/>
      <c r="W40" s="11" t="n"/>
      <c r="X40" s="11" t="n"/>
      <c r="Y40" s="11" t="n"/>
      <c r="Z40" s="11" t="n"/>
      <c r="AA40" s="11" t="n"/>
      <c r="AB40" s="11" t="n"/>
      <c r="AE40" s="11" t="n"/>
      <c r="AF40" s="11" t="n"/>
      <c r="AG40" s="11" t="n"/>
      <c r="AH40" s="409" t="n"/>
      <c r="AI40" s="409" t="n"/>
      <c r="AJ40" s="409" t="n"/>
      <c r="AK40" s="409" t="n"/>
      <c r="AL40" s="409" t="n"/>
      <c r="AM40" s="409" t="n"/>
      <c r="AN40" s="71" t="n"/>
      <c r="AO40" s="71" t="n"/>
      <c r="AP40" s="71" t="n"/>
      <c r="AQ40" s="71" t="n"/>
      <c r="AR40" s="71" t="n"/>
      <c r="AS40" s="71" t="n"/>
      <c r="AT40" s="357" t="n"/>
      <c r="AU40" s="71" t="n"/>
      <c r="AV40" s="357" t="n"/>
      <c r="AW40" s="357" t="n"/>
      <c r="AX40" s="71" t="n"/>
      <c r="AY40" s="71" t="n"/>
      <c r="AZ40" s="71" t="n"/>
      <c r="BA40" s="71" t="n"/>
      <c r="BB40" s="71" t="n"/>
      <c r="BD40" s="11" t="n"/>
      <c r="BE40" s="11" t="n"/>
      <c r="BF40" s="11" t="n"/>
      <c r="BG40" s="11" t="n"/>
      <c r="BH40" s="11" t="n"/>
      <c r="BI40" s="11" t="n"/>
      <c r="BJ40" s="11" t="n"/>
      <c r="BK40" s="11" t="n"/>
      <c r="BL40" s="11" t="n"/>
      <c r="CV40" s="11" t="n"/>
      <c r="DL40" s="11" t="n"/>
      <c r="DM40" s="11" t="n"/>
      <c r="DO40" s="11" t="n"/>
      <c r="DQ40" s="11" t="n"/>
      <c r="DV40" s="374" t="n"/>
      <c r="DW40" s="374" t="n"/>
      <c r="DX40" s="374" t="n"/>
      <c r="EA40" s="374" t="n"/>
      <c r="EC40" s="374" t="n"/>
      <c r="ED40" s="374" t="n"/>
      <c r="EI40" s="374" t="n"/>
      <c r="EN40" s="374" t="n"/>
      <c r="EO40" s="374" t="n"/>
      <c r="ET40" s="374" t="n"/>
      <c r="EZ40" s="71" t="n"/>
      <c r="FH40" s="71" t="n"/>
      <c r="FN40" s="374" t="n"/>
    </row>
    <row r="41" customFormat="1" s="34">
      <c r="A41" s="187" t="n"/>
      <c r="B41" s="188" t="n"/>
      <c r="C41" s="189" t="n"/>
      <c r="E41" s="11" t="n"/>
      <c r="F41" s="11" t="n"/>
      <c r="G41" s="11" t="n"/>
      <c r="H41" s="11" t="n"/>
      <c r="I41" s="11" t="n"/>
      <c r="J41" s="11" t="n"/>
      <c r="K41" s="11" t="n"/>
      <c r="L41" s="11" t="n"/>
      <c r="M41" s="11" t="n"/>
      <c r="N41" s="11" t="n"/>
      <c r="O41" s="11" t="n"/>
      <c r="P41" s="11" t="n"/>
      <c r="Q41" s="11" t="n"/>
      <c r="R41" s="11" t="n"/>
      <c r="S41" s="11" t="n"/>
      <c r="T41" s="11" t="n"/>
      <c r="U41" s="11" t="n"/>
      <c r="V41" s="11" t="n"/>
      <c r="W41" s="11" t="n"/>
      <c r="X41" s="11" t="n"/>
      <c r="Y41" s="11" t="n"/>
      <c r="Z41" s="11" t="n"/>
      <c r="AA41" s="11" t="n"/>
      <c r="AB41" s="11" t="n"/>
      <c r="AE41" s="11" t="n"/>
      <c r="AF41" s="11" t="n"/>
      <c r="AG41" s="11" t="n"/>
      <c r="AH41" s="409" t="n"/>
      <c r="AI41" s="41" t="n"/>
      <c r="AJ41" s="41" t="n"/>
      <c r="AK41" s="409" t="n"/>
      <c r="AL41" s="409" t="n"/>
      <c r="AM41" s="409" t="n"/>
      <c r="AN41" s="71" t="n"/>
      <c r="AO41" s="71" t="n"/>
      <c r="AP41" s="71" t="n"/>
      <c r="AQ41" s="71" t="n"/>
      <c r="AR41" s="71" t="n"/>
      <c r="AS41" s="71" t="n"/>
      <c r="AT41" s="357" t="n"/>
      <c r="AU41" s="71" t="n"/>
      <c r="AV41" s="357" t="n"/>
      <c r="AW41" s="357" t="n"/>
      <c r="AX41" s="71" t="n"/>
      <c r="AY41" s="71" t="n"/>
      <c r="AZ41" s="71" t="n"/>
      <c r="BA41" s="71" t="n"/>
      <c r="BB41" s="71" t="n"/>
      <c r="BD41" s="11" t="n"/>
      <c r="BE41" s="11" t="n"/>
      <c r="BF41" s="11" t="n"/>
      <c r="BG41" s="11" t="n"/>
      <c r="BH41" s="11" t="n"/>
      <c r="BI41" s="11" t="n"/>
      <c r="BJ41" s="11" t="n"/>
      <c r="BK41" s="41" t="n"/>
      <c r="BL41" s="11" t="n"/>
      <c r="CV41" s="11" t="n"/>
      <c r="DL41" s="11" t="n"/>
      <c r="DM41" s="11" t="n"/>
      <c r="DO41" s="11" t="n"/>
      <c r="DQ41" s="11" t="n"/>
      <c r="DV41" s="374" t="n"/>
      <c r="DW41" s="374" t="n"/>
      <c r="DX41" s="374" t="n"/>
      <c r="EA41" s="374" t="n"/>
      <c r="EC41" s="374" t="n"/>
      <c r="ED41" s="374" t="n"/>
      <c r="EI41" s="374" t="n"/>
      <c r="EN41" s="374" t="n"/>
      <c r="EO41" s="374" t="n"/>
      <c r="ET41" s="374" t="n"/>
      <c r="EZ41" s="71" t="n"/>
      <c r="FH41" s="71" t="n"/>
      <c r="FN41" s="374" t="n"/>
    </row>
    <row r="42" customFormat="1" s="34">
      <c r="A42" s="407" t="inlineStr">
        <is>
          <t>TAG NAMO/25</t>
        </is>
      </c>
      <c r="B42" s="408" t="n"/>
      <c r="C42" s="365" t="n">
        <v>200</v>
      </c>
      <c r="E42" s="11" t="n"/>
      <c r="F42" s="11" t="n"/>
      <c r="G42" s="11" t="n"/>
      <c r="H42" s="11" t="n"/>
      <c r="I42" s="11" t="n"/>
      <c r="J42" s="11" t="n"/>
      <c r="K42" s="11" t="n"/>
      <c r="L42" s="11" t="n"/>
      <c r="M42" s="11" t="n"/>
      <c r="N42" s="11" t="n"/>
      <c r="O42" s="11" t="n"/>
      <c r="P42" s="11" t="n"/>
      <c r="Q42" s="11" t="n"/>
      <c r="R42" s="11" t="n"/>
      <c r="S42" s="11" t="n"/>
      <c r="T42" s="11" t="n"/>
      <c r="U42" s="11" t="n"/>
      <c r="V42" s="11" t="n"/>
      <c r="W42" s="11" t="n"/>
      <c r="X42" s="11" t="n"/>
      <c r="Y42" s="11" t="n"/>
      <c r="Z42" s="11" t="n"/>
      <c r="AA42" s="11" t="n"/>
      <c r="AB42" s="11" t="n"/>
      <c r="AE42" s="11" t="n"/>
      <c r="AF42" s="11" t="n"/>
      <c r="AG42" s="11" t="n"/>
      <c r="AH42" s="41" t="n"/>
      <c r="AI42" s="41" t="n"/>
      <c r="AJ42" s="41" t="n"/>
      <c r="AK42" s="41" t="n"/>
      <c r="AL42" s="41" t="n"/>
      <c r="AM42" s="41" t="n"/>
      <c r="AN42" s="71" t="n"/>
      <c r="AO42" s="71" t="n"/>
      <c r="AP42" s="71" t="n"/>
      <c r="AQ42" s="71" t="n"/>
      <c r="AR42" s="71" t="n"/>
      <c r="AS42" s="71" t="n"/>
      <c r="AU42" s="71" t="n"/>
      <c r="AX42" s="71" t="n"/>
      <c r="AY42" s="71" t="n"/>
      <c r="AZ42" s="71" t="n"/>
      <c r="BA42" s="71" t="n"/>
      <c r="BB42" s="71" t="n"/>
      <c r="BD42" s="41" t="n"/>
      <c r="BE42" s="41" t="n"/>
      <c r="BF42" s="41" t="n"/>
      <c r="BG42" s="41" t="n"/>
      <c r="BH42" s="41" t="n"/>
      <c r="BI42" s="41" t="n"/>
      <c r="BJ42" s="41" t="n"/>
      <c r="BK42" s="41" t="n"/>
      <c r="BL42" s="41" t="n"/>
      <c r="CV42" s="11" t="n"/>
      <c r="DL42" s="11" t="n"/>
      <c r="DM42" s="11" t="n"/>
      <c r="DO42" s="11" t="n"/>
      <c r="DQ42" s="11" t="n"/>
      <c r="DV42" s="374" t="n"/>
      <c r="DW42" s="374" t="n"/>
      <c r="DX42" s="374" t="n"/>
      <c r="EA42" s="374" t="n"/>
      <c r="EC42" s="374" t="n"/>
      <c r="ED42" s="374" t="n"/>
      <c r="EI42" s="374" t="n"/>
      <c r="EN42" s="374" t="n"/>
      <c r="EO42" s="374" t="n"/>
      <c r="ET42" s="374" t="n"/>
      <c r="EZ42" s="71" t="n"/>
      <c r="FH42" s="71" t="n"/>
      <c r="FN42" s="374" t="n"/>
    </row>
    <row r="43">
      <c r="C43" s="382" t="n"/>
      <c r="D43" s="382" t="n"/>
      <c r="AH43" s="41" t="n"/>
      <c r="AI43" s="41" t="n"/>
      <c r="AJ43" s="41" t="n"/>
      <c r="AK43" s="41" t="n"/>
      <c r="AL43" s="41" t="n"/>
      <c r="AM43" s="41" t="n"/>
      <c r="BD43" s="41" t="n"/>
      <c r="BE43" s="41" t="n"/>
      <c r="BF43" s="41" t="n"/>
      <c r="BG43" s="41" t="n"/>
      <c r="BH43" s="41" t="n"/>
      <c r="BI43" s="41" t="n"/>
      <c r="BJ43" s="41" t="n"/>
      <c r="BK43" s="41" t="n"/>
      <c r="BL43" s="41" t="n"/>
    </row>
    <row r="44" ht="18.75" customHeight="1">
      <c r="A44" s="642" t="inlineStr">
        <is>
          <t>FLACONETES</t>
        </is>
      </c>
      <c r="B44" s="625" t="n"/>
      <c r="C44" s="625" t="n"/>
      <c r="D44" s="641" t="n"/>
      <c r="F44" s="643" t="n">
        <v>46013</v>
      </c>
      <c r="G44" s="643" t="n">
        <v>46020</v>
      </c>
      <c r="H44" s="643" t="n">
        <v>46027</v>
      </c>
      <c r="I44" s="643" t="n">
        <v>46034</v>
      </c>
      <c r="J44" s="643" t="n">
        <v>46041</v>
      </c>
      <c r="K44" s="643" t="n">
        <v>46048</v>
      </c>
      <c r="L44" s="643" t="n">
        <v>46055</v>
      </c>
      <c r="M44" s="643" t="n">
        <v>46062</v>
      </c>
      <c r="N44" s="643" t="n">
        <v>46069</v>
      </c>
      <c r="O44" s="643" t="n">
        <v>46076</v>
      </c>
      <c r="P44" s="643" t="n">
        <v>46083</v>
      </c>
      <c r="Q44" s="643" t="n">
        <v>46090</v>
      </c>
      <c r="R44" s="643" t="n">
        <v>46097</v>
      </c>
      <c r="S44" s="643" t="n">
        <v>46104</v>
      </c>
      <c r="T44" s="643" t="n">
        <v>46111</v>
      </c>
      <c r="U44" s="643" t="n">
        <v>46118</v>
      </c>
      <c r="V44" s="643" t="n">
        <v>46125</v>
      </c>
      <c r="W44" s="643" t="n">
        <v>46132</v>
      </c>
      <c r="X44" s="643" t="n">
        <v>46139</v>
      </c>
      <c r="Y44" s="643" t="n">
        <v>46146</v>
      </c>
      <c r="Z44" s="643" t="n">
        <v>46154</v>
      </c>
      <c r="AH44" s="41" t="n"/>
      <c r="AI44" s="41" t="n"/>
      <c r="AJ44" s="41" t="n"/>
      <c r="AK44" s="41" t="n"/>
      <c r="AL44" s="41" t="n"/>
      <c r="AM44" s="41" t="n"/>
      <c r="BD44" s="41" t="n"/>
      <c r="BE44" s="41" t="n"/>
      <c r="BF44" s="41" t="n"/>
      <c r="BG44" s="41" t="n"/>
      <c r="BH44" s="41" t="n"/>
      <c r="BI44" s="41" t="n"/>
      <c r="BJ44" s="41" t="n"/>
      <c r="BK44" s="41" t="n"/>
      <c r="BL44" s="41" t="n"/>
    </row>
    <row r="45">
      <c r="A45" s="645" t="inlineStr">
        <is>
          <t>EGEO DOLCE ILUSION</t>
        </is>
      </c>
      <c r="B45" s="625" t="n"/>
      <c r="C45" s="625" t="n"/>
      <c r="D45" s="641" t="n"/>
      <c r="F45" s="366" t="n">
        <v>122</v>
      </c>
      <c r="G45" s="366" t="n">
        <v>122</v>
      </c>
      <c r="H45" s="366" t="n">
        <v>193</v>
      </c>
      <c r="I45" s="366" t="n">
        <v>186</v>
      </c>
      <c r="J45" s="366" t="n">
        <v>142</v>
      </c>
      <c r="K45" s="366" t="n">
        <v>140</v>
      </c>
      <c r="L45" s="366" t="n">
        <v>119</v>
      </c>
      <c r="M45" s="366" t="n">
        <v>119</v>
      </c>
      <c r="N45" s="366" t="n">
        <v>113</v>
      </c>
      <c r="O45" s="366" t="n">
        <v>113</v>
      </c>
      <c r="P45" s="366" t="n">
        <v>113</v>
      </c>
      <c r="Q45" s="366" t="n">
        <v>0</v>
      </c>
      <c r="R45" s="366" t="n">
        <v>0</v>
      </c>
      <c r="S45" s="366" t="n">
        <v>0</v>
      </c>
      <c r="T45" s="366" t="n">
        <v>0</v>
      </c>
      <c r="U45" s="366" t="n">
        <v>0</v>
      </c>
      <c r="V45" s="366" t="n">
        <v>0</v>
      </c>
      <c r="W45" s="366" t="n">
        <v>0</v>
      </c>
      <c r="X45" s="366" t="n">
        <v>0</v>
      </c>
      <c r="Y45" s="366" t="n">
        <v>0</v>
      </c>
      <c r="Z45" s="366" t="n">
        <v>0</v>
      </c>
      <c r="AH45" s="41" t="n"/>
      <c r="AK45" s="41" t="n"/>
      <c r="AL45" s="41" t="n"/>
      <c r="AM45" s="41" t="n"/>
      <c r="BD45" s="41" t="n"/>
      <c r="BE45" s="41" t="n"/>
      <c r="BF45" s="41" t="n"/>
      <c r="BG45" s="41" t="n"/>
      <c r="BH45" s="41" t="n"/>
      <c r="BI45" s="41" t="n"/>
      <c r="BJ45" s="41" t="n"/>
      <c r="BL45" s="41" t="n"/>
    </row>
    <row r="46">
      <c r="A46" s="645" t="inlineStr">
        <is>
          <t>HADYA</t>
        </is>
      </c>
      <c r="B46" s="625" t="n"/>
      <c r="C46" s="625" t="n"/>
      <c r="D46" s="641" t="n"/>
      <c r="F46" s="366" t="n">
        <v>82</v>
      </c>
      <c r="G46" s="366" t="n">
        <v>82</v>
      </c>
      <c r="H46" s="366" t="n">
        <v>76</v>
      </c>
      <c r="I46" s="366" t="n">
        <v>70</v>
      </c>
      <c r="J46" s="366" t="n">
        <v>64</v>
      </c>
      <c r="K46" s="366" t="n">
        <v>65</v>
      </c>
      <c r="L46" s="366" t="n">
        <v>46</v>
      </c>
      <c r="M46" s="366" t="n">
        <v>46</v>
      </c>
      <c r="N46" s="366" t="n">
        <v>21</v>
      </c>
      <c r="O46" s="366" t="n">
        <v>21</v>
      </c>
      <c r="P46" s="366" t="n">
        <v>21</v>
      </c>
      <c r="Q46" s="366" t="n">
        <v>0</v>
      </c>
      <c r="R46" s="366" t="n">
        <v>0</v>
      </c>
      <c r="S46" s="366" t="n">
        <v>0</v>
      </c>
      <c r="T46" s="366" t="n">
        <v>0</v>
      </c>
      <c r="U46" s="366" t="n">
        <v>0</v>
      </c>
      <c r="V46" s="366" t="n">
        <v>0</v>
      </c>
      <c r="W46" s="366" t="n">
        <v>0</v>
      </c>
      <c r="X46" s="366" t="n">
        <v>0</v>
      </c>
      <c r="Y46" s="366" t="n">
        <v>0</v>
      </c>
      <c r="Z46" s="366" t="n">
        <v>0</v>
      </c>
    </row>
    <row r="47">
      <c r="A47" s="645" t="inlineStr">
        <is>
          <t>HIDRATANTE CEREJA DE FASES</t>
        </is>
      </c>
      <c r="B47" s="625" t="n"/>
      <c r="C47" s="625" t="n"/>
      <c r="D47" s="641" t="n"/>
      <c r="F47" s="366" t="n"/>
      <c r="G47" s="366" t="n"/>
      <c r="H47" s="366" t="n"/>
      <c r="I47" s="366" t="n"/>
      <c r="J47" s="366" t="n"/>
      <c r="K47" s="366" t="n"/>
      <c r="L47" s="366" t="n"/>
      <c r="M47" s="366" t="n"/>
      <c r="N47" s="366" t="n">
        <v>0</v>
      </c>
      <c r="O47" s="366" t="n">
        <v>0</v>
      </c>
      <c r="P47" s="366" t="n">
        <v>0</v>
      </c>
      <c r="Q47" s="366" t="n">
        <v>0</v>
      </c>
      <c r="R47" s="366" t="n">
        <v>0</v>
      </c>
      <c r="S47" s="366" t="n">
        <v>82</v>
      </c>
      <c r="T47" s="366" t="n">
        <v>67</v>
      </c>
      <c r="U47" s="366" t="n">
        <v>50</v>
      </c>
      <c r="V47" s="366" t="n">
        <v>50</v>
      </c>
      <c r="W47" s="366" t="n">
        <v>50</v>
      </c>
      <c r="X47" s="366" t="n">
        <v>0</v>
      </c>
      <c r="Y47" s="366" t="n">
        <v>0</v>
      </c>
      <c r="Z47" s="366" t="n">
        <v>0</v>
      </c>
      <c r="AI47" s="11" t="n"/>
      <c r="AJ47" s="11" t="n"/>
    </row>
    <row r="48">
      <c r="A48" s="645" t="n"/>
      <c r="B48" s="625" t="n"/>
      <c r="C48" s="625" t="n"/>
      <c r="D48" s="641" t="n"/>
      <c r="N48" s="366" t="n"/>
      <c r="O48" s="366" t="n"/>
      <c r="P48" s="366" t="n"/>
      <c r="Q48" s="366" t="n"/>
      <c r="R48" s="366" t="n"/>
      <c r="S48" s="366" t="n"/>
      <c r="T48" s="366" t="n"/>
      <c r="U48" s="366" t="n"/>
      <c r="V48" s="366" t="n"/>
      <c r="W48" s="366" t="n"/>
      <c r="X48" s="366" t="n"/>
      <c r="Y48" s="366" t="n"/>
      <c r="Z48" s="366" t="n"/>
      <c r="AH48" s="11" t="n"/>
      <c r="AK48" s="11" t="n"/>
      <c r="AL48" s="11" t="n"/>
      <c r="AM48" s="11" t="n"/>
    </row>
    <row r="49">
      <c r="A49" s="645" t="n"/>
      <c r="B49" s="625" t="n"/>
      <c r="C49" s="625" t="n"/>
      <c r="D49" s="641" t="n"/>
      <c r="N49" s="366" t="n"/>
      <c r="O49" s="366" t="n"/>
      <c r="P49" s="366" t="n"/>
      <c r="Q49" s="366" t="n"/>
      <c r="R49" s="366" t="n"/>
      <c r="S49" s="366" t="n"/>
      <c r="T49" s="366" t="n"/>
      <c r="U49" s="366" t="n"/>
      <c r="V49" s="366" t="n"/>
      <c r="W49" s="366" t="n"/>
      <c r="X49" s="366" t="n"/>
      <c r="Y49" s="366" t="n"/>
      <c r="Z49" s="366" t="n"/>
    </row>
    <row r="50">
      <c r="A50" s="645" t="n"/>
      <c r="B50" s="625" t="n"/>
      <c r="C50" s="625" t="n"/>
      <c r="D50" s="641" t="n"/>
      <c r="N50" s="366" t="n"/>
      <c r="O50" s="366" t="n"/>
      <c r="P50" s="366" t="n"/>
      <c r="Q50" s="366" t="n"/>
      <c r="R50" s="366" t="n"/>
      <c r="S50" s="366" t="n"/>
      <c r="T50" s="366" t="n"/>
      <c r="U50" s="366" t="n"/>
      <c r="V50" s="366" t="n"/>
      <c r="W50" s="366" t="n"/>
      <c r="X50" s="366" t="n"/>
      <c r="Y50" s="366" t="n"/>
      <c r="Z50" s="366" t="n"/>
    </row>
  </sheetData>
  <mergeCells count="15">
    <mergeCell ref="A5:A6"/>
    <mergeCell ref="A45:D45"/>
    <mergeCell ref="B3:D3"/>
    <mergeCell ref="BD7:BL7"/>
    <mergeCell ref="A50:D50"/>
    <mergeCell ref="A48:D48"/>
    <mergeCell ref="A1:AB1"/>
    <mergeCell ref="C5:C6"/>
    <mergeCell ref="A49:D49"/>
    <mergeCell ref="A47:D47"/>
    <mergeCell ref="D5:D6"/>
    <mergeCell ref="A46:D46"/>
    <mergeCell ref="B5:B6"/>
    <mergeCell ref="B2:D2"/>
    <mergeCell ref="A44:D44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59" fitToHeight="0"/>
</worksheet>
</file>

<file path=xl/worksheets/sheet16.xml><?xml version="1.0" encoding="utf-8"?>
<worksheet xmlns="http://schemas.openxmlformats.org/spreadsheetml/2006/main">
  <sheetPr codeName="Planilha46">
    <tabColor theme="9"/>
    <outlinePr summaryBelow="1" summaryRight="1"/>
    <pageSetUpPr/>
  </sheetPr>
  <dimension ref="A1:FS49"/>
  <sheetViews>
    <sheetView showGridLines="0" zoomScale="80" zoomScaleNormal="80" zoomScalePageLayoutView="70" workbookViewId="0">
      <selection activeCell="AH1" sqref="AH1:AH1048576"/>
    </sheetView>
  </sheetViews>
  <sheetFormatPr baseColWidth="8" defaultColWidth="9.140625" defaultRowHeight="18.75"/>
  <cols>
    <col width="34" customWidth="1" min="1" max="1"/>
    <col width="8.7109375" customWidth="1" min="2" max="2"/>
    <col hidden="1" width="14.42578125" customWidth="1" min="3" max="3"/>
    <col width="14.42578125" customWidth="1" min="4" max="4"/>
    <col width="1.42578125" customWidth="1" min="5" max="5"/>
    <col hidden="1" width="9.28515625" customWidth="1" min="6" max="6"/>
    <col hidden="1" width="13" customWidth="1" min="7" max="7"/>
    <col hidden="1" width="13" customWidth="1" min="8" max="8"/>
    <col hidden="1" width="13" customWidth="1" min="9" max="9"/>
    <col hidden="1" width="13" customWidth="1" min="10" max="10"/>
    <col hidden="1" width="13" customWidth="1" min="11" max="11"/>
    <col hidden="1" width="13" customWidth="1" min="12" max="12"/>
    <col hidden="1" width="13" customWidth="1" min="13" max="13"/>
    <col hidden="1" width="13" customWidth="1" min="14" max="14"/>
    <col hidden="1" width="1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9.28515625" customWidth="1" min="26" max="26"/>
    <col hidden="1" width="13" customWidth="1" min="27" max="27"/>
    <col hidden="1" width="13" customWidth="1" min="28" max="28"/>
    <col width="13" customWidth="1" min="29" max="29"/>
    <col width="13" customWidth="1" min="30" max="30"/>
    <col width="9.7109375" customWidth="1" min="31" max="31"/>
    <col width="1.140625" customWidth="1" min="32" max="32"/>
    <col width="14.28515625" customWidth="1" min="33" max="33"/>
    <col width="1.7109375" customWidth="1" min="34" max="34"/>
    <col width="15.85546875" customWidth="1" min="35" max="35"/>
    <col width="2.140625" customWidth="1" min="36" max="36"/>
    <col width="8.7109375" customWidth="1" min="37" max="37"/>
    <col width="13" customWidth="1" min="38" max="38"/>
    <col width="13" customWidth="1" min="39" max="39"/>
    <col hidden="1" width="13" customWidth="1" min="40" max="40"/>
    <col hidden="1" width="8.7109375" customWidth="1" min="41" max="41"/>
    <col hidden="1" width="13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13" customWidth="1" min="50" max="50"/>
    <col hidden="1" width="13" customWidth="1" min="51" max="51"/>
    <col width="9.140625" customWidth="1" min="52" max="52"/>
    <col width="21.85546875" customWidth="1" min="53" max="53"/>
    <col width="9.140625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13" customWidth="1" min="59" max="59"/>
    <col hidden="1" width="9.140625" customWidth="1" min="60" max="60"/>
    <col hidden="1" width="13" customWidth="1" min="61" max="61"/>
    <col hidden="1" width="13" customWidth="1" min="62" max="62"/>
    <col width="13" customWidth="1" min="63" max="63"/>
    <col width="13" customWidth="1" min="64" max="64"/>
  </cols>
  <sheetData>
    <row r="1" ht="23.25" customHeight="1">
      <c r="A1" s="361" t="inlineStr">
        <is>
          <t>Controle de Contagem Semanal - Antilhas</t>
        </is>
      </c>
      <c r="B1" s="361" t="n"/>
      <c r="C1" s="361" t="n"/>
      <c r="D1" s="361" t="n"/>
      <c r="E1" s="361" t="n"/>
      <c r="F1" s="361" t="n"/>
      <c r="G1" s="361" t="n"/>
      <c r="H1" s="361" t="n"/>
      <c r="I1" s="361" t="n"/>
      <c r="J1" s="361" t="n"/>
      <c r="K1" s="361" t="n"/>
      <c r="L1" s="361" t="n"/>
      <c r="M1" s="361" t="n"/>
      <c r="N1" s="361" t="n"/>
      <c r="O1" s="361" t="n"/>
      <c r="P1" s="361" t="n"/>
      <c r="Q1" s="361" t="n"/>
      <c r="R1" s="361" t="n"/>
      <c r="S1" s="361" t="n"/>
      <c r="T1" s="361" t="n"/>
      <c r="U1" s="361" t="n"/>
      <c r="V1" s="361" t="n"/>
      <c r="W1" s="361" t="n"/>
      <c r="X1" s="361" t="n"/>
      <c r="Y1" s="361" t="n"/>
      <c r="Z1" s="361" t="n"/>
      <c r="AA1" s="361" t="n"/>
      <c r="AB1" s="361" t="n"/>
      <c r="AC1" s="361" t="n"/>
      <c r="AD1" s="361" t="n"/>
      <c r="AE1" s="361" t="n"/>
      <c r="AF1" s="361" t="n"/>
      <c r="AG1" s="361" t="n"/>
      <c r="AH1" s="361" t="n"/>
      <c r="AI1" s="361" t="n"/>
      <c r="AJ1" s="361" t="n"/>
      <c r="AK1" s="361" t="n"/>
      <c r="AL1" s="361" t="n"/>
      <c r="AM1" s="361" t="n"/>
      <c r="AN1" s="361" t="n"/>
      <c r="AO1" s="361" t="n"/>
      <c r="AP1" s="361" t="n"/>
      <c r="AQ1" s="361" t="n"/>
      <c r="AR1" s="361" t="n"/>
      <c r="AS1" s="361" t="n"/>
      <c r="AT1" s="361" t="n"/>
      <c r="AU1" s="361" t="n"/>
      <c r="AV1" s="361" t="n"/>
      <c r="AW1" s="361" t="n"/>
      <c r="AX1" s="361" t="n"/>
      <c r="AY1" s="361" t="n"/>
    </row>
    <row r="2">
      <c r="A2" s="63" t="inlineStr">
        <is>
          <t>LOJA:</t>
        </is>
      </c>
      <c r="B2" s="604" t="inlineStr">
        <is>
          <t>CONFIANÇA</t>
        </is>
      </c>
      <c r="C2" s="605" t="n"/>
      <c r="D2" s="606" t="n"/>
      <c r="AG2" s="11" t="n"/>
      <c r="AH2" s="11" t="n"/>
      <c r="AI2" s="11" t="n"/>
    </row>
    <row r="3">
      <c r="A3" s="63" t="inlineStr">
        <is>
          <t>Responsável:</t>
        </is>
      </c>
      <c r="B3" s="607" t="inlineStr">
        <is>
          <t>TAMIRES / MARINA</t>
        </is>
      </c>
      <c r="C3" s="605" t="n"/>
      <c r="D3" s="606" t="n"/>
      <c r="E3" s="608" t="n"/>
      <c r="F3" s="608" t="n"/>
      <c r="G3" s="608" t="n"/>
      <c r="H3" s="608" t="n"/>
      <c r="I3" s="608" t="n"/>
      <c r="J3" s="608" t="n"/>
      <c r="K3" s="608" t="n"/>
      <c r="L3" s="608" t="n"/>
      <c r="M3" s="608" t="n"/>
      <c r="N3" s="608" t="n"/>
      <c r="O3" s="608" t="n"/>
      <c r="P3" s="608" t="n"/>
      <c r="Q3" s="608" t="n"/>
      <c r="R3" s="608" t="n"/>
      <c r="S3" s="608" t="n"/>
      <c r="T3" s="608" t="n"/>
      <c r="U3" s="608" t="n"/>
      <c r="V3" s="608" t="n"/>
      <c r="W3" s="608" t="n"/>
      <c r="X3" s="608" t="n"/>
      <c r="Y3" s="608" t="n"/>
      <c r="Z3" s="608" t="n"/>
      <c r="AA3" s="608" t="n"/>
      <c r="AB3" s="609" t="n"/>
      <c r="AC3" s="609" t="n"/>
      <c r="AD3" s="609" t="n"/>
      <c r="AE3" s="608" t="n"/>
      <c r="AF3" s="608" t="n"/>
      <c r="AG3" s="11" t="n"/>
      <c r="AH3" s="608" t="n"/>
    </row>
    <row r="4">
      <c r="AH4" s="11" t="n"/>
      <c r="AI4" s="11" t="n"/>
      <c r="AJ4" s="395" t="n"/>
      <c r="AK4" s="395" t="n"/>
      <c r="AL4" s="395" t="n"/>
      <c r="AM4" s="395" t="n"/>
      <c r="AN4" s="395" t="n"/>
      <c r="AO4" s="395" t="n"/>
      <c r="AP4" s="395" t="n"/>
      <c r="AQ4" s="395" t="n"/>
      <c r="AR4" s="395" t="n"/>
      <c r="AS4" s="395" t="n"/>
      <c r="AT4" s="395" t="n"/>
      <c r="AU4" s="395" t="n"/>
      <c r="AV4" s="395" t="n"/>
      <c r="AW4" s="395" t="n"/>
      <c r="AX4" s="395" t="n"/>
      <c r="AY4" s="395" t="n"/>
    </row>
    <row r="5" ht="18.75" customHeight="1">
      <c r="A5" s="647" t="inlineStr">
        <is>
          <t>Descrição</t>
        </is>
      </c>
      <c r="B5" s="611" t="inlineStr">
        <is>
          <t>PCT</t>
        </is>
      </c>
      <c r="C5" s="611" t="inlineStr">
        <is>
          <t xml:space="preserve">R$ </t>
        </is>
      </c>
      <c r="D5" s="612" t="inlineStr">
        <is>
          <t>Estoque Ideal</t>
        </is>
      </c>
      <c r="F5" s="40" t="n"/>
      <c r="G5" s="40" t="n"/>
      <c r="H5" s="40" t="n"/>
      <c r="I5" s="40" t="n"/>
      <c r="J5" s="40" t="n"/>
      <c r="K5" s="40" t="n"/>
      <c r="L5" s="40" t="n"/>
      <c r="M5" s="40" t="n"/>
      <c r="N5" s="40" t="n"/>
      <c r="O5" s="40" t="n"/>
      <c r="P5" s="40" t="n"/>
      <c r="Q5" s="40" t="n"/>
      <c r="R5" s="40" t="n"/>
      <c r="S5" s="40" t="n"/>
      <c r="T5" s="40" t="n"/>
      <c r="U5" s="40" t="n"/>
      <c r="V5" s="40" t="n"/>
      <c r="W5" s="40" t="n"/>
      <c r="X5" s="40" t="n"/>
      <c r="Y5" s="40" t="n"/>
      <c r="Z5" s="40" t="n"/>
      <c r="AA5" s="40" t="n"/>
      <c r="AB5" s="40" t="n"/>
      <c r="AC5" s="40" t="n"/>
      <c r="AD5" s="40" t="n"/>
      <c r="AE5" s="40" t="n"/>
      <c r="AF5" s="117" t="n"/>
      <c r="AG5" s="29" t="inlineStr">
        <is>
          <t>Pendências</t>
        </is>
      </c>
      <c r="AH5" s="11" t="n"/>
      <c r="AI5" s="9" t="inlineStr">
        <is>
          <t>Novo Pedido</t>
        </is>
      </c>
      <c r="AJ5" s="613" t="n">
        <v>46161.4829596855</v>
      </c>
      <c r="AK5" s="614" t="n"/>
      <c r="AL5" s="614" t="n">
        <v>46114</v>
      </c>
      <c r="AM5" s="616" t="n">
        <v>46065</v>
      </c>
      <c r="AN5" s="614" t="n">
        <v>46107</v>
      </c>
      <c r="AO5" s="614" t="n">
        <v>46099</v>
      </c>
      <c r="AP5" s="614" t="n">
        <v>46092</v>
      </c>
      <c r="AQ5" s="614" t="n">
        <v>46077</v>
      </c>
      <c r="AR5" s="614" t="n">
        <v>46071</v>
      </c>
      <c r="AS5" s="614" t="n">
        <v>46048</v>
      </c>
      <c r="AT5" s="614" t="n">
        <v>46043</v>
      </c>
      <c r="AU5" s="614" t="n">
        <v>46035</v>
      </c>
      <c r="AV5" s="614" t="n">
        <v>46017</v>
      </c>
      <c r="AW5" s="614" t="n">
        <v>46007</v>
      </c>
      <c r="AX5" s="614" t="n">
        <v>45994</v>
      </c>
      <c r="AY5" s="614" t="n">
        <v>45965</v>
      </c>
    </row>
    <row r="6" ht="19.5" customFormat="1" customHeight="1" s="3">
      <c r="A6" s="618" t="n"/>
      <c r="B6" s="618" t="n"/>
      <c r="C6" s="618" t="n"/>
      <c r="D6" s="618" t="n"/>
      <c r="E6" s="30" t="n"/>
      <c r="F6" s="619" t="n">
        <v>46013</v>
      </c>
      <c r="G6" s="619" t="n">
        <v>46020</v>
      </c>
      <c r="H6" s="619" t="n">
        <v>46027</v>
      </c>
      <c r="I6" s="619" t="n">
        <v>46034</v>
      </c>
      <c r="J6" s="619" t="n">
        <v>46041</v>
      </c>
      <c r="K6" s="619" t="n">
        <v>46048</v>
      </c>
      <c r="L6" s="619" t="n">
        <v>46055</v>
      </c>
      <c r="M6" s="619" t="n">
        <v>46062</v>
      </c>
      <c r="N6" s="619" t="n">
        <v>46069</v>
      </c>
      <c r="O6" s="619" t="n">
        <v>46076</v>
      </c>
      <c r="P6" s="619" t="n">
        <v>46083</v>
      </c>
      <c r="Q6" s="619" t="n">
        <v>46090</v>
      </c>
      <c r="R6" s="619" t="n">
        <v>46097</v>
      </c>
      <c r="S6" s="619" t="n">
        <v>46104</v>
      </c>
      <c r="T6" s="619" t="n">
        <v>46111</v>
      </c>
      <c r="U6" s="619" t="n">
        <v>46118</v>
      </c>
      <c r="V6" s="619" t="n">
        <v>46125</v>
      </c>
      <c r="W6" s="619" t="n">
        <v>46132</v>
      </c>
      <c r="X6" s="619" t="n">
        <v>46139</v>
      </c>
      <c r="Y6" s="619" t="n">
        <v>46146</v>
      </c>
      <c r="Z6" s="619" t="n">
        <v>46154</v>
      </c>
      <c r="AA6" s="619" t="n">
        <v>46160</v>
      </c>
      <c r="AB6" s="620" t="n">
        <v>46161.4801293287</v>
      </c>
      <c r="AC6" s="620" t="n">
        <v>46161.48080292824</v>
      </c>
      <c r="AD6" s="620" t="n">
        <v>46161.48296027954</v>
      </c>
      <c r="AE6" s="621" t="inlineStr">
        <is>
          <t>USOU</t>
        </is>
      </c>
      <c r="AF6" s="648" t="n"/>
      <c r="AG6" s="622" t="n"/>
      <c r="AH6" s="623" t="n"/>
      <c r="AI6" s="624" t="n"/>
      <c r="AJ6" s="613" t="n">
        <v>46161.48295968575</v>
      </c>
      <c r="AK6" s="614" t="n"/>
      <c r="AL6" s="614" t="n">
        <v>46125</v>
      </c>
      <c r="AM6" s="616" t="n">
        <v>46112</v>
      </c>
      <c r="AN6" s="614" t="n">
        <v>46112</v>
      </c>
      <c r="AO6" s="614" t="n">
        <v>46106</v>
      </c>
      <c r="AP6" s="614" t="n">
        <v>46100</v>
      </c>
      <c r="AQ6" s="614" t="n">
        <v>46084</v>
      </c>
      <c r="AR6" s="614" t="n">
        <v>46077</v>
      </c>
      <c r="AS6" s="614" t="n">
        <v>46056</v>
      </c>
      <c r="AT6" s="614" t="n">
        <v>46049</v>
      </c>
      <c r="AU6" s="614" t="n">
        <v>46038</v>
      </c>
      <c r="AV6" s="614" t="n">
        <v>46028</v>
      </c>
      <c r="AW6" s="614" t="n">
        <v>46014</v>
      </c>
      <c r="AX6" s="614" t="n">
        <v>46010</v>
      </c>
      <c r="AY6" s="614" t="n">
        <v>45975</v>
      </c>
      <c r="BA6" s="11" t="n"/>
      <c r="BB6" s="11" t="n"/>
      <c r="BC6" s="11" t="n"/>
      <c r="BD6" s="11" t="n"/>
      <c r="BE6" s="11" t="n"/>
      <c r="BF6" s="11" t="n"/>
      <c r="BG6" s="11" t="n"/>
      <c r="BH6" s="11" t="n"/>
      <c r="BI6" s="11" t="n"/>
      <c r="BJ6" s="11" t="n"/>
      <c r="BK6" s="11" t="n"/>
      <c r="BL6" s="11" t="n"/>
      <c r="BM6" s="11" t="n"/>
    </row>
    <row r="7" ht="21.75" customFormat="1" customHeight="1" s="3">
      <c r="A7" s="68" t="inlineStr">
        <is>
          <t xml:space="preserve">SACOLAS </t>
        </is>
      </c>
      <c r="B7" s="5" t="n"/>
      <c r="C7" s="5" t="n"/>
      <c r="D7" s="239" t="n"/>
      <c r="E7" s="11" t="n"/>
      <c r="F7" s="12" t="n"/>
      <c r="G7" s="12" t="n"/>
      <c r="H7" s="12" t="n"/>
      <c r="I7" s="12" t="n"/>
      <c r="J7" s="12" t="n"/>
      <c r="K7" s="12" t="n"/>
      <c r="L7" s="12" t="n"/>
      <c r="M7" s="12" t="n"/>
      <c r="N7" s="12" t="n"/>
      <c r="O7" s="12" t="n"/>
      <c r="P7" s="12" t="n"/>
      <c r="Q7" s="12" t="n"/>
      <c r="R7" s="12" t="n"/>
      <c r="S7" s="12" t="n"/>
      <c r="T7" s="12" t="n"/>
      <c r="U7" s="12" t="n"/>
      <c r="V7" s="12" t="n"/>
      <c r="W7" s="12" t="n"/>
      <c r="X7" s="12" t="n"/>
      <c r="Y7" s="12" t="n"/>
      <c r="Z7" s="12" t="n"/>
      <c r="AA7" s="12" t="n"/>
      <c r="AB7" s="12" t="n"/>
      <c r="AC7" s="12" t="n"/>
      <c r="AD7" s="12" t="n"/>
      <c r="AE7" s="12" t="n"/>
      <c r="AF7" s="349" t="n"/>
      <c r="AG7" s="85" t="n"/>
      <c r="AI7" s="136" t="n"/>
      <c r="AJ7" s="12" t="n"/>
      <c r="AK7" s="12" t="n"/>
      <c r="AL7" s="12" t="n"/>
      <c r="AM7" s="12" t="inlineStr">
        <is>
          <t>MÃES</t>
        </is>
      </c>
      <c r="AN7" s="12" t="n"/>
      <c r="AO7" s="12" t="n"/>
      <c r="AP7" s="12" t="n"/>
      <c r="AQ7" s="12" t="n"/>
      <c r="AR7" s="12" t="n"/>
      <c r="AS7" s="12" t="n"/>
      <c r="AT7" s="12" t="n"/>
      <c r="AU7" s="12" t="n"/>
      <c r="AV7" s="12" t="n"/>
      <c r="AW7" s="12" t="n"/>
      <c r="AX7" s="12" t="n"/>
      <c r="AY7" s="12" t="n"/>
      <c r="AZ7" s="625" t="n"/>
      <c r="BA7" s="625" t="n"/>
      <c r="BB7" s="625" t="n"/>
      <c r="BC7" s="625" t="n"/>
      <c r="BD7" s="625" t="n"/>
      <c r="BE7" s="625" t="n"/>
      <c r="BF7" s="625" t="n"/>
      <c r="BG7" s="641" t="n"/>
      <c r="BH7" s="652" t="n"/>
      <c r="BI7" s="625" t="n"/>
      <c r="BJ7" s="626" t="n"/>
      <c r="BK7" s="626" t="n"/>
      <c r="BL7" s="626" t="n"/>
      <c r="BM7" s="476" t="n"/>
    </row>
    <row r="8" customFormat="1" s="3">
      <c r="A8" s="21" t="inlineStr">
        <is>
          <t>SACOLA PP VERDE</t>
        </is>
      </c>
      <c r="B8" s="6" t="n">
        <v>300</v>
      </c>
      <c r="C8" s="627" t="n">
        <v>187.12</v>
      </c>
      <c r="D8" s="240" t="n">
        <v>200</v>
      </c>
      <c r="E8" s="11" t="n"/>
      <c r="F8" s="39">
        <f>160+AT8</f>
        <v/>
      </c>
      <c r="G8" s="39" t="n">
        <v>435</v>
      </c>
      <c r="H8" s="39" t="n">
        <v>335</v>
      </c>
      <c r="I8" s="39" t="n">
        <v>300</v>
      </c>
      <c r="J8" s="39" t="n">
        <v>183</v>
      </c>
      <c r="K8" s="39">
        <f>300+AQ8</f>
        <v/>
      </c>
      <c r="L8" s="39" t="n">
        <v>600</v>
      </c>
      <c r="M8" s="39" t="n">
        <v>600</v>
      </c>
      <c r="N8" s="39" t="n">
        <v>600</v>
      </c>
      <c r="O8" s="39" t="n">
        <v>600</v>
      </c>
      <c r="P8" s="39" t="n">
        <v>300</v>
      </c>
      <c r="Q8" s="39" t="n">
        <v>300</v>
      </c>
      <c r="R8" s="39" t="n">
        <v>300</v>
      </c>
      <c r="S8" s="39" t="n">
        <v>300</v>
      </c>
      <c r="T8" s="39" t="n">
        <v>300</v>
      </c>
      <c r="U8" s="39" t="n">
        <v>300</v>
      </c>
      <c r="V8" s="39" t="n">
        <v>300</v>
      </c>
      <c r="W8" s="39" t="n">
        <v>300</v>
      </c>
      <c r="X8" s="39" t="n">
        <v>240</v>
      </c>
      <c r="Y8" s="39" t="n">
        <v>240</v>
      </c>
      <c r="Z8" s="39" t="n">
        <v>240</v>
      </c>
      <c r="AA8" s="39" t="n"/>
      <c r="AB8" s="6" t="n"/>
      <c r="AC8" s="6" t="n"/>
      <c r="AD8" s="6" t="n"/>
      <c r="AE8" s="380">
        <f>AC8+IF(NOT(ISBLANK(OFFSET(AE8,0,6))),N(OFFSET(AE8,0,6)),N(OFFSET(AE8,0,7)))-AD8</f>
        <v/>
      </c>
      <c r="AF8" s="2" t="n"/>
      <c r="AG8" s="78" t="n"/>
      <c r="AI8" s="32" t="n"/>
      <c r="AJ8" s="628" t="n"/>
      <c r="AK8" s="19" t="n">
        <v>0</v>
      </c>
      <c r="AL8" s="19" t="n"/>
      <c r="AM8" s="19" t="n"/>
      <c r="AN8" s="19" t="n"/>
      <c r="AO8" s="19" t="n"/>
      <c r="AP8" s="19" t="n"/>
      <c r="AQ8" s="19" t="n"/>
      <c r="AR8" s="19" t="n"/>
      <c r="AS8" s="19" t="n"/>
      <c r="AT8" s="19" t="n">
        <v>300</v>
      </c>
      <c r="AU8" s="19" t="n"/>
      <c r="AV8" s="19" t="n"/>
      <c r="AW8" s="19" t="n">
        <v>300</v>
      </c>
      <c r="AX8" s="19" t="n"/>
      <c r="AY8" s="19" t="n"/>
      <c r="BA8" s="397" t="inlineStr">
        <is>
          <t xml:space="preserve">SACOLAS </t>
        </is>
      </c>
      <c r="BB8" s="384" t="inlineStr">
        <is>
          <t>PCT</t>
        </is>
      </c>
      <c r="BC8" s="619" t="n">
        <v>46118</v>
      </c>
      <c r="BD8" s="619" t="n">
        <v>46125</v>
      </c>
      <c r="BE8" s="619" t="n">
        <v>46132</v>
      </c>
      <c r="BF8" s="619" t="n">
        <v>46139</v>
      </c>
      <c r="BG8" s="619" t="n">
        <v>46146</v>
      </c>
      <c r="BH8" s="619" t="n">
        <v>46154</v>
      </c>
      <c r="BI8" s="619" t="n">
        <v>46160</v>
      </c>
      <c r="BJ8" s="620" t="n">
        <v>46161.48012898148</v>
      </c>
      <c r="BK8" s="620" t="n">
        <v>46161.4808025926</v>
      </c>
      <c r="BL8" s="620" t="n">
        <v>46161.48295998907</v>
      </c>
      <c r="BM8" s="621" t="inlineStr">
        <is>
          <t>USOU</t>
        </is>
      </c>
    </row>
    <row r="9" ht="18" customFormat="1" customHeight="1" s="3">
      <c r="A9" s="21" t="inlineStr">
        <is>
          <t xml:space="preserve">SACOLA P VERDE </t>
        </is>
      </c>
      <c r="B9" s="6" t="n">
        <v>200</v>
      </c>
      <c r="C9" s="627" t="n">
        <v>193.08</v>
      </c>
      <c r="D9" s="240" t="n">
        <v>500</v>
      </c>
      <c r="E9" s="11" t="n"/>
      <c r="F9" s="39">
        <f>200+AT9</f>
        <v/>
      </c>
      <c r="G9" s="39" t="n">
        <v>400</v>
      </c>
      <c r="H9" s="39">
        <f>200+AS9</f>
        <v/>
      </c>
      <c r="I9" s="39" t="n">
        <v>400</v>
      </c>
      <c r="J9" s="39" t="n">
        <v>400</v>
      </c>
      <c r="K9" s="39" t="n">
        <v>350</v>
      </c>
      <c r="L9" s="39">
        <f>350+AP9</f>
        <v/>
      </c>
      <c r="M9" s="39" t="n">
        <v>800</v>
      </c>
      <c r="N9" s="39" t="n">
        <v>600</v>
      </c>
      <c r="O9" s="39">
        <f>400+AO9</f>
        <v/>
      </c>
      <c r="P9" s="39" t="n">
        <v>400</v>
      </c>
      <c r="Q9" s="39" t="n">
        <v>400</v>
      </c>
      <c r="R9" s="39" t="n">
        <v>200</v>
      </c>
      <c r="S9" s="39">
        <f>0+AL9</f>
        <v/>
      </c>
      <c r="T9" s="39">
        <f>200+AK9</f>
        <v/>
      </c>
      <c r="U9" s="39" t="n">
        <v>600</v>
      </c>
      <c r="V9" s="39" t="n">
        <v>600</v>
      </c>
      <c r="W9" s="39" t="n">
        <v>600</v>
      </c>
      <c r="X9" s="39" t="n">
        <v>600</v>
      </c>
      <c r="Y9" s="39" t="n">
        <v>600</v>
      </c>
      <c r="Z9" s="39" t="n">
        <v>400</v>
      </c>
      <c r="AA9" s="39" t="n"/>
      <c r="AB9" s="6" t="n"/>
      <c r="AC9" s="6" t="n"/>
      <c r="AD9" s="6" t="n"/>
      <c r="AE9" s="380">
        <f>AC9+IF(NOT(ISBLANK(OFFSET(AE9,0,6))),N(OFFSET(AE9,0,6)),N(OFFSET(AE9,0,7)))-AD9</f>
        <v/>
      </c>
      <c r="AF9" s="2" t="n"/>
      <c r="AG9" s="78" t="n"/>
      <c r="AI9" s="32" t="n"/>
      <c r="AJ9" s="628" t="n">
        <v>0</v>
      </c>
      <c r="AK9" s="19" t="n">
        <v>0</v>
      </c>
      <c r="AL9" s="19" t="n">
        <v>200</v>
      </c>
      <c r="AM9" s="119" t="n">
        <v>400</v>
      </c>
      <c r="AN9" s="19" t="n">
        <v>200</v>
      </c>
      <c r="AO9" s="19" t="n">
        <v>400</v>
      </c>
      <c r="AP9" s="19" t="n"/>
      <c r="AQ9" s="19" t="n"/>
      <c r="AR9" s="19" t="n">
        <v>200</v>
      </c>
      <c r="AS9" s="19" t="n">
        <v>600</v>
      </c>
      <c r="AT9" s="19" t="n"/>
      <c r="AU9" s="19" t="n">
        <v>200</v>
      </c>
      <c r="AV9" s="19" t="n">
        <v>400</v>
      </c>
      <c r="AW9" s="19" t="n">
        <v>400</v>
      </c>
      <c r="AX9" s="19" t="n">
        <v>400</v>
      </c>
      <c r="AY9" s="19" t="n">
        <v>200</v>
      </c>
      <c r="BA9" s="372" t="inlineStr">
        <is>
          <t xml:space="preserve">SACOLA P </t>
        </is>
      </c>
      <c r="BB9" s="139" t="n">
        <v>200</v>
      </c>
      <c r="BC9" s="39">
        <f>AJ9</f>
        <v/>
      </c>
      <c r="BD9" s="39" t="n">
        <v>400</v>
      </c>
      <c r="BE9" s="39" t="n">
        <v>200</v>
      </c>
      <c r="BF9" s="39" t="n">
        <v>120</v>
      </c>
      <c r="BG9" s="39" t="n">
        <v>120</v>
      </c>
      <c r="BH9" s="39" t="n">
        <v>120</v>
      </c>
      <c r="BI9" s="39" t="n"/>
      <c r="BJ9" s="6" t="n"/>
      <c r="BK9" s="6" t="n"/>
      <c r="BL9" s="6" t="n"/>
      <c r="BM9" s="26">
        <f>BK9+IF(NOT(ISBLANK(OFFSET(BM9,0,6))),N(OFFSET(BM9,0,6)),N(OFFSET(BM9,0,7)))-BL9</f>
        <v/>
      </c>
    </row>
    <row r="10" customFormat="1" s="3">
      <c r="A10" s="21" t="inlineStr">
        <is>
          <t>SACOLA M VERDE</t>
        </is>
      </c>
      <c r="B10" s="6" t="n">
        <v>200</v>
      </c>
      <c r="C10" s="627" t="n">
        <v>253.83</v>
      </c>
      <c r="D10" s="240" t="n">
        <v>350</v>
      </c>
      <c r="E10" s="11" t="n"/>
      <c r="F10" s="39" t="n">
        <v>400</v>
      </c>
      <c r="G10" s="39" t="n">
        <v>200</v>
      </c>
      <c r="H10" s="39">
        <f>200+AS10</f>
        <v/>
      </c>
      <c r="I10" s="39" t="n">
        <v>400</v>
      </c>
      <c r="J10" s="39" t="n">
        <v>200</v>
      </c>
      <c r="K10" s="39">
        <f>200+AQ10</f>
        <v/>
      </c>
      <c r="L10" s="39" t="n">
        <v>400</v>
      </c>
      <c r="M10" s="39" t="n">
        <v>400</v>
      </c>
      <c r="N10" s="39" t="n">
        <v>400</v>
      </c>
      <c r="O10" s="39" t="n">
        <v>400</v>
      </c>
      <c r="P10" s="39" t="n">
        <v>400</v>
      </c>
      <c r="Q10" s="39" t="n">
        <v>200</v>
      </c>
      <c r="R10" s="39" t="n">
        <v>200</v>
      </c>
      <c r="S10" s="39" t="n">
        <v>0</v>
      </c>
      <c r="T10" s="39">
        <f>0+AK10</f>
        <v/>
      </c>
      <c r="U10" s="39" t="n">
        <v>600</v>
      </c>
      <c r="V10" s="39" t="n">
        <v>600</v>
      </c>
      <c r="W10" s="39" t="n">
        <v>600</v>
      </c>
      <c r="X10" s="39" t="n">
        <v>600</v>
      </c>
      <c r="Y10" s="39" t="n">
        <v>600</v>
      </c>
      <c r="Z10" s="39" t="n">
        <v>400</v>
      </c>
      <c r="AA10" s="39" t="n"/>
      <c r="AB10" s="6" t="n"/>
      <c r="AC10" s="6" t="n"/>
      <c r="AD10" s="6" t="n"/>
      <c r="AE10" s="380">
        <f>AC10+IF(NOT(ISBLANK(OFFSET(AE10,0,6))),N(OFFSET(AE10,0,6)),N(OFFSET(AE10,0,7)))-AD10</f>
        <v/>
      </c>
      <c r="AF10" s="2" t="n"/>
      <c r="AG10" s="78" t="n"/>
      <c r="AH10" s="2" t="n"/>
      <c r="AI10" s="32" t="n"/>
      <c r="AJ10" s="628" t="n"/>
      <c r="AK10" s="19" t="n">
        <v>0</v>
      </c>
      <c r="AL10" s="19" t="n"/>
      <c r="AM10" s="119" t="n">
        <v>400</v>
      </c>
      <c r="AN10" s="19" t="n">
        <v>400</v>
      </c>
      <c r="AO10" s="19" t="n"/>
      <c r="AP10" s="19" t="n"/>
      <c r="AQ10" s="19" t="n"/>
      <c r="AR10" s="19" t="n"/>
      <c r="AS10" s="19" t="n"/>
      <c r="AT10" s="19" t="n">
        <v>200</v>
      </c>
      <c r="AU10" s="19" t="n"/>
      <c r="AV10" s="19" t="n">
        <v>200</v>
      </c>
      <c r="AW10" s="19" t="n"/>
      <c r="AX10" s="19" t="n"/>
      <c r="AY10" s="19" t="n"/>
      <c r="BA10" s="21" t="inlineStr">
        <is>
          <t xml:space="preserve">SACOLA M </t>
        </is>
      </c>
      <c r="BB10" s="6" t="n">
        <v>200</v>
      </c>
      <c r="BC10" s="39">
        <f>AJ10</f>
        <v/>
      </c>
      <c r="BD10" s="39" t="n">
        <v>400</v>
      </c>
      <c r="BE10" s="39" t="n">
        <v>400</v>
      </c>
      <c r="BF10" s="39" t="n">
        <v>350</v>
      </c>
      <c r="BG10" s="39" t="n">
        <v>350</v>
      </c>
      <c r="BH10" s="39" t="n">
        <v>150</v>
      </c>
      <c r="BI10" s="39" t="n"/>
      <c r="BJ10" s="6" t="n"/>
      <c r="BK10" s="6" t="n"/>
      <c r="BL10" s="6" t="n"/>
      <c r="BM10" s="26">
        <f>BK10+IF(NOT(ISBLANK(OFFSET(BM10,0,6))),N(OFFSET(BM10,0,6)),N(OFFSET(BM10,0,7)))-BL10</f>
        <v/>
      </c>
    </row>
    <row r="11" customFormat="1" s="3">
      <c r="A11" s="22" t="inlineStr">
        <is>
          <t xml:space="preserve">SACOLA G VERDE </t>
        </is>
      </c>
      <c r="B11" s="6" t="n">
        <v>100</v>
      </c>
      <c r="C11" s="627" t="n">
        <v>184.57</v>
      </c>
      <c r="D11" s="240" t="n">
        <v>20</v>
      </c>
      <c r="E11" s="11" t="n"/>
      <c r="F11" s="39" t="n">
        <v>32</v>
      </c>
      <c r="G11" s="39" t="n">
        <v>32</v>
      </c>
      <c r="H11" s="39" t="n">
        <v>32</v>
      </c>
      <c r="I11" s="39" t="n">
        <v>32</v>
      </c>
      <c r="J11" s="39" t="n">
        <v>32</v>
      </c>
      <c r="K11" s="39" t="n">
        <v>32</v>
      </c>
      <c r="L11" s="39" t="n">
        <v>0</v>
      </c>
      <c r="M11" s="39" t="n">
        <v>0</v>
      </c>
      <c r="N11" s="39" t="n">
        <v>0</v>
      </c>
      <c r="O11" s="39" t="n">
        <v>0</v>
      </c>
      <c r="P11" s="39" t="n">
        <v>0</v>
      </c>
      <c r="Q11" s="39" t="n">
        <v>0</v>
      </c>
      <c r="R11" s="39" t="n">
        <v>0</v>
      </c>
      <c r="S11" s="39" t="n">
        <v>0</v>
      </c>
      <c r="T11" s="39" t="n">
        <v>0</v>
      </c>
      <c r="U11" s="39" t="n">
        <v>0</v>
      </c>
      <c r="V11" s="39" t="n">
        <v>0</v>
      </c>
      <c r="W11" s="39" t="n">
        <v>0</v>
      </c>
      <c r="X11" s="39" t="n">
        <v>0</v>
      </c>
      <c r="Y11" s="39" t="n">
        <v>0</v>
      </c>
      <c r="Z11" s="39" t="n">
        <v>0</v>
      </c>
      <c r="AA11" s="39" t="n"/>
      <c r="AB11" s="6" t="n"/>
      <c r="AC11" s="6" t="n"/>
      <c r="AD11" s="6" t="n"/>
      <c r="AE11" s="380">
        <f>AC11+IF(NOT(ISBLANK(OFFSET(AE11,0,6))),N(OFFSET(AE11,0,6)),N(OFFSET(AE11,0,7)))-AD11</f>
        <v/>
      </c>
      <c r="AF11" s="2" t="n"/>
      <c r="AG11" s="78" t="n"/>
      <c r="AH11" s="2" t="n"/>
      <c r="AI11" s="32" t="n"/>
      <c r="AJ11" s="628" t="n"/>
      <c r="AK11" s="19" t="n">
        <v>0</v>
      </c>
      <c r="AL11" s="19" t="n"/>
      <c r="AM11" s="1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BA11" s="22" t="inlineStr">
        <is>
          <t xml:space="preserve">SACOLA G </t>
        </is>
      </c>
      <c r="BB11" s="6" t="n">
        <v>100</v>
      </c>
      <c r="BC11" s="39" t="n">
        <v>0</v>
      </c>
      <c r="BD11" s="39" t="n">
        <v>50</v>
      </c>
      <c r="BE11" s="39" t="n">
        <v>50</v>
      </c>
      <c r="BF11" s="39" t="n">
        <v>49</v>
      </c>
      <c r="BG11" s="39" t="n">
        <v>49</v>
      </c>
      <c r="BH11" s="39" t="n">
        <v>49</v>
      </c>
      <c r="BI11" s="39" t="n"/>
      <c r="BJ11" s="6" t="n"/>
      <c r="BK11" s="6" t="n"/>
      <c r="BL11" s="6" t="n"/>
      <c r="BM11" s="26">
        <f>BK11+IF(NOT(ISBLANK(OFFSET(BM11,0,6))),N(OFFSET(BM11,0,6)),N(OFFSET(BM11,0,7)))-BL11</f>
        <v/>
      </c>
    </row>
    <row r="12" ht="16.5" customFormat="1" customHeight="1" s="3">
      <c r="A12" s="23" t="n"/>
      <c r="B12" s="1" t="n"/>
      <c r="C12" s="630" t="n"/>
      <c r="D12" s="277" t="n"/>
      <c r="E12" s="11" t="n"/>
      <c r="F12" s="2" t="n"/>
      <c r="G12" s="2" t="n"/>
      <c r="H12" s="2" t="n"/>
      <c r="I12" s="2" t="n"/>
      <c r="J12" s="2" t="n"/>
      <c r="K12" s="2" t="n"/>
      <c r="L12" s="2" t="n"/>
      <c r="M12" s="2" t="n"/>
      <c r="N12" s="2" t="n"/>
      <c r="O12" s="2" t="n"/>
      <c r="P12" s="2" t="n"/>
      <c r="Q12" s="2" t="n"/>
      <c r="R12" s="2" t="n"/>
      <c r="S12" s="2" t="n"/>
      <c r="T12" s="2" t="n"/>
      <c r="U12" s="2" t="n"/>
      <c r="V12" s="2" t="n"/>
      <c r="W12" s="2" t="n"/>
      <c r="X12" s="2" t="n"/>
      <c r="Y12" s="2" t="n"/>
      <c r="Z12" s="2" t="n"/>
      <c r="AA12" s="2" t="n"/>
      <c r="AB12" s="1" t="n"/>
      <c r="AC12" s="1" t="n"/>
      <c r="AD12" s="1" t="n"/>
      <c r="AE12" s="2" t="n"/>
      <c r="AF12" s="2" t="n"/>
      <c r="AG12" s="350" t="n"/>
      <c r="AH12" s="2" t="n"/>
      <c r="AI12" s="33" t="n"/>
      <c r="AJ12" s="396" t="n"/>
      <c r="AK12" s="75" t="n"/>
      <c r="AL12" s="75" t="n"/>
      <c r="AM12" s="75" t="n"/>
      <c r="AN12" s="75" t="n"/>
      <c r="AO12" s="75" t="n"/>
      <c r="AP12" s="75" t="n"/>
      <c r="AQ12" s="75" t="n"/>
      <c r="AR12" s="75" t="n"/>
      <c r="AS12" s="75" t="n"/>
      <c r="AT12" s="75" t="n"/>
      <c r="AU12" s="75" t="n"/>
      <c r="AV12" s="75" t="n"/>
      <c r="AW12" s="75" t="n"/>
      <c r="AX12" s="75" t="n"/>
      <c r="AY12" s="75" t="n"/>
      <c r="BA12" s="23" t="n"/>
      <c r="BB12" s="1" t="n"/>
      <c r="BC12" s="2" t="n"/>
      <c r="BD12" s="2" t="n"/>
      <c r="BE12" s="2" t="n"/>
      <c r="BF12" s="2" t="n"/>
      <c r="BG12" s="2" t="n"/>
      <c r="BH12" s="2" t="n"/>
      <c r="BI12" s="2" t="n"/>
      <c r="BJ12" s="1" t="n"/>
      <c r="BK12" s="1" t="n"/>
      <c r="BL12" s="1" t="n"/>
    </row>
    <row r="13" customFormat="1" s="3">
      <c r="A13" s="548" t="inlineStr">
        <is>
          <t>DIVERSOS</t>
        </is>
      </c>
      <c r="B13" s="12" t="n"/>
      <c r="C13" s="631" t="n"/>
      <c r="D13" s="403" t="n"/>
      <c r="E13" s="608" t="n"/>
      <c r="F13" s="619" t="n">
        <v>46013</v>
      </c>
      <c r="G13" s="619" t="n">
        <v>46020</v>
      </c>
      <c r="H13" s="619" t="n">
        <v>46027</v>
      </c>
      <c r="I13" s="619" t="n">
        <v>46034</v>
      </c>
      <c r="J13" s="619" t="n">
        <v>46041</v>
      </c>
      <c r="K13" s="619" t="n">
        <v>46048</v>
      </c>
      <c r="L13" s="619" t="n">
        <v>46055</v>
      </c>
      <c r="M13" s="619" t="n">
        <v>46062</v>
      </c>
      <c r="N13" s="619" t="n">
        <v>46069</v>
      </c>
      <c r="O13" s="619" t="n">
        <v>46076</v>
      </c>
      <c r="P13" s="619" t="n">
        <v>46083</v>
      </c>
      <c r="Q13" s="619" t="n">
        <v>46090</v>
      </c>
      <c r="R13" s="619" t="n">
        <v>46097</v>
      </c>
      <c r="S13" s="619" t="n">
        <v>46104</v>
      </c>
      <c r="T13" s="619" t="n">
        <v>46111</v>
      </c>
      <c r="U13" s="619" t="n">
        <v>46118</v>
      </c>
      <c r="V13" s="619" t="n">
        <v>46125</v>
      </c>
      <c r="W13" s="619" t="n">
        <v>46132</v>
      </c>
      <c r="X13" s="619" t="n">
        <v>46139</v>
      </c>
      <c r="Y13" s="619" t="n">
        <v>46146</v>
      </c>
      <c r="Z13" s="619" t="n">
        <v>46154</v>
      </c>
      <c r="AA13" s="619" t="n">
        <v>46160</v>
      </c>
      <c r="AB13" s="620" t="n">
        <v>46161.4801293287</v>
      </c>
      <c r="AC13" s="620" t="n">
        <v>46161.48080292824</v>
      </c>
      <c r="AD13" s="620" t="n">
        <v>46161.48296027981</v>
      </c>
      <c r="AE13" s="621" t="inlineStr">
        <is>
          <t>USOU</t>
        </is>
      </c>
      <c r="AF13" s="648" t="n"/>
      <c r="AG13" s="29" t="inlineStr">
        <is>
          <t>Pendências</t>
        </is>
      </c>
      <c r="AH13" s="11" t="n"/>
      <c r="AI13" s="9" t="inlineStr">
        <is>
          <t>Novo Pedido</t>
        </is>
      </c>
      <c r="AJ13" s="649" t="n">
        <v>46161.48295968613</v>
      </c>
      <c r="AK13" s="614" t="n"/>
      <c r="AL13" s="614" t="n">
        <v>46114</v>
      </c>
      <c r="AM13" s="616" t="n">
        <v>46065</v>
      </c>
      <c r="AN13" s="614" t="n">
        <v>46107</v>
      </c>
      <c r="AO13" s="614" t="n">
        <v>46099</v>
      </c>
      <c r="AP13" s="614" t="n">
        <v>46092</v>
      </c>
      <c r="AQ13" s="614" t="n">
        <v>46077</v>
      </c>
      <c r="AR13" s="614" t="n">
        <v>46071</v>
      </c>
      <c r="AS13" s="614" t="n">
        <v>46048</v>
      </c>
      <c r="AT13" s="614" t="n">
        <v>46043</v>
      </c>
      <c r="AU13" s="614" t="n">
        <v>46035</v>
      </c>
      <c r="AV13" s="614" t="n">
        <v>46017</v>
      </c>
      <c r="AW13" s="614" t="n">
        <v>46007</v>
      </c>
      <c r="AX13" s="614" t="n">
        <v>45994</v>
      </c>
      <c r="AY13" s="614" t="n">
        <v>45965</v>
      </c>
      <c r="BA13" s="397" t="inlineStr">
        <is>
          <t>DIVERSOS</t>
        </is>
      </c>
      <c r="BB13" s="384" t="inlineStr">
        <is>
          <t>PCT</t>
        </is>
      </c>
      <c r="BC13" s="619" t="n">
        <v>46118</v>
      </c>
      <c r="BD13" s="619" t="n">
        <v>46125</v>
      </c>
      <c r="BE13" s="619" t="n">
        <v>46132</v>
      </c>
      <c r="BF13" s="619" t="n">
        <v>46139</v>
      </c>
      <c r="BG13" s="619" t="n">
        <v>46146</v>
      </c>
      <c r="BH13" s="619" t="n">
        <v>46154</v>
      </c>
      <c r="BI13" s="619" t="n">
        <v>46160</v>
      </c>
      <c r="BJ13" s="620" t="n">
        <v>46161.48012898148</v>
      </c>
      <c r="BK13" s="620" t="n">
        <v>46161.4808025926</v>
      </c>
      <c r="BL13" s="620" t="n">
        <v>46161.48295998934</v>
      </c>
      <c r="BM13" s="621" t="inlineStr">
        <is>
          <t>USOU</t>
        </is>
      </c>
    </row>
    <row r="14" customFormat="1" s="3">
      <c r="A14" s="25" t="inlineStr">
        <is>
          <t xml:space="preserve">PAPEL DE SEDA </t>
        </is>
      </c>
      <c r="B14" s="6" t="n">
        <v>500</v>
      </c>
      <c r="C14" s="632" t="n">
        <v>99.26000000000001</v>
      </c>
      <c r="D14" s="240" t="n">
        <v>1</v>
      </c>
      <c r="E14" s="608" t="n"/>
      <c r="F14" s="388">
        <f>2+AT14</f>
        <v/>
      </c>
      <c r="G14" s="388" t="n">
        <v>3</v>
      </c>
      <c r="H14" s="388" t="n">
        <v>3</v>
      </c>
      <c r="I14" s="388" t="n">
        <v>3</v>
      </c>
      <c r="J14" s="388" t="n">
        <v>3</v>
      </c>
      <c r="K14" s="388" t="n">
        <v>2</v>
      </c>
      <c r="L14" s="388">
        <f>1+AP14</f>
        <v/>
      </c>
      <c r="M14" s="388" t="n">
        <v>2</v>
      </c>
      <c r="N14" s="388" t="n">
        <v>2</v>
      </c>
      <c r="O14" s="388" t="n">
        <v>2</v>
      </c>
      <c r="P14" s="388" t="n">
        <v>2</v>
      </c>
      <c r="Q14" s="388" t="n">
        <v>1</v>
      </c>
      <c r="R14" s="388" t="n">
        <v>0</v>
      </c>
      <c r="S14" s="388">
        <f>0+AL14</f>
        <v/>
      </c>
      <c r="T14" s="388" t="n">
        <v>3</v>
      </c>
      <c r="U14" s="388" t="n">
        <v>3</v>
      </c>
      <c r="V14" s="388" t="n">
        <v>6</v>
      </c>
      <c r="W14" s="388" t="n">
        <v>4</v>
      </c>
      <c r="X14" s="388" t="n">
        <v>3</v>
      </c>
      <c r="Y14" s="388" t="n">
        <v>3</v>
      </c>
      <c r="Z14" s="388" t="n">
        <v>2</v>
      </c>
      <c r="AA14" s="388" t="n"/>
      <c r="AB14" s="657" t="n"/>
      <c r="AC14" s="657" t="n"/>
      <c r="AD14" s="657" t="n"/>
      <c r="AE14" s="380">
        <f>AC14+IF(NOT(ISBLANK(OFFSET(AE14,0,6))),N(OFFSET(AE14,0,6)),N(OFFSET(AE14,0,7)))-AD14</f>
        <v/>
      </c>
      <c r="AF14" s="2" t="n"/>
      <c r="AG14" s="78" t="n"/>
      <c r="AH14" s="2" t="n"/>
      <c r="AI14" s="32" t="n"/>
      <c r="AJ14" s="19" t="n">
        <v>0</v>
      </c>
      <c r="AK14" s="19" t="n">
        <v>0</v>
      </c>
      <c r="AL14" s="19" t="n">
        <v>3</v>
      </c>
      <c r="AM14" s="119" t="n">
        <v>3</v>
      </c>
      <c r="AN14" s="19" t="n"/>
      <c r="AO14" s="19" t="n">
        <v>5</v>
      </c>
      <c r="AP14" s="19" t="n"/>
      <c r="AQ14" s="19" t="n"/>
      <c r="AR14" s="19" t="n"/>
      <c r="AS14" s="19" t="n">
        <v>2</v>
      </c>
      <c r="AT14" s="19" t="n"/>
      <c r="AU14" s="19" t="n"/>
      <c r="AV14" s="19" t="n"/>
      <c r="AW14" s="19" t="n">
        <v>2</v>
      </c>
      <c r="AX14" s="19" t="n"/>
      <c r="AY14" s="19" t="n">
        <v>2</v>
      </c>
      <c r="BA14" s="372" t="inlineStr">
        <is>
          <t>PAPEL DE SEDA</t>
        </is>
      </c>
      <c r="BB14" s="139" t="n">
        <v>200</v>
      </c>
      <c r="BC14" s="39">
        <f>AJ14</f>
        <v/>
      </c>
      <c r="BD14" s="39" t="n">
        <v>3</v>
      </c>
      <c r="BE14" s="39" t="n">
        <v>3</v>
      </c>
      <c r="BF14" s="39" t="n">
        <v>2</v>
      </c>
      <c r="BG14" s="39" t="n">
        <v>2</v>
      </c>
      <c r="BH14" s="39" t="n">
        <v>0</v>
      </c>
      <c r="BI14" s="39" t="n"/>
      <c r="BJ14" s="6" t="n"/>
      <c r="BK14" s="6" t="n"/>
      <c r="BL14" s="6" t="n"/>
      <c r="BM14" s="26">
        <f>BK14+IF(NOT(ISBLANK(OFFSET(BM14,0,6))),N(OFFSET(BM14,0,6)),N(OFFSET(BM14,0,7)))-BL14</f>
        <v/>
      </c>
    </row>
    <row r="15" customFormat="1" s="3">
      <c r="A15" s="25" t="inlineStr">
        <is>
          <t>ETIQUETAS</t>
        </is>
      </c>
      <c r="B15" s="6" t="n">
        <v>2000</v>
      </c>
      <c r="C15" s="632" t="n">
        <v>55.36</v>
      </c>
      <c r="D15" s="240" t="n">
        <v>1</v>
      </c>
      <c r="E15" s="608" t="n"/>
      <c r="F15" s="388" t="n">
        <v>4</v>
      </c>
      <c r="G15" s="388" t="n">
        <v>4</v>
      </c>
      <c r="H15" s="388" t="n">
        <v>4</v>
      </c>
      <c r="I15" s="388" t="n">
        <v>4</v>
      </c>
      <c r="J15" s="388" t="n">
        <v>4</v>
      </c>
      <c r="K15" s="388" t="n">
        <v>4</v>
      </c>
      <c r="L15" s="388" t="n">
        <v>4</v>
      </c>
      <c r="M15" s="388" t="n">
        <v>4</v>
      </c>
      <c r="N15" s="388" t="n">
        <v>4</v>
      </c>
      <c r="O15" s="388" t="n">
        <v>4</v>
      </c>
      <c r="P15" s="388" t="n">
        <v>4</v>
      </c>
      <c r="Q15" s="388" t="n">
        <v>4</v>
      </c>
      <c r="R15" s="388" t="n">
        <v>4</v>
      </c>
      <c r="S15" s="388" t="n">
        <v>3</v>
      </c>
      <c r="T15" s="388" t="n">
        <v>3</v>
      </c>
      <c r="U15" s="388" t="n">
        <v>3</v>
      </c>
      <c r="V15" s="388" t="n">
        <v>3</v>
      </c>
      <c r="W15" s="388" t="n">
        <v>3</v>
      </c>
      <c r="X15" s="388" t="n">
        <v>3</v>
      </c>
      <c r="Y15" s="388" t="n">
        <v>3</v>
      </c>
      <c r="Z15" s="388" t="n">
        <v>2</v>
      </c>
      <c r="AA15" s="388" t="n"/>
      <c r="AB15" s="657" t="n"/>
      <c r="AC15" s="657" t="n"/>
      <c r="AD15" s="657" t="n"/>
      <c r="AE15" s="380">
        <f>AC15+IF(NOT(ISBLANK(OFFSET(AE15,0,6))),N(OFFSET(AE15,0,6)),N(OFFSET(AE15,0,7)))-AD15</f>
        <v/>
      </c>
      <c r="AF15" s="2" t="n"/>
      <c r="AG15" s="78" t="n"/>
      <c r="AH15" s="2" t="n"/>
      <c r="AI15" s="32" t="n"/>
      <c r="AJ15" s="114" t="n"/>
      <c r="AK15" s="19" t="n">
        <v>0</v>
      </c>
      <c r="AL15" s="19" t="n"/>
      <c r="AM15" s="119" t="n">
        <v>1</v>
      </c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>
        <v>3</v>
      </c>
      <c r="AY15" s="19" t="n">
        <v>2</v>
      </c>
      <c r="BA15" s="21" t="inlineStr">
        <is>
          <t>ADESIVOS</t>
        </is>
      </c>
      <c r="BB15" s="6" t="n">
        <v>200</v>
      </c>
      <c r="BC15" s="39">
        <f>AJ15</f>
        <v/>
      </c>
      <c r="BD15" s="39" t="n">
        <v>1</v>
      </c>
      <c r="BE15" s="39" t="n">
        <v>1</v>
      </c>
      <c r="BF15" s="39" t="n">
        <v>0</v>
      </c>
      <c r="BG15" s="39" t="n">
        <v>0</v>
      </c>
      <c r="BH15" s="39" t="n">
        <v>0</v>
      </c>
      <c r="BI15" s="39" t="n"/>
      <c r="BJ15" s="6" t="n"/>
      <c r="BK15" s="6" t="n"/>
      <c r="BL15" s="6" t="n"/>
      <c r="BM15" s="26">
        <f>BK15+IF(NOT(ISBLANK(OFFSET(BM15,0,6))),N(OFFSET(BM15,0,6)),N(OFFSET(BM15,0,7)))-BL15</f>
        <v/>
      </c>
    </row>
    <row r="16" customFormat="1" s="3">
      <c r="A16" s="25" t="inlineStr">
        <is>
          <t xml:space="preserve">TAGS </t>
        </is>
      </c>
      <c r="B16" s="6" t="n">
        <v>200</v>
      </c>
      <c r="C16" s="632" t="n">
        <v>10.28</v>
      </c>
      <c r="D16" s="240" t="n">
        <v>2</v>
      </c>
      <c r="E16" s="1" t="n"/>
      <c r="F16" s="365" t="n">
        <v>4</v>
      </c>
      <c r="G16" s="365" t="n">
        <v>3</v>
      </c>
      <c r="H16" s="365" t="n">
        <v>3</v>
      </c>
      <c r="I16" s="365" t="n">
        <v>3</v>
      </c>
      <c r="J16" s="365" t="n">
        <v>3</v>
      </c>
      <c r="K16" s="365" t="n">
        <v>3</v>
      </c>
      <c r="L16" s="365" t="n">
        <v>2</v>
      </c>
      <c r="M16" s="365" t="n">
        <v>1</v>
      </c>
      <c r="N16" s="365" t="n">
        <v>0</v>
      </c>
      <c r="O16" s="365">
        <f>0+AO16</f>
        <v/>
      </c>
      <c r="P16" s="365" t="n">
        <v>2</v>
      </c>
      <c r="Q16" s="365" t="n">
        <v>2</v>
      </c>
      <c r="R16" s="365" t="n">
        <v>2</v>
      </c>
      <c r="S16" s="365" t="n">
        <v>1</v>
      </c>
      <c r="T16" s="365">
        <f>1+AK16</f>
        <v/>
      </c>
      <c r="U16" s="365" t="n">
        <v>2</v>
      </c>
      <c r="V16" s="365" t="n">
        <v>4</v>
      </c>
      <c r="W16" s="365" t="n">
        <v>4</v>
      </c>
      <c r="X16" s="365" t="n">
        <v>4</v>
      </c>
      <c r="Y16" s="365" t="n">
        <v>4</v>
      </c>
      <c r="Z16" s="365" t="n">
        <v>2</v>
      </c>
      <c r="AA16" s="365" t="n"/>
      <c r="AB16" s="658" t="n"/>
      <c r="AC16" s="658" t="n"/>
      <c r="AD16" s="658" t="n"/>
      <c r="AE16" s="380">
        <f>AC16+IF(NOT(ISBLANK(OFFSET(AE16,0,6))),N(OFFSET(AE16,0,6)),N(OFFSET(AE16,0,7)))-AD16</f>
        <v/>
      </c>
      <c r="AF16" s="2" t="n"/>
      <c r="AG16" s="78" t="n"/>
      <c r="AH16" s="2" t="n"/>
      <c r="AI16" s="32" t="n"/>
      <c r="AJ16" s="628" t="n"/>
      <c r="AK16" s="19" t="n">
        <v>0</v>
      </c>
      <c r="AL16" s="19" t="n"/>
      <c r="AM16" s="19" t="n"/>
      <c r="AN16" s="19" t="n">
        <v>1</v>
      </c>
      <c r="AO16" s="19" t="n"/>
      <c r="AP16" s="19" t="n"/>
      <c r="AQ16" s="19" t="n"/>
      <c r="AR16" s="19" t="n">
        <v>2</v>
      </c>
      <c r="AS16" s="19" t="n"/>
      <c r="AT16" s="19" t="n"/>
      <c r="AU16" s="19" t="n"/>
      <c r="AV16" s="19" t="n"/>
      <c r="AW16" s="19" t="n"/>
      <c r="AX16" s="19" t="n">
        <v>3</v>
      </c>
      <c r="AY16" s="19" t="n">
        <v>2</v>
      </c>
    </row>
    <row r="17" customFormat="1" s="3">
      <c r="A17" s="25" t="inlineStr">
        <is>
          <t>LÂMINA OLFATIVA</t>
        </is>
      </c>
      <c r="B17" s="6" t="n">
        <v>3000</v>
      </c>
      <c r="C17" s="632" t="n">
        <v>71.8</v>
      </c>
      <c r="D17" s="240" t="n">
        <v>1</v>
      </c>
      <c r="E17" s="1" t="n"/>
      <c r="F17" s="388" t="n">
        <v>2</v>
      </c>
      <c r="G17" s="388" t="n">
        <v>1</v>
      </c>
      <c r="H17" s="388">
        <f>1+AS17</f>
        <v/>
      </c>
      <c r="I17" s="388" t="n">
        <v>1</v>
      </c>
      <c r="J17" s="388" t="n">
        <v>3</v>
      </c>
      <c r="K17" s="388" t="n">
        <v>4</v>
      </c>
      <c r="L17" s="388" t="n">
        <v>4</v>
      </c>
      <c r="M17" s="388" t="n">
        <v>4</v>
      </c>
      <c r="N17" s="388" t="n">
        <v>4</v>
      </c>
      <c r="O17" s="388" t="n">
        <v>4</v>
      </c>
      <c r="P17" s="388" t="n">
        <v>4</v>
      </c>
      <c r="Q17" s="388" t="n">
        <v>4</v>
      </c>
      <c r="R17" s="388" t="n">
        <v>4</v>
      </c>
      <c r="S17" s="388" t="n">
        <v>3</v>
      </c>
      <c r="T17" s="388" t="n">
        <v>1</v>
      </c>
      <c r="U17" s="388" t="n">
        <v>1</v>
      </c>
      <c r="V17" s="388" t="n">
        <v>2</v>
      </c>
      <c r="W17" s="388" t="n">
        <v>2</v>
      </c>
      <c r="X17" s="388" t="n">
        <v>2</v>
      </c>
      <c r="Y17" s="388" t="n">
        <v>2</v>
      </c>
      <c r="Z17" s="388" t="n">
        <v>2</v>
      </c>
      <c r="AA17" s="388" t="n"/>
      <c r="AB17" s="657" t="n"/>
      <c r="AC17" s="657" t="n"/>
      <c r="AD17" s="657" t="n"/>
      <c r="AE17" s="380">
        <f>AC17+IF(NOT(ISBLANK(OFFSET(AE17,0,6))),N(OFFSET(AE17,0,6)),N(OFFSET(AE17,0,7)))-AD17</f>
        <v/>
      </c>
      <c r="AF17" s="2" t="n"/>
      <c r="AG17" s="78" t="n"/>
      <c r="AH17" s="2" t="n"/>
      <c r="AI17" s="32" t="n"/>
      <c r="AJ17" s="628" t="n">
        <v>0</v>
      </c>
      <c r="AK17" s="19" t="n">
        <v>0</v>
      </c>
      <c r="AL17" s="19" t="n">
        <v>1</v>
      </c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>
        <v>2</v>
      </c>
      <c r="AV17" s="19" t="n">
        <v>1</v>
      </c>
      <c r="AW17" s="19" t="n"/>
      <c r="AX17" s="19" t="n">
        <v>1</v>
      </c>
      <c r="AY17" s="19" t="n">
        <v>1</v>
      </c>
    </row>
    <row r="18" ht="14.25" customFormat="1" customHeight="1" s="3">
      <c r="A18" s="23" t="n"/>
      <c r="C18" s="633" t="n"/>
      <c r="D18" s="277" t="n"/>
      <c r="F18" s="2" t="n"/>
      <c r="G18" s="2" t="n"/>
      <c r="H18" s="2" t="n"/>
      <c r="I18" s="2" t="n"/>
      <c r="J18" s="2" t="n"/>
      <c r="K18" s="2" t="n"/>
      <c r="L18" s="2" t="n"/>
      <c r="M18" s="2" t="n"/>
      <c r="N18" s="2" t="n"/>
      <c r="O18" s="2" t="n"/>
      <c r="P18" s="2" t="n"/>
      <c r="Q18" s="2" t="n"/>
      <c r="R18" s="2" t="n"/>
      <c r="S18" s="2" t="n"/>
      <c r="T18" s="2" t="n"/>
      <c r="U18" s="2" t="n"/>
      <c r="V18" s="2" t="n"/>
      <c r="W18" s="2" t="n"/>
      <c r="X18" s="2" t="n"/>
      <c r="Y18" s="2" t="n"/>
      <c r="Z18" s="2" t="n"/>
      <c r="AA18" s="2" t="n"/>
      <c r="AB18" s="1" t="n"/>
      <c r="AC18" s="1" t="n"/>
      <c r="AD18" s="1" t="n"/>
      <c r="AE18" s="2" t="n"/>
      <c r="AF18" s="2" t="n"/>
      <c r="AG18" s="398" t="n"/>
      <c r="AI18" s="352" t="n"/>
      <c r="AJ18" s="396" t="n"/>
      <c r="AK18" s="396" t="n"/>
      <c r="AL18" s="396" t="n"/>
      <c r="AM18" s="396" t="n"/>
      <c r="AN18" s="396" t="n"/>
      <c r="AO18" s="396" t="n"/>
      <c r="AP18" s="396" t="n"/>
      <c r="AQ18" s="396" t="n"/>
      <c r="AR18" s="396" t="n"/>
      <c r="AS18" s="396" t="n"/>
      <c r="AT18" s="396" t="n"/>
      <c r="AU18" s="396" t="n"/>
      <c r="AV18" s="396" t="n"/>
      <c r="AW18" s="396" t="n"/>
      <c r="AX18" s="396" t="n"/>
      <c r="AY18" s="396" t="n"/>
    </row>
    <row r="19" customFormat="1" s="3">
      <c r="A19" s="548" t="inlineStr">
        <is>
          <t>CAIXAS</t>
        </is>
      </c>
      <c r="B19" s="12" t="n"/>
      <c r="C19" s="654" t="n"/>
      <c r="D19" s="403" t="n"/>
      <c r="E19" s="1" t="n"/>
      <c r="F19" s="619" t="n">
        <v>46013</v>
      </c>
      <c r="G19" s="619" t="n">
        <v>46020</v>
      </c>
      <c r="H19" s="619" t="n">
        <v>46027</v>
      </c>
      <c r="I19" s="619" t="n">
        <v>46034</v>
      </c>
      <c r="J19" s="619" t="n">
        <v>46041</v>
      </c>
      <c r="K19" s="619" t="n">
        <v>46048</v>
      </c>
      <c r="L19" s="619" t="n">
        <v>46055</v>
      </c>
      <c r="M19" s="619" t="n">
        <v>46062</v>
      </c>
      <c r="N19" s="619" t="n">
        <v>46069</v>
      </c>
      <c r="O19" s="619" t="n">
        <v>46076</v>
      </c>
      <c r="P19" s="619" t="n">
        <v>46083</v>
      </c>
      <c r="Q19" s="619" t="n">
        <v>46090</v>
      </c>
      <c r="R19" s="619" t="n">
        <v>46097</v>
      </c>
      <c r="S19" s="619" t="n">
        <v>46104</v>
      </c>
      <c r="T19" s="619" t="n">
        <v>46111</v>
      </c>
      <c r="U19" s="619" t="n">
        <v>46118</v>
      </c>
      <c r="V19" s="619" t="n">
        <v>46125</v>
      </c>
      <c r="W19" s="619" t="n">
        <v>46132</v>
      </c>
      <c r="X19" s="619" t="n">
        <v>46139</v>
      </c>
      <c r="Y19" s="619" t="n">
        <v>46146</v>
      </c>
      <c r="Z19" s="619" t="n">
        <v>46154</v>
      </c>
      <c r="AA19" s="619" t="n">
        <v>46160</v>
      </c>
      <c r="AB19" s="620" t="n">
        <v>46161.4801293287</v>
      </c>
      <c r="AC19" s="620" t="n">
        <v>46161.48080292824</v>
      </c>
      <c r="AD19" s="620" t="n">
        <v>46161.48296027995</v>
      </c>
      <c r="AE19" s="621" t="inlineStr">
        <is>
          <t>USOU</t>
        </is>
      </c>
      <c r="AF19" s="648" t="n"/>
      <c r="AG19" s="29" t="inlineStr">
        <is>
          <t>Pendências</t>
        </is>
      </c>
      <c r="AH19" s="11" t="n"/>
      <c r="AI19" s="9" t="inlineStr">
        <is>
          <t>Novo Pedido</t>
        </is>
      </c>
      <c r="AJ19" s="613" t="n">
        <v>46161.48295968647</v>
      </c>
      <c r="AK19" s="614" t="n"/>
      <c r="AL19" s="614" t="n">
        <v>46114</v>
      </c>
      <c r="AM19" s="616" t="n">
        <v>46065</v>
      </c>
      <c r="AN19" s="614" t="n">
        <v>46107</v>
      </c>
      <c r="AO19" s="614" t="n">
        <v>46099</v>
      </c>
      <c r="AP19" s="614" t="n">
        <v>46092</v>
      </c>
      <c r="AQ19" s="614" t="n">
        <v>46077</v>
      </c>
      <c r="AR19" s="614" t="n">
        <v>46071</v>
      </c>
      <c r="AS19" s="614" t="n">
        <v>46048</v>
      </c>
      <c r="AT19" s="614" t="n">
        <v>46043</v>
      </c>
      <c r="AU19" s="614" t="n">
        <v>46035</v>
      </c>
      <c r="AV19" s="614" t="n">
        <v>46017</v>
      </c>
      <c r="AW19" s="614" t="n">
        <v>46007</v>
      </c>
      <c r="AX19" s="614" t="n">
        <v>45994</v>
      </c>
      <c r="AY19" s="614" t="n">
        <v>45965</v>
      </c>
      <c r="BA19" s="397" t="inlineStr">
        <is>
          <t>CAIXAS</t>
        </is>
      </c>
      <c r="BB19" s="384" t="inlineStr">
        <is>
          <t>PCT</t>
        </is>
      </c>
      <c r="BC19" s="619" t="n">
        <v>46118</v>
      </c>
      <c r="BD19" s="619" t="n">
        <v>46125</v>
      </c>
      <c r="BE19" s="619" t="n">
        <v>46132</v>
      </c>
      <c r="BF19" s="619" t="n">
        <v>46139</v>
      </c>
      <c r="BG19" s="619" t="n">
        <v>46146</v>
      </c>
      <c r="BH19" s="619" t="n">
        <v>46154</v>
      </c>
      <c r="BI19" s="619" t="n">
        <v>46160</v>
      </c>
      <c r="BJ19" s="620" t="n">
        <v>46161.48012898148</v>
      </c>
      <c r="BK19" s="620" t="n">
        <v>46161.4808025926</v>
      </c>
      <c r="BL19" s="620" t="n">
        <v>46161.48295998947</v>
      </c>
      <c r="BM19" s="621" t="inlineStr">
        <is>
          <t>USOU</t>
        </is>
      </c>
    </row>
    <row r="20" customFormat="1" s="3">
      <c r="A20" s="25" t="inlineStr">
        <is>
          <t>CAIXA P VERDE</t>
        </is>
      </c>
      <c r="B20" s="6" t="n">
        <v>150</v>
      </c>
      <c r="C20" s="627" t="n">
        <v>334.31</v>
      </c>
      <c r="D20" s="240" t="n">
        <v>70</v>
      </c>
      <c r="E20" s="1" t="n"/>
      <c r="F20" s="27" t="n">
        <v>31</v>
      </c>
      <c r="G20" s="27" t="n">
        <v>25</v>
      </c>
      <c r="H20" s="27" t="n">
        <v>14</v>
      </c>
      <c r="I20" s="27" t="n">
        <v>12</v>
      </c>
      <c r="J20" s="27" t="n">
        <v>5</v>
      </c>
      <c r="K20" s="27">
        <f>0+AQ20</f>
        <v/>
      </c>
      <c r="L20" s="27" t="n">
        <v>143</v>
      </c>
      <c r="M20" s="27" t="n">
        <v>129</v>
      </c>
      <c r="N20" s="27" t="n">
        <v>117</v>
      </c>
      <c r="O20" s="27" t="n">
        <v>102</v>
      </c>
      <c r="P20" s="27" t="n">
        <v>87</v>
      </c>
      <c r="Q20" s="27" t="n">
        <v>72</v>
      </c>
      <c r="R20" s="27">
        <f>46+AM20</f>
        <v/>
      </c>
      <c r="S20" s="27" t="n">
        <v>185</v>
      </c>
      <c r="T20" s="27" t="n">
        <v>175</v>
      </c>
      <c r="U20" s="27" t="n"/>
      <c r="V20" s="27" t="n"/>
      <c r="W20" s="27" t="n"/>
      <c r="X20" s="27" t="n">
        <v>152</v>
      </c>
      <c r="Y20" s="27" t="n">
        <v>147</v>
      </c>
      <c r="Z20" s="27" t="n">
        <v>111</v>
      </c>
      <c r="AA20" s="27" t="n">
        <v>95</v>
      </c>
      <c r="AB20" s="651" t="n">
        <v>95</v>
      </c>
      <c r="AC20" s="651" t="n">
        <v>95</v>
      </c>
      <c r="AD20" s="651" t="n">
        <v>95</v>
      </c>
      <c r="AE20" s="380">
        <f>AC20+IF(NOT(ISBLANK(OFFSET(AE20,0,6))),N(OFFSET(AE20,0,6)),N(OFFSET(AE20,0,7)))-AD20</f>
        <v/>
      </c>
      <c r="AF20" s="2" t="n"/>
      <c r="AG20" s="78" t="n"/>
      <c r="AH20" s="2" t="n"/>
      <c r="AI20" s="32" t="n"/>
      <c r="AJ20" s="628" t="n"/>
      <c r="AK20" s="19" t="n">
        <v>0</v>
      </c>
      <c r="AL20" s="19" t="n"/>
      <c r="AM20" s="119" t="n"/>
      <c r="AN20" s="19" t="n"/>
      <c r="AO20" s="19" t="n"/>
      <c r="AP20" s="19" t="n">
        <v>150</v>
      </c>
      <c r="AQ20" s="19" t="n"/>
      <c r="AR20" s="19" t="n"/>
      <c r="AS20" s="19" t="n"/>
      <c r="AT20" s="19" t="n">
        <v>150</v>
      </c>
      <c r="AU20" s="19" t="n"/>
      <c r="AV20" s="19" t="n"/>
      <c r="AW20" s="19" t="n"/>
      <c r="AX20" s="19" t="n"/>
      <c r="AY20" s="19" t="n"/>
      <c r="BA20" s="372" t="inlineStr">
        <is>
          <t>CAIXA P</t>
        </is>
      </c>
      <c r="BB20" s="139" t="n">
        <v>150</v>
      </c>
      <c r="BC20" s="39" t="n">
        <v>0</v>
      </c>
      <c r="BD20" s="39" t="n"/>
      <c r="BE20" s="39" t="n"/>
      <c r="BF20" s="39" t="n">
        <v>1</v>
      </c>
      <c r="BG20" s="39" t="n">
        <v>1</v>
      </c>
      <c r="BH20" s="39" t="n">
        <v>0</v>
      </c>
      <c r="BI20" s="39" t="n">
        <v>0</v>
      </c>
      <c r="BJ20" s="6" t="n"/>
      <c r="BK20" s="6" t="n"/>
      <c r="BL20" s="6" t="n"/>
      <c r="BM20" s="26">
        <f>BK20+IF(NOT(ISBLANK(OFFSET(BM20,0,6))),N(OFFSET(BM20,0,6)),N(OFFSET(BM20,0,7)))-BL20</f>
        <v/>
      </c>
    </row>
    <row r="21" customFormat="1" s="3">
      <c r="A21" s="25" t="inlineStr">
        <is>
          <t>CAIXA M VERDE</t>
        </is>
      </c>
      <c r="B21" s="6" t="n">
        <v>100</v>
      </c>
      <c r="C21" s="634" t="n">
        <v>292.25</v>
      </c>
      <c r="D21" s="243" t="n">
        <v>70</v>
      </c>
      <c r="E21" s="1" t="n"/>
      <c r="F21" s="27" t="n">
        <v>26</v>
      </c>
      <c r="G21" s="27" t="n">
        <v>21</v>
      </c>
      <c r="H21" s="27" t="n">
        <v>20</v>
      </c>
      <c r="I21" s="27" t="n">
        <v>15</v>
      </c>
      <c r="J21" s="27" t="n">
        <v>10</v>
      </c>
      <c r="K21" s="27">
        <f>2+AQ21</f>
        <v/>
      </c>
      <c r="L21" s="27" t="n">
        <v>105</v>
      </c>
      <c r="M21" s="298" t="n">
        <v>50</v>
      </c>
      <c r="N21" s="27" t="n">
        <v>42</v>
      </c>
      <c r="O21" s="27" t="n">
        <v>29</v>
      </c>
      <c r="P21" s="27">
        <f>19+AN21</f>
        <v/>
      </c>
      <c r="Q21" s="27" t="n">
        <v>99</v>
      </c>
      <c r="R21" s="27" t="n">
        <v>88</v>
      </c>
      <c r="S21" s="27" t="n">
        <v>75</v>
      </c>
      <c r="T21" s="27" t="n">
        <v>67</v>
      </c>
      <c r="U21" s="27" t="n"/>
      <c r="V21" s="27" t="n"/>
      <c r="W21" s="27" t="n"/>
      <c r="X21" s="27" t="n">
        <v>40</v>
      </c>
      <c r="Y21" s="27" t="n">
        <v>38</v>
      </c>
      <c r="Z21" s="27" t="n">
        <v>41</v>
      </c>
      <c r="AA21" s="27" t="n">
        <v>27</v>
      </c>
      <c r="AB21" s="651" t="n">
        <v>27</v>
      </c>
      <c r="AC21" s="651" t="n">
        <v>27</v>
      </c>
      <c r="AD21" s="651" t="n">
        <v>27</v>
      </c>
      <c r="AE21" s="380">
        <f>AC21+IF(NOT(ISBLANK(OFFSET(AE21,0,6))),N(OFFSET(AE21,0,6)),N(OFFSET(AE21,0,7)))-AD21</f>
        <v/>
      </c>
      <c r="AF21" s="2" t="n"/>
      <c r="AG21" s="78" t="n"/>
      <c r="AH21" s="2" t="n"/>
      <c r="AI21" s="32" t="n"/>
      <c r="AJ21" s="628" t="n"/>
      <c r="AK21" s="19" t="n">
        <v>0</v>
      </c>
      <c r="AL21" s="19" t="n"/>
      <c r="AM21" s="119" t="n"/>
      <c r="AN21" s="19" t="n"/>
      <c r="AO21" s="19" t="n"/>
      <c r="AP21" s="19" t="n"/>
      <c r="AQ21" s="19" t="n">
        <v>100</v>
      </c>
      <c r="AR21" s="19" t="n"/>
      <c r="AS21" s="19" t="n"/>
      <c r="AT21" s="19" t="n">
        <v>100</v>
      </c>
      <c r="AU21" s="19" t="n"/>
      <c r="AV21" s="19" t="n"/>
      <c r="AW21" s="19" t="n"/>
      <c r="AX21" s="19" t="n"/>
      <c r="AY21" s="19" t="n"/>
      <c r="BA21" s="21" t="inlineStr">
        <is>
          <t>CAIXA M</t>
        </is>
      </c>
      <c r="BB21" s="6" t="n">
        <v>100</v>
      </c>
      <c r="BC21" s="39" t="n">
        <v>0</v>
      </c>
      <c r="BD21" s="39" t="n"/>
      <c r="BE21" s="39" t="n"/>
      <c r="BF21" s="39" t="n">
        <v>9</v>
      </c>
      <c r="BG21" s="39" t="n">
        <v>3</v>
      </c>
      <c r="BH21" s="39" t="n">
        <v>2</v>
      </c>
      <c r="BI21" s="39" t="n">
        <v>2</v>
      </c>
      <c r="BJ21" s="6" t="n"/>
      <c r="BK21" s="6" t="n"/>
      <c r="BL21" s="6" t="n"/>
      <c r="BM21" s="26">
        <f>BK21+IF(NOT(ISBLANK(OFFSET(BM21,0,6))),N(OFFSET(BM21,0,6)),N(OFFSET(BM21,0,7)))-BL21</f>
        <v/>
      </c>
    </row>
    <row r="22" customFormat="1" s="3">
      <c r="A22" s="25" t="inlineStr">
        <is>
          <t>CAIXA G VERDE</t>
        </is>
      </c>
      <c r="B22" s="6" t="n">
        <v>75</v>
      </c>
      <c r="C22" s="632" t="n">
        <v>425.38</v>
      </c>
      <c r="D22" s="240" t="n">
        <v>15</v>
      </c>
      <c r="E22" s="608" t="n"/>
      <c r="F22" s="27" t="n">
        <v>12</v>
      </c>
      <c r="G22" s="27" t="n">
        <v>12</v>
      </c>
      <c r="H22" s="27" t="n">
        <v>12</v>
      </c>
      <c r="I22" s="27" t="n">
        <v>12</v>
      </c>
      <c r="J22" s="27" t="n">
        <v>12</v>
      </c>
      <c r="K22" s="27" t="n">
        <v>12</v>
      </c>
      <c r="L22" s="27" t="n">
        <v>12</v>
      </c>
      <c r="M22" s="27" t="n">
        <v>12</v>
      </c>
      <c r="N22" s="27" t="n">
        <v>12</v>
      </c>
      <c r="O22" s="27" t="n">
        <v>12</v>
      </c>
      <c r="P22" s="27" t="n">
        <v>12</v>
      </c>
      <c r="Q22" s="27" t="n">
        <v>12</v>
      </c>
      <c r="R22" s="27" t="n">
        <v>12</v>
      </c>
      <c r="S22" s="27" t="n">
        <v>12</v>
      </c>
      <c r="T22" s="27" t="n">
        <v>12</v>
      </c>
      <c r="U22" s="27" t="n">
        <v>12</v>
      </c>
      <c r="V22" s="27" t="n">
        <v>12</v>
      </c>
      <c r="W22" s="27" t="n">
        <v>12</v>
      </c>
      <c r="X22" s="27" t="n">
        <v>12</v>
      </c>
      <c r="Y22" s="27" t="n">
        <v>10</v>
      </c>
      <c r="Z22" s="27" t="n">
        <v>12</v>
      </c>
      <c r="AA22" s="27" t="n">
        <v>12</v>
      </c>
      <c r="AB22" s="651" t="n">
        <v>12</v>
      </c>
      <c r="AC22" s="651" t="n">
        <v>12</v>
      </c>
      <c r="AD22" s="651" t="n">
        <v>12</v>
      </c>
      <c r="AE22" s="380">
        <f>AC22+IF(NOT(ISBLANK(OFFSET(AE22,0,6))),N(OFFSET(AE22,0,6)),N(OFFSET(AE22,0,7)))-AD22</f>
        <v/>
      </c>
      <c r="AF22" s="2" t="n"/>
      <c r="AG22" s="78" t="n"/>
      <c r="AH22" s="2" t="n"/>
      <c r="AI22" s="32" t="n"/>
      <c r="AJ22" s="114" t="n"/>
      <c r="AK22" s="19" t="n">
        <v>0</v>
      </c>
      <c r="AL22" s="19" t="n"/>
      <c r="AM22" s="1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BA22" s="22" t="inlineStr">
        <is>
          <t>CARTUCHO P</t>
        </is>
      </c>
      <c r="BB22" s="6" t="n">
        <v>200</v>
      </c>
      <c r="BC22" s="39" t="n">
        <v>0</v>
      </c>
      <c r="BD22" s="39" t="n"/>
      <c r="BE22" s="39" t="n"/>
      <c r="BF22" s="39" t="n">
        <v>20</v>
      </c>
      <c r="BG22" s="39" t="n">
        <v>20</v>
      </c>
      <c r="BH22" s="39" t="n">
        <v>2</v>
      </c>
      <c r="BI22" s="39" t="n">
        <v>2</v>
      </c>
      <c r="BJ22" s="6" t="n"/>
      <c r="BK22" s="6" t="n"/>
      <c r="BL22" s="6" t="n"/>
      <c r="BM22" s="26">
        <f>BK22+IF(NOT(ISBLANK(OFFSET(BM22,0,6))),N(OFFSET(BM22,0,6)),N(OFFSET(BM22,0,7)))-BL22</f>
        <v/>
      </c>
    </row>
    <row r="23">
      <c r="A23" s="25" t="inlineStr">
        <is>
          <t>CARTUCHO M VERDE</t>
        </is>
      </c>
      <c r="B23" s="6" t="n">
        <v>150</v>
      </c>
      <c r="C23" s="632" t="n">
        <v>427.5</v>
      </c>
      <c r="D23" s="240" t="n">
        <v>150</v>
      </c>
      <c r="R23" s="6" t="n">
        <v>0</v>
      </c>
      <c r="S23" s="6" t="n">
        <v>0</v>
      </c>
      <c r="T23" s="6" t="n">
        <v>0</v>
      </c>
      <c r="U23" s="6" t="n">
        <v>0</v>
      </c>
      <c r="V23" s="6" t="n">
        <v>0</v>
      </c>
      <c r="W23" s="6" t="n">
        <v>0</v>
      </c>
      <c r="X23" s="6" t="n">
        <v>0</v>
      </c>
      <c r="Y23" s="6" t="n">
        <v>0</v>
      </c>
      <c r="Z23" s="6" t="n">
        <v>2</v>
      </c>
      <c r="AA23" s="6" t="n">
        <v>1</v>
      </c>
      <c r="AB23" s="6" t="n">
        <v>1</v>
      </c>
      <c r="AC23" s="6" t="n">
        <v>1</v>
      </c>
      <c r="AD23" s="6" t="n">
        <v>1</v>
      </c>
      <c r="AE23" s="380">
        <f>AC23+IF(NOT(ISBLANK(OFFSET(AE23,0,6))),N(OFFSET(AE23,0,6)),N(OFFSET(AE23,0,7)))-AD23</f>
        <v/>
      </c>
      <c r="AG23" s="355" t="n"/>
      <c r="AX23" s="11" t="n"/>
      <c r="AY23" s="11" t="n"/>
      <c r="BA23" s="22" t="inlineStr">
        <is>
          <t>CARTUCHO M</t>
        </is>
      </c>
      <c r="BB23" s="6" t="n">
        <v>150</v>
      </c>
      <c r="BC23" s="39" t="n">
        <v>0</v>
      </c>
      <c r="BD23" s="39" t="n"/>
      <c r="BE23" s="39" t="n"/>
      <c r="BF23" s="39" t="n">
        <v>50</v>
      </c>
      <c r="BG23" s="39" t="n">
        <v>47</v>
      </c>
      <c r="BH23" s="39" t="n">
        <v>1</v>
      </c>
      <c r="BI23" s="39" t="n">
        <v>1</v>
      </c>
      <c r="BJ23" s="6" t="n"/>
      <c r="BK23" s="6" t="n"/>
      <c r="BL23" s="6" t="n"/>
      <c r="BM23" s="26">
        <f>BK23+IF(NOT(ISBLANK(OFFSET(BM23,0,6))),N(OFFSET(BM23,0,6)),N(OFFSET(BM23,0,7)))-BL23</f>
        <v/>
      </c>
    </row>
    <row r="24">
      <c r="AG24" s="355" t="n"/>
      <c r="AX24" s="11" t="n"/>
      <c r="AY24" s="11" t="n"/>
      <c r="BA24" s="23" t="n"/>
      <c r="BB24" s="1" t="n"/>
      <c r="BC24" s="2" t="n"/>
      <c r="BD24" s="2" t="n"/>
      <c r="BE24" s="2" t="n"/>
      <c r="BF24" s="2" t="n"/>
      <c r="BG24" s="2" t="n"/>
      <c r="BH24" s="11" t="n"/>
      <c r="BI24" s="11" t="n"/>
      <c r="BJ24" s="11" t="n"/>
      <c r="BK24" s="11" t="n"/>
      <c r="BL24" s="11" t="n"/>
    </row>
    <row r="25">
      <c r="A25" s="386" t="inlineStr">
        <is>
          <t>SOBRAS CAIXAS</t>
        </is>
      </c>
      <c r="B25" s="387" t="inlineStr">
        <is>
          <t>PCT</t>
        </is>
      </c>
      <c r="C25" s="387" t="inlineStr">
        <is>
          <t xml:space="preserve">R$ </t>
        </is>
      </c>
      <c r="D25" s="387" t="n"/>
      <c r="E25" s="11" t="n"/>
      <c r="F25" s="619" t="n">
        <v>46013</v>
      </c>
      <c r="G25" s="619" t="n">
        <v>46020</v>
      </c>
      <c r="H25" s="619" t="n">
        <v>46027</v>
      </c>
      <c r="I25" s="619" t="n">
        <v>46034</v>
      </c>
      <c r="J25" s="619" t="n">
        <v>46041</v>
      </c>
      <c r="K25" s="619" t="n">
        <v>46048</v>
      </c>
      <c r="L25" s="619" t="n">
        <v>46055</v>
      </c>
      <c r="M25" s="619" t="n">
        <v>46062</v>
      </c>
      <c r="N25" s="619" t="n">
        <v>46069</v>
      </c>
      <c r="O25" s="619" t="n">
        <v>46076</v>
      </c>
      <c r="P25" s="619" t="n">
        <v>46083</v>
      </c>
      <c r="Q25" s="619" t="n">
        <v>46090</v>
      </c>
      <c r="R25" s="619" t="n">
        <v>46097</v>
      </c>
      <c r="S25" s="619" t="n">
        <v>46104</v>
      </c>
      <c r="T25" s="619" t="n">
        <v>46111</v>
      </c>
      <c r="U25" s="619" t="n">
        <v>46118</v>
      </c>
      <c r="V25" s="619" t="n">
        <v>46125</v>
      </c>
      <c r="W25" s="619" t="n">
        <v>46132</v>
      </c>
      <c r="X25" s="619" t="n">
        <v>46139</v>
      </c>
      <c r="Y25" s="619" t="n">
        <v>46146</v>
      </c>
      <c r="Z25" s="619" t="n">
        <v>46154</v>
      </c>
      <c r="AA25" s="619" t="n">
        <v>46160</v>
      </c>
      <c r="AB25" s="620" t="n">
        <v>46161.4801293287</v>
      </c>
      <c r="AC25" s="620" t="n">
        <v>46161.48080292824</v>
      </c>
      <c r="AD25" s="620" t="n">
        <v>46161.4829602802</v>
      </c>
      <c r="AE25" s="621" t="inlineStr">
        <is>
          <t>USOU</t>
        </is>
      </c>
      <c r="AG25" s="355" t="n"/>
      <c r="AJ25" s="11" t="n"/>
      <c r="AK25" s="11" t="n"/>
      <c r="AL25" s="11" t="n"/>
      <c r="AM25" s="11" t="n"/>
      <c r="AN25" s="11" t="n"/>
      <c r="AO25" s="11" t="n"/>
      <c r="AP25" s="11" t="n"/>
      <c r="AQ25" s="11" t="n"/>
      <c r="AR25" s="11" t="n"/>
      <c r="AS25" s="11" t="n"/>
      <c r="AT25" s="11" t="n"/>
      <c r="AU25" s="11" t="n"/>
      <c r="AV25" s="11" t="n"/>
      <c r="AW25" s="11" t="n"/>
      <c r="AX25" s="11" t="n"/>
      <c r="AY25" s="11" t="n"/>
      <c r="BA25" s="11" t="n"/>
      <c r="BB25" s="11" t="n"/>
      <c r="BC25" s="11" t="n"/>
      <c r="BD25" s="11" t="n"/>
      <c r="BE25" s="11" t="n"/>
      <c r="BF25" s="11" t="n"/>
      <c r="BG25" s="11" t="n"/>
      <c r="BH25" s="11" t="n"/>
      <c r="BI25" s="11" t="n"/>
      <c r="BJ25" s="11" t="n"/>
      <c r="BK25" s="11" t="n"/>
      <c r="BL25" s="11" t="n"/>
      <c r="BM25" s="11" t="n"/>
    </row>
    <row r="26">
      <c r="A26" s="392" t="inlineStr">
        <is>
          <t>CAIXA M DIVERT./24</t>
        </is>
      </c>
      <c r="B26" s="393" t="n">
        <v>100</v>
      </c>
      <c r="C26" s="635" t="n">
        <v>790</v>
      </c>
      <c r="D26" s="404" t="n"/>
      <c r="E26" s="11" t="n"/>
      <c r="F26" s="39" t="n">
        <v>10</v>
      </c>
      <c r="G26" s="39" t="n">
        <v>10</v>
      </c>
      <c r="H26" s="39" t="n">
        <v>10</v>
      </c>
      <c r="I26" s="39" t="n">
        <v>19</v>
      </c>
      <c r="J26" s="39" t="n">
        <v>10</v>
      </c>
      <c r="K26" s="39" t="n">
        <v>10</v>
      </c>
      <c r="L26" s="39" t="n">
        <v>19</v>
      </c>
      <c r="M26" s="39" t="n">
        <v>19</v>
      </c>
      <c r="N26" s="39" t="n">
        <v>19</v>
      </c>
      <c r="O26" s="39" t="n">
        <v>19</v>
      </c>
      <c r="P26" s="39" t="n">
        <v>19</v>
      </c>
      <c r="Q26" s="39" t="n">
        <v>19</v>
      </c>
      <c r="R26" s="39" t="n">
        <v>19</v>
      </c>
      <c r="S26" s="39" t="n">
        <v>19</v>
      </c>
      <c r="T26" s="39" t="n">
        <v>19</v>
      </c>
      <c r="U26" s="39" t="n">
        <v>19</v>
      </c>
      <c r="V26" s="39" t="n">
        <v>19</v>
      </c>
      <c r="W26" s="39" t="n">
        <v>19</v>
      </c>
      <c r="X26" s="39" t="n">
        <v>19</v>
      </c>
      <c r="Y26" s="39" t="n">
        <v>19</v>
      </c>
      <c r="Z26" s="39" t="n">
        <v>18</v>
      </c>
      <c r="AA26" s="39" t="n">
        <v>18</v>
      </c>
      <c r="AB26" s="6" t="n">
        <v>18</v>
      </c>
      <c r="AC26" s="6" t="n">
        <v>18</v>
      </c>
      <c r="AD26" s="6" t="n">
        <v>18</v>
      </c>
      <c r="AE26" s="380">
        <f>AC26+IF(NOT(ISBLANK(OFFSET(AE26,0,6))),N(OFFSET(AE26,0,6)),N(OFFSET(AE26,0,7)))-AD26</f>
        <v/>
      </c>
      <c r="AG26" s="355" t="n"/>
      <c r="AJ26" s="11" t="n"/>
      <c r="AK26" s="11" t="n"/>
      <c r="AL26" s="11" t="n"/>
      <c r="AM26" s="11" t="n"/>
      <c r="AN26" s="11" t="n"/>
      <c r="AO26" s="11" t="n"/>
      <c r="AP26" s="11" t="n"/>
      <c r="AQ26" s="11" t="n"/>
      <c r="AR26" s="11" t="n"/>
      <c r="AS26" s="11" t="n"/>
      <c r="AT26" s="11" t="n"/>
      <c r="AU26" s="11" t="n"/>
      <c r="AV26" s="11" t="n"/>
      <c r="AW26" s="11" t="n"/>
      <c r="AX26" s="11" t="n"/>
      <c r="AY26" s="11" t="n"/>
      <c r="BA26" s="11" t="n"/>
      <c r="BB26" s="11" t="n"/>
      <c r="BC26" s="11" t="n"/>
      <c r="BD26" s="11" t="n"/>
      <c r="BE26" s="11" t="n"/>
      <c r="BF26" s="11" t="n"/>
      <c r="BG26" s="11" t="n"/>
      <c r="BH26" s="11" t="n"/>
      <c r="BI26" s="11" t="n"/>
      <c r="BJ26" s="11" t="n"/>
      <c r="BK26" s="11" t="n"/>
      <c r="BL26" s="11" t="n"/>
      <c r="BM26" s="11" t="n"/>
    </row>
    <row r="27" hidden="1" ht="18.75" customHeight="1">
      <c r="A27" s="394" t="inlineStr">
        <is>
          <t>ÁRVORE</t>
        </is>
      </c>
      <c r="B27" s="163" t="n">
        <v>100</v>
      </c>
      <c r="C27" s="636" t="n">
        <v>295</v>
      </c>
      <c r="D27" s="404" t="n"/>
      <c r="E27" s="11" t="n"/>
      <c r="F27" s="39" t="n">
        <v>4</v>
      </c>
      <c r="G27" s="39" t="n">
        <v>4</v>
      </c>
      <c r="H27" s="39" t="n">
        <v>4</v>
      </c>
      <c r="I27" s="39" t="n">
        <v>4</v>
      </c>
      <c r="J27" s="39" t="n">
        <v>0</v>
      </c>
      <c r="K27" s="39" t="n">
        <v>0</v>
      </c>
      <c r="L27" s="39" t="n"/>
      <c r="M27" s="39" t="n"/>
      <c r="N27" s="39" t="n"/>
      <c r="O27" s="39" t="n"/>
      <c r="P27" s="39" t="n"/>
      <c r="Q27" s="39" t="n"/>
      <c r="R27" s="39" t="n"/>
      <c r="S27" s="39" t="n"/>
      <c r="T27" s="39" t="n"/>
      <c r="U27" s="39" t="n"/>
      <c r="V27" s="39" t="n"/>
      <c r="W27" s="39" t="n"/>
      <c r="X27" s="39" t="n"/>
      <c r="Y27" s="39" t="n"/>
      <c r="Z27" s="39" t="n"/>
      <c r="AA27" s="39" t="n"/>
      <c r="AB27" s="6" t="n"/>
      <c r="AC27" s="6" t="n"/>
      <c r="AD27" s="6" t="n"/>
      <c r="AE27" s="380">
        <f>AC27+IF(NOT(ISBLANK(OFFSET(AE27,0,6))),N(OFFSET(AE27,0,6)),N(OFFSET(AE27,0,7)))-AD27</f>
        <v/>
      </c>
      <c r="AG27" s="355" t="n"/>
      <c r="AJ27" s="11" t="n"/>
      <c r="AK27" s="11" t="n"/>
      <c r="AL27" s="11" t="n"/>
      <c r="AM27" s="11" t="n"/>
      <c r="AN27" s="11" t="n"/>
      <c r="AO27" s="11" t="n"/>
      <c r="AP27" s="11" t="n"/>
      <c r="AQ27" s="11" t="n"/>
      <c r="AR27" s="11" t="n"/>
      <c r="AS27" s="11" t="n"/>
      <c r="AT27" s="11" t="n"/>
      <c r="AU27" s="11" t="n"/>
      <c r="AV27" s="11" t="n"/>
      <c r="AW27" s="11" t="n"/>
      <c r="AX27" s="11" t="n"/>
      <c r="AY27" s="11" t="n"/>
      <c r="BA27" s="11" t="n"/>
      <c r="BB27" s="11" t="n"/>
      <c r="BC27" s="11" t="n"/>
      <c r="BD27" s="11" t="n"/>
      <c r="BE27" s="11" t="n"/>
      <c r="BF27" s="11" t="n"/>
      <c r="BG27" s="11" t="n"/>
      <c r="BH27" s="11" t="n"/>
      <c r="BI27" s="11" t="n"/>
      <c r="BJ27" s="11" t="n"/>
      <c r="BK27" s="11" t="n"/>
      <c r="BL27" s="11" t="n"/>
      <c r="BM27" s="11" t="n"/>
    </row>
    <row r="28" hidden="1">
      <c r="A28" s="25" t="inlineStr">
        <is>
          <t>CAIXA P NATAL/25</t>
        </is>
      </c>
      <c r="B28" s="6" t="n">
        <v>150</v>
      </c>
      <c r="C28" s="639" t="n">
        <v>805.35</v>
      </c>
      <c r="D28" s="404" t="n"/>
      <c r="F28" s="6" t="n">
        <v>36</v>
      </c>
      <c r="G28" s="6" t="n">
        <v>11</v>
      </c>
      <c r="H28" s="6" t="n">
        <v>9</v>
      </c>
      <c r="I28" s="6" t="n">
        <v>7</v>
      </c>
      <c r="J28" s="6" t="n">
        <v>0</v>
      </c>
      <c r="K28" s="6" t="n">
        <v>0</v>
      </c>
      <c r="L28" s="6" t="n"/>
      <c r="M28" s="6" t="n"/>
      <c r="N28" s="6" t="n"/>
      <c r="O28" s="6" t="n"/>
      <c r="P28" s="6" t="n"/>
      <c r="Q28" s="6" t="n"/>
      <c r="R28" s="6" t="n"/>
      <c r="S28" s="6" t="n"/>
      <c r="T28" s="6" t="n"/>
      <c r="U28" s="6" t="n"/>
      <c r="V28" s="6" t="n"/>
      <c r="W28" s="6" t="n"/>
      <c r="X28" s="6" t="n"/>
      <c r="Y28" s="6" t="n"/>
      <c r="Z28" s="6" t="n"/>
      <c r="AA28" s="6" t="n"/>
      <c r="AB28" s="6" t="n"/>
      <c r="AC28" s="6" t="n"/>
      <c r="AD28" s="6" t="n"/>
      <c r="AE28" s="380">
        <f>AC28+IF(NOT(ISBLANK(OFFSET(AE28,0,6))),N(OFFSET(AE28,0,6)),N(OFFSET(AE28,0,7)))-AD28</f>
        <v/>
      </c>
      <c r="AG28" s="11" t="n"/>
      <c r="AJ28" s="11" t="n"/>
      <c r="AK28" s="11" t="n"/>
      <c r="AL28" s="11" t="n"/>
      <c r="AM28" s="11" t="n"/>
      <c r="AN28" s="11" t="n"/>
      <c r="AO28" s="11" t="n"/>
      <c r="AP28" s="11" t="n"/>
      <c r="AQ28" s="11" t="n"/>
      <c r="AR28" s="11" t="n"/>
      <c r="AS28" s="11" t="n"/>
      <c r="AT28" s="11" t="n"/>
      <c r="AU28" s="11" t="n"/>
      <c r="AV28" s="11" t="n"/>
      <c r="AW28" s="11" t="n"/>
      <c r="AX28" s="11" t="n"/>
      <c r="AY28" s="11" t="n"/>
    </row>
    <row r="29" hidden="1">
      <c r="A29" s="25" t="inlineStr">
        <is>
          <t>CAIXA M NATAL/25</t>
        </is>
      </c>
      <c r="B29" s="6" t="n">
        <v>100</v>
      </c>
      <c r="C29" s="639" t="n">
        <v>792.2</v>
      </c>
      <c r="D29" s="404" t="n"/>
      <c r="F29" s="6" t="n">
        <v>42</v>
      </c>
      <c r="G29" s="6" t="n">
        <v>22</v>
      </c>
      <c r="H29" s="6" t="n">
        <v>18</v>
      </c>
      <c r="I29" s="6" t="n">
        <v>12</v>
      </c>
      <c r="J29" s="6" t="n">
        <v>7</v>
      </c>
      <c r="K29" s="6" t="n">
        <v>7</v>
      </c>
      <c r="L29" s="6" t="n">
        <v>5</v>
      </c>
      <c r="M29" s="6" t="n">
        <v>5</v>
      </c>
      <c r="N29" s="6" t="n">
        <v>5</v>
      </c>
      <c r="O29" s="6" t="n">
        <v>0</v>
      </c>
      <c r="P29" s="6" t="n">
        <v>0</v>
      </c>
      <c r="Q29" s="6" t="n">
        <v>0</v>
      </c>
      <c r="R29" s="6" t="n">
        <v>0</v>
      </c>
      <c r="S29" s="6" t="n">
        <v>0</v>
      </c>
      <c r="T29" s="6" t="n"/>
      <c r="U29" s="6" t="n"/>
      <c r="V29" s="6" t="n"/>
      <c r="W29" s="6" t="n"/>
      <c r="X29" s="6" t="n"/>
      <c r="Y29" s="6" t="n"/>
      <c r="Z29" s="6" t="n"/>
      <c r="AA29" s="6" t="n"/>
      <c r="AB29" s="6" t="n"/>
      <c r="AC29" s="6" t="n"/>
      <c r="AD29" s="6" t="n"/>
      <c r="AE29" s="380">
        <f>AC29+IF(NOT(ISBLANK(OFFSET(AE29,0,6))),N(OFFSET(AE29,0,6)),N(OFFSET(AE29,0,7)))-AD29</f>
        <v/>
      </c>
      <c r="AG29" s="11" t="n"/>
      <c r="AJ29" s="11" t="n"/>
      <c r="AK29" s="11" t="n"/>
      <c r="AL29" s="11" t="n"/>
      <c r="AM29" s="11" t="n"/>
      <c r="AN29" s="11" t="n"/>
      <c r="AO29" s="11" t="n"/>
      <c r="AP29" s="11" t="n"/>
      <c r="AQ29" s="11" t="n"/>
      <c r="AR29" s="11" t="n"/>
      <c r="AS29" s="11" t="n"/>
      <c r="AT29" s="11" t="n"/>
      <c r="AU29" s="11" t="n"/>
      <c r="AV29" s="11" t="n"/>
      <c r="AW29" s="11" t="n"/>
      <c r="AX29" s="11" t="n"/>
      <c r="AY29" s="11" t="n"/>
    </row>
    <row r="30" hidden="1">
      <c r="A30" s="25" t="inlineStr">
        <is>
          <t>CARTUCHO P NATAL/25</t>
        </is>
      </c>
      <c r="B30" s="6" t="n">
        <v>200</v>
      </c>
      <c r="C30" s="639" t="n">
        <v>487.2</v>
      </c>
      <c r="D30" s="404" t="n"/>
      <c r="F30" s="6" t="n">
        <v>64</v>
      </c>
      <c r="G30" s="6" t="n">
        <v>5</v>
      </c>
      <c r="H30" s="6" t="n">
        <v>5</v>
      </c>
      <c r="I30" s="6" t="n">
        <v>5</v>
      </c>
      <c r="J30" s="6" t="n">
        <v>0</v>
      </c>
      <c r="K30" s="6" t="n">
        <v>0</v>
      </c>
      <c r="L30" s="6" t="n"/>
      <c r="M30" s="6" t="n"/>
      <c r="N30" s="6" t="n"/>
      <c r="O30" s="6" t="n"/>
      <c r="P30" s="6" t="n"/>
      <c r="Q30" s="6" t="n"/>
      <c r="R30" s="6" t="n"/>
      <c r="S30" s="6" t="n"/>
      <c r="T30" s="6" t="n"/>
      <c r="U30" s="6" t="n"/>
      <c r="V30" s="6" t="n"/>
      <c r="W30" s="6" t="n"/>
      <c r="X30" s="6" t="n"/>
      <c r="Y30" s="6" t="n"/>
      <c r="Z30" s="6" t="n"/>
      <c r="AA30" s="6" t="n"/>
      <c r="AB30" s="6" t="n"/>
      <c r="AC30" s="6" t="n"/>
      <c r="AD30" s="6" t="n"/>
      <c r="AE30" s="380">
        <f>AC30+IF(NOT(ISBLANK(OFFSET(AE30,0,6))),N(OFFSET(AE30,0,6)),N(OFFSET(AE30,0,7)))-AD30</f>
        <v/>
      </c>
      <c r="AG30" s="11" t="n"/>
      <c r="AJ30" s="11" t="n"/>
      <c r="AK30" s="11" t="n"/>
      <c r="AL30" s="11" t="n"/>
      <c r="AM30" s="11" t="n"/>
      <c r="AN30" s="11" t="n"/>
      <c r="AO30" s="11" t="n"/>
      <c r="AP30" s="11" t="n"/>
      <c r="AQ30" s="11" t="n"/>
      <c r="AR30" s="11" t="n"/>
      <c r="AS30" s="11" t="n"/>
      <c r="AT30" s="11" t="n"/>
      <c r="AU30" s="11" t="n"/>
      <c r="AV30" s="11" t="n"/>
      <c r="AW30" s="11" t="n"/>
      <c r="AX30" s="11" t="n"/>
      <c r="AY30" s="11" t="n"/>
    </row>
    <row r="31" hidden="1">
      <c r="A31" s="25" t="inlineStr">
        <is>
          <t>CARTUCHO M NATAL/25</t>
        </is>
      </c>
      <c r="B31" s="6" t="n">
        <v>150</v>
      </c>
      <c r="C31" s="639" t="n">
        <v>460.35</v>
      </c>
      <c r="D31" s="404" t="n"/>
      <c r="F31" s="6" t="n">
        <v>110</v>
      </c>
      <c r="G31" s="6" t="n">
        <v>6</v>
      </c>
      <c r="H31" s="6" t="n">
        <v>5</v>
      </c>
      <c r="I31" s="6" t="n">
        <v>5</v>
      </c>
      <c r="J31" s="6" t="n">
        <v>0</v>
      </c>
      <c r="K31" s="6" t="n">
        <v>0</v>
      </c>
      <c r="L31" s="6" t="n"/>
      <c r="M31" s="6" t="n"/>
      <c r="N31" s="6" t="n"/>
      <c r="O31" s="6" t="n"/>
      <c r="P31" s="6" t="n"/>
      <c r="Q31" s="6" t="n"/>
      <c r="R31" s="6" t="n"/>
      <c r="S31" s="6" t="n"/>
      <c r="T31" s="6" t="n"/>
      <c r="U31" s="6" t="n"/>
      <c r="V31" s="6" t="n"/>
      <c r="W31" s="6" t="n"/>
      <c r="X31" s="6" t="n"/>
      <c r="Y31" s="6" t="n"/>
      <c r="Z31" s="6" t="n"/>
      <c r="AA31" s="6" t="n"/>
      <c r="AB31" s="6" t="n"/>
      <c r="AC31" s="6" t="n"/>
      <c r="AD31" s="6" t="n"/>
      <c r="AE31" s="380">
        <f>AC31+IF(NOT(ISBLANK(OFFSET(AE31,0,6))),N(OFFSET(AE31,0,6)),N(OFFSET(AE31,0,7)))-AD31</f>
        <v/>
      </c>
      <c r="AG31" s="11" t="n"/>
      <c r="AJ31" s="11" t="n"/>
      <c r="AK31" s="11" t="n"/>
      <c r="AL31" s="11" t="n"/>
      <c r="AM31" s="11" t="n"/>
      <c r="AN31" s="11" t="n"/>
      <c r="AO31" s="11" t="n"/>
      <c r="AP31" s="11" t="n"/>
      <c r="AQ31" s="11" t="n"/>
      <c r="AR31" s="11" t="n"/>
      <c r="AS31" s="11" t="n"/>
      <c r="AT31" s="11" t="n"/>
      <c r="AU31" s="11" t="n"/>
      <c r="AV31" s="11" t="n"/>
      <c r="AW31" s="11" t="n"/>
      <c r="AX31" s="11" t="n"/>
      <c r="AY31" s="11" t="n"/>
    </row>
    <row r="32" hidden="1">
      <c r="A32" s="25" t="inlineStr">
        <is>
          <t>PIN NATAL/25</t>
        </is>
      </c>
      <c r="B32" s="6" t="n">
        <v>10</v>
      </c>
      <c r="C32" s="639" t="n">
        <v>120</v>
      </c>
      <c r="D32" s="404" t="n"/>
      <c r="F32" s="39" t="n">
        <v>5</v>
      </c>
      <c r="G32" s="39" t="n">
        <v>5</v>
      </c>
      <c r="H32" s="39" t="n">
        <v>5</v>
      </c>
      <c r="I32" s="39" t="n">
        <v>5</v>
      </c>
      <c r="J32" s="39" t="n">
        <v>5</v>
      </c>
      <c r="K32" s="39" t="n">
        <v>5</v>
      </c>
      <c r="L32" s="39" t="n">
        <v>5</v>
      </c>
      <c r="M32" s="39" t="n">
        <v>5</v>
      </c>
      <c r="N32" s="39" t="n">
        <v>5</v>
      </c>
      <c r="O32" s="39" t="n">
        <v>0</v>
      </c>
      <c r="P32" s="39" t="n">
        <v>0</v>
      </c>
      <c r="Q32" s="39" t="n">
        <v>0</v>
      </c>
      <c r="R32" s="39" t="n">
        <v>0</v>
      </c>
      <c r="S32" s="39" t="n">
        <v>0</v>
      </c>
      <c r="T32" s="39" t="n"/>
      <c r="U32" s="39" t="n"/>
      <c r="V32" s="39" t="n"/>
      <c r="W32" s="39" t="n"/>
      <c r="X32" s="39" t="n"/>
      <c r="Y32" s="39" t="n"/>
      <c r="AE32" s="380">
        <f>AC32+IF(NOT(ISBLANK(OFFSET(AE32,0,6))),N(OFFSET(AE32,0,6)),N(OFFSET(AE32,0,7)))-AD32</f>
        <v/>
      </c>
      <c r="AG32" s="11" t="n"/>
      <c r="AJ32" s="11" t="n"/>
      <c r="AK32" s="11" t="n"/>
      <c r="AL32" s="11" t="n"/>
      <c r="AM32" s="11" t="n"/>
      <c r="AN32" s="11" t="n"/>
      <c r="AO32" s="11" t="n"/>
      <c r="AP32" s="11" t="n"/>
      <c r="AQ32" s="11" t="n"/>
      <c r="AR32" s="11" t="n"/>
      <c r="AS32" s="11" t="n"/>
      <c r="AT32" s="11" t="n"/>
      <c r="AU32" s="11" t="n"/>
      <c r="AV32" s="11" t="n"/>
      <c r="AW32" s="11" t="n"/>
      <c r="AX32" s="11" t="n"/>
      <c r="AY32" s="11" t="n"/>
    </row>
    <row r="33">
      <c r="A33" s="291" t="inlineStr">
        <is>
          <t>CAIXA M HOMEM ARANHA</t>
        </is>
      </c>
      <c r="B33" s="292" t="n">
        <v>100</v>
      </c>
      <c r="C33" s="638" t="n">
        <v>1490</v>
      </c>
      <c r="D33" s="404" t="n"/>
      <c r="R33" s="6" t="n">
        <v>5</v>
      </c>
      <c r="S33" s="6" t="n">
        <v>5</v>
      </c>
      <c r="T33" s="6" t="n">
        <v>5</v>
      </c>
      <c r="U33" s="6" t="n">
        <v>5</v>
      </c>
      <c r="V33" s="6" t="n">
        <v>5</v>
      </c>
      <c r="W33" s="6" t="n">
        <v>5</v>
      </c>
      <c r="X33" s="6" t="n">
        <v>5</v>
      </c>
      <c r="Y33" s="6" t="n">
        <v>5</v>
      </c>
      <c r="Z33" s="6" t="n">
        <v>5</v>
      </c>
      <c r="AA33" s="6" t="n">
        <v>5</v>
      </c>
      <c r="AB33" s="6" t="n">
        <v>5</v>
      </c>
      <c r="AC33" s="6" t="n">
        <v>5</v>
      </c>
      <c r="AD33" s="6" t="n">
        <v>5</v>
      </c>
      <c r="AE33" s="380">
        <f>AC33+IF(NOT(ISBLANK(OFFSET(AE33,0,6))),N(OFFSET(AE33,0,6)),N(OFFSET(AE33,0,7)))-AD33</f>
        <v/>
      </c>
      <c r="AG33" s="11" t="n"/>
      <c r="AJ33" s="11" t="n"/>
      <c r="AK33" s="11" t="n"/>
      <c r="AL33" s="11" t="n"/>
      <c r="AM33" s="11" t="n"/>
      <c r="AN33" s="11" t="n"/>
      <c r="AO33" s="11" t="n"/>
      <c r="AP33" s="11" t="n"/>
      <c r="AQ33" s="11" t="n"/>
      <c r="AR33" s="11" t="n"/>
      <c r="AS33" s="11" t="n"/>
      <c r="AT33" s="11" t="n"/>
      <c r="AU33" s="11" t="n"/>
      <c r="AV33" s="11" t="n"/>
      <c r="AW33" s="11" t="n"/>
      <c r="AX33" s="11" t="n"/>
      <c r="AY33" s="11" t="n"/>
    </row>
    <row r="34">
      <c r="AG34" s="11" t="n"/>
      <c r="AJ34" s="11" t="n"/>
      <c r="AK34" s="11" t="n"/>
      <c r="AL34" s="11" t="n"/>
      <c r="AM34" s="11" t="n"/>
      <c r="AN34" s="11" t="n"/>
      <c r="AO34" s="11" t="n"/>
      <c r="AP34" s="11" t="n"/>
      <c r="AQ34" s="11" t="n"/>
      <c r="AR34" s="11" t="n"/>
      <c r="AS34" s="11" t="n"/>
      <c r="AT34" s="11" t="n"/>
      <c r="AU34" s="11" t="n"/>
      <c r="AV34" s="11" t="n"/>
      <c r="AW34" s="11" t="n"/>
      <c r="AX34" s="11" t="n"/>
      <c r="AY34" s="11" t="n"/>
    </row>
    <row r="35" ht="22.5" customHeight="1">
      <c r="A35" s="402" t="inlineStr">
        <is>
          <t>SOBRAS DATAS COMEMORATIVAS</t>
        </is>
      </c>
      <c r="B35" s="402" t="n"/>
      <c r="C35" s="402" t="n"/>
      <c r="AJ35" s="11" t="n"/>
      <c r="AK35" s="11" t="n"/>
      <c r="AL35" s="11" t="n"/>
      <c r="AM35" s="11" t="n"/>
      <c r="AN35" s="11" t="n"/>
      <c r="AO35" s="11" t="n"/>
      <c r="AP35" s="11" t="n"/>
      <c r="AQ35" s="11" t="n"/>
      <c r="AR35" s="11" t="n"/>
      <c r="AS35" s="11" t="n"/>
      <c r="AT35" s="11" t="n"/>
      <c r="AU35" s="11" t="n"/>
      <c r="AV35" s="11" t="n"/>
      <c r="AW35" s="11" t="n"/>
      <c r="AX35" s="11" t="n"/>
      <c r="AY35" s="11" t="n"/>
    </row>
    <row r="36">
      <c r="A36" s="369" t="inlineStr">
        <is>
          <t>ITENS</t>
        </is>
      </c>
      <c r="B36" s="369" t="inlineStr">
        <is>
          <t>QTDE</t>
        </is>
      </c>
      <c r="C36" s="369" t="inlineStr">
        <is>
          <t>ESTOQUE</t>
        </is>
      </c>
      <c r="AJ36" s="11" t="n"/>
      <c r="AK36" s="11" t="n"/>
      <c r="AL36" s="11" t="n"/>
      <c r="AM36" s="11" t="n"/>
      <c r="AN36" s="11" t="n"/>
      <c r="AO36" s="11" t="n"/>
      <c r="AP36" s="11" t="n"/>
      <c r="AQ36" s="11" t="n"/>
      <c r="AR36" s="11" t="n"/>
      <c r="AS36" s="11" t="n"/>
      <c r="AT36" s="11" t="n"/>
      <c r="AU36" s="11" t="n"/>
      <c r="AV36" s="11" t="n"/>
      <c r="AW36" s="11" t="n"/>
      <c r="AX36" s="11" t="n"/>
      <c r="AY36" s="11" t="n"/>
    </row>
    <row r="37" customFormat="1" s="34">
      <c r="A37" s="156" t="n"/>
      <c r="B37" s="378" t="n"/>
      <c r="C37" s="365" t="n"/>
      <c r="E37" s="41" t="n"/>
      <c r="F37" s="41" t="n"/>
      <c r="G37" s="41" t="n"/>
      <c r="H37" s="41" t="n"/>
      <c r="I37" s="41" t="n"/>
      <c r="J37" s="41" t="n"/>
      <c r="K37" s="41" t="n"/>
      <c r="L37" s="41" t="n"/>
      <c r="M37" s="41" t="n"/>
      <c r="N37" s="41" t="n"/>
      <c r="O37" s="41" t="n"/>
      <c r="P37" s="41" t="n"/>
      <c r="Q37" s="41" t="n"/>
      <c r="R37" s="41" t="n"/>
      <c r="S37" s="41" t="n"/>
      <c r="T37" s="41" t="n"/>
      <c r="U37" s="41" t="n"/>
      <c r="V37" s="41" t="n"/>
      <c r="W37" s="41" t="n"/>
      <c r="X37" s="41" t="n"/>
      <c r="Y37" s="41" t="n"/>
      <c r="Z37" s="11" t="n"/>
      <c r="AA37" s="11" t="n"/>
      <c r="AB37" s="11" t="n"/>
      <c r="AC37" s="11" t="n"/>
      <c r="AD37" s="11" t="n"/>
      <c r="AE37" s="41" t="n"/>
      <c r="AF37" s="41" t="n"/>
      <c r="AG37" s="41" t="n"/>
      <c r="AH37" s="41" t="n"/>
      <c r="AI37" s="41" t="n"/>
      <c r="AJ37" s="11" t="n"/>
      <c r="AK37" s="11" t="n"/>
      <c r="AL37" s="11" t="n"/>
      <c r="AM37" s="11" t="n"/>
      <c r="AN37" s="11" t="n"/>
      <c r="AO37" s="11" t="n"/>
      <c r="AP37" s="11" t="n"/>
      <c r="AQ37" s="11" t="n"/>
      <c r="AR37" s="11" t="n"/>
      <c r="AS37" s="11" t="n"/>
      <c r="AT37" s="11" t="n"/>
      <c r="AU37" s="11" t="n"/>
      <c r="AV37" s="11" t="n"/>
      <c r="AW37" s="11" t="n"/>
      <c r="AX37" s="11" t="n"/>
      <c r="AY37" s="11" t="n"/>
      <c r="AZ37" s="41" t="n"/>
      <c r="BA37" s="11" t="n"/>
      <c r="BB37" s="11" t="n"/>
      <c r="BC37" s="11" t="n"/>
      <c r="BD37" s="11" t="n"/>
      <c r="BE37" s="11" t="n"/>
      <c r="BF37" s="11" t="n"/>
      <c r="BG37" s="11" t="n"/>
      <c r="BH37" s="11" t="n"/>
      <c r="BI37" s="11" t="n"/>
      <c r="BJ37" s="11" t="n"/>
      <c r="BK37" s="11" t="n"/>
      <c r="BL37" s="11" t="n"/>
      <c r="BM37" s="11" t="n"/>
      <c r="DL37" s="41" t="n"/>
      <c r="DP37" s="41" t="n"/>
      <c r="DQ37" s="71" t="n"/>
      <c r="DR37" s="71" t="n"/>
      <c r="DS37" s="71" t="n"/>
      <c r="DT37" s="71" t="n"/>
      <c r="DV37" s="71" t="n"/>
      <c r="DY37" s="71" t="n"/>
      <c r="DZ37" s="71" t="n"/>
      <c r="EA37" s="71" t="n"/>
      <c r="EB37" s="374" t="n"/>
      <c r="EC37" s="373" t="n"/>
      <c r="ED37" s="71" t="n"/>
      <c r="EE37" s="71" t="n"/>
      <c r="EF37" s="71" t="n"/>
      <c r="EG37" s="71" t="n"/>
      <c r="EH37" s="71" t="n"/>
      <c r="EI37" s="374" t="n"/>
      <c r="EJ37" s="71" t="n"/>
      <c r="EK37" s="374" t="n"/>
      <c r="EL37" s="71" t="n"/>
      <c r="EM37" s="71" t="n"/>
      <c r="EN37" s="71" t="n"/>
      <c r="EO37" s="71" t="n"/>
      <c r="EP37" s="71" t="n"/>
      <c r="EQ37" s="71" t="n"/>
      <c r="ER37" s="71" t="n"/>
      <c r="ES37" s="71" t="n"/>
      <c r="ET37" s="71" t="n"/>
      <c r="EU37" s="71" t="n"/>
      <c r="EV37" s="71" t="n"/>
      <c r="EW37" s="71" t="n"/>
      <c r="EX37" s="71" t="n"/>
      <c r="EY37" s="71" t="n"/>
      <c r="EZ37" s="71" t="n"/>
      <c r="FA37" s="71" t="n"/>
      <c r="FB37" s="71" t="n"/>
      <c r="FC37" s="71" t="n"/>
      <c r="FD37" s="71" t="n"/>
      <c r="FE37" s="71" t="n"/>
      <c r="FF37" s="71" t="n"/>
      <c r="FG37" s="71" t="n"/>
      <c r="FH37" s="71" t="n"/>
      <c r="FI37" s="71" t="n"/>
      <c r="FK37" s="71" t="n"/>
      <c r="FL37" s="71" t="n"/>
      <c r="FN37" s="71" t="n"/>
      <c r="FP37" s="71" t="n"/>
      <c r="FR37" s="71" t="n"/>
      <c r="FS37" s="71" t="n"/>
    </row>
    <row r="38" customFormat="1" s="34">
      <c r="A38" s="156" t="n"/>
      <c r="B38" s="378" t="n"/>
      <c r="C38" s="365" t="n"/>
      <c r="E38" s="41" t="n"/>
      <c r="F38" s="41" t="n"/>
      <c r="G38" s="41" t="n"/>
      <c r="H38" s="41" t="n"/>
      <c r="I38" s="41" t="n"/>
      <c r="J38" s="41" t="n"/>
      <c r="K38" s="41" t="n"/>
      <c r="L38" s="41" t="n"/>
      <c r="M38" s="41" t="n"/>
      <c r="N38" s="41" t="n"/>
      <c r="O38" s="41" t="n"/>
      <c r="P38" s="41" t="n"/>
      <c r="Q38" s="41" t="n"/>
      <c r="R38" s="41" t="n"/>
      <c r="S38" s="41" t="n"/>
      <c r="T38" s="41" t="n"/>
      <c r="U38" s="41" t="n"/>
      <c r="V38" s="41" t="n"/>
      <c r="W38" s="41" t="n"/>
      <c r="X38" s="41" t="n"/>
      <c r="Y38" s="41" t="n"/>
      <c r="Z38" s="41" t="n"/>
      <c r="AA38" s="41" t="n"/>
      <c r="AB38" s="41" t="n"/>
      <c r="AC38" s="41" t="n"/>
      <c r="AD38" s="41" t="n"/>
      <c r="AE38" s="41" t="n"/>
      <c r="AF38" s="41" t="n"/>
      <c r="AG38" s="41" t="n"/>
      <c r="AH38" s="41" t="n"/>
      <c r="AI38" s="41" t="n"/>
      <c r="AJ38" s="11" t="n"/>
      <c r="AK38" s="11" t="n"/>
      <c r="AL38" s="11" t="n"/>
      <c r="AM38" s="11" t="n"/>
      <c r="AN38" s="11" t="n"/>
      <c r="AO38" s="11" t="n"/>
      <c r="AP38" s="11" t="n"/>
      <c r="AQ38" s="11" t="n"/>
      <c r="AR38" s="11" t="n"/>
      <c r="AS38" s="11" t="n"/>
      <c r="AT38" s="11" t="n"/>
      <c r="AU38" s="11" t="n"/>
      <c r="AV38" s="11" t="n"/>
      <c r="AW38" s="11" t="n"/>
      <c r="AX38" s="11" t="n"/>
      <c r="AY38" s="11" t="n"/>
      <c r="AZ38" s="41" t="n"/>
      <c r="BA38" s="11" t="n"/>
      <c r="BB38" s="11" t="n"/>
      <c r="BC38" s="11" t="n"/>
      <c r="BD38" s="11" t="n"/>
      <c r="BE38" s="11" t="n"/>
      <c r="BF38" s="11" t="n"/>
      <c r="BG38" s="11" t="n"/>
      <c r="BH38" s="11" t="n"/>
      <c r="BI38" s="11" t="n"/>
      <c r="BJ38" s="11" t="n"/>
      <c r="BK38" s="11" t="n"/>
      <c r="BL38" s="11" t="n"/>
      <c r="BM38" s="11" t="n"/>
      <c r="DL38" s="41" t="n"/>
      <c r="DP38" s="41" t="n"/>
      <c r="DQ38" s="71" t="n"/>
      <c r="DR38" s="71" t="n"/>
      <c r="DS38" s="71" t="n"/>
      <c r="DT38" s="71" t="n"/>
      <c r="DV38" s="71" t="n"/>
      <c r="DY38" s="71" t="n"/>
      <c r="DZ38" s="71" t="n"/>
      <c r="EA38" s="71" t="n"/>
      <c r="EB38" s="374" t="n"/>
      <c r="EC38" s="373" t="n"/>
      <c r="ED38" s="71" t="n"/>
      <c r="EE38" s="71" t="n"/>
      <c r="EF38" s="71" t="n"/>
      <c r="EG38" s="71" t="n"/>
      <c r="EH38" s="71" t="n"/>
      <c r="EI38" s="374" t="n"/>
      <c r="EJ38" s="71" t="n"/>
      <c r="EK38" s="374" t="n"/>
      <c r="EL38" s="71" t="n"/>
      <c r="EM38" s="71" t="n"/>
      <c r="EN38" s="71" t="n"/>
      <c r="EO38" s="71" t="n"/>
      <c r="EP38" s="71" t="n"/>
      <c r="EQ38" s="71" t="n"/>
      <c r="ER38" s="71" t="n"/>
      <c r="ES38" s="71" t="n"/>
      <c r="ET38" s="71" t="n"/>
      <c r="EU38" s="71" t="n"/>
      <c r="EV38" s="71" t="n"/>
      <c r="EW38" s="71" t="n"/>
      <c r="EX38" s="71" t="n"/>
      <c r="EY38" s="71" t="n"/>
      <c r="EZ38" s="71" t="n"/>
      <c r="FA38" s="71" t="n"/>
      <c r="FB38" s="71" t="n"/>
      <c r="FC38" s="71" t="n"/>
      <c r="FD38" s="71" t="n"/>
      <c r="FE38" s="71" t="n"/>
      <c r="FF38" s="71" t="n"/>
      <c r="FG38" s="71" t="n"/>
      <c r="FH38" s="71" t="n"/>
      <c r="FI38" s="71" t="n"/>
      <c r="FK38" s="71" t="n"/>
      <c r="FL38" s="71" t="n"/>
      <c r="FN38" s="71" t="n"/>
      <c r="FP38" s="71" t="n"/>
      <c r="FR38" s="71" t="n"/>
      <c r="FS38" s="71" t="n"/>
    </row>
    <row r="39" customFormat="1" s="34">
      <c r="A39" s="244" t="n"/>
      <c r="B39" s="244" t="n"/>
      <c r="C39" s="244" t="n"/>
      <c r="E39" s="41" t="n"/>
      <c r="F39" s="41" t="n"/>
      <c r="G39" s="41" t="n"/>
      <c r="H39" s="41" t="n"/>
      <c r="I39" s="41" t="n"/>
      <c r="J39" s="41" t="n"/>
      <c r="K39" s="41" t="n"/>
      <c r="L39" s="41" t="n"/>
      <c r="M39" s="41" t="n"/>
      <c r="N39" s="41" t="n"/>
      <c r="O39" s="41" t="n"/>
      <c r="P39" s="41" t="n"/>
      <c r="Q39" s="41" t="n"/>
      <c r="R39" s="41" t="n"/>
      <c r="S39" s="41" t="n"/>
      <c r="T39" s="41" t="n"/>
      <c r="U39" s="41" t="n"/>
      <c r="V39" s="41" t="n"/>
      <c r="W39" s="41" t="n"/>
      <c r="X39" s="41" t="n"/>
      <c r="Y39" s="41" t="n"/>
      <c r="Z39" s="41" t="n"/>
      <c r="AA39" s="41" t="n"/>
      <c r="AB39" s="41" t="n"/>
      <c r="AC39" s="41" t="n"/>
      <c r="AD39" s="41" t="n"/>
      <c r="AE39" s="41" t="n"/>
      <c r="AF39" s="41" t="n"/>
      <c r="AG39" s="41" t="n"/>
      <c r="AH39" s="41" t="n"/>
      <c r="AI39" s="41" t="n"/>
      <c r="AJ39" s="11" t="n"/>
      <c r="AK39" s="11" t="n"/>
      <c r="AL39" s="11" t="n"/>
      <c r="AM39" s="11" t="n"/>
      <c r="AN39" s="11" t="n"/>
      <c r="AO39" s="11" t="n"/>
      <c r="AP39" s="11" t="n"/>
      <c r="AQ39" s="11" t="n"/>
      <c r="AR39" s="11" t="n"/>
      <c r="AS39" s="11" t="n"/>
      <c r="AT39" s="11" t="n"/>
      <c r="AU39" s="11" t="n"/>
      <c r="AV39" s="11" t="n"/>
      <c r="AW39" s="409" t="n"/>
      <c r="AX39" s="409" t="n"/>
      <c r="AY39" s="409" t="n"/>
      <c r="AZ39" s="41" t="n"/>
      <c r="BA39" s="11" t="n"/>
      <c r="BB39" s="11" t="n"/>
      <c r="BC39" s="11" t="n"/>
      <c r="BD39" s="11" t="n"/>
      <c r="BE39" s="11" t="n"/>
      <c r="BF39" s="11" t="n"/>
      <c r="BG39" s="11" t="n"/>
      <c r="BH39" s="11" t="n"/>
      <c r="BI39" s="11" t="n"/>
      <c r="BJ39" s="11" t="n"/>
      <c r="BK39" s="11" t="n"/>
      <c r="BL39" s="11" t="n"/>
      <c r="BM39" s="11" t="n"/>
      <c r="DL39" s="41" t="n"/>
      <c r="DP39" s="41" t="n"/>
      <c r="DQ39" s="71" t="n"/>
      <c r="DR39" s="71" t="n"/>
      <c r="DS39" s="71" t="n"/>
      <c r="DT39" s="71" t="n"/>
      <c r="DV39" s="71" t="n"/>
      <c r="DY39" s="71" t="n"/>
      <c r="DZ39" s="71" t="n"/>
      <c r="EA39" s="71" t="n"/>
      <c r="EB39" s="374" t="n"/>
      <c r="EC39" s="373" t="n"/>
      <c r="ED39" s="71" t="n"/>
      <c r="EE39" s="71" t="n"/>
      <c r="EF39" s="71" t="n"/>
      <c r="EG39" s="71" t="n"/>
      <c r="EH39" s="71" t="n"/>
      <c r="EI39" s="374" t="n"/>
      <c r="EJ39" s="71" t="n"/>
      <c r="EK39" s="374" t="n"/>
      <c r="EL39" s="71" t="n"/>
      <c r="EM39" s="71" t="n"/>
      <c r="EN39" s="71" t="n"/>
      <c r="EO39" s="71" t="n"/>
      <c r="EP39" s="71" t="n"/>
      <c r="EQ39" s="71" t="n"/>
      <c r="ER39" s="71" t="n"/>
      <c r="ES39" s="71" t="n"/>
      <c r="ET39" s="71" t="n"/>
      <c r="EU39" s="71" t="n"/>
      <c r="EV39" s="71" t="n"/>
      <c r="EW39" s="71" t="n"/>
      <c r="EX39" s="71" t="n"/>
      <c r="EY39" s="71" t="n"/>
      <c r="EZ39" s="71" t="n"/>
      <c r="FA39" s="71" t="n"/>
      <c r="FB39" s="71" t="n"/>
      <c r="FC39" s="71" t="n"/>
      <c r="FD39" s="71" t="n"/>
      <c r="FE39" s="71" t="n"/>
      <c r="FF39" s="71" t="n"/>
      <c r="FG39" s="71" t="n"/>
      <c r="FH39" s="71" t="n"/>
      <c r="FI39" s="71" t="n"/>
      <c r="FK39" s="71" t="n"/>
      <c r="FL39" s="71" t="n"/>
      <c r="FN39" s="71" t="n"/>
      <c r="FP39" s="71" t="n"/>
      <c r="FR39" s="71" t="n"/>
      <c r="FS39" s="71" t="n"/>
    </row>
    <row r="40" customFormat="1" s="34">
      <c r="A40" s="160" t="inlineStr">
        <is>
          <t xml:space="preserve">SACOLA G NATAL/25 </t>
        </is>
      </c>
      <c r="B40" s="378" t="n"/>
      <c r="C40" s="365" t="n">
        <v>43</v>
      </c>
      <c r="E40" s="41" t="n"/>
      <c r="F40" s="41" t="n"/>
      <c r="G40" s="41" t="n"/>
      <c r="H40" s="41" t="n"/>
      <c r="I40" s="41" t="n"/>
      <c r="J40" s="41" t="n"/>
      <c r="K40" s="41" t="n"/>
      <c r="L40" s="41" t="n"/>
      <c r="M40" s="41" t="n"/>
      <c r="N40" s="41" t="n"/>
      <c r="O40" s="41" t="n"/>
      <c r="P40" s="41" t="n"/>
      <c r="Q40" s="41" t="n"/>
      <c r="R40" s="41" t="n"/>
      <c r="S40" s="41" t="n"/>
      <c r="T40" s="41" t="n"/>
      <c r="U40" s="41" t="n"/>
      <c r="V40" s="41" t="n"/>
      <c r="W40" s="41" t="n"/>
      <c r="X40" s="41" t="n"/>
      <c r="Y40" s="41" t="n"/>
      <c r="Z40" s="41" t="n"/>
      <c r="AA40" s="41" t="n"/>
      <c r="AB40" s="41" t="n"/>
      <c r="AC40" s="41" t="n"/>
      <c r="AD40" s="41" t="n"/>
      <c r="AE40" s="41" t="n"/>
      <c r="AF40" s="41" t="n"/>
      <c r="AG40" s="41" t="n"/>
      <c r="AH40" s="41" t="n"/>
      <c r="AI40" s="41" t="n"/>
      <c r="AJ40" s="11" t="n"/>
      <c r="AK40" s="11" t="n"/>
      <c r="AL40" s="11" t="n"/>
      <c r="AM40" s="11" t="n"/>
      <c r="AN40" s="11" t="n"/>
      <c r="AO40" s="11" t="n"/>
      <c r="AP40" s="11" t="n"/>
      <c r="AQ40" s="11" t="n"/>
      <c r="AR40" s="11" t="n"/>
      <c r="AS40" s="11" t="n"/>
      <c r="AT40" s="11" t="n"/>
      <c r="AU40" s="11" t="n"/>
      <c r="AV40" s="11" t="n"/>
      <c r="AW40" s="409" t="n"/>
      <c r="AX40" s="409" t="n"/>
      <c r="AY40" s="409" t="n"/>
      <c r="AZ40" s="41" t="n"/>
      <c r="BA40" s="11" t="n"/>
      <c r="BB40" s="11" t="n"/>
      <c r="BC40" s="11" t="n"/>
      <c r="BD40" s="11" t="n"/>
      <c r="BE40" s="11" t="n"/>
      <c r="BF40" s="11" t="n"/>
      <c r="BG40" s="11" t="n"/>
      <c r="BH40" s="11" t="n"/>
      <c r="BI40" s="11" t="n"/>
      <c r="BJ40" s="11" t="n"/>
      <c r="BK40" s="11" t="n"/>
      <c r="BL40" s="11" t="n"/>
      <c r="BM40" s="11" t="n"/>
      <c r="DL40" s="41" t="n"/>
      <c r="DP40" s="41" t="n"/>
      <c r="DQ40" s="71" t="n"/>
      <c r="DR40" s="71" t="n"/>
      <c r="DS40" s="71" t="n"/>
      <c r="DT40" s="71" t="n"/>
      <c r="DV40" s="71" t="n"/>
      <c r="DY40" s="71" t="n"/>
      <c r="DZ40" s="71" t="n"/>
      <c r="EA40" s="71" t="n"/>
      <c r="EB40" s="374" t="n"/>
      <c r="EC40" s="373" t="n"/>
      <c r="ED40" s="71" t="n"/>
      <c r="EE40" s="71" t="n"/>
      <c r="EF40" s="71" t="n"/>
      <c r="EG40" s="71" t="n"/>
      <c r="EH40" s="71" t="n"/>
      <c r="EI40" s="374" t="n"/>
      <c r="EJ40" s="71" t="n"/>
      <c r="EK40" s="374" t="n"/>
      <c r="EL40" s="71" t="n"/>
      <c r="EM40" s="71" t="n"/>
      <c r="EN40" s="71" t="n"/>
      <c r="EO40" s="71" t="n"/>
      <c r="EP40" s="71" t="n"/>
      <c r="EQ40" s="71" t="n"/>
      <c r="ER40" s="71" t="n"/>
      <c r="ES40" s="71" t="n"/>
      <c r="ET40" s="71" t="n"/>
      <c r="EU40" s="71" t="n"/>
      <c r="EV40" s="71" t="n"/>
      <c r="EW40" s="71" t="n"/>
      <c r="EX40" s="71" t="n"/>
      <c r="EY40" s="71" t="n"/>
      <c r="EZ40" s="71" t="n"/>
      <c r="FA40" s="71" t="n"/>
      <c r="FB40" s="71" t="n"/>
      <c r="FC40" s="71" t="n"/>
      <c r="FD40" s="71" t="n"/>
      <c r="FE40" s="71" t="n"/>
      <c r="FF40" s="71" t="n"/>
      <c r="FG40" s="71" t="n"/>
      <c r="FH40" s="71" t="n"/>
      <c r="FI40" s="71" t="n"/>
      <c r="FK40" s="71" t="n"/>
      <c r="FL40" s="71" t="n"/>
      <c r="FN40" s="71" t="n"/>
      <c r="FP40" s="71" t="n"/>
      <c r="FR40" s="71" t="n"/>
      <c r="FS40" s="71" t="n"/>
    </row>
    <row r="41" customFormat="1" s="34">
      <c r="A41" s="244" t="n"/>
      <c r="B41" s="244" t="n"/>
      <c r="C41" s="244" t="n"/>
      <c r="E41" s="41" t="n"/>
      <c r="F41" s="41" t="n"/>
      <c r="G41" s="41" t="n"/>
      <c r="H41" s="41" t="n"/>
      <c r="I41" s="41" t="n"/>
      <c r="J41" s="41" t="n"/>
      <c r="K41" s="41" t="n"/>
      <c r="L41" s="41" t="n"/>
      <c r="M41" s="41" t="n"/>
      <c r="N41" s="41" t="n"/>
      <c r="O41" s="41" t="n"/>
      <c r="P41" s="41" t="n"/>
      <c r="Q41" s="41" t="n"/>
      <c r="R41" s="41" t="n"/>
      <c r="S41" s="41" t="n"/>
      <c r="T41" s="41" t="n"/>
      <c r="U41" s="41" t="n"/>
      <c r="V41" s="41" t="n"/>
      <c r="W41" s="41" t="n"/>
      <c r="X41" s="41" t="n"/>
      <c r="Y41" s="41" t="n"/>
      <c r="Z41" s="41" t="n"/>
      <c r="AA41" s="41" t="n"/>
      <c r="AB41" s="41" t="n"/>
      <c r="AC41" s="41" t="n"/>
      <c r="AD41" s="41" t="n"/>
      <c r="AE41" s="41" t="n"/>
      <c r="AF41" s="41" t="n"/>
      <c r="AG41" s="41" t="n"/>
      <c r="AH41" s="41" t="n"/>
      <c r="AI41" s="41" t="n"/>
      <c r="AJ41" s="409" t="n"/>
      <c r="AK41" s="409" t="n"/>
      <c r="AL41" s="409" t="n"/>
      <c r="AM41" s="409" t="n"/>
      <c r="AN41" s="409" t="n"/>
      <c r="AO41" s="409" t="n"/>
      <c r="AP41" s="409" t="n"/>
      <c r="AQ41" s="409" t="n"/>
      <c r="AR41" s="409" t="n"/>
      <c r="AS41" s="409" t="n"/>
      <c r="AT41" s="11" t="n"/>
      <c r="AU41" s="11" t="n"/>
      <c r="AV41" s="11" t="n"/>
      <c r="AW41" s="41" t="n"/>
      <c r="AX41" s="41" t="n"/>
      <c r="AY41" s="41" t="n"/>
      <c r="AZ41" s="41" t="n"/>
      <c r="BA41" s="11" t="n"/>
      <c r="BB41" s="11" t="n"/>
      <c r="BC41" s="11" t="n"/>
      <c r="BD41" s="11" t="n"/>
      <c r="BE41" s="11" t="n"/>
      <c r="BF41" s="11" t="n"/>
      <c r="BG41" s="11" t="n"/>
      <c r="BH41" s="41" t="n"/>
      <c r="BI41" s="41" t="n"/>
      <c r="BJ41" s="41" t="n"/>
      <c r="BK41" s="41" t="n"/>
      <c r="BL41" s="41" t="n"/>
      <c r="BM41" s="11" t="n"/>
      <c r="DL41" s="41" t="n"/>
      <c r="DP41" s="41" t="n"/>
      <c r="DQ41" s="71" t="n"/>
      <c r="DR41" s="71" t="n"/>
      <c r="DS41" s="71" t="n"/>
      <c r="DT41" s="71" t="n"/>
      <c r="DV41" s="71" t="n"/>
      <c r="DY41" s="71" t="n"/>
      <c r="DZ41" s="71" t="n"/>
      <c r="EA41" s="71" t="n"/>
      <c r="EB41" s="374" t="n"/>
      <c r="EC41" s="373" t="n"/>
      <c r="ED41" s="71" t="n"/>
      <c r="EE41" s="71" t="n"/>
      <c r="EF41" s="71" t="n"/>
      <c r="EG41" s="71" t="n"/>
      <c r="EH41" s="71" t="n"/>
      <c r="EI41" s="374" t="n"/>
      <c r="EJ41" s="71" t="n"/>
      <c r="EK41" s="374" t="n"/>
      <c r="EL41" s="71" t="n"/>
      <c r="EM41" s="71" t="n"/>
      <c r="EN41" s="71" t="n"/>
      <c r="EO41" s="71" t="n"/>
      <c r="EP41" s="71" t="n"/>
      <c r="EQ41" s="71" t="n"/>
      <c r="ER41" s="71" t="n"/>
      <c r="ES41" s="71" t="n"/>
      <c r="ET41" s="71" t="n"/>
      <c r="EU41" s="71" t="n"/>
      <c r="EV41" s="71" t="n"/>
      <c r="EW41" s="71" t="n"/>
      <c r="EX41" s="71" t="n"/>
      <c r="EY41" s="71" t="n"/>
      <c r="EZ41" s="71" t="n"/>
      <c r="FA41" s="71" t="n"/>
      <c r="FB41" s="71" t="n"/>
      <c r="FC41" s="71" t="n"/>
      <c r="FD41" s="71" t="n"/>
      <c r="FE41" s="71" t="n"/>
      <c r="FF41" s="71" t="n"/>
      <c r="FG41" s="71" t="n"/>
      <c r="FH41" s="71" t="n"/>
      <c r="FI41" s="71" t="n"/>
      <c r="FK41" s="71" t="n"/>
      <c r="FL41" s="71" t="n"/>
      <c r="FN41" s="71" t="n"/>
      <c r="FP41" s="71" t="n"/>
      <c r="FR41" s="71" t="n"/>
      <c r="FS41" s="71" t="n"/>
    </row>
    <row r="42" customFormat="1" s="34">
      <c r="A42" s="659" t="n"/>
      <c r="B42" s="378" t="n"/>
      <c r="C42" s="365" t="n"/>
      <c r="E42" s="41" t="n"/>
      <c r="F42" s="41" t="n"/>
      <c r="G42" s="41" t="n"/>
      <c r="H42" s="41" t="n"/>
      <c r="I42" s="41" t="n"/>
      <c r="J42" s="41" t="n"/>
      <c r="K42" s="41" t="n"/>
      <c r="L42" s="41" t="n"/>
      <c r="M42" s="41" t="n"/>
      <c r="N42" s="41" t="n"/>
      <c r="O42" s="41" t="n"/>
      <c r="P42" s="41" t="n"/>
      <c r="Q42" s="41" t="n"/>
      <c r="R42" s="41" t="n"/>
      <c r="S42" s="41" t="n"/>
      <c r="T42" s="41" t="n"/>
      <c r="U42" s="41" t="n"/>
      <c r="V42" s="41" t="n"/>
      <c r="W42" s="41" t="n"/>
      <c r="X42" s="41" t="n"/>
      <c r="Y42" s="41" t="n"/>
      <c r="Z42" s="41" t="n"/>
      <c r="AA42" s="41" t="n"/>
      <c r="AB42" s="41" t="n"/>
      <c r="AC42" s="41" t="n"/>
      <c r="AD42" s="41" t="n"/>
      <c r="AE42" s="41" t="n"/>
      <c r="AF42" s="41" t="n"/>
      <c r="AG42" s="41" t="n"/>
      <c r="AH42" s="41" t="n"/>
      <c r="AI42" s="41" t="n"/>
      <c r="AJ42" s="409" t="n"/>
      <c r="AK42" s="409" t="n"/>
      <c r="AL42" s="409" t="n"/>
      <c r="AM42" s="409" t="n"/>
      <c r="AN42" s="409" t="n"/>
      <c r="AO42" s="409" t="n"/>
      <c r="AP42" s="409" t="n"/>
      <c r="AQ42" s="409" t="n"/>
      <c r="AR42" s="409" t="n"/>
      <c r="AS42" s="409" t="n"/>
      <c r="AT42" s="11" t="n"/>
      <c r="AU42" s="11" t="n"/>
      <c r="AV42" s="11" t="n"/>
      <c r="AW42" s="41" t="n"/>
      <c r="AX42" s="41" t="n"/>
      <c r="AY42" s="41" t="n"/>
      <c r="AZ42" s="41" t="n"/>
      <c r="BA42" s="11" t="n"/>
      <c r="BB42" s="11" t="n"/>
      <c r="BC42" s="11" t="n"/>
      <c r="BD42" s="11" t="n"/>
      <c r="BE42" s="11" t="n"/>
      <c r="BF42" s="11" t="n"/>
      <c r="BG42" s="11" t="n"/>
      <c r="BH42" s="41" t="n"/>
      <c r="BI42" s="41" t="n"/>
      <c r="BJ42" s="41" t="n"/>
      <c r="BK42" s="41" t="n"/>
      <c r="BL42" s="41" t="n"/>
      <c r="BM42" s="11" t="n"/>
      <c r="DL42" s="41" t="n"/>
      <c r="DP42" s="41" t="n"/>
      <c r="DQ42" s="71" t="n"/>
      <c r="DR42" s="71" t="n"/>
      <c r="DS42" s="71" t="n"/>
      <c r="DT42" s="71" t="n"/>
      <c r="DV42" s="71" t="n"/>
      <c r="DY42" s="71" t="n"/>
      <c r="DZ42" s="71" t="n"/>
      <c r="EA42" s="71" t="n"/>
      <c r="EB42" s="374" t="n"/>
      <c r="EC42" s="373" t="n"/>
      <c r="ED42" s="71" t="n"/>
      <c r="EE42" s="71" t="n"/>
      <c r="EF42" s="71" t="n"/>
      <c r="EG42" s="71" t="n"/>
      <c r="EH42" s="71" t="n"/>
      <c r="EI42" s="374" t="n"/>
      <c r="EJ42" s="71" t="n"/>
      <c r="EK42" s="374" t="n"/>
      <c r="EL42" s="71" t="n"/>
      <c r="EM42" s="71" t="n"/>
      <c r="EN42" s="71" t="n"/>
      <c r="EO42" s="71" t="n"/>
      <c r="EP42" s="71" t="n"/>
      <c r="EQ42" s="71" t="n"/>
      <c r="ER42" s="71" t="n"/>
      <c r="ES42" s="71" t="n"/>
      <c r="ET42" s="71" t="n"/>
      <c r="EU42" s="71" t="n"/>
      <c r="EV42" s="71" t="n"/>
      <c r="EW42" s="71" t="n"/>
      <c r="EX42" s="71" t="n"/>
      <c r="EY42" s="71" t="n"/>
      <c r="EZ42" s="71" t="n"/>
      <c r="FA42" s="71" t="n"/>
      <c r="FB42" s="71" t="n"/>
      <c r="FC42" s="71" t="n"/>
      <c r="FD42" s="71" t="n"/>
      <c r="FE42" s="71" t="n"/>
      <c r="FF42" s="71" t="n"/>
      <c r="FG42" s="71" t="n"/>
      <c r="FH42" s="71" t="n"/>
      <c r="FI42" s="71" t="n"/>
      <c r="FK42" s="71" t="n"/>
      <c r="FL42" s="71" t="n"/>
      <c r="FN42" s="71" t="n"/>
      <c r="FP42" s="71" t="n"/>
      <c r="FR42" s="71" t="n"/>
      <c r="FS42" s="71" t="n"/>
    </row>
    <row r="43" customFormat="1" s="34">
      <c r="A43" s="659" t="n"/>
      <c r="B43" s="378" t="n"/>
      <c r="C43" s="365" t="n"/>
      <c r="E43" s="41" t="n"/>
      <c r="F43" s="41" t="n"/>
      <c r="G43" s="41" t="n"/>
      <c r="H43" s="41" t="n"/>
      <c r="I43" s="41" t="n"/>
      <c r="J43" s="41" t="n"/>
      <c r="K43" s="41" t="n"/>
      <c r="L43" s="41" t="n"/>
      <c r="M43" s="41" t="n"/>
      <c r="N43" s="41" t="n"/>
      <c r="O43" s="41" t="n"/>
      <c r="P43" s="41" t="n"/>
      <c r="Q43" s="41" t="n"/>
      <c r="R43" s="41" t="n"/>
      <c r="S43" s="41" t="n"/>
      <c r="T43" s="41" t="n"/>
      <c r="U43" s="41" t="n"/>
      <c r="V43" s="41" t="n"/>
      <c r="W43" s="41" t="n"/>
      <c r="X43" s="41" t="n"/>
      <c r="Y43" s="41" t="n"/>
      <c r="Z43" s="41" t="n"/>
      <c r="AA43" s="41" t="n"/>
      <c r="AB43" s="41" t="n"/>
      <c r="AC43" s="41" t="n"/>
      <c r="AD43" s="41" t="n"/>
      <c r="AE43" s="41" t="n"/>
      <c r="AF43" s="41" t="n"/>
      <c r="AG43" s="41" t="n"/>
      <c r="AH43" s="41" t="n"/>
      <c r="AI43" s="41" t="n"/>
      <c r="AJ43" s="41" t="n"/>
      <c r="AK43" s="41" t="n"/>
      <c r="AL43" s="41" t="n"/>
      <c r="AM43" s="41" t="n"/>
      <c r="AN43" s="41" t="n"/>
      <c r="AO43" s="41" t="n"/>
      <c r="AP43" s="41" t="n"/>
      <c r="AQ43" s="41" t="n"/>
      <c r="AR43" s="41" t="n"/>
      <c r="AS43" s="41" t="n"/>
      <c r="AT43" s="11" t="n"/>
      <c r="AU43" s="11" t="n"/>
      <c r="AV43" s="11" t="n"/>
      <c r="AW43" s="41" t="n"/>
      <c r="AX43" s="41" t="n"/>
      <c r="AY43" s="41" t="n"/>
      <c r="AZ43" s="41" t="n"/>
      <c r="BA43" s="41" t="n"/>
      <c r="BB43" s="41" t="n"/>
      <c r="BC43" s="41" t="n"/>
      <c r="BD43" s="41" t="n"/>
      <c r="BE43" s="41" t="n"/>
      <c r="BF43" s="41" t="n"/>
      <c r="BG43" s="41" t="n"/>
      <c r="BH43" s="41" t="n"/>
      <c r="BI43" s="41" t="n"/>
      <c r="BJ43" s="41" t="n"/>
      <c r="BK43" s="41" t="n"/>
      <c r="BL43" s="41" t="n"/>
      <c r="BM43" s="41" t="n"/>
      <c r="DL43" s="41" t="n"/>
      <c r="DP43" s="41" t="n"/>
      <c r="DQ43" s="71" t="n"/>
      <c r="DR43" s="71" t="n"/>
      <c r="DS43" s="71" t="n"/>
      <c r="DT43" s="71" t="n"/>
      <c r="DV43" s="71" t="n"/>
      <c r="DY43" s="71" t="n"/>
      <c r="DZ43" s="71" t="n"/>
      <c r="EA43" s="71" t="n"/>
      <c r="EB43" s="374" t="n"/>
      <c r="EC43" s="373" t="n"/>
      <c r="ED43" s="71" t="n"/>
      <c r="EE43" s="71" t="n"/>
      <c r="EF43" s="71" t="n"/>
      <c r="EG43" s="71" t="n"/>
      <c r="EH43" s="71" t="n"/>
      <c r="EI43" s="374" t="n"/>
      <c r="EJ43" s="71" t="n"/>
      <c r="EK43" s="374" t="n"/>
      <c r="EL43" s="71" t="n"/>
      <c r="EM43" s="71" t="n"/>
      <c r="EN43" s="71" t="n"/>
      <c r="EO43" s="71" t="n"/>
      <c r="EP43" s="71" t="n"/>
      <c r="EQ43" s="71" t="n"/>
      <c r="ER43" s="71" t="n"/>
      <c r="ES43" s="71" t="n"/>
      <c r="ET43" s="71" t="n"/>
      <c r="EU43" s="71" t="n"/>
      <c r="EV43" s="71" t="n"/>
      <c r="EW43" s="71" t="n"/>
      <c r="EX43" s="71" t="n"/>
      <c r="EY43" s="71" t="n"/>
      <c r="EZ43" s="71" t="n"/>
      <c r="FA43" s="71" t="n"/>
      <c r="FB43" s="71" t="n"/>
      <c r="FC43" s="71" t="n"/>
      <c r="FD43" s="71" t="n"/>
      <c r="FE43" s="71" t="n"/>
      <c r="FF43" s="71" t="n"/>
      <c r="FG43" s="71" t="n"/>
      <c r="FH43" s="71" t="n"/>
      <c r="FI43" s="71" t="n"/>
      <c r="FK43" s="71" t="n"/>
      <c r="FL43" s="71" t="n"/>
      <c r="FN43" s="71" t="n"/>
      <c r="FP43" s="71" t="n"/>
      <c r="FR43" s="71" t="n"/>
      <c r="FS43" s="71" t="n"/>
    </row>
    <row r="44" customFormat="1" s="34">
      <c r="A44" s="62" t="n"/>
      <c r="B44" s="41" t="n"/>
      <c r="C44" s="41" t="n"/>
      <c r="D44" s="41" t="n"/>
      <c r="E44" s="41" t="n"/>
      <c r="F44" s="41" t="n"/>
      <c r="G44" s="41" t="n"/>
      <c r="H44" s="41" t="n"/>
      <c r="I44" s="41" t="n"/>
      <c r="J44" s="41" t="n"/>
      <c r="K44" s="41" t="n"/>
      <c r="L44" s="41" t="n"/>
      <c r="M44" s="41" t="n"/>
      <c r="N44" s="41" t="n"/>
      <c r="O44" s="41" t="n"/>
      <c r="P44" s="41" t="n"/>
      <c r="Q44" s="41" t="n"/>
      <c r="R44" s="41" t="n"/>
      <c r="S44" s="41" t="n"/>
      <c r="T44" s="41" t="n"/>
      <c r="U44" s="41" t="n"/>
      <c r="V44" s="41" t="n"/>
      <c r="W44" s="41" t="n"/>
      <c r="X44" s="41" t="n"/>
      <c r="Y44" s="41" t="n"/>
      <c r="Z44" s="41" t="n"/>
      <c r="AA44" s="41" t="n"/>
      <c r="AB44" s="41" t="n"/>
      <c r="AC44" s="41" t="n"/>
      <c r="AD44" s="41" t="n"/>
      <c r="AE44" s="41" t="n"/>
      <c r="AF44" s="41" t="n"/>
      <c r="AG44" s="41" t="n"/>
      <c r="AJ44" s="41" t="n"/>
      <c r="AK44" s="41" t="n"/>
      <c r="AL44" s="41" t="n"/>
      <c r="AM44" s="41" t="n"/>
      <c r="AN44" s="41" t="n"/>
      <c r="AO44" s="41" t="n"/>
      <c r="AP44" s="41" t="n"/>
      <c r="AQ44" s="41" t="n"/>
      <c r="AR44" s="41" t="n"/>
      <c r="AS44" s="41" t="n"/>
      <c r="AT44" s="11" t="n"/>
      <c r="AU44" s="11" t="n"/>
      <c r="AV44" s="11" t="n"/>
      <c r="AW44" s="41" t="n"/>
      <c r="AX44" s="41" t="n"/>
      <c r="AY44" s="41" t="n"/>
      <c r="BA44" s="41" t="n"/>
      <c r="BB44" s="41" t="n"/>
      <c r="BC44" s="41" t="n"/>
      <c r="BD44" s="41" t="n"/>
      <c r="BE44" s="41" t="n"/>
      <c r="BF44" s="41" t="n"/>
      <c r="BG44" s="41" t="n"/>
      <c r="BH44" s="41" t="n"/>
      <c r="BI44" s="41" t="n"/>
      <c r="BJ44" s="41" t="n"/>
      <c r="BK44" s="41" t="n"/>
      <c r="BL44" s="41" t="n"/>
      <c r="BM44" s="41" t="n"/>
    </row>
    <row r="45">
      <c r="A45" s="642" t="inlineStr">
        <is>
          <t>FLACONETES</t>
        </is>
      </c>
      <c r="B45" s="625" t="n"/>
      <c r="C45" s="625" t="n"/>
      <c r="D45" s="641" t="n"/>
      <c r="F45" s="660" t="n">
        <v>46013</v>
      </c>
      <c r="G45" s="643" t="n">
        <v>46020</v>
      </c>
      <c r="H45" s="643" t="n">
        <v>46027</v>
      </c>
      <c r="I45" s="643" t="n">
        <v>46034</v>
      </c>
      <c r="J45" s="643" t="n">
        <v>46041</v>
      </c>
      <c r="K45" s="643" t="n">
        <v>46048</v>
      </c>
      <c r="L45" s="643" t="n">
        <v>46055</v>
      </c>
      <c r="M45" s="643" t="n">
        <v>46062</v>
      </c>
      <c r="N45" s="643" t="n">
        <v>46069</v>
      </c>
      <c r="O45" s="643" t="n">
        <v>46076</v>
      </c>
      <c r="P45" s="643" t="n">
        <v>46083</v>
      </c>
      <c r="Q45" s="643" t="n">
        <v>46090</v>
      </c>
      <c r="R45" s="643" t="n">
        <v>46097</v>
      </c>
      <c r="S45" s="643" t="n">
        <v>46104</v>
      </c>
      <c r="T45" s="643" t="n">
        <v>46111</v>
      </c>
      <c r="U45" s="643" t="n">
        <v>46118</v>
      </c>
      <c r="V45" s="643" t="n">
        <v>46125</v>
      </c>
      <c r="W45" s="643" t="n">
        <v>46132</v>
      </c>
      <c r="X45" s="643" t="n">
        <v>46139</v>
      </c>
      <c r="Y45" s="643" t="n">
        <v>46146</v>
      </c>
      <c r="Z45" s="643" t="n">
        <v>46154</v>
      </c>
      <c r="AA45" s="643" t="n">
        <v>46160</v>
      </c>
      <c r="AB45" s="644" t="n">
        <v>46161.4801293287</v>
      </c>
      <c r="AC45" s="644" t="n">
        <v>46161.48080292824</v>
      </c>
      <c r="AD45" s="644" t="n">
        <v>46161.48296028045</v>
      </c>
      <c r="AG45" s="41" t="n"/>
      <c r="AJ45" s="41" t="n"/>
      <c r="AK45" s="41" t="n"/>
      <c r="AL45" s="41" t="n"/>
      <c r="AM45" s="41" t="n"/>
      <c r="AN45" s="41" t="n"/>
      <c r="AO45" s="41" t="n"/>
      <c r="AP45" s="41" t="n"/>
      <c r="AQ45" s="41" t="n"/>
      <c r="AR45" s="41" t="n"/>
      <c r="AS45" s="41" t="n"/>
      <c r="AT45" s="11" t="n"/>
      <c r="AU45" s="11" t="n"/>
      <c r="AV45" s="11" t="n"/>
      <c r="BA45" s="41" t="n"/>
      <c r="BB45" s="41" t="n"/>
      <c r="BC45" s="41" t="n"/>
      <c r="BD45" s="41" t="n"/>
      <c r="BE45" s="41" t="n"/>
      <c r="BF45" s="41" t="n"/>
      <c r="BG45" s="41" t="n"/>
      <c r="BM45" s="41" t="n"/>
    </row>
    <row r="46">
      <c r="A46" s="645" t="inlineStr">
        <is>
          <t>HADYA</t>
        </is>
      </c>
      <c r="B46" s="625" t="n"/>
      <c r="C46" s="625" t="n"/>
      <c r="D46" s="641" t="n"/>
      <c r="F46" s="290" t="n">
        <v>25</v>
      </c>
      <c r="G46" s="366" t="n">
        <v>25</v>
      </c>
      <c r="H46" s="366" t="n">
        <v>25</v>
      </c>
      <c r="I46" s="366" t="n">
        <v>25</v>
      </c>
      <c r="J46" s="366" t="n">
        <v>23</v>
      </c>
      <c r="K46" s="366" t="n">
        <v>20</v>
      </c>
      <c r="L46" s="366" t="n">
        <v>24</v>
      </c>
      <c r="M46" s="366" t="n">
        <v>24</v>
      </c>
      <c r="N46" s="366" t="n">
        <v>24</v>
      </c>
      <c r="O46" s="366" t="n">
        <v>24</v>
      </c>
      <c r="P46" s="366" t="n">
        <v>24</v>
      </c>
      <c r="Q46" s="366" t="n">
        <v>24</v>
      </c>
      <c r="R46" s="366" t="n">
        <v>24</v>
      </c>
      <c r="S46" s="366" t="n">
        <v>24</v>
      </c>
      <c r="T46" s="366" t="n">
        <v>24</v>
      </c>
      <c r="U46" s="366" t="n">
        <v>0</v>
      </c>
      <c r="V46" s="366" t="n">
        <v>17</v>
      </c>
      <c r="W46" s="366" t="n">
        <v>17</v>
      </c>
      <c r="X46" s="366" t="n">
        <v>17</v>
      </c>
      <c r="Y46" s="366" t="n">
        <v>17</v>
      </c>
      <c r="Z46" s="366" t="n">
        <v>17</v>
      </c>
      <c r="AA46" s="366" t="n"/>
      <c r="AB46" s="646" t="n"/>
      <c r="AC46" s="646" t="n"/>
      <c r="AD46" s="646" t="n"/>
      <c r="AJ46" s="41" t="n"/>
      <c r="AK46" s="41" t="n"/>
      <c r="AL46" s="41" t="n"/>
      <c r="AM46" s="41" t="n"/>
      <c r="AN46" s="41" t="n"/>
      <c r="AO46" s="41" t="n"/>
      <c r="AP46" s="41" t="n"/>
      <c r="AQ46" s="41" t="n"/>
      <c r="AR46" s="41" t="n"/>
      <c r="AS46" s="41" t="n"/>
      <c r="BA46" s="41" t="n"/>
      <c r="BB46" s="41" t="n"/>
      <c r="BC46" s="41" t="n"/>
      <c r="BD46" s="41" t="n"/>
      <c r="BE46" s="41" t="n"/>
      <c r="BF46" s="41" t="n"/>
      <c r="BG46" s="41" t="n"/>
      <c r="BM46" s="41" t="n"/>
    </row>
    <row r="47">
      <c r="A47" s="645" t="inlineStr">
        <is>
          <t>EGEO DOLCE ILUSION</t>
        </is>
      </c>
      <c r="B47" s="625" t="n"/>
      <c r="C47" s="625" t="n"/>
      <c r="D47" s="641" t="n"/>
      <c r="F47" s="290" t="n">
        <v>50</v>
      </c>
      <c r="G47" s="366" t="n">
        <v>50</v>
      </c>
      <c r="H47" s="366" t="n">
        <v>50</v>
      </c>
      <c r="I47" s="366" t="n">
        <v>50</v>
      </c>
      <c r="J47" s="366" t="n">
        <v>46</v>
      </c>
      <c r="K47" s="366" t="n">
        <v>42</v>
      </c>
      <c r="L47" s="366" t="n">
        <v>45</v>
      </c>
      <c r="M47" s="366" t="n">
        <v>45</v>
      </c>
      <c r="N47" s="366" t="n">
        <v>45</v>
      </c>
      <c r="O47" s="366" t="n">
        <v>45</v>
      </c>
      <c r="P47" s="366" t="n">
        <v>45</v>
      </c>
      <c r="Q47" s="366" t="n">
        <v>45</v>
      </c>
      <c r="R47" s="366" t="n">
        <v>45</v>
      </c>
      <c r="S47" s="366" t="n">
        <v>45</v>
      </c>
      <c r="T47" s="366" t="n">
        <v>45</v>
      </c>
      <c r="U47" s="366" t="n">
        <v>0</v>
      </c>
      <c r="V47" s="366" t="n">
        <v>32</v>
      </c>
      <c r="W47" s="366" t="n">
        <v>32</v>
      </c>
      <c r="X47" s="366" t="n">
        <v>32</v>
      </c>
      <c r="Y47" s="366" t="n">
        <v>32</v>
      </c>
      <c r="Z47" s="366" t="n">
        <v>32</v>
      </c>
      <c r="AA47" s="366" t="n"/>
      <c r="AB47" s="646" t="n"/>
      <c r="AC47" s="646" t="n"/>
      <c r="AD47" s="646" t="n"/>
    </row>
    <row r="48">
      <c r="A48" s="645" t="n"/>
      <c r="B48" s="625" t="n"/>
      <c r="C48" s="625" t="n"/>
      <c r="D48" s="641" t="n"/>
      <c r="F48" s="290" t="n"/>
      <c r="G48" s="366" t="n"/>
      <c r="H48" s="366" t="n"/>
      <c r="I48" s="366" t="n"/>
      <c r="J48" s="366" t="n"/>
      <c r="K48" s="366" t="n"/>
      <c r="L48" s="366" t="n"/>
      <c r="M48" s="366" t="n"/>
      <c r="N48" s="366" t="n"/>
      <c r="O48" s="366" t="n"/>
      <c r="P48" s="366" t="n"/>
      <c r="Q48" s="366" t="n"/>
      <c r="R48" s="366" t="n"/>
      <c r="S48" s="366" t="n"/>
      <c r="T48" s="366" t="n"/>
      <c r="U48" s="366" t="n">
        <v>0</v>
      </c>
      <c r="V48" s="366" t="n">
        <v>37</v>
      </c>
      <c r="W48" s="366" t="n">
        <v>37</v>
      </c>
      <c r="X48" s="366" t="n">
        <v>37</v>
      </c>
      <c r="Y48" s="366" t="n">
        <v>37</v>
      </c>
      <c r="Z48" s="366" t="n">
        <v>37</v>
      </c>
      <c r="AA48" s="366" t="n"/>
      <c r="AB48" s="646" t="n"/>
      <c r="AC48" s="646" t="n"/>
      <c r="AD48" s="646" t="n"/>
    </row>
    <row r="49">
      <c r="AJ49" s="11" t="n"/>
      <c r="AK49" s="11" t="n"/>
      <c r="AL49" s="11" t="n"/>
      <c r="AM49" s="11" t="n"/>
      <c r="AN49" s="11" t="n"/>
      <c r="AO49" s="11" t="n"/>
      <c r="AP49" s="11" t="n"/>
      <c r="AQ49" s="11" t="n"/>
      <c r="AR49" s="11" t="n"/>
      <c r="AS49" s="11" t="n"/>
    </row>
  </sheetData>
  <mergeCells count="11">
    <mergeCell ref="A5:A6"/>
    <mergeCell ref="A45:D45"/>
    <mergeCell ref="AX7:BF7"/>
    <mergeCell ref="B3:D3"/>
    <mergeCell ref="A48:D48"/>
    <mergeCell ref="C5:C6"/>
    <mergeCell ref="A47:D47"/>
    <mergeCell ref="A46:D46"/>
    <mergeCell ref="B5:B6"/>
    <mergeCell ref="B2:D2"/>
    <mergeCell ref="D5:D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69" fitToHeight="0"/>
</worksheet>
</file>

<file path=xl/worksheets/sheet17.xml><?xml version="1.0" encoding="utf-8"?>
<worksheet xmlns="http://schemas.openxmlformats.org/spreadsheetml/2006/main">
  <sheetPr codeName="Planilha60">
    <tabColor theme="9"/>
    <outlinePr summaryBelow="1" summaryRight="1"/>
    <pageSetUpPr/>
  </sheetPr>
  <dimension ref="A1:FK49"/>
  <sheetViews>
    <sheetView showGridLines="0" zoomScale="80" zoomScaleNormal="80" zoomScalePageLayoutView="70" workbookViewId="0">
      <selection activeCell="AA14" activeCellId="1" sqref="AA8:AA11 AA14:AA17"/>
    </sheetView>
  </sheetViews>
  <sheetFormatPr baseColWidth="8" defaultColWidth="9.140625" defaultRowHeight="18.75"/>
  <cols>
    <col width="34" customWidth="1" style="62" min="1" max="1"/>
    <col width="8.7109375" customWidth="1" style="11" min="2" max="2"/>
    <col width="14.42578125" bestFit="1" customWidth="1" style="11" min="3" max="4"/>
    <col width="1.42578125" customWidth="1" style="11" min="5" max="5"/>
    <col hidden="1" width="9.28515625" customWidth="1" style="11" min="6" max="24"/>
    <col width="9.28515625" customWidth="1" style="11" min="25" max="26"/>
    <col width="9.7109375" customWidth="1" style="11" min="27" max="27"/>
    <col width="1.140625" customWidth="1" style="11" min="28" max="28"/>
    <col width="14.28515625" bestFit="1" customWidth="1" style="34" min="29" max="29"/>
    <col width="1.7109375" customWidth="1" style="34" min="30" max="30"/>
    <col width="15.85546875" bestFit="1" customWidth="1" style="34" min="31" max="31"/>
    <col width="2.140625" customWidth="1" style="11" min="32" max="32"/>
    <col width="8.7109375" customWidth="1" style="71" min="33" max="36"/>
    <col hidden="1" width="8.7109375" customWidth="1" style="71" min="37" max="47"/>
    <col width="9.140625" customWidth="1" style="11" min="48" max="48"/>
    <col width="21.85546875" bestFit="1" customWidth="1" style="11" min="49" max="49"/>
    <col width="9.140625" customWidth="1" style="11" min="50" max="50"/>
    <col hidden="1" width="13" customWidth="1" style="11" min="51" max="54"/>
    <col width="9.140625" customWidth="1" style="11" min="55" max="16384"/>
  </cols>
  <sheetData>
    <row r="1" ht="23.25" customHeight="1">
      <c r="A1" s="361" t="inlineStr">
        <is>
          <t>Controle de Contagem Semanal - Antilhas</t>
        </is>
      </c>
      <c r="B1" s="361" t="n"/>
      <c r="C1" s="361" t="n"/>
      <c r="D1" s="361" t="n"/>
      <c r="E1" s="361" t="n"/>
      <c r="F1" s="361" t="n"/>
      <c r="G1" s="361" t="n"/>
      <c r="H1" s="361" t="n"/>
      <c r="I1" s="361" t="n"/>
      <c r="J1" s="361" t="n"/>
      <c r="K1" s="361" t="n"/>
      <c r="L1" s="361" t="n"/>
      <c r="M1" s="361" t="n"/>
      <c r="N1" s="361" t="n"/>
      <c r="O1" s="361" t="n"/>
      <c r="P1" s="361" t="n"/>
      <c r="Q1" s="361" t="n"/>
      <c r="R1" s="361" t="n"/>
      <c r="S1" s="361" t="n"/>
      <c r="T1" s="361" t="n"/>
      <c r="U1" s="361" t="n"/>
      <c r="V1" s="361" t="n"/>
      <c r="W1" s="361" t="n"/>
      <c r="X1" s="361" t="n"/>
      <c r="Y1" s="361" t="n"/>
      <c r="Z1" s="361" t="n"/>
      <c r="AA1" s="361" t="n"/>
      <c r="AB1" s="361" t="n"/>
      <c r="AC1" s="361" t="n"/>
      <c r="AD1" s="361" t="n"/>
      <c r="AE1" s="361" t="n"/>
      <c r="AF1" s="361" t="n"/>
      <c r="AG1" s="361" t="n"/>
      <c r="AH1" s="361" t="n"/>
      <c r="AI1" s="361" t="n"/>
      <c r="AJ1" s="361" t="n"/>
      <c r="AK1" s="361" t="n"/>
      <c r="AL1" s="361" t="n"/>
      <c r="AM1" s="361" t="n"/>
      <c r="AN1" s="361" t="n"/>
      <c r="AO1" s="361" t="n"/>
      <c r="AP1" s="361" t="n"/>
      <c r="AQ1" s="361" t="n"/>
      <c r="AR1" s="361" t="n"/>
      <c r="AS1" s="361" t="n"/>
      <c r="AT1" s="361" t="n"/>
      <c r="AU1" s="361" t="n"/>
    </row>
    <row r="2">
      <c r="A2" s="63" t="inlineStr">
        <is>
          <t>LOJA:</t>
        </is>
      </c>
      <c r="B2" s="604" t="inlineStr">
        <is>
          <t>CONFIANÇA</t>
        </is>
      </c>
      <c r="C2" s="605" t="n"/>
      <c r="D2" s="606" t="n"/>
      <c r="AC2" s="11" t="n"/>
      <c r="AD2" s="11" t="n"/>
      <c r="AE2" s="11" t="n"/>
    </row>
    <row r="3">
      <c r="A3" s="63" t="inlineStr">
        <is>
          <t>Responsável:</t>
        </is>
      </c>
      <c r="B3" s="607" t="inlineStr">
        <is>
          <t>TAMIRES / MARINA</t>
        </is>
      </c>
      <c r="C3" s="605" t="n"/>
      <c r="D3" s="606" t="n"/>
      <c r="E3" s="608" t="n"/>
      <c r="F3" s="608" t="n"/>
      <c r="G3" s="608" t="n"/>
      <c r="H3" s="608" t="n"/>
      <c r="I3" s="608" t="n"/>
      <c r="J3" s="608" t="n"/>
      <c r="K3" s="608" t="n"/>
      <c r="L3" s="608" t="n"/>
      <c r="M3" s="608" t="n"/>
      <c r="N3" s="608" t="n"/>
      <c r="O3" s="608" t="n"/>
      <c r="P3" s="608" t="n"/>
      <c r="Q3" s="608" t="n"/>
      <c r="R3" s="608" t="n"/>
      <c r="S3" s="608" t="n"/>
      <c r="T3" s="608" t="n"/>
      <c r="U3" s="608" t="n"/>
      <c r="V3" s="608" t="n"/>
      <c r="W3" s="608" t="n"/>
      <c r="X3" s="608" t="n"/>
      <c r="Y3" s="608" t="n"/>
      <c r="Z3" s="608" t="n"/>
      <c r="AA3" s="608" t="n"/>
      <c r="AB3" s="608" t="n"/>
      <c r="AC3" s="11" t="n"/>
      <c r="AD3" s="608" t="n"/>
    </row>
    <row r="4">
      <c r="AD4" s="11" t="n"/>
      <c r="AE4" s="11" t="n"/>
      <c r="AF4" s="34" t="n"/>
      <c r="AG4" s="395" t="n"/>
      <c r="AH4" s="395" t="n"/>
      <c r="AI4" s="395" t="n"/>
      <c r="AJ4" s="395" t="n"/>
      <c r="AK4" s="395" t="n"/>
      <c r="AL4" s="395" t="n"/>
      <c r="AM4" s="395" t="n"/>
      <c r="AN4" s="395" t="n"/>
      <c r="AO4" s="395" t="n"/>
      <c r="AP4" s="395" t="n"/>
      <c r="AQ4" s="395" t="n"/>
      <c r="AR4" s="395" t="n"/>
      <c r="AS4" s="395" t="n"/>
      <c r="AT4" s="395" t="n"/>
      <c r="AU4" s="395" t="n"/>
    </row>
    <row r="5" ht="18.75" customHeight="1">
      <c r="A5" s="647" t="inlineStr">
        <is>
          <t>Descrição</t>
        </is>
      </c>
      <c r="B5" s="611" t="inlineStr">
        <is>
          <t>PCT</t>
        </is>
      </c>
      <c r="C5" s="611" t="inlineStr">
        <is>
          <t xml:space="preserve">R$ </t>
        </is>
      </c>
      <c r="D5" s="612" t="inlineStr">
        <is>
          <t>Estoque Ideal</t>
        </is>
      </c>
      <c r="F5" s="40" t="n"/>
      <c r="G5" s="40" t="n"/>
      <c r="H5" s="40" t="n"/>
      <c r="I5" s="40" t="n"/>
      <c r="J5" s="40" t="n"/>
      <c r="K5" s="40" t="n"/>
      <c r="L5" s="40" t="n"/>
      <c r="M5" s="40" t="n"/>
      <c r="N5" s="40" t="n"/>
      <c r="O5" s="40" t="n"/>
      <c r="P5" s="40" t="n"/>
      <c r="Q5" s="40" t="n"/>
      <c r="R5" s="40" t="n"/>
      <c r="S5" s="40" t="n"/>
      <c r="T5" s="40" t="n"/>
      <c r="U5" s="40" t="n"/>
      <c r="V5" s="40" t="n"/>
      <c r="W5" s="40" t="n"/>
      <c r="X5" s="40" t="n"/>
      <c r="Y5" s="40" t="n"/>
      <c r="Z5" s="40" t="n"/>
      <c r="AA5" s="40" t="n"/>
      <c r="AB5" s="117" t="n"/>
      <c r="AC5" s="29" t="inlineStr">
        <is>
          <t>Pendências</t>
        </is>
      </c>
      <c r="AD5" s="11" t="n"/>
      <c r="AE5" s="9" t="inlineStr">
        <is>
          <t>Novo Pedido</t>
        </is>
      </c>
      <c r="AG5" s="614" t="n"/>
      <c r="AH5" s="614" t="n">
        <v>46114</v>
      </c>
      <c r="AI5" s="616" t="n">
        <v>46065</v>
      </c>
      <c r="AJ5" s="614" t="n">
        <v>46107</v>
      </c>
      <c r="AK5" s="614" t="n">
        <v>46099</v>
      </c>
      <c r="AL5" s="614" t="n">
        <v>46092</v>
      </c>
      <c r="AM5" s="614" t="n">
        <v>46077</v>
      </c>
      <c r="AN5" s="614" t="n">
        <v>46071</v>
      </c>
      <c r="AO5" s="614" t="n">
        <v>46048</v>
      </c>
      <c r="AP5" s="614" t="n">
        <v>46043</v>
      </c>
      <c r="AQ5" s="614" t="n">
        <v>46035</v>
      </c>
      <c r="AR5" s="614" t="n">
        <v>46017</v>
      </c>
      <c r="AS5" s="614" t="n">
        <v>46007</v>
      </c>
      <c r="AT5" s="614" t="n">
        <v>45994</v>
      </c>
      <c r="AU5" s="614" t="n">
        <v>45965</v>
      </c>
    </row>
    <row r="6" ht="19.5" customFormat="1" customHeight="1" s="3">
      <c r="A6" s="618" t="n"/>
      <c r="B6" s="618" t="n"/>
      <c r="C6" s="618" t="n"/>
      <c r="D6" s="618" t="n"/>
      <c r="E6" s="30" t="n"/>
      <c r="F6" s="619" t="n">
        <v>46013</v>
      </c>
      <c r="G6" s="619" t="n">
        <v>46020</v>
      </c>
      <c r="H6" s="619" t="n">
        <v>46027</v>
      </c>
      <c r="I6" s="619" t="n">
        <v>46034</v>
      </c>
      <c r="J6" s="619" t="n">
        <v>46041</v>
      </c>
      <c r="K6" s="619" t="n">
        <v>46048</v>
      </c>
      <c r="L6" s="619" t="n">
        <v>46055</v>
      </c>
      <c r="M6" s="619" t="n">
        <v>46062</v>
      </c>
      <c r="N6" s="619" t="n">
        <v>46069</v>
      </c>
      <c r="O6" s="619" t="n">
        <v>46076</v>
      </c>
      <c r="P6" s="619" t="n">
        <v>46083</v>
      </c>
      <c r="Q6" s="619" t="n">
        <v>46090</v>
      </c>
      <c r="R6" s="619" t="n">
        <v>46097</v>
      </c>
      <c r="S6" s="619" t="n">
        <v>46104</v>
      </c>
      <c r="T6" s="619" t="n">
        <v>46111</v>
      </c>
      <c r="U6" s="619" t="n">
        <v>46118</v>
      </c>
      <c r="V6" s="619" t="n">
        <v>46125</v>
      </c>
      <c r="W6" s="619" t="n">
        <v>46132</v>
      </c>
      <c r="X6" s="619" t="n">
        <v>46139</v>
      </c>
      <c r="Y6" s="619" t="n">
        <v>46146</v>
      </c>
      <c r="Z6" s="619" t="n">
        <v>46154</v>
      </c>
      <c r="AA6" s="621" t="inlineStr">
        <is>
          <t>USOU</t>
        </is>
      </c>
      <c r="AB6" s="648" t="n"/>
      <c r="AC6" s="622" t="n"/>
      <c r="AD6" s="623" t="n"/>
      <c r="AE6" s="624" t="n">
        <v>46155</v>
      </c>
      <c r="AF6" s="623" t="n"/>
      <c r="AG6" s="614" t="n"/>
      <c r="AH6" s="614" t="n">
        <v>46125</v>
      </c>
      <c r="AI6" s="616" t="n">
        <v>46112</v>
      </c>
      <c r="AJ6" s="614" t="n">
        <v>46112</v>
      </c>
      <c r="AK6" s="614" t="n">
        <v>46106</v>
      </c>
      <c r="AL6" s="614" t="n">
        <v>46100</v>
      </c>
      <c r="AM6" s="614" t="n">
        <v>46084</v>
      </c>
      <c r="AN6" s="614" t="n">
        <v>46077</v>
      </c>
      <c r="AO6" s="614" t="n">
        <v>46056</v>
      </c>
      <c r="AP6" s="614" t="n">
        <v>46049</v>
      </c>
      <c r="AQ6" s="614" t="n">
        <v>46038</v>
      </c>
      <c r="AR6" s="614" t="n">
        <v>46028</v>
      </c>
      <c r="AS6" s="614" t="n">
        <v>46014</v>
      </c>
      <c r="AT6" s="614" t="n">
        <v>46010</v>
      </c>
      <c r="AU6" s="614" t="n">
        <v>45975</v>
      </c>
      <c r="AW6" s="11" t="n"/>
      <c r="AX6" s="11" t="n"/>
      <c r="AY6" s="11" t="n"/>
      <c r="AZ6" s="11" t="n"/>
      <c r="BA6" s="11" t="n"/>
      <c r="BB6" s="11" t="n"/>
      <c r="BC6" s="11" t="n"/>
      <c r="BD6" s="11" t="n"/>
      <c r="BE6" s="11" t="n"/>
    </row>
    <row r="7" ht="21.75" customFormat="1" customHeight="1" s="3">
      <c r="A7" s="68" t="inlineStr">
        <is>
          <t xml:space="preserve">SACOLAS </t>
        </is>
      </c>
      <c r="B7" s="5" t="n"/>
      <c r="C7" s="5" t="n"/>
      <c r="D7" s="239" t="n"/>
      <c r="E7" s="11" t="n"/>
      <c r="F7" s="12" t="n"/>
      <c r="G7" s="12" t="n"/>
      <c r="H7" s="12" t="n"/>
      <c r="I7" s="12" t="n"/>
      <c r="J7" s="12" t="n"/>
      <c r="K7" s="12" t="n"/>
      <c r="L7" s="12" t="n"/>
      <c r="M7" s="12" t="n"/>
      <c r="N7" s="12" t="n"/>
      <c r="O7" s="12" t="n"/>
      <c r="P7" s="12" t="n"/>
      <c r="Q7" s="12" t="n"/>
      <c r="R7" s="12" t="n"/>
      <c r="S7" s="12" t="n"/>
      <c r="T7" s="12" t="n"/>
      <c r="U7" s="12" t="n"/>
      <c r="V7" s="12" t="n"/>
      <c r="W7" s="12" t="n"/>
      <c r="X7" s="12" t="n"/>
      <c r="Y7" s="12" t="n"/>
      <c r="Z7" s="12" t="n"/>
      <c r="AA7" s="12" t="n"/>
      <c r="AB7" s="349" t="n"/>
      <c r="AC7" s="85" t="n"/>
      <c r="AE7" s="136" t="n"/>
      <c r="AF7" s="11" t="n"/>
      <c r="AG7" s="12" t="n"/>
      <c r="AH7" s="12" t="n"/>
      <c r="AI7" s="12" t="inlineStr">
        <is>
          <t>MÃES</t>
        </is>
      </c>
      <c r="AJ7" s="12" t="n"/>
      <c r="AK7" s="12" t="n"/>
      <c r="AL7" s="12" t="n"/>
      <c r="AM7" s="12" t="n"/>
      <c r="AN7" s="12" t="n"/>
      <c r="AO7" s="12" t="n"/>
      <c r="AP7" s="12" t="n"/>
      <c r="AQ7" s="12" t="n"/>
      <c r="AR7" s="12" t="n"/>
      <c r="AS7" s="12" t="n"/>
      <c r="AT7" s="12" t="n"/>
      <c r="AU7" s="12" t="n"/>
      <c r="AW7" s="384" t="inlineStr">
        <is>
          <t>MÃES 2026</t>
        </is>
      </c>
      <c r="AX7" s="625" t="n"/>
      <c r="AY7" s="625" t="n"/>
      <c r="AZ7" s="625" t="n"/>
      <c r="BA7" s="625" t="n"/>
      <c r="BB7" s="625" t="n"/>
      <c r="BC7" s="625" t="n"/>
      <c r="BD7" s="625" t="n"/>
      <c r="BE7" s="641" t="n"/>
    </row>
    <row r="8" customFormat="1" s="3">
      <c r="A8" s="21" t="inlineStr">
        <is>
          <t>SACOLA PP VERDE</t>
        </is>
      </c>
      <c r="B8" s="6" t="n">
        <v>300</v>
      </c>
      <c r="C8" s="627" t="n">
        <v>187.12</v>
      </c>
      <c r="D8" s="240" t="n">
        <v>200</v>
      </c>
      <c r="E8" s="11" t="n"/>
      <c r="F8" s="39">
        <f>160+AS8</f>
        <v/>
      </c>
      <c r="G8" s="39" t="n">
        <v>435</v>
      </c>
      <c r="H8" s="39" t="n">
        <v>335</v>
      </c>
      <c r="I8" s="39" t="n">
        <v>300</v>
      </c>
      <c r="J8" s="39" t="n">
        <v>183</v>
      </c>
      <c r="K8" s="39">
        <f>300+AP8</f>
        <v/>
      </c>
      <c r="L8" s="39" t="n">
        <v>600</v>
      </c>
      <c r="M8" s="39" t="n">
        <v>600</v>
      </c>
      <c r="N8" s="39" t="n">
        <v>600</v>
      </c>
      <c r="O8" s="39" t="n">
        <v>600</v>
      </c>
      <c r="P8" s="39" t="n">
        <v>300</v>
      </c>
      <c r="Q8" s="39" t="n">
        <v>300</v>
      </c>
      <c r="R8" s="39" t="n">
        <v>300</v>
      </c>
      <c r="S8" s="39" t="n">
        <v>300</v>
      </c>
      <c r="T8" s="39" t="n">
        <v>300</v>
      </c>
      <c r="U8" s="39" t="n">
        <v>300</v>
      </c>
      <c r="V8" s="39" t="n">
        <v>300</v>
      </c>
      <c r="W8" s="39" t="n">
        <v>300</v>
      </c>
      <c r="X8" s="39" t="n">
        <v>240</v>
      </c>
      <c r="Y8" s="39" t="n">
        <v>240</v>
      </c>
      <c r="Z8" s="39" t="n">
        <v>240</v>
      </c>
      <c r="AA8" s="380">
        <f>Y8+IF(NOT(ISBLANK(OFFSET(AA8,0,6))),N(OFFSET(AA8,0,6)),N(OFFSET(AA8,0,7)))-Z8</f>
        <v/>
      </c>
      <c r="AB8" s="2" t="n"/>
      <c r="AC8" s="78" t="n"/>
      <c r="AE8" s="32" t="n"/>
      <c r="AF8" s="11" t="n"/>
      <c r="AG8" s="19" t="n">
        <v>0</v>
      </c>
      <c r="AH8" s="19" t="n"/>
      <c r="AI8" s="19" t="n"/>
      <c r="AJ8" s="19" t="n"/>
      <c r="AK8" s="19" t="n"/>
      <c r="AL8" s="19" t="n"/>
      <c r="AM8" s="19" t="n"/>
      <c r="AN8" s="19" t="n"/>
      <c r="AO8" s="19" t="n"/>
      <c r="AP8" s="19" t="n">
        <v>300</v>
      </c>
      <c r="AQ8" s="19" t="n"/>
      <c r="AR8" s="19" t="n"/>
      <c r="AS8" s="19" t="n">
        <v>300</v>
      </c>
      <c r="AT8" s="19" t="n"/>
      <c r="AU8" s="19" t="n"/>
      <c r="AW8" s="397" t="inlineStr">
        <is>
          <t xml:space="preserve">SACOLAS </t>
        </is>
      </c>
      <c r="AX8" s="384" t="inlineStr">
        <is>
          <t>PCT</t>
        </is>
      </c>
      <c r="AY8" s="619" t="n">
        <v>46118</v>
      </c>
      <c r="AZ8" s="619" t="n">
        <v>46125</v>
      </c>
      <c r="BA8" s="619" t="n">
        <v>46132</v>
      </c>
      <c r="BB8" s="619" t="n">
        <v>46139</v>
      </c>
      <c r="BC8" s="619" t="n">
        <v>46146</v>
      </c>
      <c r="BD8" s="619" t="n">
        <v>46154</v>
      </c>
      <c r="BE8" s="621" t="inlineStr">
        <is>
          <t>USOU</t>
        </is>
      </c>
    </row>
    <row r="9" ht="18" customFormat="1" customHeight="1" s="3">
      <c r="A9" s="21" t="inlineStr">
        <is>
          <t xml:space="preserve">SACOLA P VERDE </t>
        </is>
      </c>
      <c r="B9" s="6" t="n">
        <v>200</v>
      </c>
      <c r="C9" s="627" t="n">
        <v>193.08</v>
      </c>
      <c r="D9" s="240" t="n">
        <v>500</v>
      </c>
      <c r="E9" s="11" t="n"/>
      <c r="F9" s="39">
        <f>200+AS9</f>
        <v/>
      </c>
      <c r="G9" s="39" t="n">
        <v>400</v>
      </c>
      <c r="H9" s="39">
        <f>200+AR9</f>
        <v/>
      </c>
      <c r="I9" s="39" t="n">
        <v>400</v>
      </c>
      <c r="J9" s="39" t="n">
        <v>400</v>
      </c>
      <c r="K9" s="39" t="n">
        <v>350</v>
      </c>
      <c r="L9" s="39">
        <f>350+AO9</f>
        <v/>
      </c>
      <c r="M9" s="39" t="n">
        <v>800</v>
      </c>
      <c r="N9" s="39" t="n">
        <v>600</v>
      </c>
      <c r="O9" s="39">
        <f>400+AN9</f>
        <v/>
      </c>
      <c r="P9" s="39" t="n">
        <v>400</v>
      </c>
      <c r="Q9" s="39" t="n">
        <v>400</v>
      </c>
      <c r="R9" s="39" t="n">
        <v>200</v>
      </c>
      <c r="S9" s="39">
        <f>0+AK9</f>
        <v/>
      </c>
      <c r="T9" s="39">
        <f>200+AJ9</f>
        <v/>
      </c>
      <c r="U9" s="39" t="n">
        <v>600</v>
      </c>
      <c r="V9" s="39" t="n">
        <v>600</v>
      </c>
      <c r="W9" s="39" t="n">
        <v>600</v>
      </c>
      <c r="X9" s="39" t="n">
        <v>600</v>
      </c>
      <c r="Y9" s="39" t="n">
        <v>600</v>
      </c>
      <c r="Z9" s="39" t="n">
        <v>400</v>
      </c>
      <c r="AA9" s="380">
        <f>Y9+IF(NOT(ISBLANK(OFFSET(AA9,0,6))),N(OFFSET(AA9,0,6)),N(OFFSET(AA9,0,7)))-Z9</f>
        <v/>
      </c>
      <c r="AB9" s="2" t="n"/>
      <c r="AC9" s="78" t="n"/>
      <c r="AE9" s="32" t="n"/>
      <c r="AF9" s="11" t="n"/>
      <c r="AG9" s="19" t="n">
        <v>0</v>
      </c>
      <c r="AH9" s="19" t="n">
        <v>200</v>
      </c>
      <c r="AI9" s="119" t="n">
        <v>400</v>
      </c>
      <c r="AJ9" s="19" t="n">
        <v>200</v>
      </c>
      <c r="AK9" s="19" t="n">
        <v>400</v>
      </c>
      <c r="AL9" s="19" t="n"/>
      <c r="AM9" s="19" t="n"/>
      <c r="AN9" s="19" t="n">
        <v>200</v>
      </c>
      <c r="AO9" s="19" t="n">
        <v>600</v>
      </c>
      <c r="AP9" s="19" t="n"/>
      <c r="AQ9" s="19" t="n">
        <v>200</v>
      </c>
      <c r="AR9" s="19" t="n">
        <v>400</v>
      </c>
      <c r="AS9" s="19" t="n">
        <v>400</v>
      </c>
      <c r="AT9" s="19" t="n">
        <v>400</v>
      </c>
      <c r="AU9" s="19" t="n">
        <v>200</v>
      </c>
      <c r="AW9" s="372" t="inlineStr">
        <is>
          <t xml:space="preserve">SACOLA P </t>
        </is>
      </c>
      <c r="AX9" s="139" t="n">
        <v>200</v>
      </c>
      <c r="AY9" s="39">
        <f>AI9</f>
        <v/>
      </c>
      <c r="AZ9" s="39" t="n">
        <v>400</v>
      </c>
      <c r="BA9" s="39" t="n">
        <v>200</v>
      </c>
      <c r="BB9" s="39" t="n">
        <v>120</v>
      </c>
      <c r="BC9" s="39" t="n">
        <v>120</v>
      </c>
      <c r="BD9" s="39" t="n">
        <v>120</v>
      </c>
      <c r="BE9" s="26">
        <f>BC9+IF(NOT(ISBLANK(OFFSET(BE9,0,6))),N(OFFSET(BE9,0,6)),N(OFFSET(BE9,0,7)))-BD9</f>
        <v/>
      </c>
    </row>
    <row r="10" customFormat="1" s="3">
      <c r="A10" s="21" t="inlineStr">
        <is>
          <t>SACOLA M VERDE</t>
        </is>
      </c>
      <c r="B10" s="6" t="n">
        <v>200</v>
      </c>
      <c r="C10" s="627" t="n">
        <v>253.83</v>
      </c>
      <c r="D10" s="240" t="n">
        <v>350</v>
      </c>
      <c r="E10" s="11" t="n"/>
      <c r="F10" s="39" t="n">
        <v>400</v>
      </c>
      <c r="G10" s="39" t="n">
        <v>200</v>
      </c>
      <c r="H10" s="39">
        <f>200+AR10</f>
        <v/>
      </c>
      <c r="I10" s="39" t="n">
        <v>400</v>
      </c>
      <c r="J10" s="39" t="n">
        <v>200</v>
      </c>
      <c r="K10" s="39">
        <f>200+AP10</f>
        <v/>
      </c>
      <c r="L10" s="39" t="n">
        <v>400</v>
      </c>
      <c r="M10" s="39" t="n">
        <v>400</v>
      </c>
      <c r="N10" s="39" t="n">
        <v>400</v>
      </c>
      <c r="O10" s="39" t="n">
        <v>400</v>
      </c>
      <c r="P10" s="39" t="n">
        <v>400</v>
      </c>
      <c r="Q10" s="39" t="n">
        <v>200</v>
      </c>
      <c r="R10" s="39" t="n">
        <v>200</v>
      </c>
      <c r="S10" s="39" t="n">
        <v>0</v>
      </c>
      <c r="T10" s="39">
        <f>0+AJ10</f>
        <v/>
      </c>
      <c r="U10" s="39" t="n">
        <v>600</v>
      </c>
      <c r="V10" s="39" t="n">
        <v>600</v>
      </c>
      <c r="W10" s="39" t="n">
        <v>600</v>
      </c>
      <c r="X10" s="39" t="n">
        <v>600</v>
      </c>
      <c r="Y10" s="39" t="n">
        <v>600</v>
      </c>
      <c r="Z10" s="39" t="n">
        <v>400</v>
      </c>
      <c r="AA10" s="380">
        <f>Y10+IF(NOT(ISBLANK(OFFSET(AA10,0,6))),N(OFFSET(AA10,0,6)),N(OFFSET(AA10,0,7)))-Z10</f>
        <v/>
      </c>
      <c r="AB10" s="2" t="n"/>
      <c r="AC10" s="78" t="n"/>
      <c r="AD10" s="2" t="n"/>
      <c r="AE10" s="32" t="n"/>
      <c r="AF10" s="11" t="n"/>
      <c r="AG10" s="19" t="n">
        <v>0</v>
      </c>
      <c r="AH10" s="19" t="n"/>
      <c r="AI10" s="119" t="n">
        <v>400</v>
      </c>
      <c r="AJ10" s="19" t="n">
        <v>400</v>
      </c>
      <c r="AK10" s="19" t="n"/>
      <c r="AL10" s="19" t="n"/>
      <c r="AM10" s="19" t="n"/>
      <c r="AN10" s="19" t="n"/>
      <c r="AO10" s="19" t="n"/>
      <c r="AP10" s="19" t="n">
        <v>200</v>
      </c>
      <c r="AQ10" s="19" t="n"/>
      <c r="AR10" s="19" t="n">
        <v>200</v>
      </c>
      <c r="AS10" s="19" t="n"/>
      <c r="AT10" s="19" t="n"/>
      <c r="AU10" s="19" t="n"/>
      <c r="AW10" s="21" t="inlineStr">
        <is>
          <t xml:space="preserve">SACOLA M </t>
        </is>
      </c>
      <c r="AX10" s="6" t="n">
        <v>200</v>
      </c>
      <c r="AY10" s="39">
        <f>AI10</f>
        <v/>
      </c>
      <c r="AZ10" s="39" t="n">
        <v>400</v>
      </c>
      <c r="BA10" s="39" t="n">
        <v>400</v>
      </c>
      <c r="BB10" s="39" t="n">
        <v>350</v>
      </c>
      <c r="BC10" s="39" t="n">
        <v>350</v>
      </c>
      <c r="BD10" s="39" t="n">
        <v>150</v>
      </c>
      <c r="BE10" s="26">
        <f>BC10+IF(NOT(ISBLANK(OFFSET(BE10,0,6))),N(OFFSET(BE10,0,6)),N(OFFSET(BE10,0,7)))-BD10</f>
        <v/>
      </c>
    </row>
    <row r="11" customFormat="1" s="3">
      <c r="A11" s="22" t="inlineStr">
        <is>
          <t xml:space="preserve">SACOLA G VERDE </t>
        </is>
      </c>
      <c r="B11" s="6" t="n">
        <v>100</v>
      </c>
      <c r="C11" s="627" t="n">
        <v>184.57</v>
      </c>
      <c r="D11" s="240" t="n">
        <v>20</v>
      </c>
      <c r="E11" s="11" t="n"/>
      <c r="F11" s="39" t="n">
        <v>32</v>
      </c>
      <c r="G11" s="39" t="n">
        <v>32</v>
      </c>
      <c r="H11" s="39" t="n">
        <v>32</v>
      </c>
      <c r="I11" s="39" t="n">
        <v>32</v>
      </c>
      <c r="J11" s="39" t="n">
        <v>32</v>
      </c>
      <c r="K11" s="39" t="n">
        <v>32</v>
      </c>
      <c r="L11" s="39" t="n">
        <v>0</v>
      </c>
      <c r="M11" s="39" t="n">
        <v>0</v>
      </c>
      <c r="N11" s="39" t="n">
        <v>0</v>
      </c>
      <c r="O11" s="39" t="n">
        <v>0</v>
      </c>
      <c r="P11" s="39" t="n">
        <v>0</v>
      </c>
      <c r="Q11" s="39" t="n">
        <v>0</v>
      </c>
      <c r="R11" s="39" t="n">
        <v>0</v>
      </c>
      <c r="S11" s="39" t="n">
        <v>0</v>
      </c>
      <c r="T11" s="39" t="n">
        <v>0</v>
      </c>
      <c r="U11" s="39" t="n">
        <v>0</v>
      </c>
      <c r="V11" s="39" t="n">
        <v>0</v>
      </c>
      <c r="W11" s="39" t="n">
        <v>0</v>
      </c>
      <c r="X11" s="39" t="n">
        <v>0</v>
      </c>
      <c r="Y11" s="39" t="n">
        <v>0</v>
      </c>
      <c r="Z11" s="39" t="n">
        <v>0</v>
      </c>
      <c r="AA11" s="380">
        <f>Y11+IF(NOT(ISBLANK(OFFSET(AA11,0,6))),N(OFFSET(AA11,0,6)),N(OFFSET(AA11,0,7)))-Z11</f>
        <v/>
      </c>
      <c r="AB11" s="2" t="n"/>
      <c r="AC11" s="78" t="n"/>
      <c r="AD11" s="2" t="n"/>
      <c r="AE11" s="32" t="n"/>
      <c r="AF11" s="11" t="n"/>
      <c r="AG11" s="19" t="n">
        <v>0</v>
      </c>
      <c r="AH11" s="19" t="n"/>
      <c r="AI11" s="1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W11" s="22" t="inlineStr">
        <is>
          <t xml:space="preserve">SACOLA G </t>
        </is>
      </c>
      <c r="AX11" s="6" t="n">
        <v>100</v>
      </c>
      <c r="AY11" s="39" t="n">
        <v>0</v>
      </c>
      <c r="AZ11" s="39" t="n">
        <v>50</v>
      </c>
      <c r="BA11" s="39" t="n">
        <v>50</v>
      </c>
      <c r="BB11" s="39" t="n">
        <v>49</v>
      </c>
      <c r="BC11" s="39" t="n">
        <v>49</v>
      </c>
      <c r="BD11" s="39" t="n">
        <v>49</v>
      </c>
      <c r="BE11" s="26">
        <f>BC11+IF(NOT(ISBLANK(OFFSET(BE11,0,6))),N(OFFSET(BE11,0,6)),N(OFFSET(BE11,0,7)))-BD11</f>
        <v/>
      </c>
    </row>
    <row r="12" ht="16.5" customFormat="1" customHeight="1" s="3">
      <c r="A12" s="23" t="n"/>
      <c r="B12" s="1" t="n"/>
      <c r="C12" s="630" t="n"/>
      <c r="D12" s="277" t="n"/>
      <c r="E12" s="11" t="n"/>
      <c r="F12" s="2" t="n"/>
      <c r="G12" s="2" t="n"/>
      <c r="H12" s="2" t="n"/>
      <c r="I12" s="2" t="n"/>
      <c r="J12" s="2" t="n"/>
      <c r="K12" s="2" t="n"/>
      <c r="L12" s="2" t="n"/>
      <c r="M12" s="2" t="n"/>
      <c r="N12" s="2" t="n"/>
      <c r="O12" s="2" t="n"/>
      <c r="P12" s="2" t="n"/>
      <c r="Q12" s="2" t="n"/>
      <c r="R12" s="2" t="n"/>
      <c r="S12" s="2" t="n"/>
      <c r="T12" s="2" t="n"/>
      <c r="U12" s="2" t="n"/>
      <c r="V12" s="2" t="n"/>
      <c r="W12" s="2" t="n"/>
      <c r="X12" s="2" t="n"/>
      <c r="Y12" s="2" t="n"/>
      <c r="Z12" s="2" t="n"/>
      <c r="AA12" s="2" t="n"/>
      <c r="AB12" s="2" t="n"/>
      <c r="AC12" s="350" t="n"/>
      <c r="AD12" s="2" t="n"/>
      <c r="AE12" s="33" t="n"/>
      <c r="AF12" s="11" t="n"/>
      <c r="AG12" s="75" t="n"/>
      <c r="AH12" s="75" t="n"/>
      <c r="AI12" s="75" t="n"/>
      <c r="AJ12" s="75" t="n"/>
      <c r="AK12" s="75" t="n"/>
      <c r="AL12" s="75" t="n"/>
      <c r="AM12" s="75" t="n"/>
      <c r="AN12" s="75" t="n"/>
      <c r="AO12" s="75" t="n"/>
      <c r="AP12" s="75" t="n"/>
      <c r="AQ12" s="75" t="n"/>
      <c r="AR12" s="75" t="n"/>
      <c r="AS12" s="75" t="n"/>
      <c r="AT12" s="75" t="n"/>
      <c r="AU12" s="75" t="n"/>
      <c r="AW12" s="23" t="n"/>
      <c r="AX12" s="1" t="n"/>
      <c r="AY12" s="2" t="n"/>
      <c r="AZ12" s="2" t="n"/>
      <c r="BA12" s="2" t="n"/>
      <c r="BB12" s="2" t="n"/>
      <c r="BC12" s="2" t="n"/>
      <c r="BD12" s="2" t="n"/>
    </row>
    <row r="13" customFormat="1" s="3">
      <c r="A13" s="548" t="inlineStr">
        <is>
          <t>DIVERSOS</t>
        </is>
      </c>
      <c r="B13" s="12" t="n"/>
      <c r="C13" s="631" t="n"/>
      <c r="D13" s="403" t="n"/>
      <c r="E13" s="608" t="n"/>
      <c r="F13" s="619" t="n">
        <v>46013</v>
      </c>
      <c r="G13" s="619" t="n">
        <v>46020</v>
      </c>
      <c r="H13" s="619" t="n">
        <v>46027</v>
      </c>
      <c r="I13" s="619" t="n">
        <v>46034</v>
      </c>
      <c r="J13" s="619" t="n">
        <v>46041</v>
      </c>
      <c r="K13" s="619" t="n">
        <v>46048</v>
      </c>
      <c r="L13" s="619" t="n">
        <v>46055</v>
      </c>
      <c r="M13" s="619" t="n">
        <v>46062</v>
      </c>
      <c r="N13" s="619" t="n">
        <v>46069</v>
      </c>
      <c r="O13" s="619" t="n">
        <v>46076</v>
      </c>
      <c r="P13" s="619" t="n">
        <v>46083</v>
      </c>
      <c r="Q13" s="619" t="n">
        <v>46090</v>
      </c>
      <c r="R13" s="619" t="n">
        <v>46097</v>
      </c>
      <c r="S13" s="619" t="n">
        <v>46104</v>
      </c>
      <c r="T13" s="619" t="n">
        <v>46111</v>
      </c>
      <c r="U13" s="619" t="n">
        <v>46118</v>
      </c>
      <c r="V13" s="619" t="n">
        <v>46125</v>
      </c>
      <c r="W13" s="619" t="n">
        <v>46132</v>
      </c>
      <c r="X13" s="619" t="n">
        <v>46139</v>
      </c>
      <c r="Y13" s="619" t="n">
        <v>46146</v>
      </c>
      <c r="Z13" s="619" t="n">
        <v>46154</v>
      </c>
      <c r="AA13" s="621" t="inlineStr">
        <is>
          <t>USOU</t>
        </is>
      </c>
      <c r="AB13" s="648" t="n"/>
      <c r="AC13" s="29" t="inlineStr">
        <is>
          <t>Pendências</t>
        </is>
      </c>
      <c r="AD13" s="11" t="n"/>
      <c r="AE13" s="9" t="inlineStr">
        <is>
          <t>Novo Pedido</t>
        </is>
      </c>
      <c r="AF13" s="608" t="n"/>
      <c r="AG13" s="614" t="n"/>
      <c r="AH13" s="614" t="n">
        <v>46114</v>
      </c>
      <c r="AI13" s="616" t="n">
        <v>46065</v>
      </c>
      <c r="AJ13" s="614" t="n">
        <v>46107</v>
      </c>
      <c r="AK13" s="614" t="n">
        <v>46099</v>
      </c>
      <c r="AL13" s="614" t="n">
        <v>46092</v>
      </c>
      <c r="AM13" s="614" t="n">
        <v>46077</v>
      </c>
      <c r="AN13" s="614" t="n">
        <v>46071</v>
      </c>
      <c r="AO13" s="614" t="n">
        <v>46048</v>
      </c>
      <c r="AP13" s="614" t="n">
        <v>46043</v>
      </c>
      <c r="AQ13" s="614" t="n">
        <v>46035</v>
      </c>
      <c r="AR13" s="614" t="n">
        <v>46017</v>
      </c>
      <c r="AS13" s="614" t="n">
        <v>46007</v>
      </c>
      <c r="AT13" s="614" t="n">
        <v>45994</v>
      </c>
      <c r="AU13" s="614" t="n">
        <v>45965</v>
      </c>
      <c r="AW13" s="397" t="inlineStr">
        <is>
          <t>DIVERSOS</t>
        </is>
      </c>
      <c r="AX13" s="384" t="inlineStr">
        <is>
          <t>PCT</t>
        </is>
      </c>
      <c r="AY13" s="619" t="n">
        <v>46118</v>
      </c>
      <c r="AZ13" s="619" t="n">
        <v>46125</v>
      </c>
      <c r="BA13" s="619" t="n">
        <v>46132</v>
      </c>
      <c r="BB13" s="619" t="n">
        <v>46139</v>
      </c>
      <c r="BC13" s="619" t="n">
        <v>46146</v>
      </c>
      <c r="BD13" s="619" t="n">
        <v>46154</v>
      </c>
      <c r="BE13" s="621" t="inlineStr">
        <is>
          <t>USOU</t>
        </is>
      </c>
    </row>
    <row r="14" customFormat="1" s="3">
      <c r="A14" s="25" t="inlineStr">
        <is>
          <t xml:space="preserve">PAPEL DE SEDA </t>
        </is>
      </c>
      <c r="B14" s="6" t="n">
        <v>500</v>
      </c>
      <c r="C14" s="632" t="n">
        <v>99.26000000000001</v>
      </c>
      <c r="D14" s="240" t="n">
        <v>1</v>
      </c>
      <c r="E14" s="608" t="n"/>
      <c r="F14" s="388">
        <f>2+AS14</f>
        <v/>
      </c>
      <c r="G14" s="388" t="n">
        <v>3</v>
      </c>
      <c r="H14" s="388" t="n">
        <v>3</v>
      </c>
      <c r="I14" s="388" t="n">
        <v>3</v>
      </c>
      <c r="J14" s="388" t="n">
        <v>3</v>
      </c>
      <c r="K14" s="388" t="n">
        <v>2</v>
      </c>
      <c r="L14" s="388">
        <f>1+AO14</f>
        <v/>
      </c>
      <c r="M14" s="388" t="n">
        <v>2</v>
      </c>
      <c r="N14" s="388" t="n">
        <v>2</v>
      </c>
      <c r="O14" s="388" t="n">
        <v>2</v>
      </c>
      <c r="P14" s="388" t="n">
        <v>2</v>
      </c>
      <c r="Q14" s="388" t="n">
        <v>1</v>
      </c>
      <c r="R14" s="388" t="n">
        <v>0</v>
      </c>
      <c r="S14" s="388">
        <f>0+AK14</f>
        <v/>
      </c>
      <c r="T14" s="388" t="n">
        <v>3</v>
      </c>
      <c r="U14" s="388" t="n">
        <v>3</v>
      </c>
      <c r="V14" s="388" t="n">
        <v>6</v>
      </c>
      <c r="W14" s="388" t="n">
        <v>4</v>
      </c>
      <c r="X14" s="388" t="n">
        <v>3</v>
      </c>
      <c r="Y14" s="388" t="n">
        <v>3</v>
      </c>
      <c r="Z14" s="388" t="n">
        <v>2</v>
      </c>
      <c r="AA14" s="380">
        <f>Y14+IF(NOT(ISBLANK(OFFSET(AA14,0,6))),N(OFFSET(AA14,0,6)),N(OFFSET(AA14,0,7)))-Z14</f>
        <v/>
      </c>
      <c r="AB14" s="2" t="n"/>
      <c r="AC14" s="78" t="n"/>
      <c r="AD14" s="2" t="n"/>
      <c r="AE14" s="32" t="n"/>
      <c r="AF14" s="2" t="n"/>
      <c r="AG14" s="19" t="n">
        <v>0</v>
      </c>
      <c r="AH14" s="19" t="n">
        <v>3</v>
      </c>
      <c r="AI14" s="119" t="n">
        <v>3</v>
      </c>
      <c r="AJ14" s="19" t="n"/>
      <c r="AK14" s="19" t="n">
        <v>5</v>
      </c>
      <c r="AL14" s="19" t="n"/>
      <c r="AM14" s="19" t="n"/>
      <c r="AN14" s="19" t="n"/>
      <c r="AO14" s="19" t="n">
        <v>2</v>
      </c>
      <c r="AP14" s="19" t="n"/>
      <c r="AQ14" s="19" t="n"/>
      <c r="AR14" s="19" t="n"/>
      <c r="AS14" s="19" t="n">
        <v>2</v>
      </c>
      <c r="AT14" s="19" t="n"/>
      <c r="AU14" s="19" t="n">
        <v>2</v>
      </c>
      <c r="AW14" s="372" t="inlineStr">
        <is>
          <t>PAPEL DE SEDA</t>
        </is>
      </c>
      <c r="AX14" s="139" t="n">
        <v>200</v>
      </c>
      <c r="AY14" s="39">
        <f>AI14</f>
        <v/>
      </c>
      <c r="AZ14" s="39" t="n">
        <v>3</v>
      </c>
      <c r="BA14" s="39" t="n">
        <v>3</v>
      </c>
      <c r="BB14" s="39" t="n">
        <v>2</v>
      </c>
      <c r="BC14" s="39" t="n">
        <v>2</v>
      </c>
      <c r="BD14" s="39" t="n">
        <v>0</v>
      </c>
      <c r="BE14" s="26">
        <f>BC14+IF(NOT(ISBLANK(OFFSET(BE14,0,6))),N(OFFSET(BE14,0,6)),N(OFFSET(BE14,0,7)))-BD14</f>
        <v/>
      </c>
    </row>
    <row r="15" customFormat="1" s="3">
      <c r="A15" s="25" t="inlineStr">
        <is>
          <t>ETIQUETAS</t>
        </is>
      </c>
      <c r="B15" s="6" t="n">
        <v>2000</v>
      </c>
      <c r="C15" s="632" t="n">
        <v>55.36</v>
      </c>
      <c r="D15" s="240" t="n">
        <v>1</v>
      </c>
      <c r="E15" s="608" t="n"/>
      <c r="F15" s="388" t="n">
        <v>4</v>
      </c>
      <c r="G15" s="388" t="n">
        <v>4</v>
      </c>
      <c r="H15" s="388" t="n">
        <v>4</v>
      </c>
      <c r="I15" s="388" t="n">
        <v>4</v>
      </c>
      <c r="J15" s="388" t="n">
        <v>4</v>
      </c>
      <c r="K15" s="388" t="n">
        <v>4</v>
      </c>
      <c r="L15" s="388" t="n">
        <v>4</v>
      </c>
      <c r="M15" s="388" t="n">
        <v>4</v>
      </c>
      <c r="N15" s="388" t="n">
        <v>4</v>
      </c>
      <c r="O15" s="388" t="n">
        <v>4</v>
      </c>
      <c r="P15" s="388" t="n">
        <v>4</v>
      </c>
      <c r="Q15" s="388" t="n">
        <v>4</v>
      </c>
      <c r="R15" s="388" t="n">
        <v>4</v>
      </c>
      <c r="S15" s="388" t="n">
        <v>3</v>
      </c>
      <c r="T15" s="388" t="n">
        <v>3</v>
      </c>
      <c r="U15" s="388" t="n">
        <v>3</v>
      </c>
      <c r="V15" s="388" t="n">
        <v>3</v>
      </c>
      <c r="W15" s="388" t="n">
        <v>3</v>
      </c>
      <c r="X15" s="388" t="n">
        <v>3</v>
      </c>
      <c r="Y15" s="388" t="n">
        <v>3</v>
      </c>
      <c r="Z15" s="388" t="n">
        <v>2</v>
      </c>
      <c r="AA15" s="380">
        <f>Y15+IF(NOT(ISBLANK(OFFSET(AA15,0,6))),N(OFFSET(AA15,0,6)),N(OFFSET(AA15,0,7)))-Z15</f>
        <v/>
      </c>
      <c r="AB15" s="2" t="n"/>
      <c r="AC15" s="78" t="n"/>
      <c r="AD15" s="2" t="n"/>
      <c r="AE15" s="32" t="n"/>
      <c r="AF15" s="608" t="n"/>
      <c r="AG15" s="19" t="n">
        <v>0</v>
      </c>
      <c r="AH15" s="19" t="n"/>
      <c r="AI15" s="119" t="n">
        <v>1</v>
      </c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>
        <v>3</v>
      </c>
      <c r="AU15" s="19" t="n">
        <v>2</v>
      </c>
      <c r="AW15" s="21" t="inlineStr">
        <is>
          <t>ADESIVOS</t>
        </is>
      </c>
      <c r="AX15" s="6" t="n">
        <v>200</v>
      </c>
      <c r="AY15" s="39">
        <f>AI15</f>
        <v/>
      </c>
      <c r="AZ15" s="39" t="n">
        <v>1</v>
      </c>
      <c r="BA15" s="39" t="n">
        <v>1</v>
      </c>
      <c r="BB15" s="39" t="n">
        <v>0</v>
      </c>
      <c r="BC15" s="39" t="n">
        <v>0</v>
      </c>
      <c r="BD15" s="39" t="n">
        <v>0</v>
      </c>
      <c r="BE15" s="26">
        <f>BC15+IF(NOT(ISBLANK(OFFSET(BE15,0,6))),N(OFFSET(BE15,0,6)),N(OFFSET(BE15,0,7)))-BD15</f>
        <v/>
      </c>
    </row>
    <row r="16" customFormat="1" s="3">
      <c r="A16" s="25" t="inlineStr">
        <is>
          <t xml:space="preserve">TAGS </t>
        </is>
      </c>
      <c r="B16" s="6" t="n">
        <v>200</v>
      </c>
      <c r="C16" s="632" t="n">
        <v>10.28</v>
      </c>
      <c r="D16" s="240" t="n">
        <v>2</v>
      </c>
      <c r="E16" s="1" t="n"/>
      <c r="F16" s="365" t="n">
        <v>4</v>
      </c>
      <c r="G16" s="365" t="n">
        <v>3</v>
      </c>
      <c r="H16" s="365" t="n">
        <v>3</v>
      </c>
      <c r="I16" s="365" t="n">
        <v>3</v>
      </c>
      <c r="J16" s="365" t="n">
        <v>3</v>
      </c>
      <c r="K16" s="365" t="n">
        <v>3</v>
      </c>
      <c r="L16" s="365" t="n">
        <v>2</v>
      </c>
      <c r="M16" s="365" t="n">
        <v>1</v>
      </c>
      <c r="N16" s="365" t="n">
        <v>0</v>
      </c>
      <c r="O16" s="365">
        <f>0+AN16</f>
        <v/>
      </c>
      <c r="P16" s="365" t="n">
        <v>2</v>
      </c>
      <c r="Q16" s="365" t="n">
        <v>2</v>
      </c>
      <c r="R16" s="365" t="n">
        <v>2</v>
      </c>
      <c r="S16" s="365" t="n">
        <v>1</v>
      </c>
      <c r="T16" s="365">
        <f>1+AJ16</f>
        <v/>
      </c>
      <c r="U16" s="365" t="n">
        <v>2</v>
      </c>
      <c r="V16" s="365" t="n">
        <v>4</v>
      </c>
      <c r="W16" s="365" t="n">
        <v>4</v>
      </c>
      <c r="X16" s="365" t="n">
        <v>4</v>
      </c>
      <c r="Y16" s="365" t="n">
        <v>4</v>
      </c>
      <c r="Z16" s="365" t="n">
        <v>2</v>
      </c>
      <c r="AA16" s="380">
        <f>Y16+IF(NOT(ISBLANK(OFFSET(AA16,0,6))),N(OFFSET(AA16,0,6)),N(OFFSET(AA16,0,7)))-Z16</f>
        <v/>
      </c>
      <c r="AB16" s="2" t="n"/>
      <c r="AC16" s="78" t="n"/>
      <c r="AD16" s="2" t="n"/>
      <c r="AE16" s="32" t="n"/>
      <c r="AF16" s="1" t="n"/>
      <c r="AG16" s="19" t="n">
        <v>0</v>
      </c>
      <c r="AH16" s="19" t="n"/>
      <c r="AI16" s="19" t="n"/>
      <c r="AJ16" s="19" t="n">
        <v>1</v>
      </c>
      <c r="AK16" s="19" t="n"/>
      <c r="AL16" s="19" t="n"/>
      <c r="AM16" s="19" t="n"/>
      <c r="AN16" s="19" t="n">
        <v>2</v>
      </c>
      <c r="AO16" s="19" t="n"/>
      <c r="AP16" s="19" t="n"/>
      <c r="AQ16" s="19" t="n"/>
      <c r="AR16" s="19" t="n"/>
      <c r="AS16" s="19" t="n"/>
      <c r="AT16" s="19" t="n">
        <v>3</v>
      </c>
      <c r="AU16" s="19" t="n">
        <v>2</v>
      </c>
    </row>
    <row r="17" customFormat="1" s="3">
      <c r="A17" s="25" t="inlineStr">
        <is>
          <t>LÂMINA OLFATIVA</t>
        </is>
      </c>
      <c r="B17" s="6" t="n">
        <v>3000</v>
      </c>
      <c r="C17" s="632" t="n">
        <v>71.8</v>
      </c>
      <c r="D17" s="240" t="n">
        <v>1</v>
      </c>
      <c r="E17" s="1" t="n"/>
      <c r="F17" s="388" t="n">
        <v>2</v>
      </c>
      <c r="G17" s="388" t="n">
        <v>1</v>
      </c>
      <c r="H17" s="388">
        <f>1+AR17</f>
        <v/>
      </c>
      <c r="I17" s="388" t="n">
        <v>1</v>
      </c>
      <c r="J17" s="388" t="n">
        <v>3</v>
      </c>
      <c r="K17" s="388" t="n">
        <v>4</v>
      </c>
      <c r="L17" s="388" t="n">
        <v>4</v>
      </c>
      <c r="M17" s="388" t="n">
        <v>4</v>
      </c>
      <c r="N17" s="388" t="n">
        <v>4</v>
      </c>
      <c r="O17" s="388" t="n">
        <v>4</v>
      </c>
      <c r="P17" s="388" t="n">
        <v>4</v>
      </c>
      <c r="Q17" s="388" t="n">
        <v>4</v>
      </c>
      <c r="R17" s="388" t="n">
        <v>4</v>
      </c>
      <c r="S17" s="388" t="n">
        <v>3</v>
      </c>
      <c r="T17" s="388" t="n">
        <v>1</v>
      </c>
      <c r="U17" s="388" t="n">
        <v>1</v>
      </c>
      <c r="V17" s="388" t="n">
        <v>2</v>
      </c>
      <c r="W17" s="388" t="n">
        <v>2</v>
      </c>
      <c r="X17" s="388" t="n">
        <v>2</v>
      </c>
      <c r="Y17" s="388" t="n">
        <v>2</v>
      </c>
      <c r="Z17" s="388" t="n">
        <v>2</v>
      </c>
      <c r="AA17" s="380">
        <f>Y17+IF(NOT(ISBLANK(OFFSET(AA17,0,6))),N(OFFSET(AA17,0,6)),N(OFFSET(AA17,0,7)))-Z17</f>
        <v/>
      </c>
      <c r="AB17" s="2" t="n"/>
      <c r="AC17" s="78" t="n"/>
      <c r="AD17" s="2" t="n"/>
      <c r="AE17" s="32" t="n"/>
      <c r="AF17" s="1" t="n"/>
      <c r="AG17" s="19" t="n">
        <v>0</v>
      </c>
      <c r="AH17" s="19" t="n">
        <v>1</v>
      </c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>
        <v>2</v>
      </c>
      <c r="AR17" s="19" t="n">
        <v>1</v>
      </c>
      <c r="AS17" s="19" t="n"/>
      <c r="AT17" s="19" t="n">
        <v>1</v>
      </c>
      <c r="AU17" s="19" t="n">
        <v>1</v>
      </c>
    </row>
    <row r="18" ht="14.25" customFormat="1" customHeight="1" s="3">
      <c r="A18" s="23" t="n"/>
      <c r="C18" s="633" t="n"/>
      <c r="D18" s="277" t="n"/>
      <c r="F18" s="2" t="n"/>
      <c r="G18" s="2" t="n"/>
      <c r="H18" s="2" t="n"/>
      <c r="I18" s="2" t="n"/>
      <c r="J18" s="2" t="n"/>
      <c r="K18" s="2" t="n"/>
      <c r="L18" s="2" t="n"/>
      <c r="M18" s="2" t="n"/>
      <c r="N18" s="2" t="n"/>
      <c r="O18" s="2" t="n"/>
      <c r="P18" s="2" t="n"/>
      <c r="Q18" s="2" t="n"/>
      <c r="R18" s="2" t="n"/>
      <c r="S18" s="2" t="n"/>
      <c r="T18" s="2" t="n"/>
      <c r="U18" s="2" t="n"/>
      <c r="V18" s="2" t="n"/>
      <c r="W18" s="2" t="n"/>
      <c r="X18" s="2" t="n"/>
      <c r="Y18" s="2" t="n"/>
      <c r="Z18" s="2" t="n"/>
      <c r="AA18" s="2" t="n"/>
      <c r="AB18" s="2" t="n"/>
      <c r="AC18" s="398" t="n"/>
      <c r="AE18" s="352" t="n"/>
      <c r="AF18" s="16" t="n"/>
      <c r="AG18" s="396" t="n"/>
      <c r="AH18" s="396" t="n"/>
      <c r="AI18" s="396" t="n"/>
      <c r="AJ18" s="396" t="n"/>
      <c r="AK18" s="396" t="n"/>
      <c r="AL18" s="396" t="n"/>
      <c r="AM18" s="396" t="n"/>
      <c r="AN18" s="396" t="n"/>
      <c r="AO18" s="396" t="n"/>
      <c r="AP18" s="396" t="n"/>
      <c r="AQ18" s="396" t="n"/>
      <c r="AR18" s="396" t="n"/>
      <c r="AS18" s="396" t="n"/>
      <c r="AT18" s="396" t="n"/>
      <c r="AU18" s="396" t="n"/>
    </row>
    <row r="19" customFormat="1" s="3">
      <c r="A19" s="548" t="inlineStr">
        <is>
          <t>CAIXAS</t>
        </is>
      </c>
      <c r="B19" s="12" t="n"/>
      <c r="C19" s="654" t="n"/>
      <c r="D19" s="403" t="n"/>
      <c r="E19" s="1" t="n"/>
      <c r="F19" s="619" t="n">
        <v>46013</v>
      </c>
      <c r="G19" s="619" t="n">
        <v>46020</v>
      </c>
      <c r="H19" s="619" t="n">
        <v>46027</v>
      </c>
      <c r="I19" s="619" t="n">
        <v>46034</v>
      </c>
      <c r="J19" s="619" t="n">
        <v>46041</v>
      </c>
      <c r="K19" s="619" t="n">
        <v>46048</v>
      </c>
      <c r="L19" s="619" t="n">
        <v>46055</v>
      </c>
      <c r="M19" s="619" t="n">
        <v>46062</v>
      </c>
      <c r="N19" s="619" t="n">
        <v>46069</v>
      </c>
      <c r="O19" s="619" t="n">
        <v>46076</v>
      </c>
      <c r="P19" s="619" t="n">
        <v>46083</v>
      </c>
      <c r="Q19" s="619" t="n">
        <v>46090</v>
      </c>
      <c r="R19" s="619" t="n">
        <v>46097</v>
      </c>
      <c r="S19" s="619" t="n">
        <v>46104</v>
      </c>
      <c r="T19" s="619" t="n">
        <v>46111</v>
      </c>
      <c r="U19" s="619" t="n">
        <v>46118</v>
      </c>
      <c r="V19" s="619" t="n">
        <v>46125</v>
      </c>
      <c r="W19" s="619" t="n">
        <v>46132</v>
      </c>
      <c r="X19" s="619" t="n">
        <v>46139</v>
      </c>
      <c r="Y19" s="619" t="n">
        <v>46146</v>
      </c>
      <c r="Z19" s="619" t="n">
        <v>46154</v>
      </c>
      <c r="AA19" s="621" t="inlineStr">
        <is>
          <t>USOU</t>
        </is>
      </c>
      <c r="AB19" s="648" t="n"/>
      <c r="AC19" s="29" t="inlineStr">
        <is>
          <t>Pendências</t>
        </is>
      </c>
      <c r="AD19" s="11" t="n"/>
      <c r="AE19" s="9" t="inlineStr">
        <is>
          <t>Novo Pedido</t>
        </is>
      </c>
      <c r="AF19" s="1" t="n"/>
      <c r="AG19" s="614" t="n"/>
      <c r="AH19" s="614" t="n">
        <v>46114</v>
      </c>
      <c r="AI19" s="616" t="n">
        <v>46065</v>
      </c>
      <c r="AJ19" s="614" t="n">
        <v>46107</v>
      </c>
      <c r="AK19" s="614" t="n">
        <v>46099</v>
      </c>
      <c r="AL19" s="614" t="n">
        <v>46092</v>
      </c>
      <c r="AM19" s="614" t="n">
        <v>46077</v>
      </c>
      <c r="AN19" s="614" t="n">
        <v>46071</v>
      </c>
      <c r="AO19" s="614" t="n">
        <v>46048</v>
      </c>
      <c r="AP19" s="614" t="n">
        <v>46043</v>
      </c>
      <c r="AQ19" s="614" t="n">
        <v>46035</v>
      </c>
      <c r="AR19" s="614" t="n">
        <v>46017</v>
      </c>
      <c r="AS19" s="614" t="n">
        <v>46007</v>
      </c>
      <c r="AT19" s="614" t="n">
        <v>45994</v>
      </c>
      <c r="AU19" s="614" t="n">
        <v>45965</v>
      </c>
      <c r="AW19" s="397" t="inlineStr">
        <is>
          <t>CAIXAS</t>
        </is>
      </c>
      <c r="AX19" s="384" t="inlineStr">
        <is>
          <t>PCT</t>
        </is>
      </c>
      <c r="AY19" s="619" t="n">
        <v>46118</v>
      </c>
      <c r="AZ19" s="619" t="n">
        <v>46125</v>
      </c>
      <c r="BA19" s="619" t="n">
        <v>46132</v>
      </c>
      <c r="BB19" s="619" t="n">
        <v>46139</v>
      </c>
      <c r="BC19" s="619" t="n">
        <v>46146</v>
      </c>
      <c r="BD19" s="619" t="n">
        <v>46154</v>
      </c>
      <c r="BE19" s="621" t="inlineStr">
        <is>
          <t>USOU</t>
        </is>
      </c>
    </row>
    <row r="20" customFormat="1" s="3">
      <c r="A20" s="25" t="inlineStr">
        <is>
          <t>CAIXA P VERDE</t>
        </is>
      </c>
      <c r="B20" s="6" t="n">
        <v>150</v>
      </c>
      <c r="C20" s="627" t="n">
        <v>334.31</v>
      </c>
      <c r="D20" s="240" t="n">
        <v>70</v>
      </c>
      <c r="E20" s="1" t="n"/>
      <c r="F20" s="27" t="n">
        <v>31</v>
      </c>
      <c r="G20" s="27" t="n">
        <v>25</v>
      </c>
      <c r="H20" s="27" t="n">
        <v>14</v>
      </c>
      <c r="I20" s="27" t="n">
        <v>12</v>
      </c>
      <c r="J20" s="27" t="n">
        <v>5</v>
      </c>
      <c r="K20" s="27">
        <f>0+AP20</f>
        <v/>
      </c>
      <c r="L20" s="27" t="n">
        <v>143</v>
      </c>
      <c r="M20" s="27" t="n">
        <v>129</v>
      </c>
      <c r="N20" s="27" t="n">
        <v>117</v>
      </c>
      <c r="O20" s="27" t="n">
        <v>102</v>
      </c>
      <c r="P20" s="27" t="n">
        <v>87</v>
      </c>
      <c r="Q20" s="27" t="n">
        <v>72</v>
      </c>
      <c r="R20" s="27">
        <f>46+AL20</f>
        <v/>
      </c>
      <c r="S20" s="27" t="n">
        <v>185</v>
      </c>
      <c r="T20" s="27" t="n">
        <v>175</v>
      </c>
      <c r="U20" s="27" t="n"/>
      <c r="V20" s="27" t="n"/>
      <c r="W20" s="27" t="n"/>
      <c r="X20" s="27" t="n">
        <v>152</v>
      </c>
      <c r="Y20" s="27" t="n">
        <v>147</v>
      </c>
      <c r="Z20" s="27" t="n">
        <v>111</v>
      </c>
      <c r="AA20" s="380">
        <f>Y20+IF(NOT(ISBLANK(OFFSET(AA20,0,6))),N(OFFSET(AA20,0,6)),N(OFFSET(AA20,0,7)))-Z20</f>
        <v/>
      </c>
      <c r="AB20" s="2" t="n"/>
      <c r="AC20" s="78" t="n"/>
      <c r="AD20" s="2" t="n"/>
      <c r="AE20" s="32" t="n"/>
      <c r="AF20" s="1" t="n"/>
      <c r="AG20" s="19" t="n">
        <v>0</v>
      </c>
      <c r="AH20" s="19" t="n"/>
      <c r="AI20" s="119" t="n"/>
      <c r="AJ20" s="19" t="n"/>
      <c r="AK20" s="19" t="n"/>
      <c r="AL20" s="19" t="n">
        <v>150</v>
      </c>
      <c r="AM20" s="19" t="n"/>
      <c r="AN20" s="19" t="n"/>
      <c r="AO20" s="19" t="n"/>
      <c r="AP20" s="19" t="n">
        <v>150</v>
      </c>
      <c r="AQ20" s="19" t="n"/>
      <c r="AR20" s="19" t="n"/>
      <c r="AS20" s="19" t="n"/>
      <c r="AT20" s="19" t="n"/>
      <c r="AU20" s="19" t="n"/>
      <c r="AW20" s="372" t="inlineStr">
        <is>
          <t>CAIXA P</t>
        </is>
      </c>
      <c r="AX20" s="139" t="n">
        <v>150</v>
      </c>
      <c r="AY20" s="39" t="n">
        <v>0</v>
      </c>
      <c r="AZ20" s="39" t="n"/>
      <c r="BA20" s="39" t="n"/>
      <c r="BB20" s="39" t="n">
        <v>1</v>
      </c>
      <c r="BC20" s="39" t="n">
        <v>1</v>
      </c>
      <c r="BD20" s="39" t="n">
        <v>0</v>
      </c>
      <c r="BE20" s="26">
        <f>BC20+IF(NOT(ISBLANK(OFFSET(BE20,0,6))),N(OFFSET(BE20,0,6)),N(OFFSET(BE20,0,7)))-BD20</f>
        <v/>
      </c>
    </row>
    <row r="21" customFormat="1" s="3">
      <c r="A21" s="25" t="inlineStr">
        <is>
          <t>CAIXA M VERDE</t>
        </is>
      </c>
      <c r="B21" s="6" t="n">
        <v>100</v>
      </c>
      <c r="C21" s="634" t="n">
        <v>292.25</v>
      </c>
      <c r="D21" s="243" t="n">
        <v>70</v>
      </c>
      <c r="E21" s="1" t="n"/>
      <c r="F21" s="27" t="n">
        <v>26</v>
      </c>
      <c r="G21" s="27" t="n">
        <v>21</v>
      </c>
      <c r="H21" s="27" t="n">
        <v>20</v>
      </c>
      <c r="I21" s="27" t="n">
        <v>15</v>
      </c>
      <c r="J21" s="27" t="n">
        <v>10</v>
      </c>
      <c r="K21" s="27">
        <f>2+AP21</f>
        <v/>
      </c>
      <c r="L21" s="27" t="n">
        <v>105</v>
      </c>
      <c r="M21" s="298" t="n">
        <v>50</v>
      </c>
      <c r="N21" s="27" t="n">
        <v>42</v>
      </c>
      <c r="O21" s="27" t="n">
        <v>29</v>
      </c>
      <c r="P21" s="27">
        <f>19+AM21</f>
        <v/>
      </c>
      <c r="Q21" s="27" t="n">
        <v>99</v>
      </c>
      <c r="R21" s="27" t="n">
        <v>88</v>
      </c>
      <c r="S21" s="27" t="n">
        <v>75</v>
      </c>
      <c r="T21" s="27" t="n">
        <v>67</v>
      </c>
      <c r="U21" s="27" t="n"/>
      <c r="V21" s="27" t="n"/>
      <c r="W21" s="27" t="n"/>
      <c r="X21" s="27" t="n">
        <v>40</v>
      </c>
      <c r="Y21" s="27" t="n">
        <v>38</v>
      </c>
      <c r="Z21" s="27" t="n">
        <v>41</v>
      </c>
      <c r="AA21" s="380">
        <f>Y21+IF(NOT(ISBLANK(OFFSET(AA21,0,6))),N(OFFSET(AA21,0,6)),N(OFFSET(AA21,0,7)))-Z21</f>
        <v/>
      </c>
      <c r="AB21" s="2" t="n"/>
      <c r="AC21" s="78" t="n"/>
      <c r="AD21" s="2" t="n"/>
      <c r="AE21" s="32" t="n"/>
      <c r="AF21" s="1" t="n"/>
      <c r="AG21" s="19" t="n">
        <v>0</v>
      </c>
      <c r="AH21" s="19" t="n"/>
      <c r="AI21" s="119" t="n"/>
      <c r="AJ21" s="19" t="n"/>
      <c r="AK21" s="19" t="n"/>
      <c r="AL21" s="19" t="n"/>
      <c r="AM21" s="19" t="n">
        <v>100</v>
      </c>
      <c r="AN21" s="19" t="n"/>
      <c r="AO21" s="19" t="n"/>
      <c r="AP21" s="19" t="n">
        <v>100</v>
      </c>
      <c r="AQ21" s="19" t="n"/>
      <c r="AR21" s="19" t="n"/>
      <c r="AS21" s="19" t="n"/>
      <c r="AT21" s="19" t="n"/>
      <c r="AU21" s="19" t="n"/>
      <c r="AW21" s="21" t="inlineStr">
        <is>
          <t>CAIXA M</t>
        </is>
      </c>
      <c r="AX21" s="6" t="n">
        <v>100</v>
      </c>
      <c r="AY21" s="39" t="n">
        <v>0</v>
      </c>
      <c r="AZ21" s="39" t="n"/>
      <c r="BA21" s="39" t="n"/>
      <c r="BB21" s="39" t="n">
        <v>9</v>
      </c>
      <c r="BC21" s="39" t="n">
        <v>3</v>
      </c>
      <c r="BD21" s="39" t="n">
        <v>2</v>
      </c>
      <c r="BE21" s="26">
        <f>BC21+IF(NOT(ISBLANK(OFFSET(BE21,0,6))),N(OFFSET(BE21,0,6)),N(OFFSET(BE21,0,7)))-BD21</f>
        <v/>
      </c>
    </row>
    <row r="22" customFormat="1" s="3">
      <c r="A22" s="25" t="inlineStr">
        <is>
          <t>CAIXA G VERDE</t>
        </is>
      </c>
      <c r="B22" s="6" t="n">
        <v>75</v>
      </c>
      <c r="C22" s="632" t="n">
        <v>425.38</v>
      </c>
      <c r="D22" s="240" t="n">
        <v>15</v>
      </c>
      <c r="E22" s="608" t="n"/>
      <c r="F22" s="27" t="n">
        <v>12</v>
      </c>
      <c r="G22" s="27" t="n">
        <v>12</v>
      </c>
      <c r="H22" s="27" t="n">
        <v>12</v>
      </c>
      <c r="I22" s="27" t="n">
        <v>12</v>
      </c>
      <c r="J22" s="27" t="n">
        <v>12</v>
      </c>
      <c r="K22" s="27" t="n">
        <v>12</v>
      </c>
      <c r="L22" s="27" t="n">
        <v>12</v>
      </c>
      <c r="M22" s="27" t="n">
        <v>12</v>
      </c>
      <c r="N22" s="27" t="n">
        <v>12</v>
      </c>
      <c r="O22" s="27" t="n">
        <v>12</v>
      </c>
      <c r="P22" s="27" t="n">
        <v>12</v>
      </c>
      <c r="Q22" s="27" t="n">
        <v>12</v>
      </c>
      <c r="R22" s="27" t="n">
        <v>12</v>
      </c>
      <c r="S22" s="27" t="n">
        <v>12</v>
      </c>
      <c r="T22" s="27" t="n">
        <v>12</v>
      </c>
      <c r="U22" s="27" t="n">
        <v>12</v>
      </c>
      <c r="V22" s="27" t="n">
        <v>12</v>
      </c>
      <c r="W22" s="27" t="n">
        <v>12</v>
      </c>
      <c r="X22" s="27" t="n">
        <v>12</v>
      </c>
      <c r="Y22" s="27" t="n">
        <v>10</v>
      </c>
      <c r="Z22" s="27" t="n">
        <v>12</v>
      </c>
      <c r="AA22" s="380">
        <f>Y22+IF(NOT(ISBLANK(OFFSET(AA22,0,6))),N(OFFSET(AA22,0,6)),N(OFFSET(AA22,0,7)))-Z22</f>
        <v/>
      </c>
      <c r="AB22" s="2" t="n"/>
      <c r="AC22" s="78" t="n"/>
      <c r="AD22" s="2" t="n"/>
      <c r="AE22" s="32" t="n"/>
      <c r="AF22" s="608" t="n"/>
      <c r="AG22" s="19" t="n">
        <v>0</v>
      </c>
      <c r="AH22" s="19" t="n"/>
      <c r="AI22" s="1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W22" s="22" t="inlineStr">
        <is>
          <t>CARTUCHO P</t>
        </is>
      </c>
      <c r="AX22" s="6" t="n">
        <v>200</v>
      </c>
      <c r="AY22" s="39" t="n">
        <v>0</v>
      </c>
      <c r="AZ22" s="39" t="n"/>
      <c r="BA22" s="39" t="n"/>
      <c r="BB22" s="39" t="n">
        <v>20</v>
      </c>
      <c r="BC22" s="39" t="n">
        <v>20</v>
      </c>
      <c r="BD22" s="39" t="n">
        <v>2</v>
      </c>
      <c r="BE22" s="26">
        <f>BC22+IF(NOT(ISBLANK(OFFSET(BE22,0,6))),N(OFFSET(BE22,0,6)),N(OFFSET(BE22,0,7)))-BD22</f>
        <v/>
      </c>
    </row>
    <row r="23">
      <c r="A23" s="25" t="inlineStr">
        <is>
          <t>CARTUCHO M VERDE</t>
        </is>
      </c>
      <c r="B23" s="6" t="n">
        <v>150</v>
      </c>
      <c r="C23" s="632" t="n">
        <v>427.5</v>
      </c>
      <c r="D23" s="240" t="n">
        <v>150</v>
      </c>
      <c r="R23" s="6" t="n">
        <v>0</v>
      </c>
      <c r="S23" s="6" t="n">
        <v>0</v>
      </c>
      <c r="T23" s="6" t="n">
        <v>0</v>
      </c>
      <c r="U23" s="6" t="n">
        <v>0</v>
      </c>
      <c r="V23" s="6" t="n">
        <v>0</v>
      </c>
      <c r="W23" s="6" t="n">
        <v>0</v>
      </c>
      <c r="X23" s="6" t="n">
        <v>0</v>
      </c>
      <c r="Y23" s="6" t="n">
        <v>0</v>
      </c>
      <c r="Z23" s="381" t="n">
        <v>2</v>
      </c>
      <c r="AA23" s="380">
        <f>Y23+IF(NOT(ISBLANK(OFFSET(AA23,0,6))),N(OFFSET(AA23,0,6)),N(OFFSET(AA23,0,7)))-Z23</f>
        <v/>
      </c>
      <c r="AC23" s="355" t="n"/>
      <c r="AT23" s="11" t="n"/>
      <c r="AU23" s="11" t="n"/>
      <c r="AW23" s="22" t="inlineStr">
        <is>
          <t>CARTUCHO M</t>
        </is>
      </c>
      <c r="AX23" s="6" t="n">
        <v>150</v>
      </c>
      <c r="AY23" s="39" t="n">
        <v>0</v>
      </c>
      <c r="AZ23" s="39" t="n"/>
      <c r="BA23" s="39" t="n"/>
      <c r="BB23" s="39" t="n">
        <v>50</v>
      </c>
      <c r="BC23" s="39" t="n">
        <v>47</v>
      </c>
      <c r="BD23" s="39" t="n">
        <v>1</v>
      </c>
      <c r="BE23" s="26">
        <f>BC23+IF(NOT(ISBLANK(OFFSET(BE23,0,6))),N(OFFSET(BE23,0,6)),N(OFFSET(BE23,0,7)))-BD23</f>
        <v/>
      </c>
    </row>
    <row r="24">
      <c r="AC24" s="355" t="n"/>
      <c r="AT24" s="11" t="n"/>
      <c r="AU24" s="11" t="n"/>
      <c r="AW24" s="23" t="n"/>
      <c r="AX24" s="1" t="n"/>
      <c r="AY24" s="2" t="n"/>
      <c r="AZ24" s="2" t="n"/>
      <c r="BA24" s="2" t="n"/>
      <c r="BB24" s="2" t="n"/>
      <c r="BC24" s="2" t="n"/>
      <c r="BD24" s="11" t="n"/>
    </row>
    <row r="25">
      <c r="A25" s="386" t="inlineStr">
        <is>
          <t>SOBRAS CAIXAS</t>
        </is>
      </c>
      <c r="B25" s="387" t="inlineStr">
        <is>
          <t>PCT</t>
        </is>
      </c>
      <c r="C25" s="387" t="inlineStr">
        <is>
          <t xml:space="preserve">R$ </t>
        </is>
      </c>
      <c r="D25" s="387" t="n"/>
      <c r="E25" s="11" t="n"/>
      <c r="F25" s="619" t="n">
        <v>46013</v>
      </c>
      <c r="G25" s="619" t="n">
        <v>46020</v>
      </c>
      <c r="H25" s="619" t="n">
        <v>46027</v>
      </c>
      <c r="I25" s="619" t="n">
        <v>46034</v>
      </c>
      <c r="J25" s="619" t="n">
        <v>46041</v>
      </c>
      <c r="K25" s="619" t="n">
        <v>46048</v>
      </c>
      <c r="L25" s="619" t="n">
        <v>46055</v>
      </c>
      <c r="M25" s="619" t="n">
        <v>46062</v>
      </c>
      <c r="N25" s="619" t="n">
        <v>46069</v>
      </c>
      <c r="O25" s="619" t="n">
        <v>46076</v>
      </c>
      <c r="P25" s="619" t="n">
        <v>46083</v>
      </c>
      <c r="Q25" s="619" t="n">
        <v>46090</v>
      </c>
      <c r="R25" s="619" t="n">
        <v>46097</v>
      </c>
      <c r="S25" s="619" t="n">
        <v>46104</v>
      </c>
      <c r="T25" s="619" t="n">
        <v>46111</v>
      </c>
      <c r="U25" s="619" t="n">
        <v>46118</v>
      </c>
      <c r="V25" s="619" t="n">
        <v>46125</v>
      </c>
      <c r="W25" s="619" t="n">
        <v>46132</v>
      </c>
      <c r="X25" s="619" t="n">
        <v>46139</v>
      </c>
      <c r="Y25" s="619" t="n">
        <v>46146</v>
      </c>
      <c r="Z25" s="619" t="n">
        <v>46154</v>
      </c>
      <c r="AA25" s="621" t="inlineStr">
        <is>
          <t>USOU</t>
        </is>
      </c>
      <c r="AC25" s="355" t="n"/>
      <c r="AG25" s="11" t="n"/>
      <c r="AH25" s="11" t="n"/>
      <c r="AI25" s="11" t="n"/>
      <c r="AJ25" s="11" t="n"/>
      <c r="AK25" s="11" t="n"/>
      <c r="AL25" s="11" t="n"/>
      <c r="AM25" s="11" t="n"/>
      <c r="AN25" s="11" t="n"/>
      <c r="AO25" s="11" t="n"/>
      <c r="AP25" s="11" t="n"/>
      <c r="AQ25" s="11" t="n"/>
      <c r="AR25" s="11" t="n"/>
      <c r="AS25" s="11" t="n"/>
      <c r="AT25" s="11" t="n"/>
      <c r="AU25" s="11" t="n"/>
      <c r="AW25" s="11" t="n"/>
      <c r="AX25" s="11" t="n"/>
      <c r="AY25" s="11" t="n"/>
      <c r="AZ25" s="11" t="n"/>
      <c r="BA25" s="11" t="n"/>
      <c r="BB25" s="11" t="n"/>
      <c r="BC25" s="11" t="n"/>
      <c r="BD25" s="11" t="n"/>
      <c r="BE25" s="11" t="n"/>
    </row>
    <row r="26">
      <c r="A26" s="392" t="inlineStr">
        <is>
          <t>CAIXA M DIVERT./24</t>
        </is>
      </c>
      <c r="B26" s="393" t="n">
        <v>100</v>
      </c>
      <c r="C26" s="635" t="n">
        <v>790</v>
      </c>
      <c r="D26" s="404" t="n"/>
      <c r="E26" s="11" t="n"/>
      <c r="F26" s="39" t="n">
        <v>10</v>
      </c>
      <c r="G26" s="39" t="n">
        <v>10</v>
      </c>
      <c r="H26" s="39" t="n">
        <v>10</v>
      </c>
      <c r="I26" s="39" t="n">
        <v>19</v>
      </c>
      <c r="J26" s="39" t="n">
        <v>10</v>
      </c>
      <c r="K26" s="39" t="n">
        <v>10</v>
      </c>
      <c r="L26" s="39" t="n">
        <v>19</v>
      </c>
      <c r="M26" s="39" t="n">
        <v>19</v>
      </c>
      <c r="N26" s="39" t="n">
        <v>19</v>
      </c>
      <c r="O26" s="39" t="n">
        <v>19</v>
      </c>
      <c r="P26" s="39" t="n">
        <v>19</v>
      </c>
      <c r="Q26" s="39" t="n">
        <v>19</v>
      </c>
      <c r="R26" s="39" t="n">
        <v>19</v>
      </c>
      <c r="S26" s="39" t="n">
        <v>19</v>
      </c>
      <c r="T26" s="39" t="n">
        <v>19</v>
      </c>
      <c r="U26" s="39" t="n">
        <v>19</v>
      </c>
      <c r="V26" s="39" t="n">
        <v>19</v>
      </c>
      <c r="W26" s="39" t="n">
        <v>19</v>
      </c>
      <c r="X26" s="39" t="n">
        <v>19</v>
      </c>
      <c r="Y26" s="39" t="n">
        <v>19</v>
      </c>
      <c r="Z26" s="39" t="n">
        <v>18</v>
      </c>
      <c r="AA26" s="380">
        <f>Y26+IF(NOT(ISBLANK(OFFSET(AA26,0,6))),N(OFFSET(AA26,0,6)),N(OFFSET(AA26,0,7)))-Z26</f>
        <v/>
      </c>
      <c r="AC26" s="355" t="n"/>
      <c r="AG26" s="11" t="n"/>
      <c r="AH26" s="11" t="n"/>
      <c r="AI26" s="11" t="n"/>
      <c r="AJ26" s="11" t="n"/>
      <c r="AK26" s="11" t="n"/>
      <c r="AL26" s="11" t="n"/>
      <c r="AM26" s="11" t="n"/>
      <c r="AN26" s="11" t="n"/>
      <c r="AO26" s="11" t="n"/>
      <c r="AP26" s="11" t="n"/>
      <c r="AQ26" s="11" t="n"/>
      <c r="AR26" s="11" t="n"/>
      <c r="AS26" s="11" t="n"/>
      <c r="AT26" s="11" t="n"/>
      <c r="AU26" s="11" t="n"/>
      <c r="AW26" s="11" t="n"/>
      <c r="AX26" s="11" t="n"/>
      <c r="AY26" s="11" t="n"/>
      <c r="AZ26" s="11" t="n"/>
      <c r="BA26" s="11" t="n"/>
      <c r="BB26" s="11" t="n"/>
      <c r="BC26" s="11" t="n"/>
      <c r="BD26" s="11" t="n"/>
      <c r="BE26" s="11" t="n"/>
    </row>
    <row r="27" hidden="1" ht="18.75" customHeight="1">
      <c r="A27" s="394" t="inlineStr">
        <is>
          <t>ÁRVORE</t>
        </is>
      </c>
      <c r="B27" s="163" t="n">
        <v>100</v>
      </c>
      <c r="C27" s="636" t="n">
        <v>295</v>
      </c>
      <c r="D27" s="404" t="n"/>
      <c r="E27" s="11" t="n"/>
      <c r="F27" s="39" t="n">
        <v>4</v>
      </c>
      <c r="G27" s="39" t="n">
        <v>4</v>
      </c>
      <c r="H27" s="39" t="n">
        <v>4</v>
      </c>
      <c r="I27" s="39" t="n">
        <v>4</v>
      </c>
      <c r="J27" s="39" t="n">
        <v>0</v>
      </c>
      <c r="K27" s="39" t="n">
        <v>0</v>
      </c>
      <c r="L27" s="39" t="n"/>
      <c r="M27" s="39" t="n"/>
      <c r="N27" s="39" t="n"/>
      <c r="O27" s="39" t="n"/>
      <c r="P27" s="39" t="n"/>
      <c r="Q27" s="39" t="n"/>
      <c r="R27" s="39" t="n"/>
      <c r="S27" s="39" t="n"/>
      <c r="T27" s="39" t="n"/>
      <c r="U27" s="39" t="n"/>
      <c r="V27" s="39" t="n"/>
      <c r="W27" s="39" t="n"/>
      <c r="X27" s="39" t="n"/>
      <c r="Y27" s="39" t="n"/>
      <c r="Z27" s="39" t="n"/>
      <c r="AA27" s="380">
        <f>Y27+IF(NOT(ISBLANK(OFFSET(AA27,0,6))),N(OFFSET(AA27,0,6)),N(OFFSET(AA27,0,7)))-Z27</f>
        <v/>
      </c>
      <c r="AC27" s="355" t="n"/>
      <c r="AG27" s="11" t="n"/>
      <c r="AH27" s="11" t="n"/>
      <c r="AI27" s="11" t="n"/>
      <c r="AJ27" s="11" t="n"/>
      <c r="AK27" s="11" t="n"/>
      <c r="AL27" s="11" t="n"/>
      <c r="AM27" s="11" t="n"/>
      <c r="AN27" s="11" t="n"/>
      <c r="AO27" s="11" t="n"/>
      <c r="AP27" s="11" t="n"/>
      <c r="AQ27" s="11" t="n"/>
      <c r="AR27" s="11" t="n"/>
      <c r="AS27" s="11" t="n"/>
      <c r="AT27" s="11" t="n"/>
      <c r="AU27" s="11" t="n"/>
      <c r="AW27" s="11" t="n"/>
      <c r="AX27" s="11" t="n"/>
      <c r="AY27" s="11" t="n"/>
      <c r="AZ27" s="11" t="n"/>
      <c r="BA27" s="11" t="n"/>
      <c r="BB27" s="11" t="n"/>
      <c r="BC27" s="11" t="n"/>
      <c r="BD27" s="11" t="n"/>
      <c r="BE27" s="11" t="n"/>
    </row>
    <row r="28" hidden="1">
      <c r="A28" s="25" t="inlineStr">
        <is>
          <t>CAIXA P NATAL/25</t>
        </is>
      </c>
      <c r="B28" s="6" t="n">
        <v>150</v>
      </c>
      <c r="C28" s="639" t="n">
        <v>805.35</v>
      </c>
      <c r="D28" s="404" t="n"/>
      <c r="F28" s="6" t="n">
        <v>36</v>
      </c>
      <c r="G28" s="6" t="n">
        <v>11</v>
      </c>
      <c r="H28" s="6" t="n">
        <v>9</v>
      </c>
      <c r="I28" s="6" t="n">
        <v>7</v>
      </c>
      <c r="J28" s="6" t="n">
        <v>0</v>
      </c>
      <c r="K28" s="6" t="n">
        <v>0</v>
      </c>
      <c r="L28" s="6" t="n"/>
      <c r="M28" s="6" t="n"/>
      <c r="N28" s="6" t="n"/>
      <c r="O28" s="6" t="n"/>
      <c r="P28" s="6" t="n"/>
      <c r="Q28" s="6" t="n"/>
      <c r="R28" s="6" t="n"/>
      <c r="S28" s="6" t="n"/>
      <c r="T28" s="6" t="n"/>
      <c r="U28" s="6" t="n"/>
      <c r="V28" s="6" t="n"/>
      <c r="W28" s="6" t="n"/>
      <c r="X28" s="6" t="n"/>
      <c r="Y28" s="6" t="n"/>
      <c r="Z28" s="6" t="n"/>
      <c r="AA28" s="380">
        <f>Y28+IF(NOT(ISBLANK(OFFSET(AA28,0,6))),N(OFFSET(AA28,0,6)),N(OFFSET(AA28,0,7)))-Z28</f>
        <v/>
      </c>
      <c r="AC28" s="11" t="n"/>
      <c r="AG28" s="11" t="n"/>
      <c r="AH28" s="11" t="n"/>
      <c r="AI28" s="11" t="n"/>
      <c r="AJ28" s="11" t="n"/>
      <c r="AK28" s="11" t="n"/>
      <c r="AL28" s="11" t="n"/>
      <c r="AM28" s="11" t="n"/>
      <c r="AN28" s="11" t="n"/>
      <c r="AO28" s="11" t="n"/>
      <c r="AP28" s="11" t="n"/>
      <c r="AQ28" s="11" t="n"/>
      <c r="AR28" s="11" t="n"/>
      <c r="AS28" s="11" t="n"/>
      <c r="AT28" s="11" t="n"/>
      <c r="AU28" s="11" t="n"/>
    </row>
    <row r="29" hidden="1">
      <c r="A29" s="25" t="inlineStr">
        <is>
          <t>CAIXA M NATAL/25</t>
        </is>
      </c>
      <c r="B29" s="6" t="n">
        <v>100</v>
      </c>
      <c r="C29" s="639" t="n">
        <v>792.2</v>
      </c>
      <c r="D29" s="404" t="n"/>
      <c r="F29" s="6" t="n">
        <v>42</v>
      </c>
      <c r="G29" s="6" t="n">
        <v>22</v>
      </c>
      <c r="H29" s="6" t="n">
        <v>18</v>
      </c>
      <c r="I29" s="6" t="n">
        <v>12</v>
      </c>
      <c r="J29" s="6" t="n">
        <v>7</v>
      </c>
      <c r="K29" s="6" t="n">
        <v>7</v>
      </c>
      <c r="L29" s="6" t="n">
        <v>5</v>
      </c>
      <c r="M29" s="6" t="n">
        <v>5</v>
      </c>
      <c r="N29" s="6" t="n">
        <v>5</v>
      </c>
      <c r="O29" s="6" t="n">
        <v>0</v>
      </c>
      <c r="P29" s="6" t="n">
        <v>0</v>
      </c>
      <c r="Q29" s="6" t="n">
        <v>0</v>
      </c>
      <c r="R29" s="6" t="n">
        <v>0</v>
      </c>
      <c r="S29" s="6" t="n">
        <v>0</v>
      </c>
      <c r="T29" s="6" t="n"/>
      <c r="U29" s="6" t="n"/>
      <c r="V29" s="6" t="n"/>
      <c r="W29" s="6" t="n"/>
      <c r="X29" s="6" t="n"/>
      <c r="Y29" s="6" t="n"/>
      <c r="Z29" s="6" t="n"/>
      <c r="AA29" s="380">
        <f>Y29+IF(NOT(ISBLANK(OFFSET(AA29,0,6))),N(OFFSET(AA29,0,6)),N(OFFSET(AA29,0,7)))-Z29</f>
        <v/>
      </c>
      <c r="AC29" s="11" t="n"/>
      <c r="AG29" s="11" t="n"/>
      <c r="AH29" s="11" t="n"/>
      <c r="AI29" s="11" t="n"/>
      <c r="AJ29" s="11" t="n"/>
      <c r="AK29" s="11" t="n"/>
      <c r="AL29" s="11" t="n"/>
      <c r="AM29" s="11" t="n"/>
      <c r="AN29" s="11" t="n"/>
      <c r="AO29" s="11" t="n"/>
      <c r="AP29" s="11" t="n"/>
      <c r="AQ29" s="11" t="n"/>
      <c r="AR29" s="11" t="n"/>
      <c r="AS29" s="11" t="n"/>
      <c r="AT29" s="11" t="n"/>
      <c r="AU29" s="11" t="n"/>
    </row>
    <row r="30" hidden="1">
      <c r="A30" s="25" t="inlineStr">
        <is>
          <t>CARTUCHO P NATAL/25</t>
        </is>
      </c>
      <c r="B30" s="6" t="n">
        <v>200</v>
      </c>
      <c r="C30" s="639" t="n">
        <v>487.2</v>
      </c>
      <c r="D30" s="404" t="n"/>
      <c r="F30" s="6" t="n">
        <v>64</v>
      </c>
      <c r="G30" s="6" t="n">
        <v>5</v>
      </c>
      <c r="H30" s="6" t="n">
        <v>5</v>
      </c>
      <c r="I30" s="6" t="n">
        <v>5</v>
      </c>
      <c r="J30" s="6" t="n">
        <v>0</v>
      </c>
      <c r="K30" s="6" t="n">
        <v>0</v>
      </c>
      <c r="L30" s="6" t="n"/>
      <c r="M30" s="6" t="n"/>
      <c r="N30" s="6" t="n"/>
      <c r="O30" s="6" t="n"/>
      <c r="P30" s="6" t="n"/>
      <c r="Q30" s="6" t="n"/>
      <c r="R30" s="6" t="n"/>
      <c r="S30" s="6" t="n"/>
      <c r="T30" s="6" t="n"/>
      <c r="U30" s="6" t="n"/>
      <c r="V30" s="6" t="n"/>
      <c r="W30" s="6" t="n"/>
      <c r="X30" s="6" t="n"/>
      <c r="Y30" s="6" t="n"/>
      <c r="Z30" s="6" t="n"/>
      <c r="AA30" s="380">
        <f>Y30+IF(NOT(ISBLANK(OFFSET(AA30,0,6))),N(OFFSET(AA30,0,6)),N(OFFSET(AA30,0,7)))-Z30</f>
        <v/>
      </c>
      <c r="AC30" s="11" t="n"/>
      <c r="AG30" s="11" t="n"/>
      <c r="AH30" s="11" t="n"/>
      <c r="AI30" s="11" t="n"/>
      <c r="AJ30" s="11" t="n"/>
      <c r="AK30" s="11" t="n"/>
      <c r="AL30" s="11" t="n"/>
      <c r="AM30" s="11" t="n"/>
      <c r="AN30" s="11" t="n"/>
      <c r="AO30" s="11" t="n"/>
      <c r="AP30" s="11" t="n"/>
      <c r="AQ30" s="11" t="n"/>
      <c r="AR30" s="11" t="n"/>
      <c r="AS30" s="11" t="n"/>
      <c r="AT30" s="11" t="n"/>
      <c r="AU30" s="11" t="n"/>
    </row>
    <row r="31" hidden="1">
      <c r="A31" s="25" t="inlineStr">
        <is>
          <t>CARTUCHO M NATAL/25</t>
        </is>
      </c>
      <c r="B31" s="6" t="n">
        <v>150</v>
      </c>
      <c r="C31" s="639" t="n">
        <v>460.35</v>
      </c>
      <c r="D31" s="404" t="n"/>
      <c r="F31" s="6" t="n">
        <v>110</v>
      </c>
      <c r="G31" s="6" t="n">
        <v>6</v>
      </c>
      <c r="H31" s="6" t="n">
        <v>5</v>
      </c>
      <c r="I31" s="6" t="n">
        <v>5</v>
      </c>
      <c r="J31" s="6" t="n">
        <v>0</v>
      </c>
      <c r="K31" s="6" t="n">
        <v>0</v>
      </c>
      <c r="L31" s="6" t="n"/>
      <c r="M31" s="6" t="n"/>
      <c r="N31" s="6" t="n"/>
      <c r="O31" s="6" t="n"/>
      <c r="P31" s="6" t="n"/>
      <c r="Q31" s="6" t="n"/>
      <c r="R31" s="6" t="n"/>
      <c r="S31" s="6" t="n"/>
      <c r="T31" s="6" t="n"/>
      <c r="U31" s="6" t="n"/>
      <c r="V31" s="6" t="n"/>
      <c r="W31" s="6" t="n"/>
      <c r="X31" s="6" t="n"/>
      <c r="Y31" s="6" t="n"/>
      <c r="Z31" s="6" t="n"/>
      <c r="AA31" s="380">
        <f>Y31+IF(NOT(ISBLANK(OFFSET(AA31,0,6))),N(OFFSET(AA31,0,6)),N(OFFSET(AA31,0,7)))-Z31</f>
        <v/>
      </c>
      <c r="AC31" s="11" t="n"/>
      <c r="AG31" s="11" t="n"/>
      <c r="AH31" s="11" t="n"/>
      <c r="AI31" s="11" t="n"/>
      <c r="AJ31" s="11" t="n"/>
      <c r="AK31" s="11" t="n"/>
      <c r="AL31" s="11" t="n"/>
      <c r="AM31" s="11" t="n"/>
      <c r="AN31" s="11" t="n"/>
      <c r="AO31" s="11" t="n"/>
      <c r="AP31" s="11" t="n"/>
      <c r="AQ31" s="11" t="n"/>
      <c r="AR31" s="11" t="n"/>
      <c r="AS31" s="11" t="n"/>
      <c r="AT31" s="11" t="n"/>
      <c r="AU31" s="11" t="n"/>
    </row>
    <row r="32" hidden="1">
      <c r="A32" s="25" t="inlineStr">
        <is>
          <t>PIN NATAL/25</t>
        </is>
      </c>
      <c r="B32" s="6" t="n">
        <v>10</v>
      </c>
      <c r="C32" s="639" t="n">
        <v>120</v>
      </c>
      <c r="D32" s="404" t="n"/>
      <c r="F32" s="39" t="n">
        <v>5</v>
      </c>
      <c r="G32" s="39" t="n">
        <v>5</v>
      </c>
      <c r="H32" s="39" t="n">
        <v>5</v>
      </c>
      <c r="I32" s="39" t="n">
        <v>5</v>
      </c>
      <c r="J32" s="39" t="n">
        <v>5</v>
      </c>
      <c r="K32" s="39" t="n">
        <v>5</v>
      </c>
      <c r="L32" s="39" t="n">
        <v>5</v>
      </c>
      <c r="M32" s="39" t="n">
        <v>5</v>
      </c>
      <c r="N32" s="39" t="n">
        <v>5</v>
      </c>
      <c r="O32" s="39" t="n">
        <v>0</v>
      </c>
      <c r="P32" s="39" t="n">
        <v>0</v>
      </c>
      <c r="Q32" s="39" t="n">
        <v>0</v>
      </c>
      <c r="R32" s="39" t="n">
        <v>0</v>
      </c>
      <c r="S32" s="39" t="n">
        <v>0</v>
      </c>
      <c r="T32" s="39" t="n"/>
      <c r="U32" s="39" t="n"/>
      <c r="V32" s="39" t="n"/>
      <c r="W32" s="39" t="n"/>
      <c r="X32" s="39" t="n"/>
      <c r="Y32" s="39" t="n"/>
      <c r="AA32" s="380">
        <f>Y32+IF(NOT(ISBLANK(OFFSET(AA32,0,6))),N(OFFSET(AA32,0,6)),N(OFFSET(AA32,0,7)))-Z32</f>
        <v/>
      </c>
      <c r="AC32" s="11" t="n"/>
      <c r="AG32" s="11" t="n"/>
      <c r="AH32" s="11" t="n"/>
      <c r="AI32" s="11" t="n"/>
      <c r="AJ32" s="11" t="n"/>
      <c r="AK32" s="11" t="n"/>
      <c r="AL32" s="11" t="n"/>
      <c r="AM32" s="11" t="n"/>
      <c r="AN32" s="11" t="n"/>
      <c r="AO32" s="11" t="n"/>
      <c r="AP32" s="11" t="n"/>
      <c r="AQ32" s="11" t="n"/>
      <c r="AR32" s="11" t="n"/>
      <c r="AS32" s="11" t="n"/>
      <c r="AT32" s="11" t="n"/>
      <c r="AU32" s="11" t="n"/>
    </row>
    <row r="33">
      <c r="A33" s="291" t="inlineStr">
        <is>
          <t>CAIXA M HOMEM ARANHA</t>
        </is>
      </c>
      <c r="B33" s="292" t="n">
        <v>100</v>
      </c>
      <c r="C33" s="638" t="n">
        <v>1490</v>
      </c>
      <c r="D33" s="404" t="n"/>
      <c r="R33" s="6" t="n">
        <v>5</v>
      </c>
      <c r="S33" s="6" t="n">
        <v>5</v>
      </c>
      <c r="T33" s="6" t="n">
        <v>5</v>
      </c>
      <c r="U33" s="6" t="n">
        <v>5</v>
      </c>
      <c r="V33" s="6" t="n">
        <v>5</v>
      </c>
      <c r="W33" s="6" t="n">
        <v>5</v>
      </c>
      <c r="X33" s="6" t="n">
        <v>5</v>
      </c>
      <c r="Y33" s="6" t="n">
        <v>5</v>
      </c>
      <c r="Z33" s="6" t="n">
        <v>5</v>
      </c>
      <c r="AA33" s="380">
        <f>Y33+IF(NOT(ISBLANK(OFFSET(AA33,0,6))),N(OFFSET(AA33,0,6)),N(OFFSET(AA33,0,7)))-Z33</f>
        <v/>
      </c>
      <c r="AC33" s="11" t="n"/>
      <c r="AG33" s="11" t="n"/>
      <c r="AH33" s="11" t="n"/>
      <c r="AI33" s="11" t="n"/>
      <c r="AJ33" s="11" t="n"/>
      <c r="AK33" s="11" t="n"/>
      <c r="AL33" s="11" t="n"/>
      <c r="AM33" s="11" t="n"/>
      <c r="AN33" s="11" t="n"/>
      <c r="AO33" s="11" t="n"/>
      <c r="AP33" s="11" t="n"/>
      <c r="AQ33" s="11" t="n"/>
      <c r="AR33" s="11" t="n"/>
      <c r="AS33" s="11" t="n"/>
      <c r="AT33" s="11" t="n"/>
      <c r="AU33" s="11" t="n"/>
    </row>
    <row r="34">
      <c r="AC34" s="11" t="n"/>
      <c r="AG34" s="11" t="n"/>
      <c r="AH34" s="11" t="n"/>
      <c r="AI34" s="11" t="n"/>
      <c r="AJ34" s="11" t="n"/>
      <c r="AK34" s="11" t="n"/>
      <c r="AL34" s="11" t="n"/>
      <c r="AM34" s="11" t="n"/>
      <c r="AN34" s="11" t="n"/>
      <c r="AO34" s="11" t="n"/>
      <c r="AP34" s="11" t="n"/>
      <c r="AQ34" s="11" t="n"/>
      <c r="AR34" s="11" t="n"/>
      <c r="AS34" s="11" t="n"/>
      <c r="AT34" s="11" t="n"/>
      <c r="AU34" s="11" t="n"/>
    </row>
    <row r="35" ht="22.5" customHeight="1">
      <c r="A35" s="402" t="inlineStr">
        <is>
          <t>SOBRAS DATAS COMEMORATIVAS</t>
        </is>
      </c>
      <c r="B35" s="402" t="n"/>
      <c r="C35" s="402" t="n"/>
      <c r="AG35" s="11" t="n"/>
      <c r="AH35" s="11" t="n"/>
      <c r="AI35" s="11" t="n"/>
      <c r="AJ35" s="11" t="n"/>
      <c r="AK35" s="11" t="n"/>
      <c r="AL35" s="11" t="n"/>
      <c r="AM35" s="11" t="n"/>
      <c r="AN35" s="11" t="n"/>
      <c r="AO35" s="11" t="n"/>
      <c r="AP35" s="11" t="n"/>
      <c r="AQ35" s="11" t="n"/>
      <c r="AR35" s="11" t="n"/>
      <c r="AS35" s="11" t="n"/>
      <c r="AT35" s="11" t="n"/>
      <c r="AU35" s="11" t="n"/>
    </row>
    <row r="36">
      <c r="A36" s="369" t="inlineStr">
        <is>
          <t>ITENS</t>
        </is>
      </c>
      <c r="B36" s="369" t="inlineStr">
        <is>
          <t>QTDE</t>
        </is>
      </c>
      <c r="C36" s="369" t="inlineStr">
        <is>
          <t>ESTOQUE</t>
        </is>
      </c>
      <c r="AG36" s="11" t="n"/>
      <c r="AH36" s="11" t="n"/>
      <c r="AI36" s="11" t="n"/>
      <c r="AJ36" s="11" t="n"/>
      <c r="AK36" s="11" t="n"/>
      <c r="AL36" s="11" t="n"/>
      <c r="AM36" s="11" t="n"/>
      <c r="AN36" s="11" t="n"/>
      <c r="AO36" s="11" t="n"/>
      <c r="AP36" s="11" t="n"/>
      <c r="AQ36" s="11" t="n"/>
      <c r="AR36" s="11" t="n"/>
      <c r="AS36" s="11" t="n"/>
      <c r="AT36" s="11" t="n"/>
      <c r="AU36" s="11" t="n"/>
    </row>
    <row r="37" customFormat="1" s="34">
      <c r="A37" s="156" t="n"/>
      <c r="B37" s="378" t="n"/>
      <c r="C37" s="365" t="n"/>
      <c r="E37" s="41" t="n"/>
      <c r="F37" s="41" t="n"/>
      <c r="G37" s="41" t="n"/>
      <c r="H37" s="41" t="n"/>
      <c r="I37" s="41" t="n"/>
      <c r="J37" s="41" t="n"/>
      <c r="K37" s="41" t="n"/>
      <c r="L37" s="41" t="n"/>
      <c r="M37" s="41" t="n"/>
      <c r="N37" s="41" t="n"/>
      <c r="O37" s="41" t="n"/>
      <c r="P37" s="41" t="n"/>
      <c r="Q37" s="41" t="n"/>
      <c r="R37" s="41" t="n"/>
      <c r="S37" s="41" t="n"/>
      <c r="T37" s="41" t="n"/>
      <c r="U37" s="41" t="n"/>
      <c r="V37" s="41" t="n"/>
      <c r="W37" s="41" t="n"/>
      <c r="X37" s="41" t="n"/>
      <c r="Y37" s="41" t="n"/>
      <c r="Z37" s="11" t="n"/>
      <c r="AA37" s="41" t="n"/>
      <c r="AB37" s="41" t="n"/>
      <c r="AC37" s="41" t="n"/>
      <c r="AD37" s="41" t="n"/>
      <c r="AE37" s="41" t="n"/>
      <c r="AF37" s="41" t="n"/>
      <c r="AG37" s="11" t="n"/>
      <c r="AH37" s="11" t="n"/>
      <c r="AI37" s="11" t="n"/>
      <c r="AJ37" s="11" t="n"/>
      <c r="AK37" s="11" t="n"/>
      <c r="AL37" s="11" t="n"/>
      <c r="AM37" s="11" t="n"/>
      <c r="AN37" s="11" t="n"/>
      <c r="AO37" s="11" t="n"/>
      <c r="AP37" s="11" t="n"/>
      <c r="AQ37" s="11" t="n"/>
      <c r="AR37" s="11" t="n"/>
      <c r="AS37" s="11" t="n"/>
      <c r="AT37" s="11" t="n"/>
      <c r="AU37" s="11" t="n"/>
      <c r="AV37" s="41" t="n"/>
      <c r="AW37" s="11" t="n"/>
      <c r="AX37" s="11" t="n"/>
      <c r="AY37" s="11" t="n"/>
      <c r="AZ37" s="11" t="n"/>
      <c r="BA37" s="11" t="n"/>
      <c r="BB37" s="11" t="n"/>
      <c r="BC37" s="11" t="n"/>
      <c r="BD37" s="11" t="n"/>
      <c r="BE37" s="11" t="n"/>
      <c r="DD37" s="41" t="n"/>
      <c r="DH37" s="41" t="n"/>
      <c r="DI37" s="71" t="n"/>
      <c r="DJ37" s="71" t="n"/>
      <c r="DK37" s="71" t="n"/>
      <c r="DL37" s="71" t="n"/>
      <c r="DN37" s="71" t="n"/>
      <c r="DQ37" s="71" t="n"/>
      <c r="DR37" s="71" t="n"/>
      <c r="DS37" s="71" t="n"/>
      <c r="DT37" s="374" t="n"/>
      <c r="DU37" s="373" t="n"/>
      <c r="DV37" s="71" t="n"/>
      <c r="DW37" s="71" t="n"/>
      <c r="DX37" s="71" t="n"/>
      <c r="DY37" s="71" t="n"/>
      <c r="DZ37" s="71" t="n"/>
      <c r="EA37" s="374" t="n"/>
      <c r="EB37" s="71" t="n"/>
      <c r="EC37" s="374" t="n"/>
      <c r="ED37" s="71" t="n"/>
      <c r="EE37" s="71" t="n"/>
      <c r="EF37" s="71" t="n"/>
      <c r="EG37" s="71" t="n"/>
      <c r="EH37" s="71" t="n"/>
      <c r="EI37" s="71" t="n"/>
      <c r="EJ37" s="71" t="n"/>
      <c r="EK37" s="71" t="n"/>
      <c r="EL37" s="71" t="n"/>
      <c r="EM37" s="71" t="n"/>
      <c r="EN37" s="71" t="n"/>
      <c r="EO37" s="71" t="n"/>
      <c r="EP37" s="71" t="n"/>
      <c r="EQ37" s="71" t="n"/>
      <c r="ER37" s="71" t="n"/>
      <c r="ES37" s="71" t="n"/>
      <c r="ET37" s="71" t="n"/>
      <c r="EU37" s="71" t="n"/>
      <c r="EV37" s="71" t="n"/>
      <c r="EW37" s="71" t="n"/>
      <c r="EX37" s="71" t="n"/>
      <c r="EY37" s="71" t="n"/>
      <c r="EZ37" s="71" t="n"/>
      <c r="FA37" s="71" t="n"/>
      <c r="FC37" s="71" t="n"/>
      <c r="FD37" s="71" t="n"/>
      <c r="FF37" s="71" t="n"/>
      <c r="FH37" s="71" t="n"/>
      <c r="FJ37" s="71" t="n"/>
      <c r="FK37" s="71" t="n"/>
    </row>
    <row r="38" customFormat="1" s="34">
      <c r="A38" s="156" t="n"/>
      <c r="B38" s="378" t="n"/>
      <c r="C38" s="365" t="n"/>
      <c r="E38" s="41" t="n"/>
      <c r="F38" s="41" t="n"/>
      <c r="G38" s="41" t="n"/>
      <c r="H38" s="41" t="n"/>
      <c r="I38" s="41" t="n"/>
      <c r="J38" s="41" t="n"/>
      <c r="K38" s="41" t="n"/>
      <c r="L38" s="41" t="n"/>
      <c r="M38" s="41" t="n"/>
      <c r="N38" s="41" t="n"/>
      <c r="O38" s="41" t="n"/>
      <c r="P38" s="41" t="n"/>
      <c r="Q38" s="41" t="n"/>
      <c r="R38" s="41" t="n"/>
      <c r="S38" s="41" t="n"/>
      <c r="T38" s="41" t="n"/>
      <c r="U38" s="41" t="n"/>
      <c r="V38" s="41" t="n"/>
      <c r="W38" s="41" t="n"/>
      <c r="X38" s="41" t="n"/>
      <c r="Y38" s="41" t="n"/>
      <c r="Z38" s="41" t="n"/>
      <c r="AA38" s="41" t="n"/>
      <c r="AB38" s="41" t="n"/>
      <c r="AC38" s="41" t="n"/>
      <c r="AD38" s="41" t="n"/>
      <c r="AE38" s="41" t="n"/>
      <c r="AF38" s="41" t="n"/>
      <c r="AG38" s="11" t="n"/>
      <c r="AH38" s="11" t="n"/>
      <c r="AI38" s="11" t="n"/>
      <c r="AJ38" s="11" t="n"/>
      <c r="AK38" s="11" t="n"/>
      <c r="AL38" s="11" t="n"/>
      <c r="AM38" s="11" t="n"/>
      <c r="AN38" s="11" t="n"/>
      <c r="AO38" s="11" t="n"/>
      <c r="AP38" s="11" t="n"/>
      <c r="AQ38" s="11" t="n"/>
      <c r="AR38" s="11" t="n"/>
      <c r="AS38" s="11" t="n"/>
      <c r="AT38" s="11" t="n"/>
      <c r="AU38" s="11" t="n"/>
      <c r="AV38" s="41" t="n"/>
      <c r="AW38" s="11" t="n"/>
      <c r="AX38" s="11" t="n"/>
      <c r="AY38" s="11" t="n"/>
      <c r="AZ38" s="11" t="n"/>
      <c r="BA38" s="11" t="n"/>
      <c r="BB38" s="11" t="n"/>
      <c r="BC38" s="11" t="n"/>
      <c r="BD38" s="11" t="n"/>
      <c r="BE38" s="11" t="n"/>
      <c r="DD38" s="41" t="n"/>
      <c r="DH38" s="41" t="n"/>
      <c r="DI38" s="71" t="n"/>
      <c r="DJ38" s="71" t="n"/>
      <c r="DK38" s="71" t="n"/>
      <c r="DL38" s="71" t="n"/>
      <c r="DN38" s="71" t="n"/>
      <c r="DQ38" s="71" t="n"/>
      <c r="DR38" s="71" t="n"/>
      <c r="DS38" s="71" t="n"/>
      <c r="DT38" s="374" t="n"/>
      <c r="DU38" s="373" t="n"/>
      <c r="DV38" s="71" t="n"/>
      <c r="DW38" s="71" t="n"/>
      <c r="DX38" s="71" t="n"/>
      <c r="DY38" s="71" t="n"/>
      <c r="DZ38" s="71" t="n"/>
      <c r="EA38" s="374" t="n"/>
      <c r="EB38" s="71" t="n"/>
      <c r="EC38" s="374" t="n"/>
      <c r="ED38" s="71" t="n"/>
      <c r="EE38" s="71" t="n"/>
      <c r="EF38" s="71" t="n"/>
      <c r="EG38" s="71" t="n"/>
      <c r="EH38" s="71" t="n"/>
      <c r="EI38" s="71" t="n"/>
      <c r="EJ38" s="71" t="n"/>
      <c r="EK38" s="71" t="n"/>
      <c r="EL38" s="71" t="n"/>
      <c r="EM38" s="71" t="n"/>
      <c r="EN38" s="71" t="n"/>
      <c r="EO38" s="71" t="n"/>
      <c r="EP38" s="71" t="n"/>
      <c r="EQ38" s="71" t="n"/>
      <c r="ER38" s="71" t="n"/>
      <c r="ES38" s="71" t="n"/>
      <c r="ET38" s="71" t="n"/>
      <c r="EU38" s="71" t="n"/>
      <c r="EV38" s="71" t="n"/>
      <c r="EW38" s="71" t="n"/>
      <c r="EX38" s="71" t="n"/>
      <c r="EY38" s="71" t="n"/>
      <c r="EZ38" s="71" t="n"/>
      <c r="FA38" s="71" t="n"/>
      <c r="FC38" s="71" t="n"/>
      <c r="FD38" s="71" t="n"/>
      <c r="FF38" s="71" t="n"/>
      <c r="FH38" s="71" t="n"/>
      <c r="FJ38" s="71" t="n"/>
      <c r="FK38" s="71" t="n"/>
    </row>
    <row r="39" customFormat="1" s="34">
      <c r="A39" s="244" t="n"/>
      <c r="B39" s="244" t="n"/>
      <c r="C39" s="244" t="n"/>
      <c r="E39" s="41" t="n"/>
      <c r="F39" s="41" t="n"/>
      <c r="G39" s="41" t="n"/>
      <c r="H39" s="41" t="n"/>
      <c r="I39" s="41" t="n"/>
      <c r="J39" s="41" t="n"/>
      <c r="K39" s="41" t="n"/>
      <c r="L39" s="41" t="n"/>
      <c r="M39" s="41" t="n"/>
      <c r="N39" s="41" t="n"/>
      <c r="O39" s="41" t="n"/>
      <c r="P39" s="41" t="n"/>
      <c r="Q39" s="41" t="n"/>
      <c r="R39" s="41" t="n"/>
      <c r="S39" s="41" t="n"/>
      <c r="T39" s="41" t="n"/>
      <c r="U39" s="41" t="n"/>
      <c r="V39" s="41" t="n"/>
      <c r="W39" s="41" t="n"/>
      <c r="X39" s="41" t="n"/>
      <c r="Y39" s="41" t="n"/>
      <c r="Z39" s="41" t="n"/>
      <c r="AA39" s="41" t="n"/>
      <c r="AB39" s="41" t="n"/>
      <c r="AC39" s="41" t="n"/>
      <c r="AD39" s="41" t="n"/>
      <c r="AE39" s="41" t="n"/>
      <c r="AF39" s="41" t="n"/>
      <c r="AG39" s="11" t="n"/>
      <c r="AH39" s="11" t="n"/>
      <c r="AI39" s="11" t="n"/>
      <c r="AJ39" s="11" t="n"/>
      <c r="AK39" s="11" t="n"/>
      <c r="AL39" s="11" t="n"/>
      <c r="AM39" s="11" t="n"/>
      <c r="AN39" s="11" t="n"/>
      <c r="AO39" s="11" t="n"/>
      <c r="AP39" s="11" t="n"/>
      <c r="AQ39" s="11" t="n"/>
      <c r="AR39" s="11" t="n"/>
      <c r="AS39" s="409" t="n"/>
      <c r="AT39" s="409" t="n"/>
      <c r="AU39" s="409" t="n"/>
      <c r="AV39" s="41" t="n"/>
      <c r="AW39" s="11" t="n"/>
      <c r="AX39" s="11" t="n"/>
      <c r="AY39" s="11" t="n"/>
      <c r="AZ39" s="11" t="n"/>
      <c r="BA39" s="11" t="n"/>
      <c r="BB39" s="11" t="n"/>
      <c r="BC39" s="11" t="n"/>
      <c r="BD39" s="11" t="n"/>
      <c r="BE39" s="11" t="n"/>
      <c r="DD39" s="41" t="n"/>
      <c r="DH39" s="41" t="n"/>
      <c r="DI39" s="71" t="n"/>
      <c r="DJ39" s="71" t="n"/>
      <c r="DK39" s="71" t="n"/>
      <c r="DL39" s="71" t="n"/>
      <c r="DN39" s="71" t="n"/>
      <c r="DQ39" s="71" t="n"/>
      <c r="DR39" s="71" t="n"/>
      <c r="DS39" s="71" t="n"/>
      <c r="DT39" s="374" t="n"/>
      <c r="DU39" s="373" t="n"/>
      <c r="DV39" s="71" t="n"/>
      <c r="DW39" s="71" t="n"/>
      <c r="DX39" s="71" t="n"/>
      <c r="DY39" s="71" t="n"/>
      <c r="DZ39" s="71" t="n"/>
      <c r="EA39" s="374" t="n"/>
      <c r="EB39" s="71" t="n"/>
      <c r="EC39" s="374" t="n"/>
      <c r="ED39" s="71" t="n"/>
      <c r="EE39" s="71" t="n"/>
      <c r="EF39" s="71" t="n"/>
      <c r="EG39" s="71" t="n"/>
      <c r="EH39" s="71" t="n"/>
      <c r="EI39" s="71" t="n"/>
      <c r="EJ39" s="71" t="n"/>
      <c r="EK39" s="71" t="n"/>
      <c r="EL39" s="71" t="n"/>
      <c r="EM39" s="71" t="n"/>
      <c r="EN39" s="71" t="n"/>
      <c r="EO39" s="71" t="n"/>
      <c r="EP39" s="71" t="n"/>
      <c r="EQ39" s="71" t="n"/>
      <c r="ER39" s="71" t="n"/>
      <c r="ES39" s="71" t="n"/>
      <c r="ET39" s="71" t="n"/>
      <c r="EU39" s="71" t="n"/>
      <c r="EV39" s="71" t="n"/>
      <c r="EW39" s="71" t="n"/>
      <c r="EX39" s="71" t="n"/>
      <c r="EY39" s="71" t="n"/>
      <c r="EZ39" s="71" t="n"/>
      <c r="FA39" s="71" t="n"/>
      <c r="FC39" s="71" t="n"/>
      <c r="FD39" s="71" t="n"/>
      <c r="FF39" s="71" t="n"/>
      <c r="FH39" s="71" t="n"/>
      <c r="FJ39" s="71" t="n"/>
      <c r="FK39" s="71" t="n"/>
    </row>
    <row r="40" customFormat="1" s="34">
      <c r="A40" s="160" t="inlineStr">
        <is>
          <t xml:space="preserve">SACOLA G NATAL/25 </t>
        </is>
      </c>
      <c r="B40" s="378" t="n"/>
      <c r="C40" s="365" t="n">
        <v>43</v>
      </c>
      <c r="E40" s="41" t="n"/>
      <c r="F40" s="41" t="n"/>
      <c r="G40" s="41" t="n"/>
      <c r="H40" s="41" t="n"/>
      <c r="I40" s="41" t="n"/>
      <c r="J40" s="41" t="n"/>
      <c r="K40" s="41" t="n"/>
      <c r="L40" s="41" t="n"/>
      <c r="M40" s="41" t="n"/>
      <c r="N40" s="41" t="n"/>
      <c r="O40" s="41" t="n"/>
      <c r="P40" s="41" t="n"/>
      <c r="Q40" s="41" t="n"/>
      <c r="R40" s="41" t="n"/>
      <c r="S40" s="41" t="n"/>
      <c r="T40" s="41" t="n"/>
      <c r="U40" s="41" t="n"/>
      <c r="V40" s="41" t="n"/>
      <c r="W40" s="41" t="n"/>
      <c r="X40" s="41" t="n"/>
      <c r="Y40" s="41" t="n"/>
      <c r="Z40" s="41" t="n"/>
      <c r="AA40" s="41" t="n"/>
      <c r="AB40" s="41" t="n"/>
      <c r="AC40" s="41" t="n"/>
      <c r="AD40" s="41" t="n"/>
      <c r="AE40" s="41" t="n"/>
      <c r="AF40" s="41" t="n"/>
      <c r="AG40" s="11" t="n"/>
      <c r="AH40" s="11" t="n"/>
      <c r="AI40" s="11" t="n"/>
      <c r="AJ40" s="11" t="n"/>
      <c r="AK40" s="11" t="n"/>
      <c r="AL40" s="11" t="n"/>
      <c r="AM40" s="11" t="n"/>
      <c r="AN40" s="11" t="n"/>
      <c r="AO40" s="11" t="n"/>
      <c r="AP40" s="11" t="n"/>
      <c r="AQ40" s="11" t="n"/>
      <c r="AR40" s="11" t="n"/>
      <c r="AS40" s="409" t="n"/>
      <c r="AT40" s="409" t="n"/>
      <c r="AU40" s="409" t="n"/>
      <c r="AV40" s="41" t="n"/>
      <c r="AW40" s="11" t="n"/>
      <c r="AX40" s="11" t="n"/>
      <c r="AY40" s="11" t="n"/>
      <c r="AZ40" s="11" t="n"/>
      <c r="BA40" s="11" t="n"/>
      <c r="BB40" s="11" t="n"/>
      <c r="BC40" s="11" t="n"/>
      <c r="BD40" s="11" t="n"/>
      <c r="BE40" s="11" t="n"/>
      <c r="DD40" s="41" t="n"/>
      <c r="DH40" s="41" t="n"/>
      <c r="DI40" s="71" t="n"/>
      <c r="DJ40" s="71" t="n"/>
      <c r="DK40" s="71" t="n"/>
      <c r="DL40" s="71" t="n"/>
      <c r="DN40" s="71" t="n"/>
      <c r="DQ40" s="71" t="n"/>
      <c r="DR40" s="71" t="n"/>
      <c r="DS40" s="71" t="n"/>
      <c r="DT40" s="374" t="n"/>
      <c r="DU40" s="373" t="n"/>
      <c r="DV40" s="71" t="n"/>
      <c r="DW40" s="71" t="n"/>
      <c r="DX40" s="71" t="n"/>
      <c r="DY40" s="71" t="n"/>
      <c r="DZ40" s="71" t="n"/>
      <c r="EA40" s="374" t="n"/>
      <c r="EB40" s="71" t="n"/>
      <c r="EC40" s="374" t="n"/>
      <c r="ED40" s="71" t="n"/>
      <c r="EE40" s="71" t="n"/>
      <c r="EF40" s="71" t="n"/>
      <c r="EG40" s="71" t="n"/>
      <c r="EH40" s="71" t="n"/>
      <c r="EI40" s="71" t="n"/>
      <c r="EJ40" s="71" t="n"/>
      <c r="EK40" s="71" t="n"/>
      <c r="EL40" s="71" t="n"/>
      <c r="EM40" s="71" t="n"/>
      <c r="EN40" s="71" t="n"/>
      <c r="EO40" s="71" t="n"/>
      <c r="EP40" s="71" t="n"/>
      <c r="EQ40" s="71" t="n"/>
      <c r="ER40" s="71" t="n"/>
      <c r="ES40" s="71" t="n"/>
      <c r="ET40" s="71" t="n"/>
      <c r="EU40" s="71" t="n"/>
      <c r="EV40" s="71" t="n"/>
      <c r="EW40" s="71" t="n"/>
      <c r="EX40" s="71" t="n"/>
      <c r="EY40" s="71" t="n"/>
      <c r="EZ40" s="71" t="n"/>
      <c r="FA40" s="71" t="n"/>
      <c r="FC40" s="71" t="n"/>
      <c r="FD40" s="71" t="n"/>
      <c r="FF40" s="71" t="n"/>
      <c r="FH40" s="71" t="n"/>
      <c r="FJ40" s="71" t="n"/>
      <c r="FK40" s="71" t="n"/>
    </row>
    <row r="41" customFormat="1" s="34">
      <c r="A41" s="244" t="n"/>
      <c r="B41" s="244" t="n"/>
      <c r="C41" s="244" t="n"/>
      <c r="E41" s="41" t="n"/>
      <c r="F41" s="41" t="n"/>
      <c r="G41" s="41" t="n"/>
      <c r="H41" s="41" t="n"/>
      <c r="I41" s="41" t="n"/>
      <c r="J41" s="41" t="n"/>
      <c r="K41" s="41" t="n"/>
      <c r="L41" s="41" t="n"/>
      <c r="M41" s="41" t="n"/>
      <c r="N41" s="41" t="n"/>
      <c r="O41" s="41" t="n"/>
      <c r="P41" s="41" t="n"/>
      <c r="Q41" s="41" t="n"/>
      <c r="R41" s="41" t="n"/>
      <c r="S41" s="41" t="n"/>
      <c r="T41" s="41" t="n"/>
      <c r="U41" s="41" t="n"/>
      <c r="V41" s="41" t="n"/>
      <c r="W41" s="41" t="n"/>
      <c r="X41" s="41" t="n"/>
      <c r="Y41" s="41" t="n"/>
      <c r="Z41" s="41" t="n"/>
      <c r="AA41" s="41" t="n"/>
      <c r="AB41" s="41" t="n"/>
      <c r="AC41" s="41" t="n"/>
      <c r="AD41" s="41" t="n"/>
      <c r="AE41" s="41" t="n"/>
      <c r="AF41" s="41" t="n"/>
      <c r="AG41" s="409" t="n"/>
      <c r="AH41" s="409" t="n"/>
      <c r="AI41" s="409" t="n"/>
      <c r="AJ41" s="409" t="n"/>
      <c r="AK41" s="409" t="n"/>
      <c r="AL41" s="409" t="n"/>
      <c r="AM41" s="409" t="n"/>
      <c r="AN41" s="409" t="n"/>
      <c r="AO41" s="409" t="n"/>
      <c r="AP41" s="11" t="n"/>
      <c r="AQ41" s="11" t="n"/>
      <c r="AR41" s="11" t="n"/>
      <c r="AS41" s="41" t="n"/>
      <c r="AT41" s="41" t="n"/>
      <c r="AU41" s="41" t="n"/>
      <c r="AV41" s="41" t="n"/>
      <c r="AW41" s="11" t="n"/>
      <c r="AX41" s="11" t="n"/>
      <c r="AY41" s="11" t="n"/>
      <c r="AZ41" s="11" t="n"/>
      <c r="BA41" s="11" t="n"/>
      <c r="BB41" s="11" t="n"/>
      <c r="BC41" s="11" t="n"/>
      <c r="BD41" s="41" t="n"/>
      <c r="BE41" s="11" t="n"/>
      <c r="DD41" s="41" t="n"/>
      <c r="DH41" s="41" t="n"/>
      <c r="DI41" s="71" t="n"/>
      <c r="DJ41" s="71" t="n"/>
      <c r="DK41" s="71" t="n"/>
      <c r="DL41" s="71" t="n"/>
      <c r="DN41" s="71" t="n"/>
      <c r="DQ41" s="71" t="n"/>
      <c r="DR41" s="71" t="n"/>
      <c r="DS41" s="71" t="n"/>
      <c r="DT41" s="374" t="n"/>
      <c r="DU41" s="373" t="n"/>
      <c r="DV41" s="71" t="n"/>
      <c r="DW41" s="71" t="n"/>
      <c r="DX41" s="71" t="n"/>
      <c r="DY41" s="71" t="n"/>
      <c r="DZ41" s="71" t="n"/>
      <c r="EA41" s="374" t="n"/>
      <c r="EB41" s="71" t="n"/>
      <c r="EC41" s="374" t="n"/>
      <c r="ED41" s="71" t="n"/>
      <c r="EE41" s="71" t="n"/>
      <c r="EF41" s="71" t="n"/>
      <c r="EG41" s="71" t="n"/>
      <c r="EH41" s="71" t="n"/>
      <c r="EI41" s="71" t="n"/>
      <c r="EJ41" s="71" t="n"/>
      <c r="EK41" s="71" t="n"/>
      <c r="EL41" s="71" t="n"/>
      <c r="EM41" s="71" t="n"/>
      <c r="EN41" s="71" t="n"/>
      <c r="EO41" s="71" t="n"/>
      <c r="EP41" s="71" t="n"/>
      <c r="EQ41" s="71" t="n"/>
      <c r="ER41" s="71" t="n"/>
      <c r="ES41" s="71" t="n"/>
      <c r="ET41" s="71" t="n"/>
      <c r="EU41" s="71" t="n"/>
      <c r="EV41" s="71" t="n"/>
      <c r="EW41" s="71" t="n"/>
      <c r="EX41" s="71" t="n"/>
      <c r="EY41" s="71" t="n"/>
      <c r="EZ41" s="71" t="n"/>
      <c r="FA41" s="71" t="n"/>
      <c r="FC41" s="71" t="n"/>
      <c r="FD41" s="71" t="n"/>
      <c r="FF41" s="71" t="n"/>
      <c r="FH41" s="71" t="n"/>
      <c r="FJ41" s="71" t="n"/>
      <c r="FK41" s="71" t="n"/>
    </row>
    <row r="42" customFormat="1" s="34">
      <c r="A42" s="659" t="n"/>
      <c r="B42" s="378" t="n"/>
      <c r="C42" s="365" t="n"/>
      <c r="E42" s="41" t="n"/>
      <c r="F42" s="41" t="n"/>
      <c r="G42" s="41" t="n"/>
      <c r="H42" s="41" t="n"/>
      <c r="I42" s="41" t="n"/>
      <c r="J42" s="41" t="n"/>
      <c r="K42" s="41" t="n"/>
      <c r="L42" s="41" t="n"/>
      <c r="M42" s="41" t="n"/>
      <c r="N42" s="41" t="n"/>
      <c r="O42" s="41" t="n"/>
      <c r="P42" s="41" t="n"/>
      <c r="Q42" s="41" t="n"/>
      <c r="R42" s="41" t="n"/>
      <c r="S42" s="41" t="n"/>
      <c r="T42" s="41" t="n"/>
      <c r="U42" s="41" t="n"/>
      <c r="V42" s="41" t="n"/>
      <c r="W42" s="41" t="n"/>
      <c r="X42" s="41" t="n"/>
      <c r="Y42" s="41" t="n"/>
      <c r="Z42" s="41" t="n"/>
      <c r="AA42" s="41" t="n"/>
      <c r="AB42" s="41" t="n"/>
      <c r="AC42" s="41" t="n"/>
      <c r="AD42" s="41" t="n"/>
      <c r="AE42" s="41" t="n"/>
      <c r="AF42" s="41" t="n"/>
      <c r="AG42" s="409" t="n"/>
      <c r="AH42" s="409" t="n"/>
      <c r="AI42" s="409" t="n"/>
      <c r="AJ42" s="409" t="n"/>
      <c r="AK42" s="409" t="n"/>
      <c r="AL42" s="409" t="n"/>
      <c r="AM42" s="409" t="n"/>
      <c r="AN42" s="409" t="n"/>
      <c r="AO42" s="409" t="n"/>
      <c r="AP42" s="11" t="n"/>
      <c r="AQ42" s="11" t="n"/>
      <c r="AR42" s="11" t="n"/>
      <c r="AS42" s="41" t="n"/>
      <c r="AT42" s="41" t="n"/>
      <c r="AU42" s="41" t="n"/>
      <c r="AV42" s="41" t="n"/>
      <c r="AW42" s="11" t="n"/>
      <c r="AX42" s="11" t="n"/>
      <c r="AY42" s="11" t="n"/>
      <c r="AZ42" s="11" t="n"/>
      <c r="BA42" s="11" t="n"/>
      <c r="BB42" s="11" t="n"/>
      <c r="BC42" s="11" t="n"/>
      <c r="BD42" s="41" t="n"/>
      <c r="BE42" s="11" t="n"/>
      <c r="DD42" s="41" t="n"/>
      <c r="DH42" s="41" t="n"/>
      <c r="DI42" s="71" t="n"/>
      <c r="DJ42" s="71" t="n"/>
      <c r="DK42" s="71" t="n"/>
      <c r="DL42" s="71" t="n"/>
      <c r="DN42" s="71" t="n"/>
      <c r="DQ42" s="71" t="n"/>
      <c r="DR42" s="71" t="n"/>
      <c r="DS42" s="71" t="n"/>
      <c r="DT42" s="374" t="n"/>
      <c r="DU42" s="373" t="n"/>
      <c r="DV42" s="71" t="n"/>
      <c r="DW42" s="71" t="n"/>
      <c r="DX42" s="71" t="n"/>
      <c r="DY42" s="71" t="n"/>
      <c r="DZ42" s="71" t="n"/>
      <c r="EA42" s="374" t="n"/>
      <c r="EB42" s="71" t="n"/>
      <c r="EC42" s="374" t="n"/>
      <c r="ED42" s="71" t="n"/>
      <c r="EE42" s="71" t="n"/>
      <c r="EF42" s="71" t="n"/>
      <c r="EG42" s="71" t="n"/>
      <c r="EH42" s="71" t="n"/>
      <c r="EI42" s="71" t="n"/>
      <c r="EJ42" s="71" t="n"/>
      <c r="EK42" s="71" t="n"/>
      <c r="EL42" s="71" t="n"/>
      <c r="EM42" s="71" t="n"/>
      <c r="EN42" s="71" t="n"/>
      <c r="EO42" s="71" t="n"/>
      <c r="EP42" s="71" t="n"/>
      <c r="EQ42" s="71" t="n"/>
      <c r="ER42" s="71" t="n"/>
      <c r="ES42" s="71" t="n"/>
      <c r="ET42" s="71" t="n"/>
      <c r="EU42" s="71" t="n"/>
      <c r="EV42" s="71" t="n"/>
      <c r="EW42" s="71" t="n"/>
      <c r="EX42" s="71" t="n"/>
      <c r="EY42" s="71" t="n"/>
      <c r="EZ42" s="71" t="n"/>
      <c r="FA42" s="71" t="n"/>
      <c r="FC42" s="71" t="n"/>
      <c r="FD42" s="71" t="n"/>
      <c r="FF42" s="71" t="n"/>
      <c r="FH42" s="71" t="n"/>
      <c r="FJ42" s="71" t="n"/>
      <c r="FK42" s="71" t="n"/>
    </row>
    <row r="43" customFormat="1" s="34">
      <c r="A43" s="659" t="n"/>
      <c r="B43" s="378" t="n"/>
      <c r="C43" s="365" t="n"/>
      <c r="E43" s="41" t="n"/>
      <c r="F43" s="41" t="n"/>
      <c r="G43" s="41" t="n"/>
      <c r="H43" s="41" t="n"/>
      <c r="I43" s="41" t="n"/>
      <c r="J43" s="41" t="n"/>
      <c r="K43" s="41" t="n"/>
      <c r="L43" s="41" t="n"/>
      <c r="M43" s="41" t="n"/>
      <c r="N43" s="41" t="n"/>
      <c r="O43" s="41" t="n"/>
      <c r="P43" s="41" t="n"/>
      <c r="Q43" s="41" t="n"/>
      <c r="R43" s="41" t="n"/>
      <c r="S43" s="41" t="n"/>
      <c r="T43" s="41" t="n"/>
      <c r="U43" s="41" t="n"/>
      <c r="V43" s="41" t="n"/>
      <c r="W43" s="41" t="n"/>
      <c r="X43" s="41" t="n"/>
      <c r="Y43" s="41" t="n"/>
      <c r="Z43" s="41" t="n"/>
      <c r="AA43" s="41" t="n"/>
      <c r="AB43" s="41" t="n"/>
      <c r="AC43" s="41" t="n"/>
      <c r="AD43" s="41" t="n"/>
      <c r="AE43" s="41" t="n"/>
      <c r="AF43" s="41" t="n"/>
      <c r="AG43" s="41" t="n"/>
      <c r="AH43" s="41" t="n"/>
      <c r="AI43" s="41" t="n"/>
      <c r="AJ43" s="41" t="n"/>
      <c r="AK43" s="41" t="n"/>
      <c r="AL43" s="41" t="n"/>
      <c r="AM43" s="41" t="n"/>
      <c r="AN43" s="41" t="n"/>
      <c r="AO43" s="41" t="n"/>
      <c r="AP43" s="11" t="n"/>
      <c r="AQ43" s="11" t="n"/>
      <c r="AR43" s="11" t="n"/>
      <c r="AS43" s="41" t="n"/>
      <c r="AT43" s="41" t="n"/>
      <c r="AU43" s="41" t="n"/>
      <c r="AV43" s="41" t="n"/>
      <c r="AW43" s="41" t="n"/>
      <c r="AX43" s="41" t="n"/>
      <c r="AY43" s="41" t="n"/>
      <c r="AZ43" s="41" t="n"/>
      <c r="BA43" s="41" t="n"/>
      <c r="BB43" s="41" t="n"/>
      <c r="BC43" s="41" t="n"/>
      <c r="BD43" s="41" t="n"/>
      <c r="BE43" s="41" t="n"/>
      <c r="DD43" s="41" t="n"/>
      <c r="DH43" s="41" t="n"/>
      <c r="DI43" s="71" t="n"/>
      <c r="DJ43" s="71" t="n"/>
      <c r="DK43" s="71" t="n"/>
      <c r="DL43" s="71" t="n"/>
      <c r="DN43" s="71" t="n"/>
      <c r="DQ43" s="71" t="n"/>
      <c r="DR43" s="71" t="n"/>
      <c r="DS43" s="71" t="n"/>
      <c r="DT43" s="374" t="n"/>
      <c r="DU43" s="373" t="n"/>
      <c r="DV43" s="71" t="n"/>
      <c r="DW43" s="71" t="n"/>
      <c r="DX43" s="71" t="n"/>
      <c r="DY43" s="71" t="n"/>
      <c r="DZ43" s="71" t="n"/>
      <c r="EA43" s="374" t="n"/>
      <c r="EB43" s="71" t="n"/>
      <c r="EC43" s="374" t="n"/>
      <c r="ED43" s="71" t="n"/>
      <c r="EE43" s="71" t="n"/>
      <c r="EF43" s="71" t="n"/>
      <c r="EG43" s="71" t="n"/>
      <c r="EH43" s="71" t="n"/>
      <c r="EI43" s="71" t="n"/>
      <c r="EJ43" s="71" t="n"/>
      <c r="EK43" s="71" t="n"/>
      <c r="EL43" s="71" t="n"/>
      <c r="EM43" s="71" t="n"/>
      <c r="EN43" s="71" t="n"/>
      <c r="EO43" s="71" t="n"/>
      <c r="EP43" s="71" t="n"/>
      <c r="EQ43" s="71" t="n"/>
      <c r="ER43" s="71" t="n"/>
      <c r="ES43" s="71" t="n"/>
      <c r="ET43" s="71" t="n"/>
      <c r="EU43" s="71" t="n"/>
      <c r="EV43" s="71" t="n"/>
      <c r="EW43" s="71" t="n"/>
      <c r="EX43" s="71" t="n"/>
      <c r="EY43" s="71" t="n"/>
      <c r="EZ43" s="71" t="n"/>
      <c r="FA43" s="71" t="n"/>
      <c r="FC43" s="71" t="n"/>
      <c r="FD43" s="71" t="n"/>
      <c r="FF43" s="71" t="n"/>
      <c r="FH43" s="71" t="n"/>
      <c r="FJ43" s="71" t="n"/>
      <c r="FK43" s="71" t="n"/>
    </row>
    <row r="44" customFormat="1" s="34">
      <c r="A44" s="62" t="n"/>
      <c r="B44" s="41" t="n"/>
      <c r="C44" s="41" t="n"/>
      <c r="D44" s="41" t="n"/>
      <c r="E44" s="41" t="n"/>
      <c r="F44" s="41" t="n"/>
      <c r="G44" s="41" t="n"/>
      <c r="H44" s="41" t="n"/>
      <c r="I44" s="41" t="n"/>
      <c r="J44" s="41" t="n"/>
      <c r="K44" s="41" t="n"/>
      <c r="L44" s="41" t="n"/>
      <c r="M44" s="41" t="n"/>
      <c r="N44" s="41" t="n"/>
      <c r="O44" s="41" t="n"/>
      <c r="P44" s="41" t="n"/>
      <c r="Q44" s="41" t="n"/>
      <c r="R44" s="41" t="n"/>
      <c r="S44" s="41" t="n"/>
      <c r="T44" s="41" t="n"/>
      <c r="U44" s="41" t="n"/>
      <c r="V44" s="41" t="n"/>
      <c r="W44" s="41" t="n"/>
      <c r="X44" s="41" t="n"/>
      <c r="Y44" s="41" t="n"/>
      <c r="Z44" s="41" t="n"/>
      <c r="AA44" s="41" t="n"/>
      <c r="AB44" s="41" t="n"/>
      <c r="AC44" s="41" t="n"/>
      <c r="AF44" s="41" t="n"/>
      <c r="AG44" s="41" t="n"/>
      <c r="AH44" s="41" t="n"/>
      <c r="AI44" s="41" t="n"/>
      <c r="AJ44" s="41" t="n"/>
      <c r="AK44" s="41" t="n"/>
      <c r="AL44" s="41" t="n"/>
      <c r="AM44" s="41" t="n"/>
      <c r="AN44" s="41" t="n"/>
      <c r="AO44" s="41" t="n"/>
      <c r="AP44" s="11" t="n"/>
      <c r="AQ44" s="11" t="n"/>
      <c r="AR44" s="11" t="n"/>
      <c r="AS44" s="41" t="n"/>
      <c r="AT44" s="41" t="n"/>
      <c r="AU44" s="41" t="n"/>
      <c r="AW44" s="41" t="n"/>
      <c r="AX44" s="41" t="n"/>
      <c r="AY44" s="41" t="n"/>
      <c r="AZ44" s="41" t="n"/>
      <c r="BA44" s="41" t="n"/>
      <c r="BB44" s="41" t="n"/>
      <c r="BC44" s="41" t="n"/>
      <c r="BD44" s="41" t="n"/>
      <c r="BE44" s="41" t="n"/>
    </row>
    <row r="45">
      <c r="A45" s="642" t="inlineStr">
        <is>
          <t>FLACONETES</t>
        </is>
      </c>
      <c r="B45" s="625" t="n"/>
      <c r="C45" s="625" t="n"/>
      <c r="D45" s="641" t="n"/>
      <c r="F45" s="660" t="n">
        <v>46013</v>
      </c>
      <c r="G45" s="643" t="n">
        <v>46020</v>
      </c>
      <c r="H45" s="643" t="n">
        <v>46027</v>
      </c>
      <c r="I45" s="643" t="n">
        <v>46034</v>
      </c>
      <c r="J45" s="643" t="n">
        <v>46041</v>
      </c>
      <c r="K45" s="643" t="n">
        <v>46048</v>
      </c>
      <c r="L45" s="643" t="n">
        <v>46055</v>
      </c>
      <c r="M45" s="643" t="n">
        <v>46062</v>
      </c>
      <c r="N45" s="643" t="n">
        <v>46069</v>
      </c>
      <c r="O45" s="643" t="n">
        <v>46076</v>
      </c>
      <c r="P45" s="643" t="n">
        <v>46083</v>
      </c>
      <c r="Q45" s="643" t="n">
        <v>46090</v>
      </c>
      <c r="R45" s="643" t="n">
        <v>46097</v>
      </c>
      <c r="S45" s="643" t="n">
        <v>46104</v>
      </c>
      <c r="T45" s="643" t="n">
        <v>46111</v>
      </c>
      <c r="U45" s="643" t="n">
        <v>46118</v>
      </c>
      <c r="V45" s="643" t="n">
        <v>46125</v>
      </c>
      <c r="W45" s="643" t="n">
        <v>46132</v>
      </c>
      <c r="X45" s="643" t="n">
        <v>46139</v>
      </c>
      <c r="Y45" s="643" t="n">
        <v>46146</v>
      </c>
      <c r="Z45" s="643" t="n">
        <v>46154</v>
      </c>
      <c r="AC45" s="41" t="n"/>
      <c r="AG45" s="41" t="n"/>
      <c r="AH45" s="41" t="n"/>
      <c r="AI45" s="41" t="n"/>
      <c r="AJ45" s="41" t="n"/>
      <c r="AK45" s="41" t="n"/>
      <c r="AL45" s="41" t="n"/>
      <c r="AM45" s="41" t="n"/>
      <c r="AN45" s="41" t="n"/>
      <c r="AO45" s="41" t="n"/>
      <c r="AP45" s="11" t="n"/>
      <c r="AQ45" s="11" t="n"/>
      <c r="AR45" s="11" t="n"/>
      <c r="AW45" s="41" t="n"/>
      <c r="AX45" s="41" t="n"/>
      <c r="AY45" s="41" t="n"/>
      <c r="AZ45" s="41" t="n"/>
      <c r="BA45" s="41" t="n"/>
      <c r="BB45" s="41" t="n"/>
      <c r="BC45" s="41" t="n"/>
      <c r="BE45" s="41" t="n"/>
    </row>
    <row r="46">
      <c r="A46" s="645" t="inlineStr">
        <is>
          <t>HADYA</t>
        </is>
      </c>
      <c r="B46" s="625" t="n"/>
      <c r="C46" s="625" t="n"/>
      <c r="D46" s="641" t="n"/>
      <c r="F46" s="290" t="n">
        <v>25</v>
      </c>
      <c r="G46" s="366" t="n">
        <v>25</v>
      </c>
      <c r="H46" s="366" t="n">
        <v>25</v>
      </c>
      <c r="I46" s="366" t="n">
        <v>25</v>
      </c>
      <c r="J46" s="366" t="n">
        <v>23</v>
      </c>
      <c r="K46" s="366" t="n">
        <v>20</v>
      </c>
      <c r="L46" s="366" t="n">
        <v>24</v>
      </c>
      <c r="M46" s="366" t="n">
        <v>24</v>
      </c>
      <c r="N46" s="366" t="n">
        <v>24</v>
      </c>
      <c r="O46" s="366" t="n">
        <v>24</v>
      </c>
      <c r="P46" s="366" t="n">
        <v>24</v>
      </c>
      <c r="Q46" s="366" t="n">
        <v>24</v>
      </c>
      <c r="R46" s="366" t="n">
        <v>24</v>
      </c>
      <c r="S46" s="366" t="n">
        <v>24</v>
      </c>
      <c r="T46" s="366" t="n">
        <v>24</v>
      </c>
      <c r="U46" s="366" t="n">
        <v>0</v>
      </c>
      <c r="V46" s="366" t="n">
        <v>17</v>
      </c>
      <c r="W46" s="366" t="n">
        <v>17</v>
      </c>
      <c r="X46" s="366" t="n">
        <v>17</v>
      </c>
      <c r="Y46" s="366" t="n">
        <v>17</v>
      </c>
      <c r="Z46" s="366" t="n">
        <v>17</v>
      </c>
      <c r="AG46" s="41" t="n"/>
      <c r="AH46" s="41" t="n"/>
      <c r="AI46" s="41" t="n"/>
      <c r="AJ46" s="41" t="n"/>
      <c r="AK46" s="41" t="n"/>
      <c r="AL46" s="41" t="n"/>
      <c r="AM46" s="41" t="n"/>
      <c r="AN46" s="41" t="n"/>
      <c r="AO46" s="41" t="n"/>
      <c r="AW46" s="41" t="n"/>
      <c r="AX46" s="41" t="n"/>
      <c r="AY46" s="41" t="n"/>
      <c r="AZ46" s="41" t="n"/>
      <c r="BA46" s="41" t="n"/>
      <c r="BB46" s="41" t="n"/>
      <c r="BC46" s="41" t="n"/>
      <c r="BE46" s="41" t="n"/>
    </row>
    <row r="47">
      <c r="A47" s="645" t="inlineStr">
        <is>
          <t>EGEO DOLCE ILUSION</t>
        </is>
      </c>
      <c r="B47" s="625" t="n"/>
      <c r="C47" s="625" t="n"/>
      <c r="D47" s="641" t="n"/>
      <c r="F47" s="290" t="n">
        <v>50</v>
      </c>
      <c r="G47" s="366" t="n">
        <v>50</v>
      </c>
      <c r="H47" s="366" t="n">
        <v>50</v>
      </c>
      <c r="I47" s="366" t="n">
        <v>50</v>
      </c>
      <c r="J47" s="366" t="n">
        <v>46</v>
      </c>
      <c r="K47" s="366" t="n">
        <v>42</v>
      </c>
      <c r="L47" s="366" t="n">
        <v>45</v>
      </c>
      <c r="M47" s="366" t="n">
        <v>45</v>
      </c>
      <c r="N47" s="366" t="n">
        <v>45</v>
      </c>
      <c r="O47" s="366" t="n">
        <v>45</v>
      </c>
      <c r="P47" s="366" t="n">
        <v>45</v>
      </c>
      <c r="Q47" s="366" t="n">
        <v>45</v>
      </c>
      <c r="R47" s="366" t="n">
        <v>45</v>
      </c>
      <c r="S47" s="366" t="n">
        <v>45</v>
      </c>
      <c r="T47" s="366" t="n">
        <v>45</v>
      </c>
      <c r="U47" s="366" t="n">
        <v>0</v>
      </c>
      <c r="V47" s="366" t="n">
        <v>32</v>
      </c>
      <c r="W47" s="366" t="n">
        <v>32</v>
      </c>
      <c r="X47" s="366" t="n">
        <v>32</v>
      </c>
      <c r="Y47" s="366" t="n">
        <v>32</v>
      </c>
      <c r="Z47" s="366" t="n">
        <v>32</v>
      </c>
    </row>
    <row r="48">
      <c r="A48" s="645" t="n"/>
      <c r="B48" s="625" t="n"/>
      <c r="C48" s="625" t="n"/>
      <c r="D48" s="641" t="n"/>
      <c r="F48" s="290" t="n"/>
      <c r="G48" s="366" t="n"/>
      <c r="H48" s="366" t="n"/>
      <c r="I48" s="366" t="n"/>
      <c r="J48" s="366" t="n"/>
      <c r="K48" s="366" t="n"/>
      <c r="L48" s="366" t="n"/>
      <c r="M48" s="366" t="n"/>
      <c r="N48" s="366" t="n"/>
      <c r="O48" s="366" t="n"/>
      <c r="P48" s="366" t="n"/>
      <c r="Q48" s="366" t="n"/>
      <c r="R48" s="366" t="n"/>
      <c r="S48" s="366" t="n"/>
      <c r="T48" s="366" t="n"/>
      <c r="U48" s="366" t="n">
        <v>0</v>
      </c>
      <c r="V48" s="366" t="n">
        <v>37</v>
      </c>
      <c r="W48" s="366" t="n">
        <v>37</v>
      </c>
      <c r="X48" s="366" t="n">
        <v>37</v>
      </c>
      <c r="Y48" s="366" t="n">
        <v>37</v>
      </c>
      <c r="Z48" s="366" t="n">
        <v>37</v>
      </c>
    </row>
    <row r="49">
      <c r="AG49" s="11" t="n"/>
      <c r="AH49" s="11" t="n"/>
      <c r="AI49" s="11" t="n"/>
      <c r="AJ49" s="11" t="n"/>
      <c r="AK49" s="11" t="n"/>
      <c r="AL49" s="11" t="n"/>
      <c r="AM49" s="11" t="n"/>
      <c r="AN49" s="11" t="n"/>
      <c r="AO49" s="11" t="n"/>
    </row>
  </sheetData>
  <mergeCells count="11">
    <mergeCell ref="A5:A6"/>
    <mergeCell ref="A45:D45"/>
    <mergeCell ref="B3:D3"/>
    <mergeCell ref="A48:D48"/>
    <mergeCell ref="AW7:BE7"/>
    <mergeCell ref="C5:C6"/>
    <mergeCell ref="A47:D47"/>
    <mergeCell ref="A46:D46"/>
    <mergeCell ref="B5:B6"/>
    <mergeCell ref="B2:D2"/>
    <mergeCell ref="D5:D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69" fitToHeight="0"/>
</worksheet>
</file>

<file path=xl/worksheets/sheet18.xml><?xml version="1.0" encoding="utf-8"?>
<worksheet xmlns="http://schemas.openxmlformats.org/spreadsheetml/2006/main">
  <sheetPr codeName="Planilha47">
    <tabColor theme="9"/>
    <outlinePr summaryBelow="1" summaryRight="1"/>
    <pageSetUpPr/>
  </sheetPr>
  <dimension ref="A1:BO121"/>
  <sheetViews>
    <sheetView showGridLines="0" topLeftCell="A4" zoomScale="80" zoomScaleNormal="80" zoomScaleSheetLayoutView="70" workbookViewId="0">
      <selection activeCell="BG21" sqref="BG21:BH22"/>
    </sheetView>
  </sheetViews>
  <sheetFormatPr baseColWidth="8" defaultColWidth="9.140625" defaultRowHeight="18.75"/>
  <cols>
    <col width="26.7109375" customWidth="1" min="1" max="1"/>
    <col width="8.7109375" customWidth="1" min="2" max="2"/>
    <col width="15.28515625" customWidth="1" min="3" max="3"/>
    <col width="1.5703125" customWidth="1" min="5" max="5"/>
    <col hidden="1" width="9.28515625" customWidth="1" min="6" max="6"/>
    <col hidden="1" width="13" customWidth="1" min="7" max="7"/>
    <col hidden="1" width="13" customWidth="1" min="8" max="8"/>
    <col hidden="1" width="13" customWidth="1" min="9" max="9"/>
    <col hidden="1" width="13" customWidth="1" min="10" max="10"/>
    <col hidden="1" width="13" customWidth="1" min="11" max="11"/>
    <col hidden="1" width="13" customWidth="1" min="12" max="12"/>
    <col hidden="1" width="13" customWidth="1" min="13" max="13"/>
    <col hidden="1" width="13" customWidth="1" min="14" max="14"/>
    <col hidden="1" width="1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9.28515625" customWidth="1" min="26" max="26"/>
    <col hidden="1" width="13" customWidth="1" min="27" max="27"/>
    <col hidden="1" width="13" customWidth="1" min="28" max="28"/>
    <col width="13" customWidth="1" min="29" max="29"/>
    <col width="13" customWidth="1" min="30" max="30"/>
    <col width="8.7109375" customWidth="1" min="31" max="31"/>
    <col width="1.7109375" customWidth="1" min="32" max="32"/>
    <col width="14.28515625" customWidth="1" min="33" max="33"/>
    <col width="1.28515625" customWidth="1" min="34" max="34"/>
    <col width="15.85546875" customWidth="1" min="35" max="35"/>
    <col width="1.7109375" customWidth="1" min="36" max="36"/>
    <col width="8.7109375" customWidth="1" min="37" max="37"/>
    <col width="13" customWidth="1" min="38" max="38"/>
    <col width="11.7109375" customWidth="1" min="39" max="39"/>
    <col hidden="1" width="8.7109375" customWidth="1" min="40" max="40"/>
    <col hidden="1" width="13" customWidth="1" min="41" max="41"/>
    <col hidden="1" width="13" customWidth="1" min="42" max="42"/>
    <col hidden="1" width="8.7109375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13" customWidth="1" min="50" max="50"/>
    <col hidden="1" width="13" customWidth="1" min="51" max="51"/>
    <col hidden="1" width="13" customWidth="1" min="52" max="52"/>
    <col hidden="1" width="13" customWidth="1" min="53" max="53"/>
    <col width="9.140625" customWidth="1" min="54" max="54"/>
    <col width="21.85546875" customWidth="1" min="55" max="55"/>
    <col width="9.140625" customWidth="1" min="56" max="56"/>
    <col hidden="1" width="13" customWidth="1" min="57" max="57"/>
    <col hidden="1" width="13" customWidth="1" min="58" max="58"/>
    <col hidden="1" width="13" customWidth="1" min="59" max="59"/>
    <col hidden="1" width="13" customWidth="1" min="60" max="60"/>
    <col hidden="1" width="13" customWidth="1" min="61" max="61"/>
    <col hidden="1" width="9.140625" customWidth="1" min="62" max="62"/>
    <col hidden="1" width="13" customWidth="1" min="63" max="63"/>
    <col hidden="1" width="13" customWidth="1" min="64" max="64"/>
    <col width="13" customWidth="1" min="65" max="65"/>
    <col width="13" customWidth="1" min="66" max="66"/>
  </cols>
  <sheetData>
    <row r="1" ht="23.25" customHeight="1">
      <c r="A1" s="362" t="inlineStr">
        <is>
          <t>Controle de Contagem Semanal - Antilhas</t>
        </is>
      </c>
      <c r="B1" s="362" t="n"/>
      <c r="C1" s="362" t="n"/>
      <c r="D1" s="362" t="n"/>
      <c r="E1" s="362" t="n"/>
      <c r="F1" s="361" t="n"/>
      <c r="G1" s="361" t="n"/>
      <c r="H1" s="361" t="n"/>
      <c r="I1" s="361" t="n"/>
      <c r="J1" s="361" t="n"/>
      <c r="K1" s="361" t="n"/>
      <c r="L1" s="361" t="n"/>
      <c r="M1" s="361" t="n"/>
      <c r="N1" s="361" t="n"/>
      <c r="O1" s="361" t="n"/>
      <c r="P1" s="361" t="n"/>
      <c r="Q1" s="361" t="n"/>
      <c r="R1" s="361" t="n"/>
      <c r="S1" s="361" t="n"/>
      <c r="T1" s="361" t="n"/>
      <c r="U1" s="361" t="n"/>
      <c r="V1" s="361" t="n"/>
      <c r="W1" s="361" t="n"/>
      <c r="X1" s="361" t="n"/>
      <c r="Y1" s="361" t="n"/>
      <c r="Z1" s="361" t="n"/>
      <c r="AA1" s="361" t="n"/>
      <c r="AB1" s="361" t="n"/>
      <c r="AC1" s="361" t="n"/>
      <c r="AD1" s="361" t="n"/>
      <c r="AE1" s="362" t="n"/>
      <c r="AF1" s="362" t="n"/>
      <c r="AG1" s="361" t="n"/>
      <c r="AH1" s="362" t="n"/>
      <c r="AI1" s="362" t="n"/>
      <c r="AJ1" s="361" t="n"/>
      <c r="AK1" s="361" t="n"/>
      <c r="AL1" s="361" t="n"/>
      <c r="AM1" s="361" t="n"/>
      <c r="AN1" s="361" t="n"/>
      <c r="AO1" s="361" t="n"/>
      <c r="AP1" s="361" t="n"/>
      <c r="AQ1" s="361" t="n"/>
      <c r="AR1" s="361" t="n"/>
      <c r="AS1" s="361" t="n"/>
      <c r="AT1" s="361" t="n"/>
      <c r="AU1" s="361" t="n"/>
      <c r="AV1" s="361" t="n"/>
      <c r="AW1" s="361" t="n"/>
      <c r="AX1" s="361" t="n"/>
      <c r="AY1" s="361" t="n"/>
      <c r="AZ1" s="361" t="n"/>
      <c r="BA1" s="361" t="n"/>
    </row>
    <row r="2">
      <c r="A2" s="63" t="inlineStr">
        <is>
          <t>LOJA:</t>
        </is>
      </c>
      <c r="B2" s="604" t="inlineStr">
        <is>
          <t>DOIS CÓRREGOS</t>
        </is>
      </c>
      <c r="C2" s="605" t="n"/>
      <c r="D2" s="606" t="n"/>
      <c r="AG2" s="11" t="n"/>
      <c r="AI2" s="70" t="n"/>
    </row>
    <row r="3">
      <c r="A3" s="63" t="inlineStr">
        <is>
          <t>Responsável:</t>
        </is>
      </c>
      <c r="B3" s="607" t="inlineStr">
        <is>
          <t>KEYLA</t>
        </is>
      </c>
      <c r="C3" s="605" t="n"/>
      <c r="D3" s="606" t="n"/>
      <c r="E3" s="608" t="n"/>
      <c r="F3" s="608" t="n"/>
      <c r="G3" s="608" t="n"/>
      <c r="H3" s="608" t="n"/>
      <c r="I3" s="608" t="n"/>
      <c r="J3" s="608" t="n"/>
      <c r="K3" s="608" t="n"/>
      <c r="L3" s="608" t="n"/>
      <c r="M3" s="608" t="n"/>
      <c r="N3" s="608" t="n"/>
      <c r="O3" s="608" t="n"/>
      <c r="P3" s="608" t="n"/>
      <c r="Q3" s="608" t="n"/>
      <c r="R3" s="608" t="n"/>
      <c r="S3" s="608" t="n"/>
      <c r="T3" s="608" t="n"/>
      <c r="U3" s="608" t="n"/>
      <c r="V3" s="608" t="n"/>
      <c r="W3" s="608" t="n"/>
      <c r="X3" s="608" t="n"/>
      <c r="Y3" s="608" t="n"/>
      <c r="Z3" s="608" t="n"/>
      <c r="AA3" s="608" t="n"/>
      <c r="AB3" s="609" t="n"/>
      <c r="AC3" s="609" t="n"/>
      <c r="AD3" s="609" t="n"/>
      <c r="AE3" s="608" t="n"/>
      <c r="AF3" s="608" t="n"/>
      <c r="AG3" s="11" t="n"/>
      <c r="AH3" s="608" t="n"/>
    </row>
    <row r="4">
      <c r="AH4" s="34" t="n"/>
      <c r="AI4" s="70" t="n"/>
      <c r="AJ4" s="158" t="n"/>
      <c r="AK4" s="395" t="n"/>
      <c r="AL4" s="395" t="n"/>
      <c r="AM4" s="395" t="n"/>
      <c r="AN4" s="395" t="n"/>
      <c r="AO4" s="395" t="n"/>
      <c r="AP4" s="395" t="n"/>
      <c r="AQ4" s="395" t="n"/>
      <c r="AR4" s="395" t="n"/>
      <c r="AS4" s="395" t="n"/>
      <c r="AT4" s="395" t="n"/>
      <c r="AU4" s="395" t="n"/>
      <c r="AV4" s="395" t="n"/>
      <c r="AW4" s="395" t="n"/>
      <c r="AX4" s="395" t="n"/>
      <c r="AY4" s="395" t="n"/>
      <c r="AZ4" s="395" t="n"/>
      <c r="BA4" s="395" t="n"/>
    </row>
    <row r="5" ht="18.75" customHeight="1">
      <c r="A5" s="610" t="inlineStr">
        <is>
          <t>Descrição</t>
        </is>
      </c>
      <c r="B5" s="611" t="inlineStr">
        <is>
          <t>PCT</t>
        </is>
      </c>
      <c r="C5" s="611" t="inlineStr">
        <is>
          <t xml:space="preserve">R$ </t>
        </is>
      </c>
      <c r="D5" s="612" t="inlineStr">
        <is>
          <t>Estoque Ideal</t>
        </is>
      </c>
      <c r="F5" s="40" t="n"/>
      <c r="G5" s="40" t="n"/>
      <c r="H5" s="40" t="n"/>
      <c r="I5" s="40" t="n"/>
      <c r="J5" s="40" t="n"/>
      <c r="K5" s="40" t="n"/>
      <c r="L5" s="40" t="n"/>
      <c r="M5" s="40" t="n"/>
      <c r="N5" s="40" t="n"/>
      <c r="O5" s="40" t="n"/>
      <c r="P5" s="40" t="n"/>
      <c r="Q5" s="40" t="n"/>
      <c r="R5" s="40" t="n"/>
      <c r="S5" s="40" t="n"/>
      <c r="T5" s="40" t="n"/>
      <c r="U5" s="40" t="n"/>
      <c r="V5" s="40" t="n"/>
      <c r="W5" s="40" t="n"/>
      <c r="X5" s="40" t="n"/>
      <c r="Y5" s="40" t="n"/>
      <c r="Z5" s="40" t="n"/>
      <c r="AA5" s="40" t="n"/>
      <c r="AB5" s="40" t="n"/>
      <c r="AC5" s="40" t="n"/>
      <c r="AD5" s="40" t="n"/>
      <c r="AE5" s="40" t="n"/>
      <c r="AG5" s="29" t="inlineStr">
        <is>
          <t>Pendências</t>
        </is>
      </c>
      <c r="AI5" s="9" t="inlineStr">
        <is>
          <t>Novo Pedido</t>
        </is>
      </c>
      <c r="AJ5" s="613" t="n">
        <v>46161.48296059242</v>
      </c>
      <c r="AK5" s="614" t="n"/>
      <c r="AL5" s="614" t="n">
        <v>46142</v>
      </c>
      <c r="AM5" s="615" t="inlineStr">
        <is>
          <t>TRANSF.</t>
        </is>
      </c>
      <c r="AN5" s="614" t="n">
        <v>46114</v>
      </c>
      <c r="AO5" s="616" t="n">
        <v>46065</v>
      </c>
      <c r="AP5" s="614" t="n">
        <v>46092</v>
      </c>
      <c r="AQ5" s="614" t="n">
        <v>46077</v>
      </c>
      <c r="AR5" s="614" t="n">
        <v>46056</v>
      </c>
      <c r="AS5" s="614" t="n">
        <v>46048</v>
      </c>
      <c r="AT5" s="614" t="n">
        <v>46043</v>
      </c>
      <c r="AU5" s="614" t="n">
        <v>46035</v>
      </c>
      <c r="AV5" s="614" t="n">
        <v>46024</v>
      </c>
      <c r="AW5" s="614" t="n">
        <v>46017</v>
      </c>
      <c r="AX5" s="614" t="n">
        <v>46007</v>
      </c>
      <c r="AY5" s="614" t="n">
        <v>46001</v>
      </c>
      <c r="AZ5" s="614" t="n">
        <v>45994</v>
      </c>
      <c r="BA5" s="614" t="n">
        <v>45986</v>
      </c>
    </row>
    <row r="6" customFormat="1" s="3">
      <c r="A6" s="618" t="n"/>
      <c r="B6" s="618" t="n"/>
      <c r="C6" s="618" t="n"/>
      <c r="D6" s="618" t="n"/>
      <c r="E6" s="30" t="n"/>
      <c r="F6" s="619" t="n">
        <v>46013</v>
      </c>
      <c r="G6" s="619" t="n">
        <v>46020</v>
      </c>
      <c r="H6" s="619" t="n">
        <v>46027</v>
      </c>
      <c r="I6" s="619" t="n">
        <v>46034</v>
      </c>
      <c r="J6" s="619" t="n">
        <v>46041</v>
      </c>
      <c r="K6" s="619" t="n">
        <v>46048</v>
      </c>
      <c r="L6" s="619" t="n">
        <v>46055</v>
      </c>
      <c r="M6" s="619" t="n">
        <v>46062</v>
      </c>
      <c r="N6" s="619" t="n">
        <v>46069</v>
      </c>
      <c r="O6" s="619" t="n">
        <v>46076</v>
      </c>
      <c r="P6" s="619" t="n">
        <v>46083</v>
      </c>
      <c r="Q6" s="619" t="n">
        <v>46090</v>
      </c>
      <c r="R6" s="619" t="n">
        <v>46097</v>
      </c>
      <c r="S6" s="619" t="n">
        <v>46104</v>
      </c>
      <c r="T6" s="619" t="n">
        <v>46111</v>
      </c>
      <c r="U6" s="619" t="n">
        <v>46118</v>
      </c>
      <c r="V6" s="619" t="n">
        <v>46125</v>
      </c>
      <c r="W6" s="619" t="n">
        <v>46132</v>
      </c>
      <c r="X6" s="619" t="n">
        <v>46139</v>
      </c>
      <c r="Y6" s="619" t="n">
        <v>46146</v>
      </c>
      <c r="Z6" s="619" t="n">
        <v>46154</v>
      </c>
      <c r="AA6" s="619" t="n">
        <v>46160</v>
      </c>
      <c r="AB6" s="620" t="n">
        <v>46161.48013052083</v>
      </c>
      <c r="AC6" s="620" t="n">
        <v>46161.48080421297</v>
      </c>
      <c r="AD6" s="620" t="n">
        <v>46161.48296141619</v>
      </c>
      <c r="AE6" s="621" t="inlineStr">
        <is>
          <t>USOU</t>
        </is>
      </c>
      <c r="AF6" s="30" t="n"/>
      <c r="AG6" s="622" t="n"/>
      <c r="AH6" s="11" t="n"/>
      <c r="AI6" s="624" t="n"/>
      <c r="AJ6" s="613" t="n">
        <v>46161.48296059269</v>
      </c>
      <c r="AK6" s="614" t="n"/>
      <c r="AL6" s="614" t="n">
        <v>46149</v>
      </c>
      <c r="AM6" s="615" t="n">
        <v>46148</v>
      </c>
      <c r="AN6" s="614" t="n">
        <v>46126</v>
      </c>
      <c r="AO6" s="616" t="n">
        <v>46107</v>
      </c>
      <c r="AP6" s="614" t="n">
        <v>46100</v>
      </c>
      <c r="AQ6" s="614" t="n">
        <v>46084</v>
      </c>
      <c r="AR6" s="614" t="n">
        <v>46063</v>
      </c>
      <c r="AS6" s="614" t="n">
        <v>46056</v>
      </c>
      <c r="AT6" s="614" t="n">
        <v>46049</v>
      </c>
      <c r="AU6" s="614" t="n">
        <v>46042</v>
      </c>
      <c r="AV6" s="614" t="n">
        <v>46038</v>
      </c>
      <c r="AW6" s="614" t="n">
        <v>46028</v>
      </c>
      <c r="AX6" s="614" t="n">
        <v>46013</v>
      </c>
      <c r="AY6" s="614" t="n">
        <v>46007</v>
      </c>
      <c r="AZ6" s="614" t="n">
        <v>45999</v>
      </c>
      <c r="BA6" s="614" t="n">
        <v>45993</v>
      </c>
      <c r="BC6" s="11" t="n"/>
      <c r="BD6" s="11" t="n"/>
      <c r="BE6" s="11" t="n"/>
      <c r="BF6" s="11" t="n"/>
      <c r="BG6" s="11" t="n"/>
      <c r="BH6" s="11" t="n"/>
      <c r="BI6" s="11" t="n"/>
      <c r="BJ6" s="11" t="n"/>
      <c r="BK6" s="11" t="n"/>
      <c r="BL6" s="11" t="n"/>
      <c r="BM6" s="11" t="n"/>
      <c r="BN6" s="11" t="n"/>
      <c r="BO6" s="11" t="n"/>
    </row>
    <row r="7" ht="21.75" customFormat="1" customHeight="1" s="3">
      <c r="A7" s="68" t="inlineStr">
        <is>
          <t xml:space="preserve">SACOLAS </t>
        </is>
      </c>
      <c r="B7" s="5" t="n"/>
      <c r="C7" s="5" t="n"/>
      <c r="D7" s="239" t="n"/>
      <c r="E7" s="11" t="n"/>
      <c r="F7" s="14" t="n"/>
      <c r="G7" s="14" t="n"/>
      <c r="H7" s="14" t="n"/>
      <c r="I7" s="14" t="n"/>
      <c r="J7" s="14" t="n"/>
      <c r="K7" s="14" t="n"/>
      <c r="L7" s="14" t="n"/>
      <c r="M7" s="14" t="n"/>
      <c r="N7" s="14" t="n"/>
      <c r="O7" s="14" t="n"/>
      <c r="P7" s="14" t="n"/>
      <c r="Q7" s="14" t="n"/>
      <c r="R7" s="14" t="n"/>
      <c r="S7" s="14" t="n"/>
      <c r="T7" s="14" t="n"/>
      <c r="U7" s="14" t="n"/>
      <c r="V7" s="14" t="n"/>
      <c r="W7" s="14" t="n"/>
      <c r="X7" s="14" t="n"/>
      <c r="Y7" s="14" t="n"/>
      <c r="Z7" s="14" t="n"/>
      <c r="AA7" s="14" t="n"/>
      <c r="AB7" s="14" t="n"/>
      <c r="AC7" s="14" t="n"/>
      <c r="AD7" s="14" t="n"/>
      <c r="AE7" s="14" t="n"/>
      <c r="AF7" s="11" t="n"/>
      <c r="AG7" s="85" t="n"/>
      <c r="AH7" s="11" t="n"/>
      <c r="AI7" s="127" t="n"/>
      <c r="AJ7" s="12" t="n"/>
      <c r="AK7" s="12" t="n"/>
      <c r="AL7" s="12" t="n"/>
      <c r="AM7" s="12" t="n"/>
      <c r="AN7" s="12" t="n"/>
      <c r="AO7" s="12" t="inlineStr">
        <is>
          <t>MÃES</t>
        </is>
      </c>
      <c r="AP7" s="12" t="n"/>
      <c r="AQ7" s="12" t="n"/>
      <c r="AR7" s="12" t="n"/>
      <c r="AS7" s="12" t="n"/>
      <c r="AT7" s="12" t="n"/>
      <c r="AU7" s="12" t="n"/>
      <c r="AV7" s="12" t="n"/>
      <c r="AW7" s="12" t="n"/>
      <c r="AX7" s="12" t="n"/>
      <c r="AY7" s="12" t="n"/>
      <c r="AZ7" s="12" t="n"/>
      <c r="BA7" s="12" t="n"/>
      <c r="BB7" s="625" t="n"/>
      <c r="BC7" s="625" t="n"/>
      <c r="BD7" s="625" t="n"/>
      <c r="BE7" s="625" t="n"/>
      <c r="BF7" s="625" t="n"/>
      <c r="BG7" s="625" t="n"/>
      <c r="BH7" s="625" t="n"/>
      <c r="BI7" s="641" t="n"/>
      <c r="BJ7" s="652" t="n"/>
      <c r="BK7" s="625" t="n"/>
      <c r="BL7" s="626" t="n"/>
      <c r="BM7" s="626" t="n"/>
      <c r="BN7" s="626" t="n"/>
      <c r="BO7" s="476" t="n"/>
    </row>
    <row r="8" ht="19.5" customFormat="1" customHeight="1" s="3">
      <c r="A8" s="21" t="inlineStr">
        <is>
          <t>SACOLA PP VERDE</t>
        </is>
      </c>
      <c r="B8" s="6" t="n">
        <v>300</v>
      </c>
      <c r="C8" s="627" t="n">
        <v>187.12</v>
      </c>
      <c r="D8" s="240" t="n">
        <v>250</v>
      </c>
      <c r="E8" s="11" t="n"/>
      <c r="F8" s="39" t="n">
        <v>300</v>
      </c>
      <c r="G8" s="39" t="n">
        <v>140</v>
      </c>
      <c r="H8" s="39" t="n">
        <v>140</v>
      </c>
      <c r="I8" s="39" t="n">
        <v>140</v>
      </c>
      <c r="J8" s="39" t="n">
        <v>350</v>
      </c>
      <c r="K8" s="39" t="n">
        <v>350</v>
      </c>
      <c r="L8" s="39" t="n">
        <v>350</v>
      </c>
      <c r="M8" s="39" t="n">
        <v>350</v>
      </c>
      <c r="N8" s="39" t="n">
        <v>350</v>
      </c>
      <c r="O8" s="39" t="n">
        <v>300</v>
      </c>
      <c r="P8" s="39" t="n">
        <v>300</v>
      </c>
      <c r="Q8" s="39" t="n">
        <v>300</v>
      </c>
      <c r="R8" s="39" t="n">
        <v>245</v>
      </c>
      <c r="S8" s="39" t="n">
        <v>230</v>
      </c>
      <c r="T8" s="39" t="n">
        <v>80</v>
      </c>
      <c r="U8" s="39" t="n">
        <v>80</v>
      </c>
      <c r="V8" s="39">
        <f>0+AI8</f>
        <v/>
      </c>
      <c r="W8" s="39" t="n">
        <v>600</v>
      </c>
      <c r="X8" s="39" t="n">
        <v>500</v>
      </c>
      <c r="Y8" s="39" t="n">
        <v>500</v>
      </c>
      <c r="Z8" s="39" t="n">
        <v>400</v>
      </c>
      <c r="AA8" s="39" t="n"/>
      <c r="AB8" s="6" t="n"/>
      <c r="AC8" s="6" t="n"/>
      <c r="AD8" s="6" t="n"/>
      <c r="AE8" s="380">
        <f>AC8+IF(NOT(ISBLANK(OFFSET(AE8,0,6))),N(OFFSET(AE8,0,6)),N(OFFSET(AE8,0,7)))-AD8</f>
        <v/>
      </c>
      <c r="AF8" s="11" t="n"/>
      <c r="AG8" s="78" t="n"/>
      <c r="AH8" s="11" t="n"/>
      <c r="AI8" s="353" t="n"/>
      <c r="AJ8" s="628" t="n">
        <v>0</v>
      </c>
      <c r="AK8" s="19" t="n">
        <v>0</v>
      </c>
      <c r="AL8" s="19" t="n">
        <v>0</v>
      </c>
      <c r="AM8" s="304" t="n"/>
      <c r="AN8" s="19" t="n">
        <v>600</v>
      </c>
      <c r="AO8" s="19" t="n"/>
      <c r="AP8" s="19" t="n"/>
      <c r="AQ8" s="19" t="n"/>
      <c r="AR8" s="19" t="n"/>
      <c r="AS8" s="19" t="n"/>
      <c r="AT8" s="19" t="n"/>
      <c r="AU8" s="19" t="n"/>
      <c r="AV8" s="19" t="n">
        <v>300</v>
      </c>
      <c r="AW8" s="19" t="n"/>
      <c r="AX8" s="19" t="n"/>
      <c r="AY8" s="19" t="n"/>
      <c r="AZ8" s="19" t="n">
        <v>300</v>
      </c>
      <c r="BA8" s="19" t="n"/>
      <c r="BC8" s="397" t="inlineStr">
        <is>
          <t xml:space="preserve">SACOLAS </t>
        </is>
      </c>
      <c r="BD8" s="384" t="inlineStr">
        <is>
          <t>PCT</t>
        </is>
      </c>
      <c r="BE8" s="619" t="n">
        <v>46118</v>
      </c>
      <c r="BF8" s="619" t="n">
        <v>46125</v>
      </c>
      <c r="BG8" s="619" t="n">
        <v>46132</v>
      </c>
      <c r="BH8" s="619" t="n">
        <v>46139</v>
      </c>
      <c r="BI8" s="619" t="n">
        <v>46146</v>
      </c>
      <c r="BJ8" s="619" t="n">
        <v>46154</v>
      </c>
      <c r="BK8" s="619" t="n">
        <v>46160</v>
      </c>
      <c r="BL8" s="620" t="n">
        <v>46161.48012980324</v>
      </c>
      <c r="BM8" s="620" t="n">
        <v>46161.48080346065</v>
      </c>
      <c r="BN8" s="620" t="n">
        <v>46161.48296074371</v>
      </c>
      <c r="BO8" s="621" t="inlineStr">
        <is>
          <t>USOU</t>
        </is>
      </c>
    </row>
    <row r="9" ht="19.5" customFormat="1" customHeight="1" s="3">
      <c r="A9" s="21" t="inlineStr">
        <is>
          <t xml:space="preserve">SACOLA P VERDE </t>
        </is>
      </c>
      <c r="B9" s="6" t="n">
        <v>200</v>
      </c>
      <c r="C9" s="627" t="n">
        <v>193.08</v>
      </c>
      <c r="D9" s="240" t="n">
        <v>400</v>
      </c>
      <c r="E9" s="11" t="n"/>
      <c r="F9" s="39" t="n">
        <v>400</v>
      </c>
      <c r="G9" s="39" t="n">
        <v>100</v>
      </c>
      <c r="H9" s="39">
        <f>0+AT9</f>
        <v/>
      </c>
      <c r="I9" s="39" t="n">
        <v>90</v>
      </c>
      <c r="J9" s="39">
        <f>400+AR9</f>
        <v/>
      </c>
      <c r="K9" s="39" t="n">
        <v>400</v>
      </c>
      <c r="L9" s="39">
        <f>400+AP9</f>
        <v/>
      </c>
      <c r="M9" s="39" t="n">
        <v>600</v>
      </c>
      <c r="N9" s="39" t="n">
        <v>440</v>
      </c>
      <c r="O9" s="39" t="n">
        <v>400</v>
      </c>
      <c r="P9" s="39">
        <f>400+AN9</f>
        <v/>
      </c>
      <c r="Q9" s="39" t="n">
        <v>310</v>
      </c>
      <c r="R9" s="39" t="n">
        <v>100</v>
      </c>
      <c r="S9" s="39" t="n">
        <v>480</v>
      </c>
      <c r="T9" s="39" t="n">
        <v>400</v>
      </c>
      <c r="U9" s="39" t="n">
        <v>200</v>
      </c>
      <c r="V9" s="39">
        <f>0+AI9</f>
        <v/>
      </c>
      <c r="W9" s="39" t="n">
        <v>370</v>
      </c>
      <c r="X9" s="39" t="n">
        <v>320</v>
      </c>
      <c r="Y9" s="39">
        <f>290+AI9</f>
        <v/>
      </c>
      <c r="Z9" s="39" t="n">
        <v>450</v>
      </c>
      <c r="AA9" s="39" t="n"/>
      <c r="AB9" s="6" t="n"/>
      <c r="AC9" s="6" t="n"/>
      <c r="AD9" s="6" t="n"/>
      <c r="AE9" s="380">
        <f>AC9+IF(NOT(ISBLANK(OFFSET(AE9,0,6))),N(OFFSET(AE9,0,6)),N(OFFSET(AE9,0,7)))-AD9</f>
        <v/>
      </c>
      <c r="AF9" s="11" t="n"/>
      <c r="AG9" s="78" t="n"/>
      <c r="AH9" s="11" t="n"/>
      <c r="AI9" s="353" t="n"/>
      <c r="AJ9" s="629" t="n">
        <v>0</v>
      </c>
      <c r="AK9" s="304" t="n">
        <v>0</v>
      </c>
      <c r="AL9" s="304" t="n">
        <v>400</v>
      </c>
      <c r="AM9" s="304" t="n"/>
      <c r="AN9" s="19" t="n">
        <v>200</v>
      </c>
      <c r="AO9" s="119" t="n">
        <v>600</v>
      </c>
      <c r="AP9" s="19" t="n">
        <v>400</v>
      </c>
      <c r="AQ9" s="19" t="n">
        <v>200</v>
      </c>
      <c r="AR9" s="19" t="n"/>
      <c r="AS9" s="19" t="n">
        <v>400</v>
      </c>
      <c r="AT9" s="19" t="n"/>
      <c r="AU9" s="19" t="n">
        <v>200</v>
      </c>
      <c r="AV9" s="19" t="n">
        <v>400</v>
      </c>
      <c r="AW9" s="19" t="n">
        <v>200</v>
      </c>
      <c r="AX9" s="19" t="n">
        <v>400</v>
      </c>
      <c r="AY9" s="19" t="n">
        <v>400</v>
      </c>
      <c r="AZ9" s="19" t="n"/>
      <c r="BA9" s="19" t="n"/>
      <c r="BC9" s="372" t="inlineStr">
        <is>
          <t xml:space="preserve">SACOLA P </t>
        </is>
      </c>
      <c r="BD9" s="139" t="n">
        <v>200</v>
      </c>
      <c r="BE9" s="39">
        <f>AL9</f>
        <v/>
      </c>
      <c r="BF9" s="39" t="n">
        <v>600</v>
      </c>
      <c r="BG9" s="39" t="n">
        <v>350</v>
      </c>
      <c r="BH9" s="39" t="n">
        <v>250</v>
      </c>
      <c r="BI9" s="39" t="n">
        <v>100</v>
      </c>
      <c r="BJ9" s="39" t="n">
        <v>0</v>
      </c>
      <c r="BK9" s="39" t="n"/>
      <c r="BL9" s="6" t="n"/>
      <c r="BM9" s="6" t="n"/>
      <c r="BN9" s="6" t="n"/>
      <c r="BO9" s="26">
        <f>BM9+IF(NOT(ISBLANK(OFFSET(BO9,0,6))),N(OFFSET(BO9,0,6)),N(OFFSET(BO9,0,7)))-BN9</f>
        <v/>
      </c>
    </row>
    <row r="10" ht="19.5" customFormat="1" customHeight="1" s="3">
      <c r="A10" s="21" t="inlineStr">
        <is>
          <t>SACOLA M VERDE</t>
        </is>
      </c>
      <c r="B10" s="6" t="n">
        <v>200</v>
      </c>
      <c r="C10" s="627" t="n">
        <v>253.83</v>
      </c>
      <c r="D10" s="240" t="n">
        <v>150</v>
      </c>
      <c r="E10" s="11" t="n"/>
      <c r="F10" s="39" t="n">
        <v>200</v>
      </c>
      <c r="G10" s="39" t="n">
        <v>74</v>
      </c>
      <c r="H10" s="39">
        <f>74+AT10</f>
        <v/>
      </c>
      <c r="I10" s="39" t="n">
        <v>174</v>
      </c>
      <c r="J10" s="39">
        <f>150+AR10</f>
        <v/>
      </c>
      <c r="K10" s="39" t="n">
        <v>320</v>
      </c>
      <c r="L10" s="39" t="n">
        <v>200</v>
      </c>
      <c r="M10" s="39">
        <f>200+AO10</f>
        <v/>
      </c>
      <c r="N10" s="39" t="n">
        <v>400</v>
      </c>
      <c r="O10" s="39" t="n">
        <v>400</v>
      </c>
      <c r="P10" s="39" t="n">
        <v>350</v>
      </c>
      <c r="Q10" s="39" t="n">
        <v>350</v>
      </c>
      <c r="R10" s="39" t="n">
        <v>310</v>
      </c>
      <c r="S10" s="39" t="n">
        <v>310</v>
      </c>
      <c r="T10" s="39" t="n">
        <v>200</v>
      </c>
      <c r="U10" s="39" t="n">
        <v>200</v>
      </c>
      <c r="V10" s="39">
        <f>200+AI10</f>
        <v/>
      </c>
      <c r="W10" s="39" t="n">
        <v>400</v>
      </c>
      <c r="X10" s="39" t="n">
        <v>350</v>
      </c>
      <c r="Y10" s="39" t="n">
        <v>350</v>
      </c>
      <c r="Z10" s="39" t="n">
        <v>350</v>
      </c>
      <c r="AA10" s="39" t="n"/>
      <c r="AB10" s="6" t="n"/>
      <c r="AC10" s="6" t="n"/>
      <c r="AD10" s="6" t="n"/>
      <c r="AE10" s="380">
        <f>AC10+IF(NOT(ISBLANK(OFFSET(AE10,0,6))),N(OFFSET(AE10,0,6)),N(OFFSET(AE10,0,7)))-AD10</f>
        <v/>
      </c>
      <c r="AF10" s="11" t="n"/>
      <c r="AG10" s="78" t="n"/>
      <c r="AH10" s="11" t="n"/>
      <c r="AI10" s="353" t="n"/>
      <c r="AJ10" s="629" t="n">
        <v>0</v>
      </c>
      <c r="AK10" s="304" t="n">
        <v>0</v>
      </c>
      <c r="AL10" s="304" t="n">
        <v>0</v>
      </c>
      <c r="AM10" s="304" t="n"/>
      <c r="AN10" s="19" t="n">
        <v>200</v>
      </c>
      <c r="AO10" s="119" t="n">
        <v>400</v>
      </c>
      <c r="AP10" s="19" t="n"/>
      <c r="AQ10" s="19" t="n"/>
      <c r="AR10" s="19" t="n">
        <v>200</v>
      </c>
      <c r="AS10" s="19" t="n"/>
      <c r="AT10" s="19" t="n"/>
      <c r="AU10" s="19" t="n">
        <v>200</v>
      </c>
      <c r="AV10" s="19" t="n"/>
      <c r="AW10" s="19" t="n">
        <v>200</v>
      </c>
      <c r="AX10" s="19" t="n">
        <v>200</v>
      </c>
      <c r="AY10" s="19" t="n">
        <v>200</v>
      </c>
      <c r="AZ10" s="19" t="n"/>
      <c r="BA10" s="19" t="n"/>
      <c r="BC10" s="21" t="inlineStr">
        <is>
          <t xml:space="preserve">SACOLA M </t>
        </is>
      </c>
      <c r="BD10" s="6" t="n">
        <v>200</v>
      </c>
      <c r="BE10" s="39">
        <f>AL10</f>
        <v/>
      </c>
      <c r="BF10" s="39" t="n">
        <v>400</v>
      </c>
      <c r="BG10" s="39" t="n">
        <v>300</v>
      </c>
      <c r="BH10" s="39" t="n">
        <v>270</v>
      </c>
      <c r="BI10" s="39" t="n">
        <v>230</v>
      </c>
      <c r="BJ10" s="39" t="n">
        <v>0</v>
      </c>
      <c r="BK10" s="39" t="n"/>
      <c r="BL10" s="6" t="n"/>
      <c r="BM10" s="6" t="n"/>
      <c r="BN10" s="6" t="n"/>
      <c r="BO10" s="26">
        <f>BM10+IF(NOT(ISBLANK(OFFSET(BO10,0,6))),N(OFFSET(BO10,0,6)),N(OFFSET(BO10,0,7)))-BN10</f>
        <v/>
      </c>
    </row>
    <row r="11" ht="19.5" customFormat="1" customHeight="1" s="3">
      <c r="A11" s="22" t="inlineStr">
        <is>
          <t xml:space="preserve">SACOLA G VERDE </t>
        </is>
      </c>
      <c r="B11" s="6" t="n">
        <v>100</v>
      </c>
      <c r="C11" s="627" t="n">
        <v>184.57</v>
      </c>
      <c r="D11" s="240" t="n">
        <v>30</v>
      </c>
      <c r="E11" s="11" t="n"/>
      <c r="F11" s="39" t="n">
        <v>80</v>
      </c>
      <c r="G11" s="39" t="n">
        <v>0</v>
      </c>
      <c r="H11" s="39" t="n">
        <v>0</v>
      </c>
      <c r="I11" s="39" t="n">
        <v>0</v>
      </c>
      <c r="J11" s="39" t="n">
        <v>100</v>
      </c>
      <c r="K11" s="39" t="n">
        <v>100</v>
      </c>
      <c r="L11" s="39" t="n">
        <v>100</v>
      </c>
      <c r="M11" s="39" t="n">
        <v>100</v>
      </c>
      <c r="N11" s="39" t="n">
        <v>100</v>
      </c>
      <c r="O11" s="39" t="n">
        <v>0</v>
      </c>
      <c r="P11" s="39">
        <f>0+AN11</f>
        <v/>
      </c>
      <c r="Q11" s="39" t="n">
        <v>100</v>
      </c>
      <c r="R11" s="39" t="n">
        <v>100</v>
      </c>
      <c r="S11" s="39" t="n">
        <v>100</v>
      </c>
      <c r="T11" s="39" t="n">
        <v>100</v>
      </c>
      <c r="U11" s="39" t="n">
        <v>100</v>
      </c>
      <c r="V11" s="39" t="n">
        <v>80</v>
      </c>
      <c r="W11" s="39" t="n">
        <v>80</v>
      </c>
      <c r="X11" s="39" t="n">
        <v>80</v>
      </c>
      <c r="Y11" s="39" t="n">
        <v>80</v>
      </c>
      <c r="Z11" s="39" t="n">
        <v>0</v>
      </c>
      <c r="AA11" s="39" t="n"/>
      <c r="AB11" s="6" t="n"/>
      <c r="AC11" s="6" t="n"/>
      <c r="AD11" s="6" t="n"/>
      <c r="AE11" s="380">
        <f>AC11+IF(NOT(ISBLANK(OFFSET(AE11,0,6))),N(OFFSET(AE11,0,6)),N(OFFSET(AE11,0,7)))-AD11</f>
        <v/>
      </c>
      <c r="AF11" s="11" t="n"/>
      <c r="AG11" s="78" t="inlineStr">
        <is>
          <t>50 DE JSH</t>
        </is>
      </c>
      <c r="AH11" s="11" t="n"/>
      <c r="AI11" s="353" t="n"/>
      <c r="AJ11" s="629" t="n">
        <v>0</v>
      </c>
      <c r="AK11" s="304" t="n">
        <v>0</v>
      </c>
      <c r="AL11" s="304" t="n">
        <v>0</v>
      </c>
      <c r="AM11" s="304" t="n"/>
      <c r="AN11" s="19" t="n"/>
      <c r="AO11" s="119" t="n">
        <v>100</v>
      </c>
      <c r="AP11" s="19" t="n"/>
      <c r="AQ11" s="19" t="n">
        <v>100</v>
      </c>
      <c r="AR11" s="19" t="n"/>
      <c r="AS11" s="19" t="n"/>
      <c r="AT11" s="19" t="n"/>
      <c r="AU11" s="19" t="n"/>
      <c r="AV11" s="19" t="n">
        <v>100</v>
      </c>
      <c r="AW11" s="19" t="n"/>
      <c r="AX11" s="19" t="n"/>
      <c r="AY11" s="19" t="n"/>
      <c r="AZ11" s="19" t="n"/>
      <c r="BA11" s="19" t="n"/>
      <c r="BC11" s="22" t="inlineStr">
        <is>
          <t xml:space="preserve">SACOLA G </t>
        </is>
      </c>
      <c r="BD11" s="6" t="n">
        <v>100</v>
      </c>
      <c r="BE11" s="39">
        <f>AL11</f>
        <v/>
      </c>
      <c r="BF11" s="39" t="n">
        <v>100</v>
      </c>
      <c r="BG11" s="39" t="n">
        <v>0</v>
      </c>
      <c r="BH11" s="39" t="n">
        <v>0</v>
      </c>
      <c r="BI11" s="39" t="n">
        <v>0</v>
      </c>
      <c r="BJ11" s="39" t="n">
        <v>0</v>
      </c>
      <c r="BK11" s="39" t="n"/>
      <c r="BL11" s="6" t="n"/>
      <c r="BM11" s="6" t="n"/>
      <c r="BN11" s="6" t="n"/>
      <c r="BO11" s="26">
        <f>BM11+IF(NOT(ISBLANK(OFFSET(BO11,0,6))),N(OFFSET(BO11,0,6)),N(OFFSET(BO11,0,7)))-BN11</f>
        <v/>
      </c>
    </row>
    <row r="12" ht="16.5" customFormat="1" customHeight="1" s="3">
      <c r="A12" s="23" t="n"/>
      <c r="B12" s="1" t="n"/>
      <c r="C12" s="630" t="n"/>
      <c r="D12" s="277" t="n"/>
      <c r="E12" s="11" t="n"/>
      <c r="F12" s="2" t="n"/>
      <c r="G12" s="2" t="n"/>
      <c r="H12" s="2" t="n"/>
      <c r="I12" s="2" t="n"/>
      <c r="J12" s="2" t="n"/>
      <c r="K12" s="2" t="n"/>
      <c r="L12" s="2" t="n"/>
      <c r="M12" s="2" t="n"/>
      <c r="N12" s="2" t="n"/>
      <c r="O12" s="2" t="n"/>
      <c r="P12" s="2" t="n"/>
      <c r="Q12" s="2" t="n"/>
      <c r="R12" s="2" t="n"/>
      <c r="S12" s="2" t="n"/>
      <c r="T12" s="2" t="n"/>
      <c r="U12" s="2" t="n"/>
      <c r="V12" s="2" t="n"/>
      <c r="W12" s="2" t="n"/>
      <c r="X12" s="2" t="n"/>
      <c r="Y12" s="2" t="n"/>
      <c r="Z12" s="2" t="n"/>
      <c r="AA12" s="2" t="n"/>
      <c r="AB12" s="1" t="n"/>
      <c r="AC12" s="1" t="n"/>
      <c r="AD12" s="1" t="n"/>
      <c r="AE12" s="2" t="n"/>
      <c r="AF12" s="11" t="n"/>
      <c r="AG12" s="350" t="n"/>
      <c r="AH12" s="11" t="n"/>
      <c r="AI12" s="359" t="n"/>
      <c r="AJ12" s="396" t="n"/>
      <c r="AK12" s="75" t="n"/>
      <c r="AL12" s="75" t="n"/>
      <c r="AM12" s="75" t="n"/>
      <c r="AN12" s="75" t="n"/>
      <c r="AO12" s="75" t="n"/>
      <c r="AP12" s="75" t="n"/>
      <c r="AQ12" s="75" t="n"/>
      <c r="AR12" s="75" t="n"/>
      <c r="AS12" s="75" t="n"/>
      <c r="AT12" s="75" t="n"/>
      <c r="AU12" s="75" t="n"/>
      <c r="AV12" s="75" t="n"/>
      <c r="AW12" s="75" t="n"/>
      <c r="AX12" s="75" t="n"/>
      <c r="AY12" s="75" t="n"/>
      <c r="AZ12" s="75" t="n"/>
      <c r="BA12" s="75" t="n"/>
      <c r="BC12" s="23" t="n"/>
      <c r="BD12" s="1" t="n"/>
      <c r="BE12" s="2" t="n"/>
      <c r="BF12" s="2" t="n"/>
      <c r="BG12" s="2" t="n"/>
      <c r="BH12" s="2" t="n"/>
      <c r="BI12" s="2" t="n"/>
      <c r="BJ12" s="2" t="n"/>
      <c r="BK12" s="2" t="n"/>
      <c r="BL12" s="1" t="n"/>
      <c r="BM12" s="1" t="n"/>
      <c r="BN12" s="1" t="n"/>
    </row>
    <row r="13" customFormat="1" s="3">
      <c r="A13" s="548" t="inlineStr">
        <is>
          <t>DIVERSOS</t>
        </is>
      </c>
      <c r="B13" s="12" t="n"/>
      <c r="C13" s="631" t="n"/>
      <c r="D13" s="403" t="n"/>
      <c r="E13" s="608" t="n"/>
      <c r="F13" s="619" t="n">
        <v>46013</v>
      </c>
      <c r="G13" s="619" t="n">
        <v>46020</v>
      </c>
      <c r="H13" s="619" t="n">
        <v>46027</v>
      </c>
      <c r="I13" s="619" t="n">
        <v>46034</v>
      </c>
      <c r="J13" s="619" t="n">
        <v>46041</v>
      </c>
      <c r="K13" s="619" t="n">
        <v>46048</v>
      </c>
      <c r="L13" s="619" t="n">
        <v>46055</v>
      </c>
      <c r="M13" s="619" t="n">
        <v>46062</v>
      </c>
      <c r="N13" s="619" t="n">
        <v>46069</v>
      </c>
      <c r="O13" s="619" t="n">
        <v>46076</v>
      </c>
      <c r="P13" s="619" t="n">
        <v>46083</v>
      </c>
      <c r="Q13" s="619" t="n">
        <v>46090</v>
      </c>
      <c r="R13" s="619" t="n">
        <v>46097</v>
      </c>
      <c r="S13" s="619" t="n">
        <v>46104</v>
      </c>
      <c r="T13" s="619" t="n">
        <v>46111</v>
      </c>
      <c r="U13" s="619" t="n">
        <v>46118</v>
      </c>
      <c r="V13" s="619" t="n">
        <v>46125</v>
      </c>
      <c r="W13" s="619" t="n">
        <v>46132</v>
      </c>
      <c r="X13" s="619" t="n">
        <v>46139</v>
      </c>
      <c r="Y13" s="619" t="n">
        <v>46146</v>
      </c>
      <c r="Z13" s="619" t="n">
        <v>46154</v>
      </c>
      <c r="AA13" s="619" t="n">
        <v>46160</v>
      </c>
      <c r="AB13" s="620" t="n">
        <v>46161.48013052083</v>
      </c>
      <c r="AC13" s="620" t="n">
        <v>46161.48080421297</v>
      </c>
      <c r="AD13" s="620" t="n">
        <v>46161.48296141651</v>
      </c>
      <c r="AE13" s="621" t="inlineStr">
        <is>
          <t>USOU</t>
        </is>
      </c>
      <c r="AF13" s="608" t="n"/>
      <c r="AG13" s="29" t="inlineStr">
        <is>
          <t>Pendências</t>
        </is>
      </c>
      <c r="AH13" s="11" t="n"/>
      <c r="AI13" s="9" t="inlineStr">
        <is>
          <t>Novo Pedido</t>
        </is>
      </c>
      <c r="AJ13" s="649" t="n">
        <v>46161.48296059309</v>
      </c>
      <c r="AK13" s="614" t="n"/>
      <c r="AL13" s="614" t="n">
        <v>46142</v>
      </c>
      <c r="AM13" s="615" t="n">
        <v>46148</v>
      </c>
      <c r="AN13" s="614" t="n">
        <v>46114</v>
      </c>
      <c r="AO13" s="616" t="n">
        <v>46065</v>
      </c>
      <c r="AP13" s="614" t="n">
        <v>46092</v>
      </c>
      <c r="AQ13" s="614" t="n">
        <v>46077</v>
      </c>
      <c r="AR13" s="614" t="n">
        <v>46056</v>
      </c>
      <c r="AS13" s="614" t="n">
        <v>46048</v>
      </c>
      <c r="AT13" s="614" t="n">
        <v>46043</v>
      </c>
      <c r="AU13" s="614" t="n">
        <v>46035</v>
      </c>
      <c r="AV13" s="614" t="n">
        <v>46024</v>
      </c>
      <c r="AW13" s="614" t="n">
        <v>46017</v>
      </c>
      <c r="AX13" s="614" t="n">
        <v>46007</v>
      </c>
      <c r="AY13" s="614" t="n">
        <v>46001</v>
      </c>
      <c r="AZ13" s="614" t="n">
        <v>45994</v>
      </c>
      <c r="BA13" s="614" t="n">
        <v>45986</v>
      </c>
      <c r="BC13" s="397" t="inlineStr">
        <is>
          <t>DIVERSOS</t>
        </is>
      </c>
      <c r="BD13" s="384" t="inlineStr">
        <is>
          <t>PCT</t>
        </is>
      </c>
      <c r="BE13" s="619" t="n">
        <v>46118</v>
      </c>
      <c r="BF13" s="619" t="n">
        <v>46125</v>
      </c>
      <c r="BG13" s="619" t="n">
        <v>46132</v>
      </c>
      <c r="BH13" s="619" t="n">
        <v>46139</v>
      </c>
      <c r="BI13" s="619" t="n">
        <v>46146</v>
      </c>
      <c r="BJ13" s="619" t="n">
        <v>46154</v>
      </c>
      <c r="BK13" s="619" t="n">
        <v>46160</v>
      </c>
      <c r="BL13" s="620" t="n">
        <v>46161.48012980324</v>
      </c>
      <c r="BM13" s="620" t="n">
        <v>46161.48080346065</v>
      </c>
      <c r="BN13" s="620" t="n">
        <v>46161.482960744</v>
      </c>
      <c r="BO13" s="621" t="inlineStr">
        <is>
          <t>USOU</t>
        </is>
      </c>
    </row>
    <row r="14" customFormat="1" s="3">
      <c r="A14" s="25" t="inlineStr">
        <is>
          <t xml:space="preserve">PAPEL DE SEDA </t>
        </is>
      </c>
      <c r="B14" s="6" t="n">
        <v>500</v>
      </c>
      <c r="C14" s="632" t="n">
        <v>99.26000000000001</v>
      </c>
      <c r="D14" s="240" t="n">
        <v>2</v>
      </c>
      <c r="E14" s="608" t="n"/>
      <c r="F14" s="365" t="n">
        <v>7</v>
      </c>
      <c r="G14" s="365" t="n">
        <v>3</v>
      </c>
      <c r="H14" s="365">
        <f>3+AT14</f>
        <v/>
      </c>
      <c r="I14" s="365" t="n">
        <v>5</v>
      </c>
      <c r="J14" s="365" t="n">
        <v>7</v>
      </c>
      <c r="K14" s="365" t="n">
        <v>7</v>
      </c>
      <c r="L14" s="365" t="n">
        <v>6</v>
      </c>
      <c r="M14" s="365" t="n">
        <v>6</v>
      </c>
      <c r="N14" s="365" t="n">
        <v>5</v>
      </c>
      <c r="O14" s="365" t="n">
        <v>4</v>
      </c>
      <c r="P14" s="365">
        <f>4+AN14</f>
        <v/>
      </c>
      <c r="Q14" s="365" t="n">
        <v>3</v>
      </c>
      <c r="R14" s="365" t="n">
        <v>3</v>
      </c>
      <c r="S14" s="365" t="n">
        <v>5</v>
      </c>
      <c r="T14" s="365" t="n">
        <v>4</v>
      </c>
      <c r="U14" s="365" t="n">
        <v>4</v>
      </c>
      <c r="V14" s="365">
        <f>3+AI14</f>
        <v/>
      </c>
      <c r="W14" s="365" t="n">
        <v>4</v>
      </c>
      <c r="X14" s="365" t="n">
        <v>4</v>
      </c>
      <c r="Y14" s="365">
        <f>3+AI14</f>
        <v/>
      </c>
      <c r="Z14" s="365" t="n">
        <v>5</v>
      </c>
      <c r="AA14" s="365" t="n"/>
      <c r="AB14" s="658" t="n"/>
      <c r="AC14" s="658" t="n"/>
      <c r="AD14" s="658" t="n"/>
      <c r="AE14" s="380">
        <f>AC14+IF(NOT(ISBLANK(OFFSET(AE14,0,6))),N(OFFSET(AE14,0,6)),N(OFFSET(AE14,0,7)))-AD14</f>
        <v/>
      </c>
      <c r="AF14" s="608" t="n"/>
      <c r="AG14" s="78" t="n"/>
      <c r="AH14" s="608" t="n"/>
      <c r="AI14" s="353" t="n"/>
      <c r="AJ14" s="650" t="n">
        <v>0</v>
      </c>
      <c r="AK14" s="304" t="n">
        <v>0</v>
      </c>
      <c r="AL14" s="304" t="n">
        <v>2</v>
      </c>
      <c r="AM14" s="304" t="n"/>
      <c r="AN14" s="19" t="n">
        <v>1</v>
      </c>
      <c r="AO14" s="119" t="n">
        <v>5</v>
      </c>
      <c r="AP14" s="19" t="n">
        <v>2</v>
      </c>
      <c r="AQ14" s="19" t="n">
        <v>1</v>
      </c>
      <c r="AR14" s="19" t="n"/>
      <c r="AS14" s="19" t="n"/>
      <c r="AT14" s="19" t="n"/>
      <c r="AU14" s="19" t="n"/>
      <c r="AV14" s="19" t="n">
        <v>3</v>
      </c>
      <c r="AW14" s="19" t="n">
        <v>2</v>
      </c>
      <c r="AX14" s="19" t="n">
        <v>3</v>
      </c>
      <c r="AY14" s="19" t="n">
        <v>1</v>
      </c>
      <c r="AZ14" s="19" t="n"/>
      <c r="BA14" s="19" t="n">
        <v>1</v>
      </c>
      <c r="BC14" s="372" t="inlineStr">
        <is>
          <t>PAPEL DE SEDA</t>
        </is>
      </c>
      <c r="BD14" s="139" t="n">
        <v>200</v>
      </c>
      <c r="BE14" s="39">
        <f>AL14</f>
        <v/>
      </c>
      <c r="BF14" s="39" t="n">
        <v>4</v>
      </c>
      <c r="BG14" s="39" t="n">
        <v>4</v>
      </c>
      <c r="BH14" s="39" t="n">
        <v>3</v>
      </c>
      <c r="BI14" s="39" t="n">
        <v>3</v>
      </c>
      <c r="BJ14" s="39" t="n">
        <v>0</v>
      </c>
      <c r="BK14" s="39" t="n"/>
      <c r="BL14" s="6" t="n"/>
      <c r="BM14" s="6" t="n"/>
      <c r="BN14" s="6" t="n"/>
      <c r="BO14" s="26">
        <f>BM14+IF(NOT(ISBLANK(OFFSET(BO14,0,6))),N(OFFSET(BO14,0,6)),N(OFFSET(BO14,0,7)))-BN14</f>
        <v/>
      </c>
    </row>
    <row r="15" customFormat="1" s="3">
      <c r="A15" s="25" t="inlineStr">
        <is>
          <t>ETIQUETAS</t>
        </is>
      </c>
      <c r="B15" s="6" t="n">
        <v>2000</v>
      </c>
      <c r="C15" s="632" t="n">
        <v>55.36</v>
      </c>
      <c r="D15" s="240" t="n">
        <v>1</v>
      </c>
      <c r="E15" s="608" t="n"/>
      <c r="F15" s="365" t="n">
        <v>4</v>
      </c>
      <c r="G15" s="365" t="n">
        <v>3</v>
      </c>
      <c r="H15" s="365">
        <f>3+AT15</f>
        <v/>
      </c>
      <c r="I15" s="365" t="n">
        <v>5</v>
      </c>
      <c r="J15" s="365" t="n">
        <v>5</v>
      </c>
      <c r="K15" s="365" t="n">
        <v>5</v>
      </c>
      <c r="L15" s="365" t="n">
        <v>5</v>
      </c>
      <c r="M15" s="365" t="n">
        <v>5</v>
      </c>
      <c r="N15" s="365" t="n">
        <v>5</v>
      </c>
      <c r="O15" s="365" t="n">
        <v>5</v>
      </c>
      <c r="P15" s="365" t="n">
        <v>5</v>
      </c>
      <c r="Q15" s="365" t="n">
        <v>5</v>
      </c>
      <c r="R15" s="365" t="n">
        <v>5</v>
      </c>
      <c r="S15" s="365" t="n">
        <v>4</v>
      </c>
      <c r="T15" s="365" t="n">
        <v>4</v>
      </c>
      <c r="U15" s="365" t="n">
        <v>3</v>
      </c>
      <c r="V15" s="365" t="n">
        <v>3</v>
      </c>
      <c r="W15" s="365" t="n">
        <v>2</v>
      </c>
      <c r="X15" s="365" t="n">
        <v>2</v>
      </c>
      <c r="Y15" s="365" t="n">
        <v>2</v>
      </c>
      <c r="Z15" s="365" t="n">
        <v>2</v>
      </c>
      <c r="AA15" s="365" t="n"/>
      <c r="AB15" s="658" t="n"/>
      <c r="AC15" s="658" t="n"/>
      <c r="AD15" s="658" t="n"/>
      <c r="AE15" s="380">
        <f>AC15+IF(NOT(ISBLANK(OFFSET(AE15,0,6))),N(OFFSET(AE15,0,6)),N(OFFSET(AE15,0,7)))-AD15</f>
        <v/>
      </c>
      <c r="AF15" s="608" t="n"/>
      <c r="AG15" s="78" t="n"/>
      <c r="AH15" s="608" t="n"/>
      <c r="AI15" s="353" t="n"/>
      <c r="AJ15" s="650" t="n">
        <v>0</v>
      </c>
      <c r="AK15" s="304" t="n">
        <v>0</v>
      </c>
      <c r="AL15" s="304" t="n">
        <v>0</v>
      </c>
      <c r="AM15" s="304" t="n"/>
      <c r="AN15" s="19" t="n"/>
      <c r="AO15" s="119" t="n">
        <v>1</v>
      </c>
      <c r="AP15" s="19" t="n"/>
      <c r="AQ15" s="19" t="n"/>
      <c r="AR15" s="19" t="n"/>
      <c r="AS15" s="19" t="n"/>
      <c r="AT15" s="19" t="n"/>
      <c r="AU15" s="19" t="n"/>
      <c r="AV15" s="19" t="n"/>
      <c r="AW15" s="19" t="n">
        <v>2</v>
      </c>
      <c r="AX15" s="19" t="n"/>
      <c r="AY15" s="19" t="n">
        <v>2</v>
      </c>
      <c r="AZ15" s="19" t="n"/>
      <c r="BA15" s="19" t="n">
        <v>1</v>
      </c>
      <c r="BC15" s="21" t="inlineStr">
        <is>
          <t>ADESIVOS</t>
        </is>
      </c>
      <c r="BD15" s="6" t="n">
        <v>200</v>
      </c>
      <c r="BE15" s="39">
        <f>AL15</f>
        <v/>
      </c>
      <c r="BF15" s="39" t="n">
        <v>1</v>
      </c>
      <c r="BG15" s="39" t="n">
        <v>1</v>
      </c>
      <c r="BH15" s="39" t="n">
        <v>1</v>
      </c>
      <c r="BI15" s="39" t="n">
        <v>0</v>
      </c>
      <c r="BJ15" s="39" t="n">
        <v>0</v>
      </c>
      <c r="BK15" s="39" t="n"/>
      <c r="BL15" s="6" t="n"/>
      <c r="BM15" s="6" t="n"/>
      <c r="BN15" s="6" t="n"/>
      <c r="BO15" s="26">
        <f>BM15+IF(NOT(ISBLANK(OFFSET(BO15,0,6))),N(OFFSET(BO15,0,6)),N(OFFSET(BO15,0,7)))-BN15</f>
        <v/>
      </c>
    </row>
    <row r="16" customFormat="1" s="3">
      <c r="A16" s="25" t="inlineStr">
        <is>
          <t xml:space="preserve">TAGS </t>
        </is>
      </c>
      <c r="B16" s="6" t="n">
        <v>200</v>
      </c>
      <c r="C16" s="632" t="n">
        <v>10.28</v>
      </c>
      <c r="D16" s="240" t="n">
        <v>2</v>
      </c>
      <c r="E16" s="1" t="n"/>
      <c r="F16" s="365" t="n">
        <v>4</v>
      </c>
      <c r="G16" s="365" t="n">
        <v>3</v>
      </c>
      <c r="H16" s="365">
        <f>3+AT16</f>
        <v/>
      </c>
      <c r="I16" s="365" t="n">
        <v>2</v>
      </c>
      <c r="J16" s="365">
        <f>4+AR16</f>
        <v/>
      </c>
      <c r="K16" s="365" t="n">
        <v>7</v>
      </c>
      <c r="L16" s="365" t="n">
        <v>7</v>
      </c>
      <c r="M16" s="365" t="n">
        <v>7</v>
      </c>
      <c r="N16" s="365" t="n">
        <v>7</v>
      </c>
      <c r="O16" s="365" t="n">
        <v>7</v>
      </c>
      <c r="P16" s="365" t="n">
        <v>7</v>
      </c>
      <c r="Q16" s="365" t="n">
        <v>7</v>
      </c>
      <c r="R16" s="365" t="n">
        <v>7</v>
      </c>
      <c r="S16" s="365" t="n">
        <v>7</v>
      </c>
      <c r="T16" s="365" t="n">
        <v>7</v>
      </c>
      <c r="U16" s="365" t="n">
        <v>6</v>
      </c>
      <c r="V16" s="365" t="n">
        <v>6</v>
      </c>
      <c r="W16" s="365" t="n">
        <v>6</v>
      </c>
      <c r="X16" s="365" t="n">
        <v>6</v>
      </c>
      <c r="Y16" s="365">
        <f>6-4</f>
        <v/>
      </c>
      <c r="Z16" s="365" t="n">
        <v>2</v>
      </c>
      <c r="AA16" s="365" t="n"/>
      <c r="AB16" s="658" t="n"/>
      <c r="AC16" s="658" t="n"/>
      <c r="AD16" s="658" t="n"/>
      <c r="AE16" s="380">
        <f>AC16+IF(NOT(ISBLANK(OFFSET(AE16,0,6))),N(OFFSET(AE16,0,6)),N(OFFSET(AE16,0,7)))-AD16</f>
        <v/>
      </c>
      <c r="AF16" s="1" t="n"/>
      <c r="AG16" s="78" t="n"/>
      <c r="AH16" s="1" t="n"/>
      <c r="AI16" s="353" t="n"/>
      <c r="AJ16" s="628" t="n">
        <v>0</v>
      </c>
      <c r="AK16" s="19" t="n">
        <v>0</v>
      </c>
      <c r="AL16" s="19" t="n">
        <v>0</v>
      </c>
      <c r="AM16" s="260" t="inlineStr">
        <is>
          <t>04 P/ JSH</t>
        </is>
      </c>
      <c r="AN16" s="19" t="n"/>
      <c r="AO16" s="19" t="n"/>
      <c r="AP16" s="19" t="n"/>
      <c r="AQ16" s="19" t="n"/>
      <c r="AR16" s="19" t="n"/>
      <c r="AS16" s="19" t="n"/>
      <c r="AT16" s="19" t="n"/>
      <c r="AU16" s="19" t="n">
        <v>3</v>
      </c>
      <c r="AV16" s="19" t="n"/>
      <c r="AW16" s="19" t="n">
        <v>3</v>
      </c>
      <c r="AX16" s="19" t="n">
        <v>4</v>
      </c>
      <c r="AY16" s="19" t="n"/>
      <c r="AZ16" s="19" t="n">
        <v>3</v>
      </c>
      <c r="BA16" s="19" t="n"/>
    </row>
    <row r="17" customFormat="1" s="3">
      <c r="A17" s="25" t="inlineStr">
        <is>
          <t>LÂMINA OLFATIVA</t>
        </is>
      </c>
      <c r="B17" s="6" t="n">
        <v>3000</v>
      </c>
      <c r="C17" s="632" t="n">
        <v>71.8</v>
      </c>
      <c r="D17" s="240" t="n">
        <v>1</v>
      </c>
      <c r="E17" s="1" t="n"/>
      <c r="F17" s="365" t="n">
        <v>3</v>
      </c>
      <c r="G17" s="365" t="n">
        <v>3</v>
      </c>
      <c r="H17" s="365" t="n">
        <v>3</v>
      </c>
      <c r="I17" s="365" t="n">
        <v>3</v>
      </c>
      <c r="J17" s="365" t="n">
        <v>3</v>
      </c>
      <c r="K17" s="365" t="n">
        <v>3</v>
      </c>
      <c r="L17" s="365" t="n">
        <v>2</v>
      </c>
      <c r="M17" s="365">
        <f>2+AO17</f>
        <v/>
      </c>
      <c r="N17" s="365" t="n">
        <v>3</v>
      </c>
      <c r="O17" s="365" t="n">
        <v>3</v>
      </c>
      <c r="P17" s="365" t="n">
        <v>3</v>
      </c>
      <c r="Q17" s="365" t="n">
        <v>3</v>
      </c>
      <c r="R17" s="365" t="n">
        <v>3</v>
      </c>
      <c r="S17" s="365" t="n">
        <v>2</v>
      </c>
      <c r="T17" s="365" t="n">
        <v>1</v>
      </c>
      <c r="U17" s="365" t="n">
        <v>2</v>
      </c>
      <c r="V17" s="365" t="n">
        <v>2</v>
      </c>
      <c r="W17" s="365" t="n">
        <v>2</v>
      </c>
      <c r="X17" s="365" t="n">
        <v>1</v>
      </c>
      <c r="Y17" s="365">
        <f>1+AI17</f>
        <v/>
      </c>
      <c r="Z17" s="365" t="n">
        <v>2</v>
      </c>
      <c r="AA17" s="365" t="n"/>
      <c r="AB17" s="658" t="n"/>
      <c r="AC17" s="658" t="n"/>
      <c r="AD17" s="658" t="n"/>
      <c r="AE17" s="380">
        <f>AC17+IF(NOT(ISBLANK(OFFSET(AE17,0,6))),N(OFFSET(AE17,0,6)),N(OFFSET(AE17,0,7)))-AD17</f>
        <v/>
      </c>
      <c r="AF17" s="1" t="n"/>
      <c r="AG17" s="78" t="n"/>
      <c r="AH17" s="1" t="n"/>
      <c r="AI17" s="353" t="n"/>
      <c r="AJ17" s="628" t="n">
        <v>0</v>
      </c>
      <c r="AK17" s="19" t="n">
        <v>0</v>
      </c>
      <c r="AL17" s="19" t="n">
        <v>1</v>
      </c>
      <c r="AM17" s="19" t="n"/>
      <c r="AN17" s="19" t="n"/>
      <c r="AO17" s="19" t="n"/>
      <c r="AP17" s="19" t="n"/>
      <c r="AQ17" s="19" t="n"/>
      <c r="AR17" s="19" t="n">
        <v>1</v>
      </c>
      <c r="AS17" s="19" t="n"/>
      <c r="AT17" s="19" t="n"/>
      <c r="AU17" s="19" t="n"/>
      <c r="AV17" s="19" t="n"/>
      <c r="AW17" s="19" t="n"/>
      <c r="AX17" s="19" t="n">
        <v>1</v>
      </c>
      <c r="AY17" s="19" t="n"/>
      <c r="AZ17" s="19" t="n"/>
      <c r="BA17" s="19" t="n">
        <v>3</v>
      </c>
    </row>
    <row r="18" ht="14.25" customFormat="1" customHeight="1" s="3">
      <c r="A18" s="23" t="n"/>
      <c r="D18" s="277" t="n"/>
      <c r="F18" s="2" t="n"/>
      <c r="G18" s="2" t="n"/>
      <c r="H18" s="2" t="n"/>
      <c r="I18" s="2" t="n"/>
      <c r="J18" s="2" t="n"/>
      <c r="K18" s="2" t="n"/>
      <c r="L18" s="2" t="n"/>
      <c r="M18" s="2" t="n"/>
      <c r="N18" s="2" t="n"/>
      <c r="O18" s="2" t="n"/>
      <c r="P18" s="2" t="n"/>
      <c r="Q18" s="2" t="n"/>
      <c r="R18" s="2" t="n"/>
      <c r="S18" s="2" t="n"/>
      <c r="T18" s="2" t="n"/>
      <c r="U18" s="2" t="n"/>
      <c r="V18" s="2" t="n"/>
      <c r="W18" s="2" t="n"/>
      <c r="X18" s="2" t="n"/>
      <c r="Y18" s="2" t="n"/>
      <c r="Z18" s="2" t="n"/>
      <c r="AA18" s="2" t="n"/>
      <c r="AB18" s="1" t="n"/>
      <c r="AC18" s="1" t="n"/>
      <c r="AD18" s="1" t="n"/>
      <c r="AE18" s="2" t="n"/>
      <c r="AG18" s="398" t="n"/>
      <c r="AI18" s="360" t="n"/>
      <c r="AJ18" s="396" t="n"/>
      <c r="AK18" s="396" t="n"/>
      <c r="AL18" s="396" t="n"/>
      <c r="AM18" s="396" t="n"/>
      <c r="AN18" s="396" t="n"/>
      <c r="AO18" s="396" t="n"/>
      <c r="AP18" s="396" t="n"/>
      <c r="AQ18" s="396" t="n"/>
      <c r="AR18" s="396" t="n"/>
      <c r="AS18" s="396" t="n"/>
      <c r="AT18" s="396" t="n"/>
      <c r="AU18" s="396" t="n"/>
      <c r="AV18" s="396" t="n"/>
      <c r="AW18" s="396" t="n"/>
      <c r="AX18" s="396" t="n"/>
      <c r="AY18" s="396" t="n"/>
      <c r="AZ18" s="396" t="n"/>
      <c r="BA18" s="396" t="n"/>
    </row>
    <row r="19" customFormat="1" s="3">
      <c r="A19" s="548" t="inlineStr">
        <is>
          <t>CAIXAS</t>
        </is>
      </c>
      <c r="B19" s="8" t="n"/>
      <c r="C19" s="654" t="n"/>
      <c r="D19" s="403" t="n"/>
      <c r="E19" s="1" t="n"/>
      <c r="F19" s="619" t="n">
        <v>46013</v>
      </c>
      <c r="G19" s="619" t="n">
        <v>46020</v>
      </c>
      <c r="H19" s="619" t="n">
        <v>46027</v>
      </c>
      <c r="I19" s="619" t="n">
        <v>46034</v>
      </c>
      <c r="J19" s="619" t="n">
        <v>46041</v>
      </c>
      <c r="K19" s="619" t="n">
        <v>46048</v>
      </c>
      <c r="L19" s="619" t="n">
        <v>46055</v>
      </c>
      <c r="M19" s="619" t="n">
        <v>46062</v>
      </c>
      <c r="N19" s="619" t="n">
        <v>46069</v>
      </c>
      <c r="O19" s="619" t="n">
        <v>46076</v>
      </c>
      <c r="P19" s="619" t="n">
        <v>46083</v>
      </c>
      <c r="Q19" s="619" t="n">
        <v>46090</v>
      </c>
      <c r="R19" s="619" t="n">
        <v>46097</v>
      </c>
      <c r="S19" s="619" t="n">
        <v>46104</v>
      </c>
      <c r="T19" s="619" t="n">
        <v>46111</v>
      </c>
      <c r="U19" s="619" t="n">
        <v>46118</v>
      </c>
      <c r="V19" s="619" t="n">
        <v>46125</v>
      </c>
      <c r="W19" s="619" t="n">
        <v>46132</v>
      </c>
      <c r="X19" s="619" t="n">
        <v>46139</v>
      </c>
      <c r="Y19" s="619" t="n">
        <v>46146</v>
      </c>
      <c r="Z19" s="619" t="n">
        <v>46154</v>
      </c>
      <c r="AA19" s="619" t="n">
        <v>46160</v>
      </c>
      <c r="AB19" s="620" t="n">
        <v>46161.48013052083</v>
      </c>
      <c r="AC19" s="620" t="n">
        <v>46161.48080421297</v>
      </c>
      <c r="AD19" s="620" t="n">
        <v>46161.48296141668</v>
      </c>
      <c r="AE19" s="621" t="inlineStr">
        <is>
          <t>USOU</t>
        </is>
      </c>
      <c r="AF19" s="11" t="n"/>
      <c r="AG19" s="29" t="inlineStr">
        <is>
          <t>Pendências</t>
        </is>
      </c>
      <c r="AH19" s="11" t="n"/>
      <c r="AI19" s="9" t="inlineStr">
        <is>
          <t>Novo Pedido</t>
        </is>
      </c>
      <c r="AJ19" s="613" t="n">
        <v>46161.48296059343</v>
      </c>
      <c r="AK19" s="614" t="n"/>
      <c r="AL19" s="614" t="n">
        <v>46142</v>
      </c>
      <c r="AM19" s="615" t="n">
        <v>46148</v>
      </c>
      <c r="AN19" s="614" t="n">
        <v>46114</v>
      </c>
      <c r="AO19" s="616" t="n">
        <v>46065</v>
      </c>
      <c r="AP19" s="614" t="n">
        <v>46092</v>
      </c>
      <c r="AQ19" s="614" t="n">
        <v>46077</v>
      </c>
      <c r="AR19" s="614" t="n">
        <v>46056</v>
      </c>
      <c r="AS19" s="614" t="n">
        <v>46048</v>
      </c>
      <c r="AT19" s="614" t="n">
        <v>46043</v>
      </c>
      <c r="AU19" s="614" t="n">
        <v>46035</v>
      </c>
      <c r="AV19" s="614" t="n">
        <v>46024</v>
      </c>
      <c r="AW19" s="614" t="n">
        <v>46017</v>
      </c>
      <c r="AX19" s="614" t="n">
        <v>46007</v>
      </c>
      <c r="AY19" s="614" t="n">
        <v>46001</v>
      </c>
      <c r="AZ19" s="614" t="n">
        <v>45994</v>
      </c>
      <c r="BA19" s="614" t="n">
        <v>45986</v>
      </c>
      <c r="BC19" s="397" t="inlineStr">
        <is>
          <t>CAIXAS</t>
        </is>
      </c>
      <c r="BD19" s="384" t="inlineStr">
        <is>
          <t>PCT</t>
        </is>
      </c>
      <c r="BE19" s="619" t="n">
        <v>46118</v>
      </c>
      <c r="BF19" s="619" t="n">
        <v>46125</v>
      </c>
      <c r="BG19" s="619" t="n">
        <v>46132</v>
      </c>
      <c r="BH19" s="619" t="n">
        <v>46139</v>
      </c>
      <c r="BI19" s="619" t="n">
        <v>46146</v>
      </c>
      <c r="BJ19" s="619" t="n">
        <v>46154</v>
      </c>
      <c r="BK19" s="619" t="n">
        <v>46160</v>
      </c>
      <c r="BL19" s="620" t="n">
        <v>46161.48012980324</v>
      </c>
      <c r="BM19" s="620" t="n">
        <v>46161.48080346065</v>
      </c>
      <c r="BN19" s="620" t="n">
        <v>46161.48296074414</v>
      </c>
      <c r="BO19" s="621" t="inlineStr">
        <is>
          <t>USOU</t>
        </is>
      </c>
    </row>
    <row r="20" customFormat="1" s="3">
      <c r="A20" s="25" t="inlineStr">
        <is>
          <t>CAIXA P VERDE</t>
        </is>
      </c>
      <c r="B20" s="6" t="n">
        <v>150</v>
      </c>
      <c r="C20" s="627" t="n">
        <v>334.31</v>
      </c>
      <c r="D20" s="240" t="n">
        <v>70</v>
      </c>
      <c r="E20" s="1" t="n"/>
      <c r="F20" s="27" t="n">
        <v>43</v>
      </c>
      <c r="G20" s="27" t="n">
        <v>42</v>
      </c>
      <c r="H20" s="27" t="n">
        <v>38</v>
      </c>
      <c r="I20" s="27" t="n">
        <v>37</v>
      </c>
      <c r="J20" s="27" t="n">
        <v>29</v>
      </c>
      <c r="K20" s="27">
        <f>29+AQ20</f>
        <v/>
      </c>
      <c r="L20" s="27" t="n">
        <v>179</v>
      </c>
      <c r="M20" s="27" t="n">
        <v>166</v>
      </c>
      <c r="N20" s="27" t="n">
        <v>165</v>
      </c>
      <c r="O20" s="27" t="n">
        <v>160</v>
      </c>
      <c r="P20" s="27" t="n">
        <v>152</v>
      </c>
      <c r="Q20" s="27" t="n">
        <v>145</v>
      </c>
      <c r="R20" s="27" t="n">
        <v>136</v>
      </c>
      <c r="S20" s="27" t="n">
        <v>122</v>
      </c>
      <c r="T20" s="27" t="n">
        <v>117</v>
      </c>
      <c r="U20" s="27" t="n"/>
      <c r="V20" s="27" t="n"/>
      <c r="W20" s="27" t="n"/>
      <c r="X20" s="27" t="n">
        <v>99</v>
      </c>
      <c r="Y20" s="27" t="n">
        <v>97</v>
      </c>
      <c r="Z20" s="27" t="n">
        <v>90</v>
      </c>
      <c r="AA20" s="27" t="n">
        <v>80</v>
      </c>
      <c r="AB20" s="651" t="n">
        <v>80</v>
      </c>
      <c r="AC20" s="651" t="n">
        <v>80</v>
      </c>
      <c r="AD20" s="651" t="n">
        <v>80</v>
      </c>
      <c r="AE20" s="380">
        <f>AC20+IF(NOT(ISBLANK(OFFSET(AE20,0,6))),N(OFFSET(AE20,0,6)),N(OFFSET(AE20,0,7)))-AD20</f>
        <v/>
      </c>
      <c r="AF20" s="11" t="n"/>
      <c r="AG20" s="78" t="n"/>
      <c r="AH20" s="1" t="n"/>
      <c r="AI20" s="353" t="n"/>
      <c r="AJ20" s="628" t="n">
        <v>0</v>
      </c>
      <c r="AK20" s="19" t="n">
        <v>0</v>
      </c>
      <c r="AL20" s="19" t="n">
        <v>0</v>
      </c>
      <c r="AM20" s="19" t="n"/>
      <c r="AN20" s="19" t="n"/>
      <c r="AO20" s="119" t="n"/>
      <c r="AP20" s="19" t="n"/>
      <c r="AQ20" s="19" t="n"/>
      <c r="AR20" s="19" t="n"/>
      <c r="AS20" s="19" t="n"/>
      <c r="AT20" s="19" t="n">
        <v>150</v>
      </c>
      <c r="AU20" s="19" t="n"/>
      <c r="AV20" s="19" t="n"/>
      <c r="AW20" s="19" t="n"/>
      <c r="AX20" s="19" t="n"/>
      <c r="AY20" s="19" t="n"/>
      <c r="AZ20" s="19" t="n"/>
      <c r="BA20" s="19" t="n"/>
      <c r="BC20" s="372" t="inlineStr">
        <is>
          <t>CAIXA P</t>
        </is>
      </c>
      <c r="BD20" s="139" t="n">
        <v>150</v>
      </c>
      <c r="BE20" s="39" t="n">
        <v>0</v>
      </c>
      <c r="BF20" s="39" t="n"/>
      <c r="BG20" s="39" t="n"/>
      <c r="BH20" s="39" t="n">
        <v>36</v>
      </c>
      <c r="BI20" s="39" t="n">
        <v>33</v>
      </c>
      <c r="BJ20" s="39" t="n">
        <v>0</v>
      </c>
      <c r="BK20" s="39" t="n">
        <v>0</v>
      </c>
      <c r="BL20" s="6" t="n"/>
      <c r="BM20" s="6" t="n"/>
      <c r="BN20" s="6" t="n"/>
      <c r="BO20" s="26">
        <f>BM20+IF(NOT(ISBLANK(OFFSET(BO20,0,6))),N(OFFSET(BO20,0,6)),N(OFFSET(BO20,0,7)))-BN20</f>
        <v/>
      </c>
    </row>
    <row r="21" customFormat="1" s="3">
      <c r="A21" s="25" t="inlineStr">
        <is>
          <t>CAIXA M VERDE</t>
        </is>
      </c>
      <c r="B21" s="6" t="n">
        <v>100</v>
      </c>
      <c r="C21" s="634" t="n">
        <v>292.25</v>
      </c>
      <c r="D21" s="243" t="n">
        <v>70</v>
      </c>
      <c r="E21" s="1" t="n"/>
      <c r="F21" s="27" t="n">
        <v>62</v>
      </c>
      <c r="G21" s="27" t="n">
        <v>58</v>
      </c>
      <c r="H21" s="27" t="n">
        <v>40</v>
      </c>
      <c r="I21" s="27" t="n">
        <v>35</v>
      </c>
      <c r="J21" s="27" t="n">
        <v>33</v>
      </c>
      <c r="K21" s="27">
        <f>45+AQ21</f>
        <v/>
      </c>
      <c r="L21" s="27" t="n">
        <v>136</v>
      </c>
      <c r="M21" s="27" t="n">
        <v>129</v>
      </c>
      <c r="N21" s="27" t="n">
        <v>129</v>
      </c>
      <c r="O21" s="27" t="n">
        <v>122</v>
      </c>
      <c r="P21" s="27" t="n">
        <v>119</v>
      </c>
      <c r="Q21" s="27" t="n">
        <v>106</v>
      </c>
      <c r="R21" s="27" t="n">
        <v>92</v>
      </c>
      <c r="S21" s="27" t="n">
        <v>83</v>
      </c>
      <c r="T21" s="27" t="n">
        <v>82</v>
      </c>
      <c r="U21" s="27" t="n"/>
      <c r="V21" s="27" t="n"/>
      <c r="W21" s="27" t="n"/>
      <c r="X21" s="27" t="n">
        <v>62</v>
      </c>
      <c r="Y21" s="27" t="n">
        <v>62</v>
      </c>
      <c r="Z21" s="27" t="n">
        <v>82</v>
      </c>
      <c r="AA21" s="27" t="n">
        <v>76</v>
      </c>
      <c r="AB21" s="651" t="n">
        <v>76</v>
      </c>
      <c r="AC21" s="651" t="n">
        <v>76</v>
      </c>
      <c r="AD21" s="651" t="n">
        <v>76</v>
      </c>
      <c r="AE21" s="380">
        <f>AC21+IF(NOT(ISBLANK(OFFSET(AE21,0,6))),N(OFFSET(AE21,0,6)),N(OFFSET(AE21,0,7)))-AD21</f>
        <v/>
      </c>
      <c r="AF21" s="11" t="n"/>
      <c r="AG21" s="78" t="n"/>
      <c r="AH21" s="1" t="n"/>
      <c r="AI21" s="353" t="n"/>
      <c r="AJ21" s="628" t="n">
        <v>0</v>
      </c>
      <c r="AK21" s="19" t="n">
        <v>0</v>
      </c>
      <c r="AL21" s="19" t="n">
        <v>0</v>
      </c>
      <c r="AM21" s="19" t="n"/>
      <c r="AN21" s="19" t="n"/>
      <c r="AO21" s="119" t="n"/>
      <c r="AP21" s="19" t="n"/>
      <c r="AQ21" s="19" t="n"/>
      <c r="AR21" s="19" t="n"/>
      <c r="AS21" s="19" t="n"/>
      <c r="AT21" s="19" t="n">
        <v>100</v>
      </c>
      <c r="AU21" s="19" t="n"/>
      <c r="AV21" s="19" t="n"/>
      <c r="AW21" s="19" t="n"/>
      <c r="AX21" s="19" t="n"/>
      <c r="AY21" s="19" t="n"/>
      <c r="AZ21" s="19" t="n"/>
      <c r="BA21" s="19" t="n"/>
      <c r="BC21" s="21" t="inlineStr">
        <is>
          <t>CAIXA M</t>
        </is>
      </c>
      <c r="BD21" s="6" t="n">
        <v>100</v>
      </c>
      <c r="BE21" s="39" t="n">
        <v>0</v>
      </c>
      <c r="BF21" s="39" t="n"/>
      <c r="BG21" s="39" t="n"/>
      <c r="BH21" s="39" t="n">
        <v>52</v>
      </c>
      <c r="BI21" s="39" t="n">
        <v>48</v>
      </c>
      <c r="BJ21" s="39" t="n">
        <v>-2</v>
      </c>
      <c r="BK21" s="39" t="n">
        <v>-2</v>
      </c>
      <c r="BL21" s="6" t="n"/>
      <c r="BM21" s="6" t="n"/>
      <c r="BN21" s="6" t="n"/>
      <c r="BO21" s="26">
        <f>BM21+IF(NOT(ISBLANK(OFFSET(BO21,0,6))),N(OFFSET(BO21,0,6)),N(OFFSET(BO21,0,7)))-BN21</f>
        <v/>
      </c>
    </row>
    <row r="22" customFormat="1" s="3">
      <c r="A22" s="25" t="inlineStr">
        <is>
          <t>CAIXA G VERDE</t>
        </is>
      </c>
      <c r="B22" s="6" t="n">
        <v>75</v>
      </c>
      <c r="C22" s="632" t="n">
        <v>425.38</v>
      </c>
      <c r="D22" s="240" t="n">
        <v>15</v>
      </c>
      <c r="E22" s="608" t="n"/>
      <c r="F22" s="27" t="n">
        <v>11</v>
      </c>
      <c r="G22" s="27" t="n">
        <v>11</v>
      </c>
      <c r="H22" s="27" t="n">
        <v>11</v>
      </c>
      <c r="I22" s="27" t="n">
        <v>10</v>
      </c>
      <c r="J22" s="27" t="n">
        <v>10</v>
      </c>
      <c r="K22" s="27" t="n">
        <v>10</v>
      </c>
      <c r="L22" s="27" t="n">
        <v>10</v>
      </c>
      <c r="M22" s="27" t="n">
        <v>10</v>
      </c>
      <c r="N22" s="27" t="n">
        <v>10</v>
      </c>
      <c r="O22" s="27" t="n">
        <v>10</v>
      </c>
      <c r="P22" s="27" t="n">
        <v>8</v>
      </c>
      <c r="Q22" s="27" t="n">
        <v>8</v>
      </c>
      <c r="R22" s="27" t="n">
        <v>8</v>
      </c>
      <c r="S22" s="27" t="n">
        <v>8</v>
      </c>
      <c r="T22" s="27" t="n">
        <v>8</v>
      </c>
      <c r="U22" s="27" t="n">
        <v>8</v>
      </c>
      <c r="V22" s="27" t="n">
        <v>8</v>
      </c>
      <c r="W22" s="27" t="n">
        <v>8</v>
      </c>
      <c r="X22" s="27" t="n">
        <v>8</v>
      </c>
      <c r="Y22" s="27" t="n">
        <v>8</v>
      </c>
      <c r="Z22" s="27" t="n">
        <v>6</v>
      </c>
      <c r="AA22" s="27" t="n">
        <v>5</v>
      </c>
      <c r="AB22" s="651" t="n">
        <v>5</v>
      </c>
      <c r="AC22" s="651" t="n">
        <v>5</v>
      </c>
      <c r="AD22" s="651" t="n">
        <v>5</v>
      </c>
      <c r="AE22" s="380">
        <f>AC22+IF(NOT(ISBLANK(OFFSET(AE22,0,6))),N(OFFSET(AE22,0,6)),N(OFFSET(AE22,0,7)))-AD22</f>
        <v/>
      </c>
      <c r="AF22" s="608" t="n"/>
      <c r="AG22" s="78" t="n"/>
      <c r="AH22" s="608" t="n"/>
      <c r="AI22" s="353" t="n"/>
      <c r="AJ22" s="114" t="n">
        <v>0</v>
      </c>
      <c r="AK22" s="19" t="n">
        <v>0</v>
      </c>
      <c r="AL22" s="19" t="n">
        <v>0</v>
      </c>
      <c r="AM22" s="19" t="n"/>
      <c r="AN22" s="19" t="n"/>
      <c r="AO22" s="1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C22" s="22" t="inlineStr">
        <is>
          <t>CARTUCHO P</t>
        </is>
      </c>
      <c r="BD22" s="6" t="n">
        <v>200</v>
      </c>
      <c r="BE22" s="39" t="n">
        <v>0</v>
      </c>
      <c r="BF22" s="39" t="n"/>
      <c r="BG22" s="39" t="n"/>
      <c r="BH22" s="39" t="n">
        <v>43</v>
      </c>
      <c r="BI22" s="39" t="n">
        <v>38</v>
      </c>
      <c r="BJ22" s="39" t="n">
        <v>-1</v>
      </c>
      <c r="BK22" s="39" t="n">
        <v>-1</v>
      </c>
      <c r="BL22" s="6" t="n"/>
      <c r="BM22" s="6" t="n"/>
      <c r="BN22" s="6" t="n"/>
      <c r="BO22" s="26">
        <f>BM22+IF(NOT(ISBLANK(OFFSET(BO22,0,6))),N(OFFSET(BO22,0,6)),N(OFFSET(BO22,0,7)))-BN22</f>
        <v/>
      </c>
    </row>
    <row r="23" customFormat="1" s="3">
      <c r="A23" s="25" t="inlineStr">
        <is>
          <t>CARTUCHO M VERDE</t>
        </is>
      </c>
      <c r="B23" s="6" t="n">
        <v>150</v>
      </c>
      <c r="C23" s="632" t="n">
        <v>427.5</v>
      </c>
      <c r="D23" s="240" t="n"/>
      <c r="E23" s="608" t="n"/>
      <c r="F23" s="2" t="n"/>
      <c r="G23" s="2" t="n"/>
      <c r="H23" s="2" t="n"/>
      <c r="I23" s="2" t="n"/>
      <c r="J23" s="2" t="n"/>
      <c r="K23" s="2" t="n"/>
      <c r="L23" s="2" t="n"/>
      <c r="M23" s="2" t="n"/>
      <c r="N23" s="27" t="n">
        <v>0</v>
      </c>
      <c r="O23" s="27" t="n">
        <v>0</v>
      </c>
      <c r="P23" s="27" t="n">
        <v>0</v>
      </c>
      <c r="Q23" s="298" t="n">
        <v>20</v>
      </c>
      <c r="R23" s="27" t="n">
        <v>19</v>
      </c>
      <c r="S23" s="27" t="n">
        <v>16</v>
      </c>
      <c r="T23" s="27" t="n">
        <v>15</v>
      </c>
      <c r="U23" s="27" t="n"/>
      <c r="V23" s="27" t="n"/>
      <c r="W23" s="27" t="n"/>
      <c r="X23" s="27" t="n">
        <v>6</v>
      </c>
      <c r="Y23" s="27" t="n">
        <v>6</v>
      </c>
      <c r="Z23" s="27" t="n">
        <v>45</v>
      </c>
      <c r="AA23" s="27" t="n">
        <v>40</v>
      </c>
      <c r="AB23" s="651" t="n">
        <v>40</v>
      </c>
      <c r="AC23" s="651" t="n">
        <v>40</v>
      </c>
      <c r="AD23" s="651" t="n">
        <v>40</v>
      </c>
      <c r="AE23" s="380">
        <f>AC23+IF(NOT(ISBLANK(OFFSET(AE23,0,6))),N(OFFSET(AE23,0,6)),N(OFFSET(AE23,0,7)))-AD23</f>
        <v/>
      </c>
      <c r="AF23" s="608" t="n"/>
      <c r="AG23" s="78" t="n"/>
      <c r="AH23" s="608" t="n"/>
      <c r="AI23" s="353" t="n"/>
      <c r="AJ23" s="114" t="n">
        <v>0</v>
      </c>
      <c r="AK23" s="19" t="n">
        <v>0</v>
      </c>
      <c r="AL23" s="19" t="n">
        <v>0</v>
      </c>
      <c r="AM23" s="19" t="n"/>
      <c r="AN23" s="19" t="n"/>
      <c r="AO23" s="1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75" t="n"/>
      <c r="AY23" s="75" t="n"/>
      <c r="AZ23" s="75" t="n"/>
      <c r="BA23" s="75" t="n"/>
      <c r="BC23" s="22" t="inlineStr">
        <is>
          <t>CARTUCHO M</t>
        </is>
      </c>
      <c r="BD23" s="6" t="n">
        <v>150</v>
      </c>
      <c r="BE23" s="39" t="n">
        <v>0</v>
      </c>
      <c r="BF23" s="39" t="n"/>
      <c r="BG23" s="39" t="n"/>
      <c r="BH23" s="39" t="n">
        <v>43</v>
      </c>
      <c r="BI23" s="39" t="n">
        <v>37</v>
      </c>
      <c r="BJ23" s="39" t="n">
        <v>0</v>
      </c>
      <c r="BK23" s="39" t="n">
        <v>0</v>
      </c>
      <c r="BL23" s="6" t="n"/>
      <c r="BM23" s="6" t="n"/>
      <c r="BN23" s="6" t="n"/>
      <c r="BO23" s="26">
        <f>BM23+IF(NOT(ISBLANK(OFFSET(BO23,0,6))),N(OFFSET(BO23,0,6)),N(OFFSET(BO23,0,7)))-BN23</f>
        <v/>
      </c>
    </row>
    <row r="24">
      <c r="AG24" s="355" t="n"/>
      <c r="AJ24" s="11" t="n"/>
      <c r="AK24" s="11" t="n"/>
      <c r="AL24" s="11" t="n"/>
      <c r="AM24" s="11" t="n"/>
      <c r="AN24" s="11" t="n"/>
      <c r="AO24" s="11" t="n"/>
      <c r="AP24" s="11" t="n"/>
      <c r="AX24" s="11" t="n"/>
      <c r="AY24" s="11" t="n"/>
      <c r="AZ24" s="11" t="n"/>
      <c r="BA24" s="11" t="n"/>
    </row>
    <row r="25">
      <c r="A25" s="386" t="inlineStr">
        <is>
          <t>SOBRAS CAIXAS</t>
        </is>
      </c>
      <c r="B25" s="387" t="inlineStr">
        <is>
          <t>PCT</t>
        </is>
      </c>
      <c r="C25" s="387" t="inlineStr">
        <is>
          <t xml:space="preserve">R$ </t>
        </is>
      </c>
      <c r="D25" s="387" t="n"/>
      <c r="F25" s="619" t="n">
        <v>46013</v>
      </c>
      <c r="G25" s="619" t="n">
        <v>46020</v>
      </c>
      <c r="H25" s="619" t="n">
        <v>46027</v>
      </c>
      <c r="I25" s="619" t="n">
        <v>46034</v>
      </c>
      <c r="J25" s="619" t="n">
        <v>46041</v>
      </c>
      <c r="K25" s="619" t="n">
        <v>46048</v>
      </c>
      <c r="L25" s="619" t="n">
        <v>46055</v>
      </c>
      <c r="M25" s="619" t="n">
        <v>46062</v>
      </c>
      <c r="N25" s="619" t="n">
        <v>46069</v>
      </c>
      <c r="O25" s="619" t="n">
        <v>46076</v>
      </c>
      <c r="P25" s="619" t="n">
        <v>46083</v>
      </c>
      <c r="Q25" s="619" t="n">
        <v>46090</v>
      </c>
      <c r="R25" s="619" t="n">
        <v>46097</v>
      </c>
      <c r="S25" s="619" t="n">
        <v>46104</v>
      </c>
      <c r="T25" s="619" t="n">
        <v>46111</v>
      </c>
      <c r="U25" s="619" t="n">
        <v>46118</v>
      </c>
      <c r="V25" s="619" t="n">
        <v>46125</v>
      </c>
      <c r="W25" s="619" t="n">
        <v>46132</v>
      </c>
      <c r="X25" s="619" t="n">
        <v>46139</v>
      </c>
      <c r="Y25" s="619" t="n">
        <v>46146</v>
      </c>
      <c r="Z25" s="619" t="n">
        <v>46154</v>
      </c>
      <c r="AA25" s="619" t="n">
        <v>46160</v>
      </c>
      <c r="AB25" s="620" t="n">
        <v>46161.48013052083</v>
      </c>
      <c r="AC25" s="620" t="n">
        <v>46161.48080421297</v>
      </c>
      <c r="AD25" s="620" t="n">
        <v>46161.48296141694</v>
      </c>
      <c r="AE25" s="621" t="inlineStr">
        <is>
          <t>USOU</t>
        </is>
      </c>
      <c r="AG25" s="355" t="n"/>
      <c r="AJ25" s="11" t="n"/>
      <c r="AK25" s="11" t="n"/>
      <c r="AL25" s="11" t="n"/>
      <c r="AM25" s="11" t="n"/>
      <c r="AN25" s="11" t="n"/>
      <c r="AO25" s="11" t="n"/>
      <c r="AP25" s="11" t="n"/>
      <c r="AQ25" s="11" t="n"/>
      <c r="AR25" s="11" t="n"/>
      <c r="AS25" s="11" t="n"/>
      <c r="AT25" s="11" t="n"/>
      <c r="AU25" s="11" t="n"/>
      <c r="AV25" s="11" t="n"/>
      <c r="AW25" s="11" t="n"/>
      <c r="AX25" s="11" t="n"/>
      <c r="AY25" s="11" t="n"/>
      <c r="AZ25" s="11" t="n"/>
      <c r="BA25" s="11" t="n"/>
    </row>
    <row r="26" hidden="1" ht="18.75" customHeight="1">
      <c r="A26" s="390" t="inlineStr">
        <is>
          <t>CAIXA M PAIS/24</t>
        </is>
      </c>
      <c r="B26" s="391" t="n">
        <v>100</v>
      </c>
      <c r="C26" s="661" t="n">
        <v>722</v>
      </c>
      <c r="D26" s="404" t="n"/>
      <c r="F26" s="39" t="n">
        <v>0</v>
      </c>
      <c r="G26" s="39" t="n">
        <v>0</v>
      </c>
      <c r="H26" s="39" t="n"/>
      <c r="I26" s="39" t="n"/>
      <c r="J26" s="39" t="n"/>
      <c r="K26" s="39" t="n"/>
      <c r="L26" s="39" t="n"/>
      <c r="M26" s="39" t="n"/>
      <c r="N26" s="39" t="n"/>
      <c r="O26" s="39" t="n"/>
      <c r="P26" s="39" t="n"/>
      <c r="Q26" s="39" t="n"/>
      <c r="R26" s="39" t="n"/>
      <c r="S26" s="39" t="n"/>
      <c r="T26" s="39" t="n"/>
      <c r="U26" s="39" t="n"/>
      <c r="V26" s="39" t="n"/>
      <c r="W26" s="39" t="n"/>
      <c r="X26" s="39" t="n"/>
      <c r="Y26" s="39" t="n"/>
      <c r="Z26" s="39" t="n"/>
      <c r="AA26" s="39" t="n"/>
      <c r="AB26" s="6" t="n"/>
      <c r="AC26" s="6" t="n"/>
      <c r="AD26" s="6" t="n"/>
      <c r="AE26" s="26">
        <f>AC26+IF(NOT(ISBLANK(OFFSET(AE26,0,6))),N(OFFSET(AE26,0,6)),N(OFFSET(AE26,0,7)))-AD26</f>
        <v/>
      </c>
      <c r="AG26" s="355" t="n"/>
      <c r="AJ26" s="11" t="n"/>
      <c r="AK26" s="11" t="n"/>
      <c r="AL26" s="11" t="n"/>
      <c r="AM26" s="11" t="n"/>
      <c r="AN26" s="11" t="n"/>
      <c r="AO26" s="11" t="n"/>
      <c r="AP26" s="11" t="n"/>
      <c r="AQ26" s="11" t="n"/>
      <c r="AR26" s="11" t="n"/>
      <c r="AS26" s="11" t="n"/>
      <c r="AT26" s="11" t="n"/>
      <c r="AU26" s="11" t="n"/>
      <c r="AV26" s="11" t="n"/>
      <c r="AW26" s="11" t="n"/>
      <c r="AX26" s="11" t="n"/>
      <c r="AY26" s="11" t="n"/>
      <c r="AZ26" s="11" t="n"/>
      <c r="BA26" s="11" t="n"/>
    </row>
    <row r="27">
      <c r="A27" s="392" t="inlineStr">
        <is>
          <t>CAIXA M DIVERT./24</t>
        </is>
      </c>
      <c r="B27" s="393" t="n">
        <v>100</v>
      </c>
      <c r="C27" s="635" t="n">
        <v>790</v>
      </c>
      <c r="D27" s="404" t="n"/>
      <c r="F27" s="39" t="n">
        <v>187</v>
      </c>
      <c r="G27" s="39" t="n">
        <v>114</v>
      </c>
      <c r="H27" s="39" t="n">
        <v>114</v>
      </c>
      <c r="I27" s="39" t="n">
        <v>114</v>
      </c>
      <c r="J27" s="39" t="n">
        <v>114</v>
      </c>
      <c r="K27" s="39" t="n">
        <v>114</v>
      </c>
      <c r="L27" s="39" t="n">
        <v>111</v>
      </c>
      <c r="M27" s="39" t="n">
        <v>111</v>
      </c>
      <c r="N27" s="39" t="n">
        <v>111</v>
      </c>
      <c r="O27" s="39" t="n">
        <v>108</v>
      </c>
      <c r="P27" s="39" t="n">
        <v>104</v>
      </c>
      <c r="Q27" s="39" t="n">
        <v>104</v>
      </c>
      <c r="R27" s="39" t="n">
        <v>104</v>
      </c>
      <c r="S27" s="39" t="n">
        <v>104</v>
      </c>
      <c r="T27" s="39" t="n">
        <v>104</v>
      </c>
      <c r="U27" s="39" t="n">
        <v>104</v>
      </c>
      <c r="V27" s="39" t="n">
        <v>104</v>
      </c>
      <c r="W27" s="39" t="n">
        <v>104</v>
      </c>
      <c r="X27" s="39" t="n">
        <v>104</v>
      </c>
      <c r="Y27" s="39" t="n">
        <v>104</v>
      </c>
      <c r="Z27" s="39" t="n">
        <v>102</v>
      </c>
      <c r="AA27" s="39" t="n">
        <v>102</v>
      </c>
      <c r="AB27" s="6" t="n">
        <v>102</v>
      </c>
      <c r="AC27" s="6" t="n">
        <v>102</v>
      </c>
      <c r="AD27" s="6" t="n">
        <v>102</v>
      </c>
      <c r="AE27" s="380">
        <f>AC27+IF(NOT(ISBLANK(OFFSET(AE27,0,6))),N(OFFSET(AE27,0,6)),N(OFFSET(AE27,0,7)))-AD27</f>
        <v/>
      </c>
      <c r="AG27" s="355" t="n"/>
      <c r="AJ27" s="11" t="n"/>
      <c r="AK27" s="11" t="n"/>
      <c r="AL27" s="11" t="n"/>
      <c r="AM27" s="11" t="n"/>
      <c r="AN27" s="11" t="n"/>
      <c r="AO27" s="11" t="n"/>
      <c r="AP27" s="11" t="n"/>
      <c r="AQ27" s="11" t="n"/>
      <c r="AR27" s="11" t="n"/>
      <c r="AS27" s="11" t="n"/>
      <c r="AT27" s="11" t="n"/>
      <c r="AU27" s="11" t="n"/>
      <c r="AV27" s="11" t="n"/>
      <c r="AW27" s="11" t="n"/>
      <c r="AX27" s="11" t="n"/>
      <c r="AY27" s="11" t="n"/>
      <c r="AZ27" s="11" t="n"/>
      <c r="BA27" s="11" t="n"/>
    </row>
    <row r="28" hidden="1" ht="18" customHeight="1">
      <c r="A28" s="394" t="inlineStr">
        <is>
          <t>CAIXA P NAT./24</t>
        </is>
      </c>
      <c r="B28" s="163" t="n">
        <v>150</v>
      </c>
      <c r="C28" s="636" t="n">
        <v>715.5</v>
      </c>
      <c r="D28" s="404" t="n"/>
      <c r="F28" s="39" t="n"/>
      <c r="G28" s="39" t="n"/>
      <c r="H28" s="39" t="n"/>
      <c r="I28" s="39" t="n"/>
      <c r="J28" s="39" t="n"/>
      <c r="K28" s="39" t="n"/>
      <c r="L28" s="39" t="n"/>
      <c r="M28" s="39" t="n"/>
      <c r="N28" s="39" t="n"/>
      <c r="O28" s="39" t="n"/>
      <c r="P28" s="39" t="n"/>
      <c r="Q28" s="39" t="n"/>
      <c r="R28" s="39" t="n"/>
      <c r="S28" s="39" t="n"/>
      <c r="T28" s="39" t="n"/>
      <c r="U28" s="39" t="n"/>
      <c r="V28" s="39" t="n"/>
      <c r="W28" s="39" t="n"/>
      <c r="X28" s="39" t="n"/>
      <c r="Y28" s="39" t="n"/>
      <c r="Z28" s="39" t="n"/>
      <c r="AA28" s="39" t="n"/>
      <c r="AB28" s="6" t="n"/>
      <c r="AC28" s="6" t="n"/>
      <c r="AD28" s="6" t="n"/>
      <c r="AE28" s="380">
        <f>AC28+IF(NOT(ISBLANK(OFFSET(AE28,0,6))),N(OFFSET(AE28,0,6)),N(OFFSET(AE28,0,7)))-AD28</f>
        <v/>
      </c>
      <c r="AG28" s="355" t="n"/>
      <c r="AJ28" s="11" t="n"/>
      <c r="AK28" s="11" t="n"/>
      <c r="AL28" s="11" t="n"/>
      <c r="AM28" s="11" t="n"/>
      <c r="AN28" s="11" t="n"/>
      <c r="AO28" s="11" t="n"/>
      <c r="AP28" s="11" t="n"/>
      <c r="AQ28" s="11" t="n"/>
      <c r="AR28" s="11" t="n"/>
      <c r="AS28" s="11" t="n"/>
      <c r="AT28" s="11" t="n"/>
      <c r="AU28" s="11" t="n"/>
      <c r="AV28" s="11" t="n"/>
      <c r="AW28" s="11" t="n"/>
      <c r="AX28" s="11" t="n"/>
      <c r="AY28" s="11" t="n"/>
      <c r="AZ28" s="11" t="n"/>
      <c r="BA28" s="11" t="n"/>
    </row>
    <row r="29" hidden="1" ht="18" customHeight="1">
      <c r="A29" s="394" t="inlineStr">
        <is>
          <t>CAIXA M NAT./24</t>
        </is>
      </c>
      <c r="B29" s="163" t="n">
        <v>100</v>
      </c>
      <c r="C29" s="636" t="n">
        <v>746</v>
      </c>
      <c r="D29" s="404" t="n"/>
      <c r="F29" s="39" t="n"/>
      <c r="G29" s="39" t="n"/>
      <c r="H29" s="39" t="n"/>
      <c r="I29" s="39" t="n"/>
      <c r="J29" s="39" t="n"/>
      <c r="K29" s="39" t="n"/>
      <c r="L29" s="39" t="n"/>
      <c r="M29" s="39" t="n"/>
      <c r="N29" s="39" t="n"/>
      <c r="O29" s="39" t="n"/>
      <c r="P29" s="39" t="n"/>
      <c r="Q29" s="39" t="n"/>
      <c r="R29" s="39" t="n"/>
      <c r="S29" s="39" t="n"/>
      <c r="T29" s="39" t="n"/>
      <c r="U29" s="39" t="n"/>
      <c r="V29" s="39" t="n"/>
      <c r="W29" s="39" t="n"/>
      <c r="X29" s="39" t="n"/>
      <c r="Y29" s="39" t="n"/>
      <c r="Z29" s="39" t="n"/>
      <c r="AA29" s="39" t="n"/>
      <c r="AB29" s="6" t="n"/>
      <c r="AC29" s="6" t="n"/>
      <c r="AD29" s="6" t="n"/>
      <c r="AE29" s="380">
        <f>AC29+IF(NOT(ISBLANK(OFFSET(AE29,0,6))),N(OFFSET(AE29,0,6)),N(OFFSET(AE29,0,7)))-AD29</f>
        <v/>
      </c>
      <c r="AG29" s="355" t="n"/>
      <c r="AJ29" s="11" t="n"/>
      <c r="AK29" s="11" t="n"/>
      <c r="AL29" s="11" t="n"/>
      <c r="AM29" s="11" t="n"/>
      <c r="AN29" s="11" t="n"/>
      <c r="AO29" s="11" t="n"/>
      <c r="AP29" s="11" t="n"/>
      <c r="AQ29" s="11" t="n"/>
      <c r="AR29" s="11" t="n"/>
      <c r="AS29" s="11" t="n"/>
      <c r="AT29" s="11" t="n"/>
      <c r="AU29" s="11" t="n"/>
      <c r="AV29" s="11" t="n"/>
      <c r="AW29" s="11" t="n"/>
      <c r="AX29" s="11" t="n"/>
      <c r="AY29" s="11" t="n"/>
      <c r="AZ29" s="11" t="n"/>
      <c r="BA29" s="11" t="n"/>
    </row>
    <row r="30" hidden="1" ht="18" customHeight="1">
      <c r="A30" s="394" t="inlineStr">
        <is>
          <t>CAIXA G NAT./24</t>
        </is>
      </c>
      <c r="B30" s="163" t="n">
        <v>50</v>
      </c>
      <c r="C30" s="636" t="n">
        <v>777</v>
      </c>
      <c r="D30" s="404" t="n"/>
      <c r="F30" s="39" t="n"/>
      <c r="G30" s="39" t="n"/>
      <c r="H30" s="39" t="n"/>
      <c r="I30" s="39" t="n"/>
      <c r="J30" s="39" t="n"/>
      <c r="K30" s="39" t="n"/>
      <c r="L30" s="39" t="n"/>
      <c r="M30" s="39" t="n"/>
      <c r="N30" s="39" t="n"/>
      <c r="O30" s="39" t="n"/>
      <c r="P30" s="39" t="n"/>
      <c r="Q30" s="39" t="n"/>
      <c r="R30" s="39" t="n"/>
      <c r="S30" s="39" t="n"/>
      <c r="T30" s="39" t="n"/>
      <c r="U30" s="39" t="n"/>
      <c r="V30" s="39" t="n"/>
      <c r="W30" s="39" t="n"/>
      <c r="X30" s="39" t="n"/>
      <c r="Y30" s="39" t="n"/>
      <c r="Z30" s="39" t="n"/>
      <c r="AA30" s="39" t="n"/>
      <c r="AB30" s="6" t="n"/>
      <c r="AC30" s="6" t="n"/>
      <c r="AD30" s="6" t="n"/>
      <c r="AE30" s="380">
        <f>AC30+IF(NOT(ISBLANK(OFFSET(AE30,0,6))),N(OFFSET(AE30,0,6)),N(OFFSET(AE30,0,7)))-AD30</f>
        <v/>
      </c>
      <c r="AG30" s="355" t="n"/>
      <c r="AJ30" s="11" t="n"/>
      <c r="AK30" s="11" t="n"/>
      <c r="AL30" s="11" t="n"/>
      <c r="AM30" s="11" t="n"/>
      <c r="AN30" s="11" t="n"/>
      <c r="AO30" s="11" t="n"/>
      <c r="AP30" s="11" t="n"/>
      <c r="AQ30" s="11" t="n"/>
      <c r="AR30" s="11" t="n"/>
      <c r="AS30" s="11" t="n"/>
      <c r="AT30" s="11" t="n"/>
      <c r="AU30" s="11" t="n"/>
      <c r="AV30" s="11" t="n"/>
      <c r="AW30" s="11" t="n"/>
      <c r="AX30" s="11" t="n"/>
      <c r="AY30" s="11" t="n"/>
      <c r="AZ30" s="11" t="n"/>
      <c r="BA30" s="11" t="n"/>
    </row>
    <row r="31" hidden="1" ht="18" customHeight="1">
      <c r="A31" s="394" t="inlineStr">
        <is>
          <t>CARTUCHO P NAT./24</t>
        </is>
      </c>
      <c r="B31" s="163" t="n">
        <v>200</v>
      </c>
      <c r="C31" s="636" t="n">
        <v>486</v>
      </c>
      <c r="D31" s="404" t="n"/>
      <c r="F31" s="39" t="n"/>
      <c r="G31" s="39" t="n"/>
      <c r="H31" s="39" t="n"/>
      <c r="I31" s="39" t="n"/>
      <c r="J31" s="39" t="n"/>
      <c r="K31" s="39" t="n"/>
      <c r="L31" s="39" t="n"/>
      <c r="M31" s="39" t="n"/>
      <c r="N31" s="39" t="n"/>
      <c r="O31" s="39" t="n"/>
      <c r="P31" s="39" t="n"/>
      <c r="Q31" s="39" t="n"/>
      <c r="R31" s="39" t="n"/>
      <c r="S31" s="39" t="n"/>
      <c r="T31" s="39" t="n"/>
      <c r="U31" s="39" t="n"/>
      <c r="V31" s="39" t="n"/>
      <c r="W31" s="39" t="n"/>
      <c r="X31" s="39" t="n"/>
      <c r="Y31" s="39" t="n"/>
      <c r="Z31" s="39" t="n"/>
      <c r="AA31" s="39" t="n"/>
      <c r="AB31" s="6" t="n"/>
      <c r="AC31" s="6" t="n"/>
      <c r="AD31" s="6" t="n"/>
      <c r="AE31" s="380">
        <f>AC31+IF(NOT(ISBLANK(OFFSET(AE31,0,6))),N(OFFSET(AE31,0,6)),N(OFFSET(AE31,0,7)))-AD31</f>
        <v/>
      </c>
      <c r="AG31" s="355" t="n"/>
      <c r="AJ31" s="11" t="n"/>
      <c r="AK31" s="11" t="n"/>
      <c r="AL31" s="11" t="n"/>
      <c r="AM31" s="11" t="n"/>
      <c r="AN31" s="11" t="n"/>
      <c r="AO31" s="11" t="n"/>
      <c r="AP31" s="11" t="n"/>
      <c r="AQ31" s="11" t="n"/>
      <c r="AR31" s="11" t="n"/>
      <c r="AS31" s="11" t="n"/>
      <c r="AT31" s="11" t="n"/>
      <c r="AU31" s="11" t="n"/>
      <c r="AV31" s="11" t="n"/>
      <c r="AW31" s="11" t="n"/>
      <c r="AX31" s="11" t="n"/>
      <c r="AY31" s="11" t="n"/>
      <c r="AZ31" s="11" t="n"/>
      <c r="BA31" s="11" t="n"/>
    </row>
    <row r="32" hidden="1" ht="18" customHeight="1">
      <c r="A32" s="394" t="inlineStr">
        <is>
          <t>CARTUCHO M NAT./24</t>
        </is>
      </c>
      <c r="B32" s="163" t="n">
        <v>150</v>
      </c>
      <c r="C32" s="636" t="n">
        <v>459</v>
      </c>
      <c r="D32" s="404" t="n"/>
      <c r="F32" s="39" t="n"/>
      <c r="G32" s="39" t="n"/>
      <c r="H32" s="39" t="n"/>
      <c r="I32" s="39" t="n"/>
      <c r="J32" s="39" t="n"/>
      <c r="K32" s="39" t="n"/>
      <c r="L32" s="39" t="n"/>
      <c r="M32" s="39" t="n"/>
      <c r="N32" s="39" t="n"/>
      <c r="O32" s="39" t="n"/>
      <c r="P32" s="39" t="n"/>
      <c r="Q32" s="39" t="n"/>
      <c r="R32" s="39" t="n"/>
      <c r="S32" s="39" t="n"/>
      <c r="T32" s="39" t="n"/>
      <c r="U32" s="39" t="n"/>
      <c r="V32" s="39" t="n"/>
      <c r="W32" s="39" t="n"/>
      <c r="X32" s="39" t="n"/>
      <c r="Y32" s="39" t="n"/>
      <c r="Z32" s="39" t="n"/>
      <c r="AA32" s="39" t="n"/>
      <c r="AB32" s="6" t="n"/>
      <c r="AC32" s="6" t="n"/>
      <c r="AD32" s="6" t="n"/>
      <c r="AE32" s="380">
        <f>AC32+IF(NOT(ISBLANK(OFFSET(AE32,0,6))),N(OFFSET(AE32,0,6)),N(OFFSET(AE32,0,7)))-AD32</f>
        <v/>
      </c>
      <c r="AG32" s="355" t="n"/>
      <c r="AJ32" s="11" t="n"/>
      <c r="AK32" s="11" t="n"/>
      <c r="AL32" s="11" t="n"/>
      <c r="AM32" s="11" t="n"/>
      <c r="AN32" s="11" t="n"/>
      <c r="AO32" s="11" t="n"/>
      <c r="AP32" s="11" t="n"/>
      <c r="AQ32" s="11" t="n"/>
      <c r="AR32" s="11" t="n"/>
      <c r="AS32" s="11" t="n"/>
      <c r="AT32" s="11" t="n"/>
      <c r="AU32" s="11" t="n"/>
      <c r="AV32" s="11" t="n"/>
      <c r="AW32" s="11" t="n"/>
      <c r="AX32" s="11" t="n"/>
      <c r="AY32" s="11" t="n"/>
      <c r="AZ32" s="11" t="n"/>
      <c r="BA32" s="11" t="n"/>
    </row>
    <row r="33" hidden="1">
      <c r="A33" s="394" t="inlineStr">
        <is>
          <t>ÁRVORE</t>
        </is>
      </c>
      <c r="B33" s="163" t="n">
        <v>100</v>
      </c>
      <c r="C33" s="636" t="n">
        <v>295</v>
      </c>
      <c r="D33" s="404" t="n"/>
      <c r="F33" s="39" t="n">
        <v>15</v>
      </c>
      <c r="G33" s="39" t="n">
        <v>15</v>
      </c>
      <c r="H33" s="39" t="n">
        <v>15</v>
      </c>
      <c r="I33" s="39" t="n">
        <v>15</v>
      </c>
      <c r="J33" s="39" t="n">
        <v>0</v>
      </c>
      <c r="K33" s="39" t="n">
        <v>0</v>
      </c>
      <c r="L33" s="39" t="n"/>
      <c r="M33" s="39" t="n"/>
      <c r="N33" s="39" t="n"/>
      <c r="O33" s="39" t="n"/>
      <c r="P33" s="39" t="n"/>
      <c r="Q33" s="39" t="n"/>
      <c r="R33" s="39" t="n"/>
      <c r="S33" s="39" t="n"/>
      <c r="T33" s="39" t="n"/>
      <c r="U33" s="39" t="n"/>
      <c r="V33" s="39" t="n"/>
      <c r="W33" s="39" t="n"/>
      <c r="X33" s="39" t="n"/>
      <c r="Y33" s="39" t="n"/>
      <c r="Z33" s="39" t="n"/>
      <c r="AA33" s="39" t="n"/>
      <c r="AB33" s="6" t="n"/>
      <c r="AC33" s="6" t="n"/>
      <c r="AD33" s="6" t="n"/>
      <c r="AE33" s="380">
        <f>AC33+IF(NOT(ISBLANK(OFFSET(AE33,0,6))),N(OFFSET(AE33,0,6)),N(OFFSET(AE33,0,7)))-AD33</f>
        <v/>
      </c>
      <c r="AG33" s="355" t="n"/>
      <c r="AJ33" s="11" t="n"/>
      <c r="AK33" s="11" t="n"/>
      <c r="AL33" s="11" t="n"/>
      <c r="AM33" s="11" t="n"/>
      <c r="AN33" s="11" t="n"/>
      <c r="AO33" s="11" t="n"/>
      <c r="AP33" s="11" t="n"/>
      <c r="AQ33" s="11" t="n"/>
      <c r="AR33" s="11" t="n"/>
      <c r="AS33" s="11" t="n"/>
      <c r="AT33" s="11" t="n"/>
      <c r="AU33" s="11" t="n"/>
      <c r="AV33" s="11" t="n"/>
      <c r="AW33" s="11" t="n"/>
      <c r="AX33" s="11" t="n"/>
      <c r="AY33" s="11" t="n"/>
      <c r="AZ33" s="11" t="n"/>
      <c r="BA33" s="11" t="n"/>
    </row>
    <row r="34" hidden="1">
      <c r="A34" s="394" t="inlineStr">
        <is>
          <t>BOLA</t>
        </is>
      </c>
      <c r="B34" s="163" t="n">
        <v>100</v>
      </c>
      <c r="C34" s="636" t="n">
        <v>283</v>
      </c>
      <c r="D34" s="404" t="n"/>
      <c r="F34" s="39" t="n">
        <v>8</v>
      </c>
      <c r="G34" s="39" t="n">
        <v>8</v>
      </c>
      <c r="H34" s="39" t="n">
        <v>8</v>
      </c>
      <c r="I34" s="39" t="n">
        <v>8</v>
      </c>
      <c r="J34" s="39" t="n">
        <v>0</v>
      </c>
      <c r="K34" s="39" t="n">
        <v>0</v>
      </c>
      <c r="L34" s="39" t="n"/>
      <c r="M34" s="39" t="n"/>
      <c r="N34" s="39" t="n"/>
      <c r="O34" s="39" t="n"/>
      <c r="P34" s="39" t="n"/>
      <c r="Q34" s="39" t="n"/>
      <c r="R34" s="39" t="n"/>
      <c r="S34" s="39" t="n"/>
      <c r="T34" s="39" t="n"/>
      <c r="U34" s="39" t="n"/>
      <c r="V34" s="39" t="n"/>
      <c r="W34" s="39" t="n"/>
      <c r="X34" s="39" t="n"/>
      <c r="Y34" s="39" t="n"/>
      <c r="Z34" s="39" t="n"/>
      <c r="AA34" s="39" t="n"/>
      <c r="AB34" s="6" t="n"/>
      <c r="AC34" s="6" t="n"/>
      <c r="AD34" s="6" t="n"/>
      <c r="AE34" s="380">
        <f>AC34+IF(NOT(ISBLANK(OFFSET(AE34,0,6))),N(OFFSET(AE34,0,6)),N(OFFSET(AE34,0,7)))-AD34</f>
        <v/>
      </c>
      <c r="AG34" s="355" t="n"/>
      <c r="AJ34" s="11" t="n"/>
      <c r="AK34" s="11" t="n"/>
      <c r="AL34" s="11" t="n"/>
      <c r="AM34" s="11" t="n"/>
      <c r="AN34" s="11" t="n"/>
      <c r="AO34" s="11" t="n"/>
      <c r="AP34" s="11" t="n"/>
      <c r="AQ34" s="11" t="n"/>
      <c r="AR34" s="11" t="n"/>
      <c r="AS34" s="11" t="n"/>
      <c r="AT34" s="11" t="n"/>
      <c r="AU34" s="11" t="n"/>
      <c r="AV34" s="11" t="n"/>
      <c r="AW34" s="11" t="n"/>
      <c r="AX34" s="11" t="n"/>
      <c r="AY34" s="11" t="n"/>
      <c r="AZ34" s="11" t="n"/>
      <c r="BA34" s="11" t="n"/>
    </row>
    <row r="35" hidden="1">
      <c r="A35" s="390" t="inlineStr">
        <is>
          <t>CAIXA P MÃES/25</t>
        </is>
      </c>
      <c r="B35" s="391" t="n">
        <v>150</v>
      </c>
      <c r="C35" s="662" t="n">
        <v>781.05</v>
      </c>
      <c r="D35" s="404" t="n"/>
      <c r="F35" s="39" t="n"/>
      <c r="G35" s="39" t="n"/>
      <c r="H35" s="39" t="n"/>
      <c r="I35" s="39" t="n"/>
      <c r="J35" s="39" t="n"/>
      <c r="K35" s="39" t="n"/>
      <c r="L35" s="39" t="n"/>
      <c r="M35" s="39" t="n"/>
      <c r="N35" s="39" t="n"/>
      <c r="O35" s="39" t="n"/>
      <c r="P35" s="39" t="n"/>
      <c r="Q35" s="39" t="n"/>
      <c r="R35" s="39" t="n"/>
      <c r="S35" s="39" t="n"/>
      <c r="T35" s="39" t="n"/>
      <c r="U35" s="39" t="n"/>
      <c r="V35" s="39" t="n"/>
      <c r="W35" s="39" t="n"/>
      <c r="X35" s="39" t="n"/>
      <c r="Y35" s="39" t="n"/>
      <c r="Z35" s="39" t="n"/>
      <c r="AA35" s="39" t="n"/>
      <c r="AB35" s="6" t="n"/>
      <c r="AC35" s="6" t="n"/>
      <c r="AD35" s="6" t="n"/>
      <c r="AE35" s="380">
        <f>AC35+IF(NOT(ISBLANK(OFFSET(AE35,0,6))),N(OFFSET(AE35,0,6)),N(OFFSET(AE35,0,7)))-AD35</f>
        <v/>
      </c>
      <c r="AG35" s="355" t="n"/>
      <c r="AJ35" s="11" t="n"/>
      <c r="AK35" s="11" t="n"/>
      <c r="AL35" s="11" t="n"/>
      <c r="AM35" s="11" t="n"/>
      <c r="AN35" s="11" t="n"/>
      <c r="AO35" s="11" t="n"/>
      <c r="AP35" s="11" t="n"/>
      <c r="AQ35" s="11" t="n"/>
      <c r="AR35" s="11" t="n"/>
      <c r="AS35" s="11" t="n"/>
      <c r="AT35" s="11" t="n"/>
      <c r="AU35" s="11" t="n"/>
      <c r="AV35" s="11" t="n"/>
      <c r="AW35" s="11" t="n"/>
      <c r="AX35" s="11" t="n"/>
      <c r="AY35" s="11" t="n"/>
      <c r="AZ35" s="11" t="n"/>
      <c r="BA35" s="11" t="n"/>
    </row>
    <row r="36" hidden="1" ht="18.75" customHeight="1">
      <c r="A36" s="390" t="inlineStr">
        <is>
          <t>CAIXA M MÃES/25</t>
        </is>
      </c>
      <c r="B36" s="391" t="n">
        <v>100</v>
      </c>
      <c r="C36" s="662" t="n">
        <v>789</v>
      </c>
      <c r="D36" s="404" t="n"/>
      <c r="F36" s="39" t="n"/>
      <c r="G36" s="39" t="n"/>
      <c r="H36" s="39" t="n"/>
      <c r="I36" s="39" t="n"/>
      <c r="J36" s="39" t="n"/>
      <c r="K36" s="39" t="n"/>
      <c r="L36" s="39" t="n"/>
      <c r="M36" s="39" t="n"/>
      <c r="N36" s="39" t="n"/>
      <c r="O36" s="39" t="n"/>
      <c r="P36" s="39" t="n"/>
      <c r="Q36" s="39" t="n"/>
      <c r="R36" s="39" t="n"/>
      <c r="S36" s="39" t="n"/>
      <c r="T36" s="39" t="n"/>
      <c r="U36" s="39" t="n"/>
      <c r="V36" s="39" t="n"/>
      <c r="W36" s="39" t="n"/>
      <c r="X36" s="39" t="n"/>
      <c r="Y36" s="39" t="n"/>
      <c r="Z36" s="39" t="n"/>
      <c r="AA36" s="39" t="n"/>
      <c r="AB36" s="6" t="n"/>
      <c r="AC36" s="6" t="n"/>
      <c r="AD36" s="6" t="n"/>
      <c r="AE36" s="380">
        <f>AC36+IF(NOT(ISBLANK(OFFSET(AE36,0,6))),N(OFFSET(AE36,0,6)),N(OFFSET(AE36,0,7)))-AD36</f>
        <v/>
      </c>
      <c r="AG36" s="11" t="n"/>
      <c r="AJ36" s="11" t="n"/>
      <c r="AK36" s="11" t="n"/>
      <c r="AL36" s="11" t="n"/>
      <c r="AM36" s="11" t="n"/>
      <c r="AN36" s="11" t="n"/>
      <c r="AO36" s="11" t="n"/>
      <c r="AP36" s="11" t="n"/>
      <c r="AQ36" s="11" t="n"/>
      <c r="AR36" s="11" t="n"/>
      <c r="AS36" s="11" t="n"/>
      <c r="AT36" s="11" t="n"/>
      <c r="AU36" s="11" t="n"/>
      <c r="AV36" s="11" t="n"/>
      <c r="AW36" s="11" t="n"/>
      <c r="AX36" s="11" t="n"/>
      <c r="AY36" s="11" t="n"/>
      <c r="AZ36" s="11" t="n"/>
      <c r="BA36" s="11" t="n"/>
    </row>
    <row r="37" hidden="1" ht="18.75" customHeight="1">
      <c r="A37" s="390" t="inlineStr">
        <is>
          <t>CAIXA G MÃES/25</t>
        </is>
      </c>
      <c r="B37" s="391" t="n">
        <v>75</v>
      </c>
      <c r="C37" s="662" t="n">
        <v>844.05</v>
      </c>
      <c r="D37" s="404" t="n"/>
      <c r="F37" s="39" t="n"/>
      <c r="G37" s="39" t="n"/>
      <c r="H37" s="39" t="n"/>
      <c r="I37" s="39" t="n"/>
      <c r="J37" s="39" t="n"/>
      <c r="K37" s="39" t="n"/>
      <c r="L37" s="39" t="n"/>
      <c r="M37" s="39" t="n"/>
      <c r="N37" s="39" t="n"/>
      <c r="O37" s="39" t="n"/>
      <c r="P37" s="39" t="n"/>
      <c r="Q37" s="39" t="n"/>
      <c r="R37" s="39" t="n"/>
      <c r="S37" s="39" t="n"/>
      <c r="T37" s="39" t="n"/>
      <c r="U37" s="39" t="n"/>
      <c r="V37" s="39" t="n"/>
      <c r="W37" s="39" t="n"/>
      <c r="X37" s="39" t="n"/>
      <c r="Y37" s="39" t="n"/>
      <c r="Z37" s="39" t="n"/>
      <c r="AA37" s="39" t="n"/>
      <c r="AB37" s="6" t="n"/>
      <c r="AC37" s="6" t="n"/>
      <c r="AD37" s="6" t="n"/>
      <c r="AE37" s="380">
        <f>AC37+IF(NOT(ISBLANK(OFFSET(AE37,0,6))),N(OFFSET(AE37,0,6)),N(OFFSET(AE37,0,7)))-AD37</f>
        <v/>
      </c>
      <c r="AJ37" s="11" t="n"/>
      <c r="AK37" s="11" t="n"/>
      <c r="AL37" s="11" t="n"/>
      <c r="AM37" s="11" t="n"/>
      <c r="AN37" s="11" t="n"/>
      <c r="AO37" s="11" t="n"/>
      <c r="AP37" s="11" t="n"/>
      <c r="AQ37" s="11" t="n"/>
      <c r="AR37" s="11" t="n"/>
      <c r="AS37" s="11" t="n"/>
      <c r="AT37" s="11" t="n"/>
      <c r="AU37" s="11" t="n"/>
      <c r="AV37" s="11" t="n"/>
      <c r="AW37" s="11" t="n"/>
      <c r="AX37" s="11" t="n"/>
      <c r="AY37" s="11" t="n"/>
      <c r="AZ37" s="11" t="n"/>
      <c r="BA37" s="11" t="n"/>
    </row>
    <row r="38" hidden="1" ht="18.75" customHeight="1">
      <c r="A38" s="390" t="inlineStr">
        <is>
          <t>CARTUCHO P MÃES/25</t>
        </is>
      </c>
      <c r="B38" s="391" t="n">
        <v>200</v>
      </c>
      <c r="C38" s="662" t="n">
        <v>450</v>
      </c>
      <c r="D38" s="404" t="n"/>
      <c r="F38" s="39" t="n"/>
      <c r="G38" s="39" t="n"/>
      <c r="H38" s="39" t="n"/>
      <c r="I38" s="39" t="n"/>
      <c r="J38" s="39" t="n"/>
      <c r="K38" s="39" t="n"/>
      <c r="L38" s="39" t="n"/>
      <c r="M38" s="39" t="n"/>
      <c r="N38" s="39" t="n"/>
      <c r="O38" s="39" t="n"/>
      <c r="P38" s="39" t="n"/>
      <c r="Q38" s="39" t="n"/>
      <c r="R38" s="39" t="n"/>
      <c r="S38" s="39" t="n"/>
      <c r="T38" s="39" t="n"/>
      <c r="U38" s="39" t="n"/>
      <c r="V38" s="39" t="n"/>
      <c r="W38" s="39" t="n"/>
      <c r="X38" s="39" t="n"/>
      <c r="Y38" s="39" t="n"/>
      <c r="Z38" s="39" t="n"/>
      <c r="AA38" s="39" t="n"/>
      <c r="AB38" s="6" t="n"/>
      <c r="AC38" s="6" t="n"/>
      <c r="AD38" s="6" t="n"/>
      <c r="AE38" s="380">
        <f>AC38+IF(NOT(ISBLANK(OFFSET(AE38,0,6))),N(OFFSET(AE38,0,6)),N(OFFSET(AE38,0,7)))-AD38</f>
        <v/>
      </c>
      <c r="AJ38" s="11" t="n"/>
      <c r="AK38" s="11" t="n"/>
      <c r="AL38" s="11" t="n"/>
      <c r="AM38" s="11" t="n"/>
      <c r="AN38" s="11" t="n"/>
      <c r="AO38" s="11" t="n"/>
      <c r="AP38" s="11" t="n"/>
      <c r="AQ38" s="11" t="n"/>
      <c r="AR38" s="11" t="n"/>
      <c r="AS38" s="11" t="n"/>
      <c r="AT38" s="11" t="n"/>
      <c r="AU38" s="11" t="n"/>
      <c r="AV38" s="11" t="n"/>
      <c r="AW38" s="11" t="n"/>
      <c r="AX38" s="11" t="n"/>
      <c r="AY38" s="11" t="n"/>
      <c r="AZ38" s="11" t="n"/>
      <c r="BA38" s="11" t="n"/>
    </row>
    <row r="39" hidden="1" ht="18.75" customHeight="1">
      <c r="A39" s="390" t="inlineStr">
        <is>
          <t>CARTUCHO M MÃES/25</t>
        </is>
      </c>
      <c r="B39" s="391" t="n">
        <v>150</v>
      </c>
      <c r="C39" s="662" t="n">
        <v>430.5</v>
      </c>
      <c r="D39" s="404" t="n"/>
      <c r="F39" s="39" t="n"/>
      <c r="G39" s="39" t="n"/>
      <c r="H39" s="39" t="n"/>
      <c r="I39" s="39" t="n"/>
      <c r="J39" s="39" t="n"/>
      <c r="K39" s="39" t="n"/>
      <c r="L39" s="39" t="n"/>
      <c r="M39" s="39" t="n"/>
      <c r="N39" s="39" t="n"/>
      <c r="O39" s="39" t="n"/>
      <c r="P39" s="39" t="n"/>
      <c r="Q39" s="39" t="n"/>
      <c r="R39" s="39" t="n"/>
      <c r="S39" s="39" t="n"/>
      <c r="T39" s="39" t="n"/>
      <c r="U39" s="39" t="n"/>
      <c r="V39" s="39" t="n"/>
      <c r="W39" s="39" t="n"/>
      <c r="X39" s="39" t="n"/>
      <c r="Y39" s="39" t="n"/>
      <c r="Z39" s="39" t="n"/>
      <c r="AA39" s="39" t="n"/>
      <c r="AB39" s="6" t="n"/>
      <c r="AC39" s="6" t="n"/>
      <c r="AD39" s="6" t="n"/>
      <c r="AE39" s="380">
        <f>AC39+IF(NOT(ISBLANK(OFFSET(AE39,0,6))),N(OFFSET(AE39,0,6)),N(OFFSET(AE39,0,7)))-AD39</f>
        <v/>
      </c>
      <c r="AG39" s="41" t="n"/>
      <c r="AJ39" s="409" t="n"/>
      <c r="AK39" s="409" t="n"/>
      <c r="AL39" s="409" t="n"/>
      <c r="AM39" s="409" t="n"/>
      <c r="AN39" s="409" t="n"/>
      <c r="AO39" s="409" t="n"/>
      <c r="AP39" s="409" t="n"/>
      <c r="AQ39" s="11" t="n"/>
      <c r="AR39" s="11" t="n"/>
      <c r="AS39" s="11" t="n"/>
      <c r="AT39" s="11" t="n"/>
      <c r="AU39" s="11" t="n"/>
      <c r="AV39" s="11" t="n"/>
      <c r="AW39" s="11" t="n"/>
      <c r="AX39" s="11" t="n"/>
      <c r="AY39" s="11" t="n"/>
      <c r="AZ39" s="11" t="n"/>
      <c r="BA39" s="11" t="n"/>
    </row>
    <row r="40" hidden="1">
      <c r="A40" s="407" t="inlineStr">
        <is>
          <t>CARTUCHO M NAMO/25</t>
        </is>
      </c>
      <c r="B40" s="138" t="n">
        <v>150</v>
      </c>
      <c r="C40" s="663" t="n">
        <v>298</v>
      </c>
      <c r="D40" s="404" t="n"/>
      <c r="F40" s="39" t="n"/>
      <c r="G40" s="39" t="n"/>
      <c r="H40" s="39" t="n"/>
      <c r="I40" s="39" t="n"/>
      <c r="J40" s="39" t="n"/>
      <c r="K40" s="39" t="n"/>
      <c r="L40" s="39" t="n"/>
      <c r="M40" s="39" t="n"/>
      <c r="N40" s="39" t="n"/>
      <c r="O40" s="39" t="n"/>
      <c r="P40" s="39" t="n"/>
      <c r="Q40" s="39" t="n"/>
      <c r="R40" s="39" t="n"/>
      <c r="S40" s="39" t="n"/>
      <c r="T40" s="39" t="n"/>
      <c r="U40" s="39" t="n"/>
      <c r="V40" s="39" t="n"/>
      <c r="W40" s="39" t="n"/>
      <c r="X40" s="39" t="n"/>
      <c r="Y40" s="39" t="n"/>
      <c r="Z40" s="39" t="n"/>
      <c r="AA40" s="39" t="n"/>
      <c r="AB40" s="6" t="n"/>
      <c r="AC40" s="6" t="n"/>
      <c r="AD40" s="6" t="n"/>
      <c r="AE40" s="380">
        <f>AC40+IF(NOT(ISBLANK(OFFSET(AE40,0,6))),N(OFFSET(AE40,0,6)),N(OFFSET(AE40,0,7)))-AD40</f>
        <v/>
      </c>
      <c r="AG40" s="41" t="n"/>
      <c r="AJ40" s="409" t="n"/>
      <c r="AK40" s="409" t="n"/>
      <c r="AL40" s="409" t="n"/>
      <c r="AM40" s="409" t="n"/>
      <c r="AN40" s="409" t="n"/>
      <c r="AO40" s="409" t="n"/>
      <c r="AP40" s="409" t="n"/>
      <c r="AQ40" s="409" t="n"/>
      <c r="AR40" s="409" t="n"/>
      <c r="AS40" s="409" t="n"/>
      <c r="AT40" s="11" t="n"/>
      <c r="AU40" s="11" t="n"/>
      <c r="AV40" s="11" t="n"/>
      <c r="AW40" s="11" t="n"/>
      <c r="AX40" s="11" t="n"/>
      <c r="AY40" s="11" t="n"/>
      <c r="AZ40" s="11" t="n"/>
      <c r="BA40" s="11" t="n"/>
    </row>
    <row r="41" hidden="1">
      <c r="A41" s="405" t="inlineStr">
        <is>
          <t>CAIXA M PAIS/25</t>
        </is>
      </c>
      <c r="B41" s="406" t="n">
        <v>100</v>
      </c>
      <c r="C41" s="663" t="n"/>
      <c r="D41" s="404" t="n"/>
      <c r="F41" s="39" t="n"/>
      <c r="G41" s="39" t="n"/>
      <c r="H41" s="39" t="n"/>
      <c r="I41" s="39" t="n"/>
      <c r="J41" s="39" t="n"/>
      <c r="K41" s="39" t="n"/>
      <c r="L41" s="39" t="n"/>
      <c r="M41" s="39" t="n"/>
      <c r="N41" s="39" t="n"/>
      <c r="O41" s="39" t="n"/>
      <c r="P41" s="39" t="n"/>
      <c r="Q41" s="39" t="n"/>
      <c r="R41" s="39" t="n"/>
      <c r="S41" s="39" t="n"/>
      <c r="T41" s="39" t="n"/>
      <c r="U41" s="39" t="n"/>
      <c r="V41" s="39" t="n"/>
      <c r="W41" s="39" t="n"/>
      <c r="X41" s="39" t="n"/>
      <c r="Y41" s="39" t="n"/>
      <c r="Z41" s="39" t="n"/>
      <c r="AA41" s="39" t="n"/>
      <c r="AB41" s="6" t="n"/>
      <c r="AC41" s="6" t="n"/>
      <c r="AD41" s="6" t="n"/>
      <c r="AE41" s="380">
        <f>AC41+IF(NOT(ISBLANK(OFFSET(AE41,0,6))),N(OFFSET(AE41,0,6)),N(OFFSET(AE41,0,7)))-AD41</f>
        <v/>
      </c>
      <c r="AG41" s="41" t="n"/>
      <c r="AJ41" s="41" t="n"/>
      <c r="AK41" s="41" t="n"/>
      <c r="AL41" s="41" t="n"/>
      <c r="AM41" s="41" t="n"/>
      <c r="AN41" s="41" t="n"/>
      <c r="AO41" s="41" t="n"/>
      <c r="AP41" s="41" t="n"/>
      <c r="AQ41" s="409" t="n"/>
      <c r="AR41" s="409" t="n"/>
      <c r="AS41" s="409" t="n"/>
      <c r="AT41" s="11" t="n"/>
      <c r="AU41" s="11" t="n"/>
      <c r="AV41" s="11" t="n"/>
      <c r="AW41" s="11" t="n"/>
      <c r="AX41" s="11" t="n"/>
      <c r="AY41" s="11" t="n"/>
      <c r="AZ41" s="11" t="n"/>
      <c r="BA41" s="11" t="n"/>
      <c r="BC41" s="41" t="n"/>
      <c r="BD41" s="41" t="n"/>
      <c r="BE41" s="41" t="n"/>
      <c r="BF41" s="41" t="n"/>
      <c r="BG41" s="41" t="n"/>
      <c r="BH41" s="41" t="n"/>
      <c r="BI41" s="41" t="n"/>
      <c r="BJ41" s="41" t="n"/>
      <c r="BK41" s="41" t="n"/>
      <c r="BL41" s="41" t="n"/>
      <c r="BM41" s="41" t="n"/>
      <c r="BN41" s="41" t="n"/>
      <c r="BO41" s="41" t="n"/>
    </row>
    <row r="42" hidden="1">
      <c r="A42" s="405" t="inlineStr">
        <is>
          <t>PIN MELHOR PAI DO MDO</t>
        </is>
      </c>
      <c r="B42" s="406" t="n">
        <v>25</v>
      </c>
      <c r="C42" s="663" t="n"/>
      <c r="D42" s="404" t="n"/>
      <c r="F42" s="39" t="n"/>
      <c r="G42" s="39" t="n"/>
      <c r="H42" s="39" t="n"/>
      <c r="I42" s="39" t="n"/>
      <c r="J42" s="39" t="n"/>
      <c r="K42" s="39" t="n"/>
      <c r="L42" s="39" t="n"/>
      <c r="M42" s="39" t="n"/>
      <c r="N42" s="39" t="n"/>
      <c r="O42" s="39" t="n"/>
      <c r="P42" s="39" t="n"/>
      <c r="Q42" s="39" t="n"/>
      <c r="R42" s="39" t="n"/>
      <c r="S42" s="39" t="n"/>
      <c r="T42" s="39" t="n"/>
      <c r="U42" s="39" t="n"/>
      <c r="V42" s="39" t="n"/>
      <c r="W42" s="39" t="n"/>
      <c r="X42" s="39" t="n"/>
      <c r="Y42" s="39" t="n"/>
      <c r="Z42" s="39" t="n"/>
      <c r="AA42" s="39" t="n"/>
      <c r="AB42" s="6" t="n"/>
      <c r="AC42" s="6" t="n"/>
      <c r="AD42" s="6" t="n"/>
      <c r="AE42" s="380">
        <f>AC42+IF(NOT(ISBLANK(OFFSET(AE42,0,6))),N(OFFSET(AE42,0,6)),N(OFFSET(AE42,0,7)))-AD42</f>
        <v/>
      </c>
      <c r="AG42" s="41" t="n"/>
      <c r="AJ42" s="41" t="n"/>
      <c r="AK42" s="41" t="n"/>
      <c r="AL42" s="41" t="n"/>
      <c r="AM42" s="41" t="n"/>
      <c r="AN42" s="41" t="n"/>
      <c r="AO42" s="41" t="n"/>
      <c r="AP42" s="41" t="n"/>
      <c r="AQ42" s="41" t="n"/>
      <c r="AR42" s="41" t="n"/>
      <c r="AS42" s="41" t="n"/>
      <c r="AT42" s="11" t="n"/>
      <c r="AU42" s="11" t="n"/>
      <c r="AV42" s="11" t="n"/>
      <c r="AW42" s="11" t="n"/>
      <c r="AX42" s="11" t="n"/>
      <c r="AY42" s="11" t="n"/>
      <c r="AZ42" s="11" t="n"/>
      <c r="BA42" s="11" t="n"/>
      <c r="BC42" s="41" t="n"/>
      <c r="BD42" s="41" t="n"/>
      <c r="BE42" s="41" t="n"/>
      <c r="BF42" s="41" t="n"/>
      <c r="BG42" s="41" t="n"/>
      <c r="BH42" s="41" t="n"/>
      <c r="BI42" s="41" t="n"/>
      <c r="BJ42" s="41" t="n"/>
      <c r="BK42" s="41" t="n"/>
      <c r="BL42" s="41" t="n"/>
      <c r="BM42" s="41" t="n"/>
      <c r="BN42" s="41" t="n"/>
      <c r="BO42" s="41" t="n"/>
    </row>
    <row r="43" hidden="1">
      <c r="A43" s="405" t="inlineStr">
        <is>
          <t>PIN BALÃO</t>
        </is>
      </c>
      <c r="B43" s="406" t="n">
        <v>25</v>
      </c>
      <c r="C43" s="663" t="n"/>
      <c r="D43" s="404" t="n"/>
      <c r="F43" s="39" t="n"/>
      <c r="G43" s="39" t="n"/>
      <c r="H43" s="39" t="n"/>
      <c r="I43" s="39" t="n"/>
      <c r="J43" s="39" t="n"/>
      <c r="K43" s="39" t="n"/>
      <c r="L43" s="39" t="n"/>
      <c r="M43" s="39" t="n"/>
      <c r="N43" s="39" t="n"/>
      <c r="O43" s="39" t="n"/>
      <c r="P43" s="39" t="n"/>
      <c r="Q43" s="39" t="n"/>
      <c r="R43" s="39" t="n"/>
      <c r="S43" s="39" t="n"/>
      <c r="T43" s="39" t="n"/>
      <c r="U43" s="39" t="n"/>
      <c r="V43" s="39" t="n"/>
      <c r="W43" s="39" t="n"/>
      <c r="X43" s="39" t="n"/>
      <c r="Y43" s="39" t="n"/>
      <c r="Z43" s="39" t="n"/>
      <c r="AA43" s="39" t="n"/>
      <c r="AB43" s="6" t="n"/>
      <c r="AC43" s="6" t="n"/>
      <c r="AD43" s="6" t="n"/>
      <c r="AE43" s="380">
        <f>AC43+IF(NOT(ISBLANK(OFFSET(AE43,0,6))),N(OFFSET(AE43,0,6)),N(OFFSET(AE43,0,7)))-AD43</f>
        <v/>
      </c>
      <c r="AG43" s="41" t="n"/>
      <c r="AJ43" s="41" t="n"/>
      <c r="AK43" s="41" t="n"/>
      <c r="AL43" s="41" t="n"/>
      <c r="AM43" s="41" t="n"/>
      <c r="AN43" s="41" t="n"/>
      <c r="AO43" s="41" t="n"/>
      <c r="AP43" s="41" t="n"/>
      <c r="AQ43" s="41" t="n"/>
      <c r="AR43" s="41" t="n"/>
      <c r="AS43" s="41" t="n"/>
      <c r="AT43" s="11" t="n"/>
      <c r="AU43" s="11" t="n"/>
      <c r="AV43" s="11" t="n"/>
      <c r="AW43" s="11" t="n"/>
      <c r="AX43" s="11" t="n"/>
      <c r="AY43" s="11" t="n"/>
      <c r="AZ43" s="11" t="n"/>
      <c r="BA43" s="11" t="n"/>
      <c r="BC43" s="41" t="n"/>
      <c r="BD43" s="41" t="n"/>
      <c r="BE43" s="41" t="n"/>
      <c r="BF43" s="41" t="n"/>
      <c r="BG43" s="41" t="n"/>
      <c r="BH43" s="41" t="n"/>
      <c r="BI43" s="41" t="n"/>
      <c r="BJ43" s="41" t="n"/>
      <c r="BK43" s="41" t="n"/>
      <c r="BL43" s="41" t="n"/>
      <c r="BM43" s="41" t="n"/>
      <c r="BN43" s="41" t="n"/>
      <c r="BO43" s="41" t="n"/>
    </row>
    <row r="44" hidden="1">
      <c r="A44" s="405" t="inlineStr">
        <is>
          <t>PIN AMOR</t>
        </is>
      </c>
      <c r="B44" s="406" t="n">
        <v>25</v>
      </c>
      <c r="C44" s="663" t="n"/>
      <c r="D44" s="404" t="n"/>
      <c r="F44" s="39" t="n"/>
      <c r="G44" s="39" t="n"/>
      <c r="H44" s="39" t="n"/>
      <c r="I44" s="39" t="n"/>
      <c r="J44" s="39" t="n"/>
      <c r="K44" s="39" t="n"/>
      <c r="L44" s="39" t="n"/>
      <c r="M44" s="39" t="n"/>
      <c r="N44" s="39" t="n"/>
      <c r="O44" s="39" t="n"/>
      <c r="P44" s="39" t="n"/>
      <c r="Q44" s="39" t="n"/>
      <c r="R44" s="39" t="n"/>
      <c r="S44" s="39" t="n"/>
      <c r="T44" s="39" t="n"/>
      <c r="U44" s="39" t="n"/>
      <c r="V44" s="39" t="n"/>
      <c r="W44" s="39" t="n"/>
      <c r="X44" s="39" t="n"/>
      <c r="Y44" s="39" t="n"/>
      <c r="Z44" s="39" t="n"/>
      <c r="AA44" s="39" t="n"/>
      <c r="AB44" s="6" t="n"/>
      <c r="AC44" s="6" t="n"/>
      <c r="AD44" s="6" t="n"/>
      <c r="AE44" s="380">
        <f>AC44+IF(NOT(ISBLANK(OFFSET(AE44,0,6))),N(OFFSET(AE44,0,6)),N(OFFSET(AE44,0,7)))-AD44</f>
        <v/>
      </c>
      <c r="AG44" s="41" t="n"/>
      <c r="AJ44" s="41" t="n"/>
      <c r="AK44" s="41" t="n"/>
      <c r="AL44" s="41" t="n"/>
      <c r="AM44" s="41" t="n"/>
      <c r="AN44" s="41" t="n"/>
      <c r="AO44" s="41" t="n"/>
      <c r="AP44" s="41" t="n"/>
      <c r="AQ44" s="41" t="n"/>
      <c r="AR44" s="41" t="n"/>
      <c r="AS44" s="41" t="n"/>
      <c r="AT44" s="11" t="n"/>
      <c r="AU44" s="11" t="n"/>
      <c r="AV44" s="11" t="n"/>
      <c r="AW44" s="11" t="n"/>
      <c r="AX44" s="11" t="n"/>
      <c r="AY44" s="11" t="n"/>
      <c r="AZ44" s="11" t="n"/>
      <c r="BA44" s="11" t="n"/>
      <c r="BC44" s="41" t="n"/>
      <c r="BD44" s="41" t="n"/>
      <c r="BE44" s="41" t="n"/>
      <c r="BF44" s="41" t="n"/>
      <c r="BG44" s="41" t="n"/>
      <c r="BH44" s="41" t="n"/>
      <c r="BI44" s="41" t="n"/>
      <c r="BJ44" s="41" t="n"/>
      <c r="BK44" s="41" t="n"/>
      <c r="BL44" s="41" t="n"/>
      <c r="BM44" s="41" t="n"/>
      <c r="BN44" s="41" t="n"/>
      <c r="BO44" s="41" t="n"/>
    </row>
    <row r="45" hidden="1">
      <c r="A45" s="412" t="inlineStr">
        <is>
          <t>CAIXA DORAMA/25</t>
        </is>
      </c>
      <c r="B45" s="413" t="n">
        <v>100</v>
      </c>
      <c r="C45" s="655" t="n">
        <v>841.1</v>
      </c>
      <c r="D45" s="404" t="n"/>
      <c r="F45" s="39" t="n">
        <v>1</v>
      </c>
      <c r="G45" s="39" t="n">
        <v>1</v>
      </c>
      <c r="H45" s="39" t="n">
        <v>1</v>
      </c>
      <c r="I45" s="39" t="n">
        <v>1</v>
      </c>
      <c r="J45" s="39" t="n">
        <v>1</v>
      </c>
      <c r="K45" s="39" t="n">
        <v>0</v>
      </c>
      <c r="L45" s="39" t="n">
        <v>0</v>
      </c>
      <c r="M45" s="39" t="n">
        <v>0</v>
      </c>
      <c r="N45" s="39" t="n">
        <v>0</v>
      </c>
      <c r="O45" s="39" t="n">
        <v>0</v>
      </c>
      <c r="P45" s="39" t="n">
        <v>0</v>
      </c>
      <c r="Q45" s="39" t="n">
        <v>0</v>
      </c>
      <c r="R45" s="39" t="n">
        <v>0</v>
      </c>
      <c r="S45" s="39" t="n"/>
      <c r="T45" s="39" t="n"/>
      <c r="U45" s="39" t="n"/>
      <c r="V45" s="39" t="n"/>
      <c r="W45" s="39" t="n"/>
      <c r="X45" s="39" t="n"/>
      <c r="Y45" s="39" t="n"/>
      <c r="Z45" s="39" t="n"/>
      <c r="AA45" s="39" t="n"/>
      <c r="AB45" s="6" t="n"/>
      <c r="AC45" s="6" t="n"/>
      <c r="AD45" s="6" t="n"/>
      <c r="AE45" s="380">
        <f>AC45+IF(NOT(ISBLANK(OFFSET(AE45,0,6))),N(OFFSET(AE45,0,6)),N(OFFSET(AE45,0,7)))-AD45</f>
        <v/>
      </c>
      <c r="AG45" s="41" t="n"/>
      <c r="AQ45" s="41" t="n"/>
      <c r="AR45" s="41" t="n"/>
      <c r="AS45" s="41" t="n"/>
      <c r="AT45" s="11" t="n"/>
      <c r="AU45" s="11" t="n"/>
      <c r="AV45" s="11" t="n"/>
      <c r="AW45" s="11" t="n"/>
      <c r="AX45" s="409" t="n"/>
      <c r="AY45" s="409" t="n"/>
      <c r="AZ45" s="409" t="n"/>
      <c r="BA45" s="409" t="n"/>
    </row>
    <row r="46">
      <c r="A46" s="25" t="inlineStr">
        <is>
          <t>CAIXA P NATAL/25</t>
        </is>
      </c>
      <c r="B46" s="6" t="n">
        <v>150</v>
      </c>
      <c r="C46" s="639" t="n">
        <v>805.35</v>
      </c>
      <c r="D46" s="404" t="n"/>
      <c r="F46" s="6" t="n">
        <v>72</v>
      </c>
      <c r="G46" s="6" t="n">
        <v>40</v>
      </c>
      <c r="H46" s="6" t="n">
        <v>34</v>
      </c>
      <c r="I46" s="6" t="n">
        <v>32</v>
      </c>
      <c r="J46" s="6" t="n">
        <v>32</v>
      </c>
      <c r="K46" s="6" t="n">
        <v>32</v>
      </c>
      <c r="L46" s="6" t="n">
        <v>32</v>
      </c>
      <c r="M46" s="6" t="n">
        <v>30</v>
      </c>
      <c r="N46" s="6" t="n">
        <v>25</v>
      </c>
      <c r="O46" s="6" t="n">
        <v>21</v>
      </c>
      <c r="P46" s="6" t="n">
        <v>9</v>
      </c>
      <c r="Q46" s="6" t="n">
        <v>1</v>
      </c>
      <c r="R46" s="6" t="n">
        <v>1</v>
      </c>
      <c r="S46" s="6" t="n">
        <v>1</v>
      </c>
      <c r="T46" s="6" t="n">
        <v>1</v>
      </c>
      <c r="U46" s="6" t="n">
        <v>1</v>
      </c>
      <c r="V46" s="6" t="n">
        <v>1</v>
      </c>
      <c r="W46" s="6" t="n">
        <v>1</v>
      </c>
      <c r="X46" s="6" t="n">
        <v>1</v>
      </c>
      <c r="Y46" s="6" t="n">
        <v>0</v>
      </c>
      <c r="Z46" s="6" t="n">
        <v>0</v>
      </c>
      <c r="AA46" s="6" t="n">
        <v>0</v>
      </c>
      <c r="AB46" s="6" t="n">
        <v>0</v>
      </c>
      <c r="AC46" s="6" t="n">
        <v>0</v>
      </c>
      <c r="AD46" s="6" t="n">
        <v>0</v>
      </c>
      <c r="AE46" s="380">
        <f>AC46+IF(NOT(ISBLANK(OFFSET(AE46,0,6))),N(OFFSET(AE46,0,6)),N(OFFSET(AE46,0,7)))-AD46</f>
        <v/>
      </c>
      <c r="AG46" s="41" t="n"/>
      <c r="AT46" s="11" t="n"/>
      <c r="AU46" s="11" t="n"/>
      <c r="AV46" s="11" t="n"/>
      <c r="AW46" s="11" t="n"/>
      <c r="AX46" s="409" t="n"/>
      <c r="AY46" s="409" t="n"/>
      <c r="AZ46" s="409" t="n"/>
      <c r="BA46" s="409" t="n"/>
    </row>
    <row r="47" hidden="1">
      <c r="A47" s="25" t="inlineStr">
        <is>
          <t>CAIXA M NATAL/25</t>
        </is>
      </c>
      <c r="B47" s="6" t="n">
        <v>100</v>
      </c>
      <c r="C47" s="639" t="n">
        <v>792.2</v>
      </c>
      <c r="D47" s="404" t="n"/>
      <c r="F47" s="6" t="n">
        <v>87</v>
      </c>
      <c r="G47" s="6" t="n">
        <v>37</v>
      </c>
      <c r="H47" s="6" t="n">
        <v>33</v>
      </c>
      <c r="I47" s="6" t="n">
        <v>29</v>
      </c>
      <c r="J47" s="6" t="n">
        <v>19</v>
      </c>
      <c r="K47" s="6" t="n">
        <v>34</v>
      </c>
      <c r="L47" s="6" t="n">
        <v>28</v>
      </c>
      <c r="M47" s="6" t="n">
        <v>17</v>
      </c>
      <c r="N47" s="6" t="n">
        <v>17</v>
      </c>
      <c r="O47" s="6" t="n">
        <v>17</v>
      </c>
      <c r="P47" s="6" t="n">
        <v>7</v>
      </c>
      <c r="Q47" s="6" t="n">
        <v>0</v>
      </c>
      <c r="R47" s="6" t="n">
        <v>0</v>
      </c>
      <c r="S47" s="6" t="n"/>
      <c r="T47" s="6" t="n"/>
      <c r="U47" s="6" t="n"/>
      <c r="V47" s="6" t="n"/>
      <c r="W47" s="6" t="n"/>
      <c r="X47" s="6" t="n"/>
      <c r="Y47" s="6" t="n"/>
      <c r="Z47" s="6" t="n"/>
      <c r="AA47" s="6" t="n"/>
      <c r="AB47" s="6" t="n"/>
      <c r="AC47" s="6" t="n"/>
      <c r="AD47" s="6" t="n"/>
      <c r="AE47" s="26">
        <f>AC47+IF(NOT(ISBLANK(OFFSET(AE47,0,6))),N(OFFSET(AE47,0,6)),N(OFFSET(AE47,0,7)))-AD47</f>
        <v/>
      </c>
      <c r="AG47" s="41" t="n"/>
      <c r="AJ47" s="11" t="n"/>
      <c r="AK47" s="11" t="n"/>
      <c r="AL47" s="11" t="n"/>
      <c r="AM47" s="11" t="n"/>
      <c r="AN47" s="11" t="n"/>
      <c r="AO47" s="11" t="n"/>
      <c r="AP47" s="11" t="n"/>
      <c r="AT47" s="11" t="n"/>
      <c r="AU47" s="11" t="n"/>
      <c r="AV47" s="11" t="n"/>
      <c r="AW47" s="11" t="n"/>
      <c r="AX47" s="409" t="n"/>
      <c r="AY47" s="409" t="n"/>
      <c r="AZ47" s="409" t="n"/>
      <c r="BA47" s="409" t="n"/>
    </row>
    <row r="48" hidden="1">
      <c r="A48" s="25" t="inlineStr">
        <is>
          <t>CARTUCHO P NATAL/25</t>
        </is>
      </c>
      <c r="B48" s="6" t="n">
        <v>200</v>
      </c>
      <c r="C48" s="639" t="n">
        <v>487.2</v>
      </c>
      <c r="D48" s="404" t="n"/>
      <c r="F48" s="6" t="n">
        <v>45</v>
      </c>
      <c r="G48" s="6" t="n">
        <v>6</v>
      </c>
      <c r="H48" s="381" t="n">
        <v>26</v>
      </c>
      <c r="I48" s="6" t="n">
        <v>15</v>
      </c>
      <c r="J48" s="6" t="n">
        <v>26</v>
      </c>
      <c r="K48" s="6" t="n">
        <v>14</v>
      </c>
      <c r="L48" s="6" t="n">
        <v>1</v>
      </c>
      <c r="M48" s="6" t="n">
        <v>0</v>
      </c>
      <c r="N48" s="6" t="n">
        <v>0</v>
      </c>
      <c r="O48" s="6" t="n">
        <v>0</v>
      </c>
      <c r="P48" s="6" t="n">
        <v>0</v>
      </c>
      <c r="Q48" s="6" t="n">
        <v>0</v>
      </c>
      <c r="R48" s="6" t="n">
        <v>0</v>
      </c>
      <c r="S48" s="6" t="n"/>
      <c r="T48" s="6" t="n"/>
      <c r="U48" s="6" t="n"/>
      <c r="V48" s="6" t="n"/>
      <c r="W48" s="6" t="n"/>
      <c r="X48" s="6" t="n"/>
      <c r="Y48" s="6" t="n"/>
      <c r="Z48" s="6" t="n"/>
      <c r="AA48" s="6" t="n"/>
      <c r="AB48" s="6" t="n"/>
      <c r="AC48" s="6" t="n"/>
      <c r="AD48" s="6" t="n"/>
      <c r="AE48" s="26">
        <f>AC48+IF(NOT(ISBLANK(OFFSET(AE48,0,6))),N(OFFSET(AE48,0,6)),N(OFFSET(AE48,0,7)))-AD48</f>
        <v/>
      </c>
      <c r="AG48" s="41" t="n"/>
      <c r="AQ48" s="11" t="n"/>
      <c r="AR48" s="11" t="n"/>
      <c r="AS48" s="11" t="n"/>
      <c r="AT48" s="11" t="n"/>
      <c r="AU48" s="11" t="n"/>
      <c r="AV48" s="11" t="n"/>
      <c r="AW48" s="11" t="n"/>
      <c r="AX48" s="409" t="n"/>
      <c r="AY48" s="409" t="n"/>
      <c r="AZ48" s="409" t="n"/>
      <c r="BA48" s="409" t="n"/>
    </row>
    <row r="49" hidden="1">
      <c r="A49" s="25" t="inlineStr">
        <is>
          <t>CARTUCHO M NATAL/25</t>
        </is>
      </c>
      <c r="B49" s="6" t="n">
        <v>150</v>
      </c>
      <c r="C49" s="639" t="n">
        <v>460.35</v>
      </c>
      <c r="D49" s="404" t="n"/>
      <c r="F49" s="6" t="n">
        <v>54</v>
      </c>
      <c r="G49" s="6" t="n">
        <v>17</v>
      </c>
      <c r="H49" s="6" t="n">
        <v>14</v>
      </c>
      <c r="I49" s="6" t="n">
        <v>4</v>
      </c>
      <c r="J49" s="6" t="n">
        <v>0</v>
      </c>
      <c r="K49" s="6" t="n">
        <v>0</v>
      </c>
      <c r="L49" s="6" t="n">
        <v>0</v>
      </c>
      <c r="M49" s="6" t="n">
        <v>0</v>
      </c>
      <c r="N49" s="6" t="n">
        <v>0</v>
      </c>
      <c r="O49" s="6" t="n">
        <v>0</v>
      </c>
      <c r="P49" s="6" t="n">
        <v>0</v>
      </c>
      <c r="Q49" s="6" t="n">
        <v>0</v>
      </c>
      <c r="R49" s="6" t="n">
        <v>0</v>
      </c>
      <c r="S49" s="6" t="n"/>
      <c r="T49" s="6" t="n"/>
      <c r="U49" s="6" t="n"/>
      <c r="V49" s="6" t="n"/>
      <c r="W49" s="6" t="n"/>
      <c r="X49" s="6" t="n"/>
      <c r="Y49" s="6" t="n"/>
      <c r="Z49" s="6" t="n"/>
      <c r="AA49" s="6" t="n"/>
      <c r="AB49" s="6" t="n"/>
      <c r="AC49" s="6" t="n"/>
      <c r="AD49" s="6" t="n"/>
      <c r="AE49" s="26">
        <f>AC49+IF(NOT(ISBLANK(OFFSET(AE49,0,6))),N(OFFSET(AE49,0,6)),N(OFFSET(AE49,0,7)))-AD49</f>
        <v/>
      </c>
      <c r="AG49" s="41" t="n"/>
      <c r="AT49" s="11" t="n"/>
      <c r="AU49" s="11" t="n"/>
      <c r="AV49" s="11" t="n"/>
      <c r="AW49" s="11" t="n"/>
      <c r="AX49" s="409" t="n"/>
      <c r="AY49" s="409" t="n"/>
      <c r="AZ49" s="409" t="n"/>
      <c r="BA49" s="409" t="n"/>
    </row>
    <row r="50" hidden="1">
      <c r="A50" s="25" t="inlineStr">
        <is>
          <t>PIN NATAL/25</t>
        </is>
      </c>
      <c r="B50" s="6" t="n">
        <v>10</v>
      </c>
      <c r="C50" s="639" t="n">
        <v>120</v>
      </c>
      <c r="D50" s="404" t="n"/>
      <c r="F50" s="39" t="n">
        <v>10</v>
      </c>
      <c r="G50" s="39" t="n">
        <v>10</v>
      </c>
      <c r="H50" s="39" t="n">
        <v>10</v>
      </c>
      <c r="I50" s="39" t="n">
        <v>10</v>
      </c>
      <c r="J50" s="39" t="n">
        <v>0</v>
      </c>
      <c r="K50" s="39" t="n">
        <v>0</v>
      </c>
      <c r="L50" s="39" t="n">
        <v>0</v>
      </c>
      <c r="M50" s="39" t="n">
        <v>0</v>
      </c>
      <c r="N50" s="39" t="n">
        <v>0</v>
      </c>
      <c r="O50" s="39" t="n">
        <v>0</v>
      </c>
      <c r="P50" s="39" t="n">
        <v>0</v>
      </c>
      <c r="Q50" s="39" t="n">
        <v>0</v>
      </c>
      <c r="R50" s="39" t="n">
        <v>0</v>
      </c>
      <c r="S50" s="39" t="n"/>
      <c r="T50" s="39" t="n"/>
      <c r="U50" s="39" t="n"/>
      <c r="V50" s="39" t="n"/>
      <c r="W50" s="39" t="n"/>
      <c r="X50" s="39" t="n"/>
      <c r="Y50" s="39" t="n"/>
      <c r="Z50" s="39" t="n"/>
      <c r="AA50" s="39" t="n"/>
      <c r="AB50" s="6" t="n"/>
      <c r="AC50" s="6" t="n"/>
      <c r="AD50" s="6" t="n"/>
      <c r="AE50" s="26">
        <f>AC50+IF(NOT(ISBLANK(OFFSET(AE50,0,6))),N(OFFSET(AE50,0,6)),N(OFFSET(AE50,0,7)))-AD50</f>
        <v/>
      </c>
      <c r="AG50" s="41" t="n"/>
      <c r="AT50" s="11" t="n"/>
      <c r="AU50" s="11" t="n"/>
      <c r="AV50" s="11" t="n"/>
      <c r="AW50" s="11" t="n"/>
      <c r="AX50" s="409" t="n"/>
      <c r="AY50" s="409" t="n"/>
      <c r="AZ50" s="409" t="n"/>
      <c r="BA50" s="409" t="n"/>
    </row>
    <row r="51">
      <c r="AG51" s="41" t="n"/>
      <c r="AT51" s="11" t="n"/>
      <c r="AU51" s="11" t="n"/>
      <c r="AV51" s="11" t="n"/>
      <c r="AW51" s="11" t="n"/>
      <c r="AX51" s="409" t="n"/>
      <c r="AY51" s="409" t="n"/>
      <c r="AZ51" s="409" t="n"/>
      <c r="BA51" s="409" t="n"/>
    </row>
    <row r="52" ht="21" customHeight="1">
      <c r="A52" s="402" t="inlineStr">
        <is>
          <t>SOBRAS DATAS COMEMORATIVAS</t>
        </is>
      </c>
      <c r="B52" s="402" t="n"/>
      <c r="C52" s="402" t="n"/>
      <c r="AG52" s="41" t="n"/>
      <c r="AT52" s="11" t="n"/>
      <c r="AU52" s="11" t="n"/>
      <c r="AV52" s="11" t="n"/>
      <c r="AW52" s="11" t="n"/>
      <c r="AX52" s="41" t="n"/>
      <c r="AY52" s="41" t="n"/>
      <c r="AZ52" s="41" t="n"/>
      <c r="BA52" s="41" t="n"/>
    </row>
    <row r="53">
      <c r="A53" s="369" t="inlineStr">
        <is>
          <t>ITENS</t>
        </is>
      </c>
      <c r="B53" s="369" t="inlineStr">
        <is>
          <t>QTDE</t>
        </is>
      </c>
      <c r="C53" s="369" t="inlineStr">
        <is>
          <t>ESTOQUE</t>
        </is>
      </c>
      <c r="E53" s="41" t="n"/>
      <c r="F53" s="41" t="n"/>
      <c r="G53" s="41" t="n"/>
      <c r="H53" s="41" t="n"/>
      <c r="I53" s="41" t="n"/>
      <c r="J53" s="41" t="n"/>
      <c r="K53" s="41" t="n"/>
      <c r="L53" s="41" t="n"/>
      <c r="M53" s="41" t="n"/>
      <c r="N53" s="41" t="n"/>
      <c r="O53" s="41" t="n"/>
      <c r="P53" s="41" t="n"/>
      <c r="Q53" s="41" t="n"/>
      <c r="R53" s="41" t="n"/>
      <c r="S53" s="41" t="n"/>
      <c r="T53" s="41" t="n"/>
      <c r="U53" s="41" t="n"/>
      <c r="V53" s="41" t="n"/>
      <c r="W53" s="41" t="n"/>
      <c r="X53" s="41" t="n"/>
      <c r="Y53" s="41" t="n"/>
      <c r="Z53" s="41" t="n"/>
      <c r="AA53" s="41" t="n"/>
      <c r="AB53" s="41" t="n"/>
      <c r="AC53" s="41" t="n"/>
      <c r="AD53" s="41" t="n"/>
      <c r="AE53" s="41" t="n"/>
      <c r="AF53" s="41" t="n"/>
      <c r="AG53" s="41" t="n"/>
      <c r="AH53" s="41" t="n"/>
      <c r="AJ53" s="41" t="n"/>
      <c r="AT53" s="11" t="n"/>
      <c r="AU53" s="11" t="n"/>
      <c r="AV53" s="11" t="n"/>
      <c r="AW53" s="11" t="n"/>
      <c r="AX53" s="41" t="n"/>
      <c r="AY53" s="41" t="n"/>
      <c r="AZ53" s="41" t="n"/>
      <c r="BA53" s="41" t="n"/>
    </row>
    <row r="54">
      <c r="A54" s="186" t="inlineStr">
        <is>
          <t>TAG PAIS/24</t>
        </is>
      </c>
      <c r="B54" s="161" t="n"/>
      <c r="C54" s="162" t="n">
        <v>50</v>
      </c>
      <c r="F54" s="41" t="n"/>
      <c r="G54" s="41" t="n"/>
      <c r="H54" s="41" t="n"/>
      <c r="I54" s="41" t="n"/>
      <c r="J54" s="41" t="n"/>
      <c r="K54" s="41" t="n"/>
      <c r="L54" s="41" t="n"/>
      <c r="M54" s="41" t="n"/>
      <c r="N54" s="41" t="n"/>
      <c r="O54" s="41" t="n"/>
      <c r="P54" s="41" t="n"/>
      <c r="Q54" s="41" t="n"/>
      <c r="R54" s="41" t="n"/>
      <c r="S54" s="41" t="n"/>
      <c r="T54" s="41" t="n"/>
      <c r="U54" s="41" t="n"/>
      <c r="V54" s="41" t="n"/>
      <c r="W54" s="41" t="n"/>
      <c r="X54" s="41" t="n"/>
      <c r="Y54" s="41" t="n"/>
      <c r="Z54" s="41" t="n"/>
      <c r="AA54" s="41" t="n"/>
      <c r="AB54" s="41" t="n"/>
      <c r="AC54" s="41" t="n"/>
      <c r="AD54" s="41" t="n"/>
      <c r="AG54" s="41" t="n"/>
      <c r="AT54" s="11" t="n"/>
      <c r="AU54" s="11" t="n"/>
      <c r="AV54" s="11" t="n"/>
      <c r="AW54" s="11" t="n"/>
      <c r="AX54" s="41" t="n"/>
      <c r="AY54" s="41" t="n"/>
      <c r="AZ54" s="41" t="n"/>
      <c r="BA54" s="41" t="n"/>
    </row>
    <row r="55">
      <c r="A55" s="190" t="n"/>
      <c r="C55" s="382" t="n"/>
      <c r="D55" s="382" t="n"/>
      <c r="F55" s="41" t="n"/>
      <c r="G55" s="41" t="n"/>
      <c r="H55" s="41" t="n"/>
      <c r="I55" s="41" t="n"/>
      <c r="J55" s="41" t="n"/>
      <c r="K55" s="41" t="n"/>
      <c r="L55" s="41" t="n"/>
      <c r="M55" s="41" t="n"/>
      <c r="N55" s="41" t="n"/>
      <c r="O55" s="41" t="n"/>
      <c r="P55" s="41" t="n"/>
      <c r="Q55" s="41" t="n"/>
      <c r="R55" s="41" t="n"/>
      <c r="S55" s="41" t="n"/>
      <c r="T55" s="41" t="n"/>
      <c r="U55" s="41" t="n"/>
      <c r="V55" s="41" t="n"/>
      <c r="W55" s="41" t="n"/>
      <c r="X55" s="41" t="n"/>
      <c r="Y55" s="41" t="n"/>
      <c r="Z55" s="41" t="n"/>
      <c r="AA55" s="41" t="n"/>
      <c r="AB55" s="41" t="n"/>
      <c r="AC55" s="41" t="n"/>
      <c r="AD55" s="41" t="n"/>
      <c r="AG55" s="41" t="n"/>
      <c r="AT55" s="11" t="n"/>
      <c r="AU55" s="11" t="n"/>
      <c r="AV55" s="11" t="n"/>
      <c r="AW55" s="11" t="n"/>
      <c r="AX55" s="41" t="n"/>
      <c r="AY55" s="41" t="n"/>
      <c r="AZ55" s="41" t="n"/>
      <c r="BA55" s="41" t="n"/>
    </row>
    <row r="56">
      <c r="A56" s="642" t="inlineStr">
        <is>
          <t>FLACONETES</t>
        </is>
      </c>
      <c r="B56" s="625" t="n"/>
      <c r="C56" s="625" t="n"/>
      <c r="D56" s="641" t="n"/>
      <c r="F56" s="643" t="n">
        <v>46013</v>
      </c>
      <c r="G56" s="643" t="n">
        <v>46020</v>
      </c>
      <c r="H56" s="643" t="n">
        <v>46027</v>
      </c>
      <c r="I56" s="643" t="n">
        <v>46034</v>
      </c>
      <c r="J56" s="643" t="n">
        <v>46041</v>
      </c>
      <c r="K56" s="643" t="n">
        <v>46048</v>
      </c>
      <c r="L56" s="643" t="n">
        <v>46055</v>
      </c>
      <c r="M56" s="643" t="n">
        <v>46062</v>
      </c>
      <c r="N56" s="643" t="n">
        <v>46069</v>
      </c>
      <c r="O56" s="643" t="n">
        <v>46076</v>
      </c>
      <c r="P56" s="643" t="n">
        <v>46083</v>
      </c>
      <c r="Q56" s="643" t="n">
        <v>46090</v>
      </c>
      <c r="R56" s="643" t="n">
        <v>46097</v>
      </c>
      <c r="S56" s="643" t="n">
        <v>46104</v>
      </c>
      <c r="T56" s="643" t="n">
        <v>46111</v>
      </c>
      <c r="U56" s="643" t="n">
        <v>46118</v>
      </c>
      <c r="V56" s="643" t="n">
        <v>46125</v>
      </c>
      <c r="W56" s="643" t="n">
        <v>46132</v>
      </c>
      <c r="X56" s="643" t="n">
        <v>46139</v>
      </c>
      <c r="Y56" s="643" t="n">
        <v>46146</v>
      </c>
      <c r="Z56" s="643" t="n">
        <v>46154</v>
      </c>
      <c r="AA56" s="643" t="n">
        <v>46160</v>
      </c>
      <c r="AB56" s="644" t="n">
        <v>46161.48013052083</v>
      </c>
      <c r="AC56" s="644" t="n">
        <v>46161.48080421297</v>
      </c>
      <c r="AD56" s="644" t="n">
        <v>46161.48296141735</v>
      </c>
      <c r="AG56" s="41" t="n"/>
      <c r="AT56" s="11" t="n"/>
      <c r="AU56" s="11" t="n"/>
      <c r="AV56" s="11" t="n"/>
      <c r="AW56" s="11" t="n"/>
      <c r="AX56" s="41" t="n"/>
      <c r="AY56" s="41" t="n"/>
      <c r="AZ56" s="41" t="n"/>
      <c r="BA56" s="41" t="n"/>
    </row>
    <row r="57" hidden="1" ht="18.75" customHeight="1">
      <c r="A57" s="645" t="inlineStr">
        <is>
          <t>FEMININA</t>
        </is>
      </c>
      <c r="B57" s="625" t="n"/>
      <c r="C57" s="625" t="n"/>
      <c r="D57" s="641" t="n"/>
      <c r="F57" s="366" t="n"/>
      <c r="G57" s="366" t="n"/>
      <c r="H57" s="366" t="n"/>
      <c r="I57" s="366" t="n"/>
      <c r="J57" s="366" t="n"/>
      <c r="K57" s="366" t="n"/>
      <c r="L57" s="366" t="n"/>
      <c r="M57" s="366" t="n"/>
      <c r="N57" s="366" t="n"/>
      <c r="O57" s="366" t="n"/>
      <c r="P57" s="366" t="n"/>
      <c r="Q57" s="366" t="n"/>
      <c r="R57" s="366" t="n"/>
      <c r="S57" s="366" t="n"/>
      <c r="T57" s="366" t="n"/>
      <c r="U57" s="366" t="n"/>
      <c r="V57" s="366" t="n"/>
      <c r="W57" s="366" t="n"/>
      <c r="X57" s="366" t="n"/>
      <c r="Y57" s="366" t="n"/>
      <c r="Z57" s="366" t="n"/>
      <c r="AA57" s="366" t="n"/>
      <c r="AB57" s="646" t="n"/>
      <c r="AC57" s="646" t="n"/>
      <c r="AD57" s="646" t="n"/>
      <c r="AG57" s="41" t="n"/>
      <c r="AT57" s="11" t="n"/>
      <c r="AU57" s="11" t="n"/>
      <c r="AV57" s="11" t="n"/>
      <c r="AW57" s="11" t="n"/>
      <c r="AX57" s="11" t="n"/>
      <c r="AY57" s="11" t="n"/>
      <c r="AZ57" s="11" t="n"/>
      <c r="BA57" s="11" t="n"/>
    </row>
    <row r="58" hidden="1" ht="18.75" customHeight="1">
      <c r="A58" s="645" t="inlineStr">
        <is>
          <t>MASCULINA</t>
        </is>
      </c>
      <c r="B58" s="625" t="n"/>
      <c r="C58" s="625" t="n"/>
      <c r="D58" s="641" t="n"/>
      <c r="F58" s="366" t="n"/>
      <c r="G58" s="366" t="n"/>
      <c r="H58" s="366" t="n"/>
      <c r="I58" s="366" t="n"/>
      <c r="J58" s="366" t="n"/>
      <c r="K58" s="366" t="n"/>
      <c r="L58" s="366" t="n"/>
      <c r="M58" s="366" t="n"/>
      <c r="N58" s="366" t="n"/>
      <c r="O58" s="366" t="n"/>
      <c r="P58" s="366" t="n"/>
      <c r="Q58" s="366" t="n"/>
      <c r="R58" s="366" t="n"/>
      <c r="S58" s="366" t="n"/>
      <c r="T58" s="366" t="n"/>
      <c r="U58" s="366" t="n"/>
      <c r="V58" s="366" t="n"/>
      <c r="W58" s="366" t="n"/>
      <c r="X58" s="366" t="n"/>
      <c r="Y58" s="366" t="n"/>
      <c r="Z58" s="366" t="n"/>
      <c r="AA58" s="366" t="n"/>
      <c r="AB58" s="646" t="n"/>
      <c r="AC58" s="646" t="n"/>
      <c r="AD58" s="646" t="n"/>
      <c r="AG58" s="41" t="n"/>
      <c r="AT58" s="11" t="n"/>
      <c r="AU58" s="11" t="n"/>
      <c r="AV58" s="11" t="n"/>
      <c r="AW58" s="11" t="n"/>
      <c r="AX58" s="357" t="n"/>
      <c r="AY58" s="357" t="n"/>
      <c r="AZ58" s="357" t="n"/>
      <c r="BA58" s="357" t="n"/>
    </row>
    <row r="59" hidden="1" ht="18.75" customHeight="1">
      <c r="A59" s="645" t="inlineStr">
        <is>
          <t>FACIAL</t>
        </is>
      </c>
      <c r="B59" s="625" t="n"/>
      <c r="C59" s="625" t="n"/>
      <c r="D59" s="641" t="n"/>
      <c r="F59" s="366" t="n"/>
      <c r="G59" s="366" t="n"/>
      <c r="H59" s="366" t="n"/>
      <c r="I59" s="366" t="n"/>
      <c r="J59" s="366" t="n"/>
      <c r="K59" s="366" t="n"/>
      <c r="L59" s="366" t="n"/>
      <c r="M59" s="366" t="n"/>
      <c r="N59" s="366" t="n"/>
      <c r="O59" s="366" t="n"/>
      <c r="P59" s="366" t="n"/>
      <c r="Q59" s="366" t="n"/>
      <c r="R59" s="366" t="n"/>
      <c r="S59" s="366" t="n"/>
      <c r="T59" s="366" t="n"/>
      <c r="U59" s="366" t="n"/>
      <c r="V59" s="366" t="n"/>
      <c r="W59" s="366" t="n"/>
      <c r="X59" s="366" t="n"/>
      <c r="Y59" s="366" t="n"/>
      <c r="Z59" s="366" t="n"/>
      <c r="AA59" s="366" t="n"/>
      <c r="AB59" s="646" t="n"/>
      <c r="AC59" s="646" t="n"/>
      <c r="AD59" s="646" t="n"/>
      <c r="AG59" s="41" t="n"/>
      <c r="AT59" s="11" t="n"/>
      <c r="AU59" s="11" t="n"/>
      <c r="AV59" s="11" t="n"/>
      <c r="AW59" s="11" t="n"/>
      <c r="AX59" s="357" t="n"/>
      <c r="AY59" s="357" t="n"/>
      <c r="AZ59" s="357" t="n"/>
      <c r="BA59" s="357" t="n"/>
    </row>
    <row r="60" hidden="1" ht="18.75" customHeight="1">
      <c r="A60" s="645" t="inlineStr">
        <is>
          <t>214 F. PARADISE MASC</t>
        </is>
      </c>
      <c r="B60" s="625" t="n"/>
      <c r="C60" s="625" t="n"/>
      <c r="D60" s="641" t="n"/>
      <c r="F60" s="366" t="n"/>
      <c r="G60" s="366" t="n"/>
      <c r="H60" s="366" t="n"/>
      <c r="I60" s="366" t="n"/>
      <c r="J60" s="366" t="n"/>
      <c r="K60" s="366" t="n"/>
      <c r="L60" s="366" t="n"/>
      <c r="M60" s="366" t="n"/>
      <c r="N60" s="366" t="n"/>
      <c r="O60" s="366" t="n"/>
      <c r="P60" s="366" t="n"/>
      <c r="Q60" s="366" t="n"/>
      <c r="R60" s="366" t="n"/>
      <c r="S60" s="366" t="n"/>
      <c r="T60" s="366" t="n"/>
      <c r="U60" s="366" t="n"/>
      <c r="V60" s="366" t="n"/>
      <c r="W60" s="366" t="n"/>
      <c r="X60" s="366" t="n"/>
      <c r="Y60" s="366" t="n"/>
      <c r="Z60" s="366" t="n"/>
      <c r="AA60" s="366" t="n"/>
      <c r="AB60" s="646" t="n"/>
      <c r="AC60" s="646" t="n"/>
      <c r="AD60" s="646" t="n"/>
      <c r="AG60" s="41" t="n"/>
      <c r="AT60" s="11" t="n"/>
      <c r="AU60" s="11" t="n"/>
      <c r="AV60" s="11" t="n"/>
      <c r="AW60" s="11" t="n"/>
    </row>
    <row r="61" hidden="1" ht="18.75" customHeight="1">
      <c r="A61" s="645" t="inlineStr">
        <is>
          <t>CELEBRE AGORA MASC</t>
        </is>
      </c>
      <c r="B61" s="625" t="n"/>
      <c r="C61" s="625" t="n"/>
      <c r="D61" s="641" t="n"/>
      <c r="F61" s="366" t="n"/>
      <c r="G61" s="366" t="n"/>
      <c r="H61" s="366" t="n"/>
      <c r="I61" s="366" t="n"/>
      <c r="J61" s="366" t="n"/>
      <c r="K61" s="366" t="n"/>
      <c r="L61" s="366" t="n"/>
      <c r="M61" s="366" t="n"/>
      <c r="N61" s="366" t="n"/>
      <c r="O61" s="366" t="n"/>
      <c r="P61" s="366" t="n"/>
      <c r="Q61" s="366" t="n"/>
      <c r="R61" s="366" t="n"/>
      <c r="S61" s="366" t="n"/>
      <c r="T61" s="366" t="n"/>
      <c r="U61" s="366" t="n"/>
      <c r="V61" s="366" t="n"/>
      <c r="W61" s="366" t="n"/>
      <c r="X61" s="366" t="n"/>
      <c r="Y61" s="366" t="n"/>
      <c r="Z61" s="366" t="n"/>
      <c r="AA61" s="366" t="n"/>
      <c r="AB61" s="646" t="n"/>
      <c r="AC61" s="646" t="n"/>
      <c r="AD61" s="646" t="n"/>
      <c r="AG61" s="41" t="n"/>
      <c r="AT61" s="11" t="n"/>
      <c r="AU61" s="11" t="n"/>
      <c r="AV61" s="11" t="n"/>
      <c r="AW61" s="11" t="n"/>
    </row>
    <row r="62" hidden="1" ht="18.75" customHeight="1">
      <c r="A62" s="645" t="inlineStr">
        <is>
          <t>EGEO FREE FIRE</t>
        </is>
      </c>
      <c r="B62" s="625" t="n"/>
      <c r="C62" s="625" t="n"/>
      <c r="D62" s="641" t="n"/>
      <c r="F62" s="366" t="n"/>
      <c r="G62" s="366" t="n"/>
      <c r="H62" s="366" t="n"/>
      <c r="I62" s="366" t="n"/>
      <c r="J62" s="366" t="n"/>
      <c r="K62" s="366" t="n"/>
      <c r="L62" s="366" t="n"/>
      <c r="M62" s="366" t="n"/>
      <c r="N62" s="366" t="n"/>
      <c r="O62" s="366" t="n"/>
      <c r="P62" s="366" t="n"/>
      <c r="Q62" s="366" t="n"/>
      <c r="R62" s="366" t="n"/>
      <c r="S62" s="366" t="n"/>
      <c r="T62" s="366" t="n"/>
      <c r="U62" s="366" t="n"/>
      <c r="V62" s="366" t="n"/>
      <c r="W62" s="366" t="n"/>
      <c r="X62" s="366" t="n"/>
      <c r="Y62" s="366" t="n"/>
      <c r="Z62" s="366" t="n"/>
      <c r="AA62" s="366" t="n"/>
      <c r="AB62" s="646" t="n"/>
      <c r="AC62" s="646" t="n"/>
      <c r="AD62" s="646" t="n"/>
      <c r="AT62" s="11" t="n"/>
      <c r="AU62" s="11" t="n"/>
      <c r="AV62" s="11" t="n"/>
      <c r="AW62" s="11" t="n"/>
    </row>
    <row r="63" hidden="1" ht="18.75" customHeight="1">
      <c r="A63" s="645" t="inlineStr">
        <is>
          <t>GLAMOUR MIDNIGHT</t>
        </is>
      </c>
      <c r="B63" s="625" t="n"/>
      <c r="C63" s="625" t="n"/>
      <c r="D63" s="641" t="n"/>
      <c r="F63" s="366" t="n"/>
      <c r="G63" s="366" t="n"/>
      <c r="H63" s="366" t="n"/>
      <c r="I63" s="366" t="n"/>
      <c r="J63" s="366" t="n"/>
      <c r="K63" s="366" t="n"/>
      <c r="L63" s="366" t="n"/>
      <c r="M63" s="366" t="n"/>
      <c r="N63" s="366" t="n"/>
      <c r="O63" s="366" t="n"/>
      <c r="P63" s="366" t="n"/>
      <c r="Q63" s="366" t="n"/>
      <c r="R63" s="366" t="n"/>
      <c r="S63" s="366" t="n"/>
      <c r="T63" s="366" t="n"/>
      <c r="U63" s="366" t="n"/>
      <c r="V63" s="366" t="n"/>
      <c r="W63" s="366" t="n"/>
      <c r="X63" s="366" t="n"/>
      <c r="Y63" s="366" t="n"/>
      <c r="Z63" s="366" t="n"/>
      <c r="AA63" s="366" t="n"/>
      <c r="AB63" s="646" t="n"/>
      <c r="AC63" s="646" t="n"/>
      <c r="AD63" s="646" t="n"/>
      <c r="AG63" s="355" t="n"/>
      <c r="AT63" s="11" t="n"/>
      <c r="AU63" s="11" t="n"/>
      <c r="AV63" s="11" t="n"/>
      <c r="AW63" s="11" t="n"/>
    </row>
    <row r="64" hidden="1" ht="18.75" customHeight="1">
      <c r="A64" s="645" t="inlineStr">
        <is>
          <t>CELEBRE AGORA FEM</t>
        </is>
      </c>
      <c r="B64" s="625" t="n"/>
      <c r="C64" s="625" t="n"/>
      <c r="D64" s="641" t="n"/>
      <c r="F64" s="366" t="n"/>
      <c r="G64" s="366" t="n"/>
      <c r="H64" s="366" t="n"/>
      <c r="I64" s="366" t="n"/>
      <c r="J64" s="366" t="n"/>
      <c r="K64" s="366" t="n"/>
      <c r="L64" s="366" t="n"/>
      <c r="M64" s="366" t="n"/>
      <c r="N64" s="366" t="n"/>
      <c r="O64" s="366" t="n"/>
      <c r="P64" s="366" t="n"/>
      <c r="Q64" s="366" t="n"/>
      <c r="R64" s="366" t="n"/>
      <c r="S64" s="366" t="n"/>
      <c r="T64" s="366" t="n"/>
      <c r="U64" s="366" t="n"/>
      <c r="V64" s="366" t="n"/>
      <c r="W64" s="366" t="n"/>
      <c r="X64" s="366" t="n"/>
      <c r="Y64" s="366" t="n"/>
      <c r="Z64" s="366" t="n"/>
      <c r="AA64" s="366" t="n"/>
      <c r="AB64" s="646" t="n"/>
      <c r="AC64" s="646" t="n"/>
      <c r="AD64" s="646" t="n"/>
      <c r="AG64" s="355" t="n"/>
      <c r="AT64" s="11" t="n"/>
      <c r="AU64" s="11" t="n"/>
      <c r="AV64" s="11" t="n"/>
      <c r="AW64" s="11" t="n"/>
      <c r="AX64" s="11" t="n"/>
      <c r="AY64" s="11" t="n"/>
      <c r="AZ64" s="11" t="n"/>
      <c r="BA64" s="11" t="n"/>
    </row>
    <row r="65" hidden="1" ht="18.75" customHeight="1">
      <c r="A65" s="645" t="inlineStr">
        <is>
          <t>214 F. PARADISE FEM</t>
        </is>
      </c>
      <c r="B65" s="625" t="n"/>
      <c r="C65" s="625" t="n"/>
      <c r="D65" s="641" t="n"/>
      <c r="F65" s="366" t="n"/>
      <c r="G65" s="366" t="n"/>
      <c r="H65" s="366" t="n"/>
      <c r="I65" s="366" t="n"/>
      <c r="J65" s="366" t="n"/>
      <c r="K65" s="366" t="n"/>
      <c r="L65" s="366" t="n"/>
      <c r="M65" s="366" t="n"/>
      <c r="N65" s="366" t="n"/>
      <c r="O65" s="366" t="n"/>
      <c r="P65" s="366" t="n"/>
      <c r="Q65" s="366" t="n"/>
      <c r="R65" s="366" t="n"/>
      <c r="S65" s="366" t="n"/>
      <c r="T65" s="366" t="n"/>
      <c r="U65" s="366" t="n"/>
      <c r="V65" s="366" t="n"/>
      <c r="W65" s="366" t="n"/>
      <c r="X65" s="366" t="n"/>
      <c r="Y65" s="366" t="n"/>
      <c r="Z65" s="366" t="n"/>
      <c r="AA65" s="366" t="n"/>
      <c r="AB65" s="646" t="n"/>
      <c r="AC65" s="646" t="n"/>
      <c r="AD65" s="646" t="n"/>
      <c r="AG65" s="355" t="n"/>
      <c r="AT65" s="11" t="n"/>
      <c r="AU65" s="11" t="n"/>
      <c r="AV65" s="11" t="n"/>
      <c r="AW65" s="11" t="n"/>
      <c r="AX65" s="11" t="n"/>
      <c r="AY65" s="11" t="n"/>
      <c r="AZ65" s="11" t="n"/>
      <c r="BA65" s="11" t="n"/>
    </row>
    <row r="66" hidden="1" ht="18.75" customHeight="1">
      <c r="A66" s="645" t="inlineStr">
        <is>
          <t>VITAMINA C</t>
        </is>
      </c>
      <c r="B66" s="625" t="n"/>
      <c r="C66" s="625" t="n"/>
      <c r="D66" s="641" t="n"/>
      <c r="F66" s="366" t="n"/>
      <c r="G66" s="366" t="n"/>
      <c r="H66" s="366" t="n"/>
      <c r="I66" s="366" t="n"/>
      <c r="J66" s="366" t="n"/>
      <c r="K66" s="366" t="n"/>
      <c r="L66" s="366" t="n"/>
      <c r="M66" s="366" t="n"/>
      <c r="N66" s="366" t="n"/>
      <c r="O66" s="366" t="n"/>
      <c r="P66" s="366" t="n"/>
      <c r="Q66" s="366" t="n"/>
      <c r="R66" s="366" t="n"/>
      <c r="S66" s="366" t="n"/>
      <c r="T66" s="366" t="n"/>
      <c r="U66" s="366" t="n"/>
      <c r="V66" s="366" t="n"/>
      <c r="W66" s="366" t="n"/>
      <c r="X66" s="366" t="n"/>
      <c r="Y66" s="366" t="n"/>
      <c r="Z66" s="366" t="n"/>
      <c r="AA66" s="366" t="n"/>
      <c r="AB66" s="646" t="n"/>
      <c r="AC66" s="646" t="n"/>
      <c r="AD66" s="646" t="n"/>
      <c r="AT66" s="11" t="n"/>
      <c r="AU66" s="11" t="n"/>
      <c r="AV66" s="11" t="n"/>
      <c r="AW66" s="11" t="n"/>
      <c r="AX66" s="11" t="n"/>
      <c r="AY66" s="11" t="n"/>
      <c r="AZ66" s="11" t="n"/>
      <c r="BA66" s="11" t="n"/>
    </row>
    <row r="67" hidden="1" ht="18.75" customHeight="1">
      <c r="A67" s="645" t="inlineStr">
        <is>
          <t>ÁCIDO MANDÉLICO</t>
        </is>
      </c>
      <c r="B67" s="625" t="n"/>
      <c r="C67" s="625" t="n"/>
      <c r="D67" s="641" t="n"/>
      <c r="F67" s="366" t="n"/>
      <c r="G67" s="366" t="n"/>
      <c r="H67" s="366" t="n"/>
      <c r="I67" s="366" t="n"/>
      <c r="J67" s="366" t="n"/>
      <c r="K67" s="366" t="n"/>
      <c r="L67" s="366" t="n"/>
      <c r="M67" s="366" t="n"/>
      <c r="N67" s="366" t="n"/>
      <c r="O67" s="366" t="n"/>
      <c r="P67" s="366" t="n"/>
      <c r="Q67" s="366" t="n"/>
      <c r="R67" s="366" t="n"/>
      <c r="S67" s="366" t="n"/>
      <c r="T67" s="366" t="n"/>
      <c r="U67" s="366" t="n"/>
      <c r="V67" s="366" t="n"/>
      <c r="W67" s="366" t="n"/>
      <c r="X67" s="366" t="n"/>
      <c r="Y67" s="366" t="n"/>
      <c r="Z67" s="366" t="n"/>
      <c r="AA67" s="366" t="n"/>
      <c r="AB67" s="646" t="n"/>
      <c r="AC67" s="646" t="n"/>
      <c r="AD67" s="646" t="n"/>
      <c r="AT67" s="409" t="n"/>
      <c r="AU67" s="409" t="n"/>
      <c r="AV67" s="409" t="n"/>
      <c r="AW67" s="409" t="n"/>
    </row>
    <row r="68" hidden="1" ht="18.75" customHeight="1">
      <c r="A68" s="645" t="inlineStr">
        <is>
          <t>ÁCIDO HIALURONICO</t>
        </is>
      </c>
      <c r="B68" s="625" t="n"/>
      <c r="C68" s="625" t="n"/>
      <c r="D68" s="641" t="n"/>
      <c r="F68" s="366" t="n"/>
      <c r="G68" s="366" t="n"/>
      <c r="H68" s="366" t="n"/>
      <c r="I68" s="366" t="n"/>
      <c r="J68" s="366" t="n"/>
      <c r="K68" s="366" t="n"/>
      <c r="L68" s="366" t="n"/>
      <c r="M68" s="366" t="n"/>
      <c r="N68" s="366" t="n"/>
      <c r="O68" s="366" t="n"/>
      <c r="P68" s="366" t="n"/>
      <c r="Q68" s="366" t="n"/>
      <c r="R68" s="366" t="n"/>
      <c r="S68" s="366" t="n"/>
      <c r="T68" s="366" t="n"/>
      <c r="U68" s="366" t="n"/>
      <c r="V68" s="366" t="n"/>
      <c r="W68" s="366" t="n"/>
      <c r="X68" s="366" t="n"/>
      <c r="Y68" s="366" t="n"/>
      <c r="Z68" s="366" t="n"/>
      <c r="AA68" s="366" t="n"/>
      <c r="AB68" s="646" t="n"/>
      <c r="AC68" s="646" t="n"/>
      <c r="AD68" s="646" t="n"/>
      <c r="AT68" s="409" t="n"/>
      <c r="AU68" s="409" t="n"/>
      <c r="AV68" s="409" t="n"/>
      <c r="AW68" s="409" t="n"/>
    </row>
    <row r="69" hidden="1" ht="18.75" customHeight="1">
      <c r="A69" s="645" t="inlineStr">
        <is>
          <t>HER CODE</t>
        </is>
      </c>
      <c r="B69" s="625" t="n"/>
      <c r="C69" s="625" t="n"/>
      <c r="D69" s="641" t="n"/>
      <c r="F69" s="366" t="n"/>
      <c r="G69" s="366" t="n"/>
      <c r="H69" s="366" t="n"/>
      <c r="I69" s="366" t="n"/>
      <c r="J69" s="366" t="n"/>
      <c r="K69" s="366" t="n"/>
      <c r="L69" s="366" t="n"/>
      <c r="M69" s="366" t="n"/>
      <c r="N69" s="366" t="n"/>
      <c r="O69" s="366" t="n"/>
      <c r="P69" s="366" t="n"/>
      <c r="Q69" s="366" t="n"/>
      <c r="R69" s="366" t="n"/>
      <c r="S69" s="366" t="n"/>
      <c r="T69" s="366" t="n"/>
      <c r="U69" s="366" t="n"/>
      <c r="V69" s="366" t="n"/>
      <c r="W69" s="366" t="n"/>
      <c r="X69" s="366" t="n"/>
      <c r="Y69" s="366" t="n"/>
      <c r="Z69" s="366" t="n"/>
      <c r="AA69" s="366" t="n"/>
      <c r="AB69" s="646" t="n"/>
      <c r="AC69" s="646" t="n"/>
      <c r="AD69" s="646" t="n"/>
      <c r="AT69" s="41" t="n"/>
      <c r="AU69" s="41" t="n"/>
      <c r="AV69" s="41" t="n"/>
      <c r="AW69" s="41" t="n"/>
    </row>
    <row r="70" hidden="1" ht="18.75" customHeight="1">
      <c r="A70" s="645" t="inlineStr">
        <is>
          <t xml:space="preserve">anti queda </t>
        </is>
      </c>
      <c r="B70" s="625" t="n"/>
      <c r="C70" s="625" t="n"/>
      <c r="D70" s="641" t="n"/>
      <c r="F70" s="366" t="n"/>
      <c r="G70" s="366" t="n"/>
      <c r="H70" s="366" t="n"/>
      <c r="I70" s="366" t="n"/>
      <c r="J70" s="366" t="n"/>
      <c r="K70" s="366" t="n"/>
      <c r="L70" s="366" t="n"/>
      <c r="M70" s="366" t="n"/>
      <c r="N70" s="366" t="n"/>
      <c r="O70" s="366" t="n"/>
      <c r="P70" s="366" t="n"/>
      <c r="Q70" s="366" t="n"/>
      <c r="R70" s="366" t="n"/>
      <c r="S70" s="366" t="n"/>
      <c r="T70" s="366" t="n"/>
      <c r="U70" s="366" t="n"/>
      <c r="V70" s="366" t="n"/>
      <c r="W70" s="366" t="n"/>
      <c r="X70" s="366" t="n"/>
      <c r="Y70" s="366" t="n"/>
      <c r="Z70" s="366" t="n"/>
      <c r="AA70" s="366" t="n"/>
      <c r="AB70" s="646" t="n"/>
      <c r="AC70" s="646" t="n"/>
      <c r="AD70" s="646" t="n"/>
      <c r="AT70" s="41" t="n"/>
      <c r="AU70" s="41" t="n"/>
      <c r="AV70" s="41" t="n"/>
      <c r="AW70" s="41" t="n"/>
    </row>
    <row r="71" hidden="1" ht="18.75" customHeight="1">
      <c r="A71" s="645" t="inlineStr">
        <is>
          <t>poliglutamico</t>
        </is>
      </c>
      <c r="B71" s="625" t="n"/>
      <c r="C71" s="625" t="n"/>
      <c r="D71" s="641" t="n"/>
      <c r="F71" s="366" t="n"/>
      <c r="G71" s="366" t="n"/>
      <c r="H71" s="366" t="n"/>
      <c r="I71" s="366" t="n"/>
      <c r="J71" s="366" t="n"/>
      <c r="K71" s="366" t="n"/>
      <c r="L71" s="366" t="n"/>
      <c r="M71" s="366" t="n"/>
      <c r="N71" s="366" t="n"/>
      <c r="O71" s="366" t="n"/>
      <c r="P71" s="366" t="n"/>
      <c r="Q71" s="366" t="n"/>
      <c r="R71" s="366" t="n"/>
      <c r="S71" s="366" t="n"/>
      <c r="T71" s="366" t="n"/>
      <c r="U71" s="366" t="n"/>
      <c r="V71" s="366" t="n"/>
      <c r="W71" s="366" t="n"/>
      <c r="X71" s="366" t="n"/>
      <c r="Y71" s="366" t="n"/>
      <c r="Z71" s="366" t="n"/>
      <c r="AA71" s="366" t="n"/>
      <c r="AB71" s="646" t="n"/>
      <c r="AC71" s="646" t="n"/>
      <c r="AD71" s="646" t="n"/>
      <c r="AT71" s="41" t="n"/>
      <c r="AU71" s="41" t="n"/>
      <c r="AV71" s="41" t="n"/>
      <c r="AW71" s="41" t="n"/>
    </row>
    <row r="72" hidden="1" ht="18.75" customHeight="1">
      <c r="A72" s="645" t="inlineStr">
        <is>
          <t>anti caspa</t>
        </is>
      </c>
      <c r="B72" s="625" t="n"/>
      <c r="C72" s="625" t="n"/>
      <c r="D72" s="641" t="n"/>
      <c r="F72" s="366" t="n"/>
      <c r="G72" s="366" t="n"/>
      <c r="H72" s="366" t="n"/>
      <c r="I72" s="366" t="n"/>
      <c r="J72" s="366" t="n"/>
      <c r="K72" s="366" t="n"/>
      <c r="L72" s="366" t="n"/>
      <c r="M72" s="366" t="n"/>
      <c r="N72" s="366" t="n"/>
      <c r="O72" s="366" t="n"/>
      <c r="P72" s="366" t="n"/>
      <c r="Q72" s="366" t="n"/>
      <c r="R72" s="366" t="n"/>
      <c r="S72" s="366" t="n"/>
      <c r="T72" s="366" t="n"/>
      <c r="U72" s="366" t="n"/>
      <c r="V72" s="366" t="n"/>
      <c r="W72" s="366" t="n"/>
      <c r="X72" s="366" t="n"/>
      <c r="Y72" s="366" t="n"/>
      <c r="Z72" s="366" t="n"/>
      <c r="AA72" s="366" t="n"/>
      <c r="AB72" s="646" t="n"/>
      <c r="AC72" s="646" t="n"/>
      <c r="AD72" s="646" t="n"/>
      <c r="AT72" s="41" t="n"/>
      <c r="AU72" s="41" t="n"/>
      <c r="AV72" s="41" t="n"/>
      <c r="AW72" s="41" t="n"/>
    </row>
    <row r="73" hidden="1" ht="18.75" customHeight="1">
      <c r="A73" s="645" t="inlineStr">
        <is>
          <t>portinari</t>
        </is>
      </c>
      <c r="B73" s="625" t="n"/>
      <c r="C73" s="625" t="n"/>
      <c r="D73" s="641" t="n"/>
      <c r="F73" s="366" t="n"/>
      <c r="G73" s="366" t="n"/>
      <c r="H73" s="366" t="n"/>
      <c r="I73" s="366" t="n"/>
      <c r="J73" s="366" t="n"/>
      <c r="K73" s="366" t="n"/>
      <c r="L73" s="366" t="n"/>
      <c r="M73" s="366" t="n"/>
      <c r="N73" s="366" t="n"/>
      <c r="O73" s="366" t="n"/>
      <c r="P73" s="366" t="n"/>
      <c r="Q73" s="366" t="n"/>
      <c r="R73" s="366" t="n"/>
      <c r="S73" s="366" t="n"/>
      <c r="T73" s="366" t="n"/>
      <c r="U73" s="366" t="n"/>
      <c r="V73" s="366" t="n"/>
      <c r="W73" s="366" t="n"/>
      <c r="X73" s="366" t="n"/>
      <c r="Y73" s="366" t="n"/>
      <c r="Z73" s="366" t="n"/>
      <c r="AA73" s="366" t="n"/>
      <c r="AB73" s="646" t="n"/>
      <c r="AC73" s="646" t="n"/>
      <c r="AD73" s="646" t="n"/>
      <c r="AT73" s="41" t="n"/>
      <c r="AU73" s="41" t="n"/>
      <c r="AV73" s="41" t="n"/>
      <c r="AW73" s="41" t="n"/>
    </row>
    <row r="74" hidden="1" ht="18.75" customHeight="1">
      <c r="A74" s="645" t="inlineStr">
        <is>
          <t>LILY SOLEIL</t>
        </is>
      </c>
      <c r="B74" s="625" t="n"/>
      <c r="C74" s="625" t="n"/>
      <c r="D74" s="641" t="n"/>
      <c r="F74" s="366" t="n"/>
      <c r="G74" s="366" t="n"/>
      <c r="H74" s="366" t="n"/>
      <c r="I74" s="366" t="n"/>
      <c r="J74" s="366" t="n"/>
      <c r="K74" s="366" t="n"/>
      <c r="L74" s="366" t="n"/>
      <c r="M74" s="366" t="n"/>
      <c r="N74" s="366" t="n"/>
      <c r="O74" s="366" t="n"/>
      <c r="P74" s="366" t="n"/>
      <c r="Q74" s="366" t="n"/>
      <c r="R74" s="366" t="n"/>
      <c r="S74" s="366" t="n"/>
      <c r="T74" s="366" t="n"/>
      <c r="U74" s="366" t="n"/>
      <c r="V74" s="366" t="n"/>
      <c r="W74" s="366" t="n"/>
      <c r="X74" s="366" t="n"/>
      <c r="Y74" s="366" t="n"/>
      <c r="Z74" s="366" t="n"/>
      <c r="AA74" s="366" t="n"/>
      <c r="AB74" s="646" t="n"/>
      <c r="AC74" s="646" t="n"/>
      <c r="AD74" s="646" t="n"/>
      <c r="AT74" s="11" t="n"/>
      <c r="AU74" s="11" t="n"/>
      <c r="AV74" s="11" t="n"/>
      <c r="AW74" s="11" t="n"/>
    </row>
    <row r="75" hidden="1" ht="18.75" customHeight="1">
      <c r="A75" s="645" t="inlineStr">
        <is>
          <t>QUASAR  VISION</t>
        </is>
      </c>
      <c r="B75" s="625" t="n"/>
      <c r="C75" s="625" t="n"/>
      <c r="D75" s="641" t="n"/>
      <c r="F75" s="366" t="n"/>
      <c r="G75" s="366" t="n"/>
      <c r="H75" s="366" t="n"/>
      <c r="I75" s="366" t="n"/>
      <c r="J75" s="366" t="n"/>
      <c r="K75" s="366" t="n"/>
      <c r="L75" s="366" t="n"/>
      <c r="M75" s="366" t="n"/>
      <c r="N75" s="366" t="n"/>
      <c r="O75" s="366" t="n"/>
      <c r="P75" s="366" t="n"/>
      <c r="Q75" s="366" t="n"/>
      <c r="R75" s="366" t="n"/>
      <c r="S75" s="366" t="n"/>
      <c r="T75" s="366" t="n"/>
      <c r="U75" s="366" t="n"/>
      <c r="V75" s="366" t="n"/>
      <c r="W75" s="366" t="n"/>
      <c r="X75" s="366" t="n"/>
      <c r="Y75" s="366" t="n"/>
      <c r="Z75" s="366" t="n"/>
      <c r="AA75" s="366" t="n"/>
      <c r="AB75" s="646" t="n"/>
      <c r="AC75" s="646" t="n"/>
      <c r="AD75" s="646" t="n"/>
      <c r="AT75" s="357" t="n"/>
      <c r="AU75" s="357" t="n"/>
      <c r="AV75" s="357" t="n"/>
      <c r="AW75" s="357" t="n"/>
    </row>
    <row r="76" hidden="1" ht="18.75" customHeight="1">
      <c r="A76" s="645" t="inlineStr">
        <is>
          <t>BOTI BABY</t>
        </is>
      </c>
      <c r="B76" s="625" t="n"/>
      <c r="C76" s="625" t="n"/>
      <c r="D76" s="641" t="n"/>
      <c r="F76" s="366" t="n"/>
      <c r="G76" s="366" t="n"/>
      <c r="H76" s="366" t="n"/>
      <c r="I76" s="366" t="n"/>
      <c r="J76" s="366" t="n"/>
      <c r="K76" s="366" t="n"/>
      <c r="L76" s="366" t="n"/>
      <c r="M76" s="366" t="n"/>
      <c r="N76" s="366" t="n"/>
      <c r="O76" s="366" t="n"/>
      <c r="P76" s="366" t="n"/>
      <c r="Q76" s="366" t="n"/>
      <c r="R76" s="366" t="n"/>
      <c r="S76" s="366" t="n"/>
      <c r="T76" s="366" t="n"/>
      <c r="U76" s="366" t="n"/>
      <c r="V76" s="366" t="n"/>
      <c r="W76" s="366" t="n"/>
      <c r="X76" s="366" t="n"/>
      <c r="Y76" s="366" t="n"/>
      <c r="Z76" s="366" t="n"/>
      <c r="AA76" s="366" t="n"/>
      <c r="AB76" s="646" t="n"/>
      <c r="AC76" s="646" t="n"/>
      <c r="AD76" s="646" t="n"/>
      <c r="AT76" s="357" t="n"/>
      <c r="AU76" s="357" t="n"/>
      <c r="AV76" s="357" t="n"/>
      <c r="AW76" s="357" t="n"/>
    </row>
    <row r="77" hidden="1" ht="18.75" customHeight="1">
      <c r="A77" s="645" t="inlineStr">
        <is>
          <t>BASE SALICYLIC</t>
        </is>
      </c>
      <c r="B77" s="625" t="n"/>
      <c r="C77" s="625" t="n"/>
      <c r="D77" s="641" t="n"/>
      <c r="F77" s="366" t="n"/>
      <c r="G77" s="366" t="n"/>
      <c r="H77" s="366" t="n"/>
      <c r="I77" s="366" t="n"/>
      <c r="J77" s="366" t="n"/>
      <c r="K77" s="366" t="n"/>
      <c r="L77" s="366" t="n"/>
      <c r="M77" s="366" t="n"/>
      <c r="N77" s="366" t="n"/>
      <c r="O77" s="366" t="n"/>
      <c r="P77" s="366" t="n"/>
      <c r="Q77" s="366" t="n"/>
      <c r="R77" s="366" t="n"/>
      <c r="S77" s="366" t="n"/>
      <c r="T77" s="366" t="n"/>
      <c r="U77" s="366" t="n"/>
      <c r="V77" s="366" t="n"/>
      <c r="W77" s="366" t="n"/>
      <c r="X77" s="366" t="n"/>
      <c r="Y77" s="366" t="n"/>
      <c r="Z77" s="366" t="n"/>
      <c r="AA77" s="366" t="n"/>
      <c r="AB77" s="646" t="n"/>
      <c r="AC77" s="646" t="n"/>
      <c r="AD77" s="646" t="n"/>
    </row>
    <row r="78" hidden="1" ht="18.75" customHeight="1">
      <c r="A78" s="645" t="inlineStr">
        <is>
          <t>FLORATTA ROMANCE DE VERÃO</t>
        </is>
      </c>
      <c r="B78" s="625" t="n"/>
      <c r="C78" s="625" t="n"/>
      <c r="D78" s="641" t="n"/>
      <c r="F78" s="366" t="n"/>
      <c r="G78" s="366" t="n"/>
      <c r="H78" s="366" t="n"/>
      <c r="I78" s="366" t="n"/>
      <c r="J78" s="366" t="n"/>
      <c r="K78" s="366" t="n"/>
      <c r="L78" s="366" t="n"/>
      <c r="M78" s="366" t="n"/>
      <c r="N78" s="366" t="n"/>
      <c r="O78" s="366" t="n"/>
      <c r="P78" s="366" t="n"/>
      <c r="Q78" s="366" t="n"/>
      <c r="R78" s="366" t="n"/>
      <c r="S78" s="366" t="n"/>
      <c r="T78" s="366" t="n"/>
      <c r="U78" s="366" t="n"/>
      <c r="V78" s="366" t="n"/>
      <c r="W78" s="366" t="n"/>
      <c r="X78" s="366" t="n"/>
      <c r="Y78" s="366" t="n"/>
      <c r="Z78" s="366" t="n"/>
      <c r="AA78" s="366" t="n"/>
      <c r="AB78" s="646" t="n"/>
      <c r="AC78" s="646" t="n"/>
      <c r="AD78" s="646" t="n"/>
    </row>
    <row r="79" hidden="1" ht="18.75" customHeight="1">
      <c r="A79" s="645" t="inlineStr">
        <is>
          <t>INTENSE BATOM</t>
        </is>
      </c>
      <c r="B79" s="625" t="n"/>
      <c r="C79" s="625" t="n"/>
      <c r="D79" s="641" t="n"/>
      <c r="F79" s="366" t="n"/>
      <c r="G79" s="366" t="n"/>
      <c r="H79" s="366" t="n"/>
      <c r="I79" s="366" t="n"/>
      <c r="J79" s="366" t="n"/>
      <c r="K79" s="366" t="n"/>
      <c r="L79" s="366" t="n"/>
      <c r="M79" s="366" t="n"/>
      <c r="N79" s="366" t="n"/>
      <c r="O79" s="366" t="n"/>
      <c r="P79" s="366" t="n"/>
      <c r="Q79" s="366" t="n"/>
      <c r="R79" s="366" t="n"/>
      <c r="S79" s="366" t="n"/>
      <c r="T79" s="366" t="n"/>
      <c r="U79" s="366" t="n"/>
      <c r="V79" s="366" t="n"/>
      <c r="W79" s="366" t="n"/>
      <c r="X79" s="366" t="n"/>
      <c r="Y79" s="366" t="n"/>
      <c r="Z79" s="366" t="n"/>
      <c r="AA79" s="366" t="n"/>
      <c r="AB79" s="646" t="n"/>
      <c r="AC79" s="646" t="n"/>
      <c r="AD79" s="646" t="n"/>
    </row>
    <row r="80" hidden="1" ht="18.75" customHeight="1">
      <c r="A80" s="645" t="inlineStr">
        <is>
          <t>BOTI SUN</t>
        </is>
      </c>
      <c r="B80" s="625" t="n"/>
      <c r="C80" s="625" t="n"/>
      <c r="D80" s="641" t="n"/>
      <c r="F80" s="366" t="n"/>
      <c r="G80" s="366" t="n"/>
      <c r="H80" s="366" t="n"/>
      <c r="I80" s="366" t="n"/>
      <c r="J80" s="366" t="n"/>
      <c r="K80" s="366" t="n"/>
      <c r="L80" s="366" t="n"/>
      <c r="M80" s="366" t="n"/>
      <c r="N80" s="366" t="n"/>
      <c r="O80" s="366" t="n"/>
      <c r="P80" s="366" t="n"/>
      <c r="Q80" s="366" t="n"/>
      <c r="R80" s="366" t="n"/>
      <c r="S80" s="366" t="n"/>
      <c r="T80" s="366" t="n"/>
      <c r="U80" s="366" t="n"/>
      <c r="V80" s="366" t="n"/>
      <c r="W80" s="366" t="n"/>
      <c r="X80" s="366" t="n"/>
      <c r="Y80" s="366" t="n"/>
      <c r="Z80" s="366" t="n"/>
      <c r="AA80" s="366" t="n"/>
      <c r="AB80" s="646" t="n"/>
      <c r="AC80" s="646" t="n"/>
      <c r="AD80" s="646" t="n"/>
    </row>
    <row r="81" hidden="1" ht="18.75" customHeight="1">
      <c r="A81" s="645" t="inlineStr">
        <is>
          <t>Arbo Puro</t>
        </is>
      </c>
      <c r="B81" s="625" t="n"/>
      <c r="C81" s="625" t="n"/>
      <c r="D81" s="641" t="n"/>
      <c r="F81" s="366" t="n"/>
      <c r="G81" s="366" t="n"/>
      <c r="H81" s="366" t="n"/>
      <c r="I81" s="366" t="n"/>
      <c r="J81" s="366" t="n"/>
      <c r="K81" s="366" t="n"/>
      <c r="L81" s="366" t="n"/>
      <c r="M81" s="366" t="n"/>
      <c r="N81" s="366" t="n"/>
      <c r="O81" s="366" t="n"/>
      <c r="P81" s="366" t="n"/>
      <c r="Q81" s="366" t="n"/>
      <c r="R81" s="366" t="n"/>
      <c r="S81" s="366" t="n"/>
      <c r="T81" s="366" t="n"/>
      <c r="U81" s="366" t="n"/>
      <c r="V81" s="366" t="n"/>
      <c r="W81" s="366" t="n"/>
      <c r="X81" s="366" t="n"/>
      <c r="Y81" s="366" t="n"/>
      <c r="Z81" s="366" t="n"/>
      <c r="AA81" s="366" t="n"/>
      <c r="AB81" s="646" t="n"/>
      <c r="AC81" s="646" t="n"/>
      <c r="AD81" s="646" t="n"/>
      <c r="AT81" s="11" t="n"/>
      <c r="AU81" s="11" t="n"/>
      <c r="AV81" s="11" t="n"/>
      <c r="AW81" s="11" t="n"/>
    </row>
    <row r="82" hidden="1" ht="18.75" customHeight="1">
      <c r="A82" s="645" t="inlineStr">
        <is>
          <t>feira</t>
        </is>
      </c>
      <c r="B82" s="625" t="n"/>
      <c r="C82" s="625" t="n"/>
      <c r="D82" s="641" t="n"/>
      <c r="F82" s="366" t="n"/>
      <c r="G82" s="366" t="n"/>
      <c r="H82" s="366" t="n"/>
      <c r="I82" s="366" t="n"/>
      <c r="J82" s="366" t="n"/>
      <c r="K82" s="366" t="n"/>
      <c r="L82" s="366" t="n"/>
      <c r="M82" s="366" t="n"/>
      <c r="N82" s="366" t="n"/>
      <c r="O82" s="366" t="n"/>
      <c r="P82" s="366" t="n"/>
      <c r="Q82" s="366" t="n"/>
      <c r="R82" s="366" t="n"/>
      <c r="S82" s="366" t="n"/>
      <c r="T82" s="366" t="n"/>
      <c r="U82" s="366" t="n"/>
      <c r="V82" s="366" t="n"/>
      <c r="W82" s="366" t="n"/>
      <c r="X82" s="366" t="n"/>
      <c r="Y82" s="366" t="n"/>
      <c r="Z82" s="366" t="n"/>
      <c r="AA82" s="366" t="n"/>
      <c r="AB82" s="646" t="n"/>
      <c r="AC82" s="646" t="n"/>
      <c r="AD82" s="646" t="n"/>
      <c r="AT82" s="11" t="n"/>
      <c r="AU82" s="11" t="n"/>
      <c r="AV82" s="11" t="n"/>
      <c r="AW82" s="11" t="n"/>
    </row>
    <row r="83" hidden="1" ht="18.75" customHeight="1">
      <c r="A83" s="645" t="inlineStr">
        <is>
          <t>QUASAR BLUE</t>
        </is>
      </c>
      <c r="B83" s="625" t="n"/>
      <c r="C83" s="625" t="n"/>
      <c r="D83" s="641" t="n"/>
      <c r="F83" s="366" t="n"/>
      <c r="G83" s="366" t="n"/>
      <c r="H83" s="366" t="n"/>
      <c r="I83" s="366" t="n"/>
      <c r="J83" s="366" t="n"/>
      <c r="K83" s="366" t="n"/>
      <c r="L83" s="366" t="n"/>
      <c r="M83" s="366" t="n"/>
      <c r="N83" s="366" t="n"/>
      <c r="O83" s="366" t="n"/>
      <c r="P83" s="366" t="n"/>
      <c r="Q83" s="366" t="n"/>
      <c r="R83" s="366" t="n"/>
      <c r="S83" s="366" t="n"/>
      <c r="T83" s="366" t="n"/>
      <c r="U83" s="366" t="n"/>
      <c r="V83" s="366" t="n"/>
      <c r="W83" s="366" t="n"/>
      <c r="X83" s="366" t="n"/>
      <c r="Y83" s="366" t="n"/>
      <c r="Z83" s="366" t="n"/>
      <c r="AA83" s="366" t="n"/>
      <c r="AB83" s="646" t="n"/>
      <c r="AC83" s="646" t="n"/>
      <c r="AD83" s="646" t="n"/>
      <c r="AT83" s="11" t="n"/>
      <c r="AU83" s="11" t="n"/>
      <c r="AV83" s="11" t="n"/>
      <c r="AW83" s="11" t="n"/>
    </row>
    <row r="84" hidden="1" ht="18.75" customHeight="1">
      <c r="A84" s="645" t="inlineStr">
        <is>
          <t>HIDNUVEM</t>
        </is>
      </c>
      <c r="B84" s="625" t="n"/>
      <c r="C84" s="625" t="n"/>
      <c r="D84" s="641" t="n"/>
      <c r="F84" s="366" t="n"/>
      <c r="G84" s="366" t="n"/>
      <c r="H84" s="366" t="n"/>
      <c r="I84" s="366" t="n"/>
      <c r="J84" s="366" t="n"/>
      <c r="K84" s="366" t="n"/>
      <c r="L84" s="366" t="n"/>
      <c r="M84" s="366" t="n"/>
      <c r="N84" s="366" t="n"/>
      <c r="O84" s="366" t="n"/>
      <c r="P84" s="366" t="n"/>
      <c r="Q84" s="366" t="n"/>
      <c r="R84" s="366" t="n"/>
      <c r="S84" s="366" t="n"/>
      <c r="T84" s="366" t="n"/>
      <c r="U84" s="366" t="n"/>
      <c r="V84" s="366" t="n"/>
      <c r="W84" s="366" t="n"/>
      <c r="X84" s="366" t="n"/>
      <c r="Y84" s="366" t="n"/>
      <c r="Z84" s="366" t="n"/>
      <c r="AA84" s="366" t="n"/>
      <c r="AB84" s="646" t="n"/>
      <c r="AC84" s="646" t="n"/>
      <c r="AD84" s="646" t="n"/>
    </row>
    <row r="85" hidden="1" ht="18.75" customHeight="1">
      <c r="A85" s="645" t="inlineStr">
        <is>
          <t>HID ROSAS</t>
        </is>
      </c>
      <c r="B85" s="625" t="n"/>
      <c r="C85" s="625" t="n"/>
      <c r="D85" s="641" t="n"/>
      <c r="F85" s="366" t="n"/>
      <c r="G85" s="366" t="n"/>
      <c r="H85" s="366" t="n"/>
      <c r="I85" s="366" t="n"/>
      <c r="J85" s="366" t="n"/>
      <c r="K85" s="366" t="n"/>
      <c r="L85" s="366" t="n"/>
      <c r="M85" s="366" t="n"/>
      <c r="N85" s="366" t="n"/>
      <c r="O85" s="366" t="n"/>
      <c r="P85" s="366" t="n"/>
      <c r="Q85" s="366" t="n"/>
      <c r="R85" s="366" t="n"/>
      <c r="S85" s="366" t="n"/>
      <c r="T85" s="366" t="n"/>
      <c r="U85" s="366" t="n"/>
      <c r="V85" s="366" t="n"/>
      <c r="W85" s="366" t="n"/>
      <c r="X85" s="366" t="n"/>
      <c r="Y85" s="366" t="n"/>
      <c r="Z85" s="366" t="n"/>
      <c r="AA85" s="366" t="n"/>
      <c r="AB85" s="646" t="n"/>
      <c r="AC85" s="646" t="n"/>
      <c r="AD85" s="646" t="n"/>
    </row>
    <row r="86" hidden="1" ht="18.75" customHeight="1">
      <c r="A86" s="645" t="inlineStr">
        <is>
          <t>HID DELEITE</t>
        </is>
      </c>
      <c r="B86" s="625" t="n"/>
      <c r="C86" s="625" t="n"/>
      <c r="D86" s="641" t="n"/>
      <c r="F86" s="366" t="n"/>
      <c r="G86" s="366" t="n"/>
      <c r="H86" s="366" t="n"/>
      <c r="I86" s="366" t="n"/>
      <c r="J86" s="366" t="n"/>
      <c r="K86" s="366" t="n"/>
      <c r="L86" s="366" t="n"/>
      <c r="M86" s="366" t="n"/>
      <c r="N86" s="366" t="n"/>
      <c r="O86" s="366" t="n"/>
      <c r="P86" s="366" t="n"/>
      <c r="Q86" s="366" t="n"/>
      <c r="R86" s="366" t="n"/>
      <c r="S86" s="366" t="n"/>
      <c r="T86" s="366" t="n"/>
      <c r="U86" s="366" t="n"/>
      <c r="V86" s="366" t="n"/>
      <c r="W86" s="366" t="n"/>
      <c r="X86" s="366" t="n"/>
      <c r="Y86" s="366" t="n"/>
      <c r="Z86" s="366" t="n"/>
      <c r="AA86" s="366" t="n"/>
      <c r="AB86" s="646" t="n"/>
      <c r="AC86" s="646" t="n"/>
      <c r="AD86" s="646" t="n"/>
    </row>
    <row r="87" hidden="1" ht="18.75" customHeight="1">
      <c r="A87" s="645" t="inlineStr">
        <is>
          <t>FEIRA BANANA</t>
        </is>
      </c>
      <c r="B87" s="625" t="n"/>
      <c r="C87" s="625" t="n"/>
      <c r="D87" s="641" t="n"/>
      <c r="F87" s="366" t="n"/>
      <c r="G87" s="366" t="n"/>
      <c r="H87" s="366" t="n"/>
      <c r="I87" s="366" t="n"/>
      <c r="J87" s="366" t="n"/>
      <c r="K87" s="366" t="n"/>
      <c r="L87" s="366" t="n"/>
      <c r="M87" s="366" t="n"/>
      <c r="N87" s="366" t="n"/>
      <c r="O87" s="366" t="n"/>
      <c r="P87" s="366" t="n"/>
      <c r="Q87" s="366" t="n"/>
      <c r="R87" s="366" t="n"/>
      <c r="S87" s="366" t="n"/>
      <c r="T87" s="366" t="n"/>
      <c r="U87" s="366" t="n"/>
      <c r="V87" s="366" t="n"/>
      <c r="W87" s="366" t="n"/>
      <c r="X87" s="366" t="n"/>
      <c r="Y87" s="366" t="n"/>
      <c r="Z87" s="366" t="n"/>
      <c r="AA87" s="366" t="n"/>
      <c r="AB87" s="646" t="n"/>
      <c r="AC87" s="646" t="n"/>
      <c r="AD87" s="646" t="n"/>
    </row>
    <row r="88" hidden="1" ht="18.75" customHeight="1">
      <c r="A88" s="645" t="inlineStr">
        <is>
          <t>BOTICA 214 AFICAN FEMININO</t>
        </is>
      </c>
      <c r="B88" s="625" t="n"/>
      <c r="C88" s="625" t="n"/>
      <c r="D88" s="641" t="n"/>
      <c r="F88" s="366" t="n"/>
      <c r="G88" s="366" t="n"/>
      <c r="H88" s="366" t="n"/>
      <c r="I88" s="366" t="n"/>
      <c r="J88" s="366" t="n"/>
      <c r="K88" s="366" t="n"/>
      <c r="L88" s="366" t="n"/>
      <c r="M88" s="366" t="n"/>
      <c r="N88" s="366" t="n"/>
      <c r="O88" s="366" t="n"/>
      <c r="P88" s="366" t="n"/>
      <c r="Q88" s="366" t="n"/>
      <c r="R88" s="366" t="n"/>
      <c r="S88" s="366" t="n"/>
      <c r="T88" s="366" t="n"/>
      <c r="U88" s="366" t="n"/>
      <c r="V88" s="366" t="n"/>
      <c r="W88" s="366" t="n"/>
      <c r="X88" s="366" t="n"/>
      <c r="Y88" s="366" t="n"/>
      <c r="Z88" s="366" t="n"/>
      <c r="AA88" s="366" t="n"/>
      <c r="AB88" s="646" t="n"/>
      <c r="AC88" s="646" t="n"/>
      <c r="AD88" s="646" t="n"/>
    </row>
    <row r="89" hidden="1" ht="18.75" customHeight="1">
      <c r="A89" s="645" t="inlineStr">
        <is>
          <t>BOTICA 214 AFICAN MASCULINO</t>
        </is>
      </c>
      <c r="B89" s="625" t="n"/>
      <c r="C89" s="625" t="n"/>
      <c r="D89" s="641" t="n"/>
      <c r="F89" s="366" t="n"/>
      <c r="G89" s="366" t="n"/>
      <c r="H89" s="366" t="n"/>
      <c r="I89" s="366" t="n"/>
      <c r="J89" s="366" t="n"/>
      <c r="K89" s="366" t="n"/>
      <c r="L89" s="366" t="n"/>
      <c r="M89" s="366" t="n"/>
      <c r="N89" s="366" t="n"/>
      <c r="O89" s="366" t="n"/>
      <c r="P89" s="366" t="n"/>
      <c r="Q89" s="366" t="n"/>
      <c r="R89" s="366" t="n"/>
      <c r="S89" s="366" t="n"/>
      <c r="T89" s="366" t="n"/>
      <c r="U89" s="366" t="n"/>
      <c r="V89" s="366" t="n"/>
      <c r="W89" s="366" t="n"/>
      <c r="X89" s="366" t="n"/>
      <c r="Y89" s="366" t="n"/>
      <c r="Z89" s="366" t="n"/>
      <c r="AA89" s="366" t="n"/>
      <c r="AB89" s="646" t="n"/>
      <c r="AC89" s="646" t="n"/>
      <c r="AD89" s="646" t="n"/>
    </row>
    <row r="90" hidden="1" ht="18.75" customHeight="1">
      <c r="A90" s="645" t="inlineStr">
        <is>
          <t>COFFEE ADDICTIVE</t>
        </is>
      </c>
      <c r="B90" s="625" t="n"/>
      <c r="C90" s="625" t="n"/>
      <c r="D90" s="641" t="n"/>
      <c r="F90" s="366" t="n"/>
      <c r="G90" s="366" t="n"/>
      <c r="H90" s="366" t="n"/>
      <c r="I90" s="366" t="n"/>
      <c r="J90" s="366" t="n"/>
      <c r="K90" s="366" t="n"/>
      <c r="L90" s="366" t="n"/>
      <c r="M90" s="366" t="n"/>
      <c r="N90" s="366" t="n"/>
      <c r="O90" s="366" t="n"/>
      <c r="P90" s="366" t="n"/>
      <c r="Q90" s="366" t="n"/>
      <c r="R90" s="366" t="n"/>
      <c r="S90" s="366" t="n"/>
      <c r="T90" s="366" t="n"/>
      <c r="U90" s="366" t="n"/>
      <c r="V90" s="366" t="n"/>
      <c r="W90" s="366" t="n"/>
      <c r="X90" s="366" t="n"/>
      <c r="Y90" s="366" t="n"/>
      <c r="Z90" s="366" t="n"/>
      <c r="AA90" s="366" t="n"/>
      <c r="AB90" s="646" t="n"/>
      <c r="AC90" s="646" t="n"/>
      <c r="AD90" s="646" t="n"/>
    </row>
    <row r="91" hidden="1" ht="18.75" customHeight="1">
      <c r="A91" s="645" t="inlineStr">
        <is>
          <t>PROTETOR SOLAR</t>
        </is>
      </c>
      <c r="B91" s="625" t="n"/>
      <c r="C91" s="625" t="n"/>
      <c r="D91" s="641" t="n"/>
      <c r="F91" s="366" t="n"/>
      <c r="G91" s="366" t="n"/>
      <c r="H91" s="366" t="n"/>
      <c r="I91" s="366" t="n"/>
      <c r="J91" s="366" t="n"/>
      <c r="K91" s="366" t="n"/>
      <c r="L91" s="366" t="n"/>
      <c r="M91" s="366" t="n"/>
      <c r="N91" s="366" t="n"/>
      <c r="O91" s="366" t="n"/>
      <c r="P91" s="366" t="n"/>
      <c r="Q91" s="366" t="n"/>
      <c r="R91" s="366" t="n"/>
      <c r="S91" s="366" t="n"/>
      <c r="T91" s="366" t="n"/>
      <c r="U91" s="366" t="n"/>
      <c r="V91" s="366" t="n"/>
      <c r="W91" s="366" t="n"/>
      <c r="X91" s="366" t="n"/>
      <c r="Y91" s="366" t="n"/>
      <c r="Z91" s="366" t="n"/>
      <c r="AA91" s="366" t="n"/>
      <c r="AB91" s="646" t="n"/>
      <c r="AC91" s="646" t="n"/>
      <c r="AD91" s="646" t="n"/>
    </row>
    <row r="92" hidden="1" ht="18.75" customHeight="1">
      <c r="A92" s="645" t="inlineStr">
        <is>
          <t>DR BOTICA CRIATIVIDADE</t>
        </is>
      </c>
      <c r="B92" s="625" t="n"/>
      <c r="C92" s="625" t="n"/>
      <c r="D92" s="641" t="n"/>
      <c r="F92" s="366" t="n"/>
      <c r="G92" s="366" t="n"/>
      <c r="H92" s="366" t="n"/>
      <c r="I92" s="366" t="n"/>
      <c r="J92" s="366" t="n"/>
      <c r="K92" s="366" t="n"/>
      <c r="L92" s="366" t="n"/>
      <c r="M92" s="366" t="n"/>
      <c r="N92" s="366" t="n"/>
      <c r="O92" s="366" t="n"/>
      <c r="P92" s="366" t="n"/>
      <c r="Q92" s="366" t="n"/>
      <c r="R92" s="366" t="n"/>
      <c r="S92" s="366" t="n"/>
      <c r="T92" s="366" t="n"/>
      <c r="U92" s="366" t="n"/>
      <c r="V92" s="366" t="n"/>
      <c r="W92" s="366" t="n"/>
      <c r="X92" s="366" t="n"/>
      <c r="Y92" s="366" t="n"/>
      <c r="Z92" s="366" t="n"/>
      <c r="AA92" s="366" t="n"/>
      <c r="AB92" s="646" t="n"/>
      <c r="AC92" s="646" t="n"/>
      <c r="AD92" s="646" t="n"/>
    </row>
    <row r="93" hidden="1" ht="18.75" customHeight="1">
      <c r="A93" s="645" t="inlineStr">
        <is>
          <t>SCIENCE RECONSTRUÇÃO</t>
        </is>
      </c>
      <c r="B93" s="625" t="n"/>
      <c r="C93" s="625" t="n"/>
      <c r="D93" s="641" t="n"/>
      <c r="F93" s="366" t="n"/>
      <c r="G93" s="366" t="n"/>
      <c r="H93" s="366" t="n"/>
      <c r="I93" s="366" t="n"/>
      <c r="J93" s="366" t="n"/>
      <c r="K93" s="366" t="n"/>
      <c r="L93" s="366" t="n"/>
      <c r="M93" s="366" t="n"/>
      <c r="N93" s="366" t="n"/>
      <c r="O93" s="366" t="n"/>
      <c r="P93" s="366" t="n"/>
      <c r="Q93" s="366" t="n"/>
      <c r="R93" s="366" t="n"/>
      <c r="S93" s="366" t="n"/>
      <c r="T93" s="366" t="n"/>
      <c r="U93" s="366" t="n"/>
      <c r="V93" s="366" t="n"/>
      <c r="W93" s="366" t="n"/>
      <c r="X93" s="366" t="n"/>
      <c r="Y93" s="366" t="n"/>
      <c r="Z93" s="366" t="n"/>
      <c r="AA93" s="366" t="n"/>
      <c r="AB93" s="646" t="n"/>
      <c r="AC93" s="646" t="n"/>
      <c r="AD93" s="646" t="n"/>
    </row>
    <row r="94" hidden="1" ht="18.75" customHeight="1">
      <c r="A94" s="645" t="inlineStr">
        <is>
          <t>MEN 2 EM 1</t>
        </is>
      </c>
      <c r="B94" s="625" t="n"/>
      <c r="C94" s="625" t="n"/>
      <c r="D94" s="641" t="n"/>
      <c r="F94" s="366" t="n"/>
      <c r="G94" s="366" t="n"/>
      <c r="H94" s="366" t="n"/>
      <c r="I94" s="366" t="n"/>
      <c r="J94" s="366" t="n"/>
      <c r="K94" s="366" t="n"/>
      <c r="L94" s="366" t="n"/>
      <c r="M94" s="366" t="n"/>
      <c r="N94" s="366" t="n"/>
      <c r="O94" s="366" t="n"/>
      <c r="P94" s="366" t="n"/>
      <c r="Q94" s="366" t="n"/>
      <c r="R94" s="366" t="n"/>
      <c r="S94" s="366" t="n"/>
      <c r="T94" s="366" t="n"/>
      <c r="U94" s="366" t="n"/>
      <c r="V94" s="366" t="n"/>
      <c r="W94" s="366" t="n"/>
      <c r="X94" s="366" t="n"/>
      <c r="Y94" s="366" t="n"/>
      <c r="Z94" s="366" t="n"/>
      <c r="AA94" s="366" t="n"/>
      <c r="AB94" s="646" t="n"/>
      <c r="AC94" s="646" t="n"/>
      <c r="AD94" s="646" t="n"/>
    </row>
    <row r="95" hidden="1" ht="18.75" customHeight="1">
      <c r="A95" s="645" t="inlineStr">
        <is>
          <t>MALBEC</t>
        </is>
      </c>
      <c r="B95" s="625" t="n"/>
      <c r="C95" s="625" t="n"/>
      <c r="D95" s="641" t="n"/>
      <c r="F95" s="366" t="n"/>
      <c r="G95" s="366" t="n"/>
      <c r="H95" s="366" t="n"/>
      <c r="I95" s="366" t="n"/>
      <c r="J95" s="366" t="n"/>
      <c r="K95" s="366" t="n"/>
      <c r="L95" s="366" t="n"/>
      <c r="M95" s="366" t="n"/>
      <c r="N95" s="366" t="n"/>
      <c r="O95" s="366" t="n"/>
      <c r="P95" s="366" t="n"/>
      <c r="Q95" s="366" t="n"/>
      <c r="R95" s="366" t="n"/>
      <c r="S95" s="366" t="n"/>
      <c r="T95" s="366" t="n"/>
      <c r="U95" s="366" t="n"/>
      <c r="V95" s="366" t="n"/>
      <c r="W95" s="366" t="n"/>
      <c r="X95" s="366" t="n"/>
      <c r="Y95" s="366" t="n"/>
      <c r="Z95" s="366" t="n"/>
      <c r="AA95" s="366" t="n"/>
      <c r="AB95" s="646" t="n"/>
      <c r="AC95" s="646" t="n"/>
      <c r="AD95" s="646" t="n"/>
    </row>
    <row r="96" hidden="1" ht="18.75" customHeight="1">
      <c r="A96" s="645" t="inlineStr">
        <is>
          <t>DIVERTIDAMENTE</t>
        </is>
      </c>
      <c r="B96" s="625" t="n"/>
      <c r="C96" s="625" t="n"/>
      <c r="D96" s="641" t="n"/>
      <c r="F96" s="366" t="n"/>
      <c r="G96" s="366" t="n"/>
      <c r="H96" s="366" t="n"/>
      <c r="I96" s="366" t="n"/>
      <c r="J96" s="366" t="n"/>
      <c r="K96" s="366" t="n"/>
      <c r="L96" s="366" t="n"/>
      <c r="M96" s="366" t="n"/>
      <c r="N96" s="366" t="n"/>
      <c r="O96" s="366" t="n"/>
      <c r="P96" s="366" t="n"/>
      <c r="Q96" s="366" t="n"/>
      <c r="R96" s="366" t="n"/>
      <c r="S96" s="366" t="n"/>
      <c r="T96" s="366" t="n"/>
      <c r="U96" s="366" t="n"/>
      <c r="V96" s="366" t="n"/>
      <c r="W96" s="366" t="n"/>
      <c r="X96" s="366" t="n"/>
      <c r="Y96" s="366" t="n"/>
      <c r="Z96" s="366" t="n"/>
      <c r="AA96" s="366" t="n"/>
      <c r="AB96" s="646" t="n"/>
      <c r="AC96" s="646" t="n"/>
      <c r="AD96" s="646" t="n"/>
    </row>
    <row r="97" hidden="1" ht="18.75" customHeight="1">
      <c r="A97" s="645" t="inlineStr">
        <is>
          <t>HER CODE TOUCH</t>
        </is>
      </c>
      <c r="B97" s="625" t="n"/>
      <c r="C97" s="625" t="n"/>
      <c r="D97" s="641" t="n"/>
      <c r="F97" s="366" t="n"/>
      <c r="G97" s="366" t="n"/>
      <c r="H97" s="366" t="n"/>
      <c r="I97" s="366" t="n"/>
      <c r="J97" s="366" t="n"/>
      <c r="K97" s="366" t="n"/>
      <c r="L97" s="366" t="n"/>
      <c r="M97" s="366" t="n"/>
      <c r="N97" s="366" t="n"/>
      <c r="O97" s="366" t="n"/>
      <c r="P97" s="366" t="n"/>
      <c r="Q97" s="366" t="n"/>
      <c r="R97" s="366" t="n"/>
      <c r="S97" s="366" t="n"/>
      <c r="T97" s="366" t="n"/>
      <c r="U97" s="366" t="n"/>
      <c r="V97" s="366" t="n"/>
      <c r="W97" s="366" t="n"/>
      <c r="X97" s="366" t="n"/>
      <c r="Y97" s="366" t="n"/>
      <c r="Z97" s="366" t="n"/>
      <c r="AA97" s="366" t="n"/>
      <c r="AB97" s="646" t="n"/>
      <c r="AC97" s="646" t="n"/>
      <c r="AD97" s="646" t="n"/>
    </row>
    <row r="98" hidden="1" ht="18.75" customHeight="1">
      <c r="A98" s="645" t="inlineStr">
        <is>
          <t>ZAAD VENTURE</t>
        </is>
      </c>
      <c r="B98" s="625" t="n"/>
      <c r="C98" s="625" t="n"/>
      <c r="D98" s="641" t="n"/>
      <c r="F98" s="366" t="n"/>
      <c r="G98" s="366" t="n"/>
      <c r="H98" s="366" t="n"/>
      <c r="I98" s="366" t="n"/>
      <c r="J98" s="366" t="n"/>
      <c r="K98" s="366" t="n"/>
      <c r="L98" s="366" t="n"/>
      <c r="M98" s="366" t="n"/>
      <c r="N98" s="366" t="n"/>
      <c r="O98" s="366" t="n"/>
      <c r="P98" s="366" t="n"/>
      <c r="Q98" s="366" t="n"/>
      <c r="R98" s="366" t="n"/>
      <c r="S98" s="366" t="n"/>
      <c r="T98" s="366" t="n"/>
      <c r="U98" s="366" t="n"/>
      <c r="V98" s="366" t="n"/>
      <c r="W98" s="366" t="n"/>
      <c r="X98" s="366" t="n"/>
      <c r="Y98" s="366" t="n"/>
      <c r="Z98" s="366" t="n"/>
      <c r="AA98" s="366" t="n"/>
      <c r="AB98" s="646" t="n"/>
      <c r="AC98" s="646" t="n"/>
      <c r="AD98" s="646" t="n"/>
    </row>
    <row r="99" hidden="1" ht="18.75" customHeight="1">
      <c r="A99" s="645" t="inlineStr">
        <is>
          <t>LIZ INTENSO</t>
        </is>
      </c>
      <c r="B99" s="625" t="n"/>
      <c r="C99" s="625" t="n"/>
      <c r="D99" s="641" t="n"/>
      <c r="F99" s="366" t="n"/>
      <c r="G99" s="366" t="n"/>
      <c r="H99" s="366" t="n"/>
      <c r="I99" s="366" t="n"/>
      <c r="J99" s="366" t="n"/>
      <c r="K99" s="366" t="n"/>
      <c r="L99" s="366" t="n"/>
      <c r="M99" s="366" t="n"/>
      <c r="N99" s="366" t="n"/>
      <c r="O99" s="366" t="n"/>
      <c r="P99" s="366" t="n"/>
      <c r="Q99" s="366" t="n"/>
      <c r="R99" s="366" t="n"/>
      <c r="S99" s="366" t="n"/>
      <c r="T99" s="366" t="n"/>
      <c r="U99" s="366" t="n"/>
      <c r="V99" s="366" t="n"/>
      <c r="W99" s="366" t="n"/>
      <c r="X99" s="366" t="n"/>
      <c r="Y99" s="366" t="n"/>
      <c r="Z99" s="366" t="n"/>
      <c r="AA99" s="366" t="n"/>
      <c r="AB99" s="646" t="n"/>
      <c r="AC99" s="646" t="n"/>
      <c r="AD99" s="646" t="n"/>
    </row>
    <row r="100" hidden="1" ht="18.75" customHeight="1">
      <c r="A100" s="645" t="inlineStr">
        <is>
          <t>GLAMOUR SECRETS BLACK INTENSO</t>
        </is>
      </c>
      <c r="B100" s="625" t="n"/>
      <c r="C100" s="625" t="n"/>
      <c r="D100" s="641" t="n"/>
      <c r="F100" s="366" t="n"/>
      <c r="G100" s="366" t="n"/>
      <c r="H100" s="366" t="n"/>
      <c r="I100" s="366" t="n"/>
      <c r="J100" s="366" t="n"/>
      <c r="K100" s="366" t="n"/>
      <c r="L100" s="366" t="n"/>
      <c r="M100" s="366" t="n"/>
      <c r="N100" s="366" t="n"/>
      <c r="O100" s="366" t="n"/>
      <c r="P100" s="366" t="n"/>
      <c r="Q100" s="366" t="n"/>
      <c r="R100" s="366" t="n"/>
      <c r="S100" s="366" t="n"/>
      <c r="T100" s="366" t="n"/>
      <c r="U100" s="366" t="n"/>
      <c r="V100" s="366" t="n"/>
      <c r="W100" s="366" t="n"/>
      <c r="X100" s="366" t="n"/>
      <c r="Y100" s="366" t="n"/>
      <c r="Z100" s="366" t="n"/>
      <c r="AA100" s="366" t="n"/>
      <c r="AB100" s="646" t="n"/>
      <c r="AC100" s="646" t="n"/>
      <c r="AD100" s="646" t="n"/>
    </row>
    <row r="101" hidden="1" ht="18.75" customHeight="1">
      <c r="A101" s="645" t="inlineStr">
        <is>
          <t>UOMINI SPIRIT</t>
        </is>
      </c>
      <c r="B101" s="625" t="n"/>
      <c r="C101" s="625" t="n"/>
      <c r="D101" s="641" t="n"/>
      <c r="F101" s="366" t="n"/>
      <c r="G101" s="366" t="n"/>
      <c r="H101" s="366" t="n"/>
      <c r="I101" s="366" t="n"/>
      <c r="J101" s="366" t="n"/>
      <c r="K101" s="366" t="n"/>
      <c r="L101" s="366" t="n"/>
      <c r="M101" s="366" t="n"/>
      <c r="N101" s="366" t="n"/>
      <c r="O101" s="366" t="n"/>
      <c r="P101" s="366" t="n"/>
      <c r="Q101" s="366" t="n"/>
      <c r="R101" s="366" t="n"/>
      <c r="S101" s="366" t="n"/>
      <c r="T101" s="366" t="n"/>
      <c r="U101" s="366" t="n"/>
      <c r="V101" s="366" t="n"/>
      <c r="W101" s="366" t="n"/>
      <c r="X101" s="366" t="n"/>
      <c r="Y101" s="366" t="n"/>
      <c r="Z101" s="366" t="n"/>
      <c r="AA101" s="366" t="n"/>
      <c r="AB101" s="646" t="n"/>
      <c r="AC101" s="646" t="n"/>
      <c r="AD101" s="646" t="n"/>
    </row>
    <row r="102" hidden="1" ht="18.75" customHeight="1">
      <c r="A102" s="645" t="inlineStr">
        <is>
          <t>QUASAR</t>
        </is>
      </c>
      <c r="B102" s="625" t="n"/>
      <c r="C102" s="625" t="n"/>
      <c r="D102" s="641" t="n"/>
      <c r="F102" s="366" t="n"/>
      <c r="G102" s="366" t="n"/>
      <c r="H102" s="366" t="n"/>
      <c r="I102" s="366" t="n"/>
      <c r="J102" s="366" t="n"/>
      <c r="K102" s="366" t="n"/>
      <c r="L102" s="366" t="n"/>
      <c r="M102" s="366" t="n"/>
      <c r="N102" s="366" t="n"/>
      <c r="O102" s="366" t="n"/>
      <c r="P102" s="366" t="n"/>
      <c r="Q102" s="366" t="n"/>
      <c r="R102" s="366" t="n"/>
      <c r="S102" s="366" t="n"/>
      <c r="T102" s="366" t="n"/>
      <c r="U102" s="366" t="n"/>
      <c r="V102" s="366" t="n"/>
      <c r="W102" s="366" t="n"/>
      <c r="X102" s="366" t="n"/>
      <c r="Y102" s="366" t="n"/>
      <c r="Z102" s="366" t="n"/>
      <c r="AA102" s="366" t="n"/>
      <c r="AB102" s="646" t="n"/>
      <c r="AC102" s="646" t="n"/>
      <c r="AD102" s="646" t="n"/>
    </row>
    <row r="103" hidden="1" ht="18.75" customHeight="1">
      <c r="A103" s="645" t="inlineStr">
        <is>
          <t>RESVERETROL</t>
        </is>
      </c>
      <c r="B103" s="625" t="n"/>
      <c r="C103" s="625" t="n"/>
      <c r="D103" s="641" t="n"/>
      <c r="F103" s="366" t="n"/>
      <c r="G103" s="366" t="n"/>
      <c r="H103" s="366" t="n"/>
      <c r="I103" s="366" t="n"/>
      <c r="J103" s="366" t="n"/>
      <c r="K103" s="366" t="n"/>
      <c r="L103" s="366" t="n"/>
      <c r="M103" s="366" t="n"/>
      <c r="N103" s="366" t="n"/>
      <c r="O103" s="366" t="n"/>
      <c r="P103" s="366" t="n"/>
      <c r="Q103" s="366" t="n"/>
      <c r="R103" s="366" t="n"/>
      <c r="S103" s="366" t="n"/>
      <c r="T103" s="366" t="n"/>
      <c r="U103" s="366" t="n"/>
      <c r="V103" s="366" t="n"/>
      <c r="W103" s="366" t="n"/>
      <c r="X103" s="366" t="n"/>
      <c r="Y103" s="366" t="n"/>
      <c r="Z103" s="366" t="n"/>
      <c r="AA103" s="366" t="n"/>
      <c r="AB103" s="646" t="n"/>
      <c r="AC103" s="646" t="n"/>
      <c r="AD103" s="646" t="n"/>
    </row>
    <row r="104" hidden="1" ht="18.75" customHeight="1">
      <c r="A104" s="645" t="inlineStr">
        <is>
          <t>NATIVA SPA CEREJA ROUGE</t>
        </is>
      </c>
      <c r="B104" s="625" t="n"/>
      <c r="C104" s="625" t="n"/>
      <c r="D104" s="641" t="n"/>
      <c r="F104" s="366" t="n"/>
      <c r="G104" s="366" t="n"/>
      <c r="H104" s="366" t="n"/>
      <c r="I104" s="366" t="n"/>
      <c r="J104" s="366" t="n"/>
      <c r="K104" s="366" t="n"/>
      <c r="L104" s="366" t="n"/>
      <c r="M104" s="366" t="n"/>
      <c r="N104" s="366" t="n"/>
      <c r="O104" s="366" t="n"/>
      <c r="P104" s="366" t="n"/>
      <c r="Q104" s="366" t="n"/>
      <c r="R104" s="366" t="n"/>
      <c r="S104" s="366" t="n"/>
      <c r="T104" s="366" t="n"/>
      <c r="U104" s="366" t="n"/>
      <c r="V104" s="366" t="n"/>
      <c r="W104" s="366" t="n"/>
      <c r="X104" s="366" t="n"/>
      <c r="Y104" s="366" t="n"/>
      <c r="Z104" s="366" t="n"/>
      <c r="AA104" s="366" t="n"/>
      <c r="AB104" s="646" t="n"/>
      <c r="AC104" s="646" t="n"/>
      <c r="AD104" s="646" t="n"/>
    </row>
    <row r="105" hidden="1" ht="18.75" customHeight="1">
      <c r="A105" s="645" t="inlineStr">
        <is>
          <t>DR BOTICA CRIATIVIDADE</t>
        </is>
      </c>
      <c r="B105" s="625" t="n"/>
      <c r="C105" s="625" t="n"/>
      <c r="D105" s="641" t="n"/>
      <c r="F105" s="366" t="n"/>
      <c r="G105" s="366" t="n"/>
      <c r="H105" s="366" t="n"/>
      <c r="I105" s="366" t="n"/>
      <c r="J105" s="366" t="n"/>
      <c r="K105" s="366" t="n"/>
      <c r="L105" s="366" t="n"/>
      <c r="M105" s="366" t="n"/>
      <c r="N105" s="366" t="n"/>
      <c r="O105" s="366" t="n"/>
      <c r="P105" s="366" t="n"/>
      <c r="Q105" s="366" t="n"/>
      <c r="R105" s="366" t="n"/>
      <c r="S105" s="366" t="n"/>
      <c r="T105" s="366" t="n"/>
      <c r="U105" s="366" t="n"/>
      <c r="V105" s="366" t="n"/>
      <c r="W105" s="366" t="n"/>
      <c r="X105" s="366" t="n"/>
      <c r="Y105" s="366" t="n"/>
      <c r="Z105" s="366" t="n"/>
      <c r="AA105" s="366" t="n"/>
      <c r="AB105" s="646" t="n"/>
      <c r="AC105" s="646" t="n"/>
      <c r="AD105" s="646" t="n"/>
    </row>
    <row r="106" hidden="1" ht="18.75" customHeight="1">
      <c r="A106" s="645" t="inlineStr">
        <is>
          <t>MEN 2 EM 1</t>
        </is>
      </c>
      <c r="B106" s="625" t="n"/>
      <c r="C106" s="625" t="n"/>
      <c r="D106" s="641" t="n"/>
      <c r="F106" s="366" t="n"/>
      <c r="G106" s="366" t="n"/>
      <c r="H106" s="366" t="n"/>
      <c r="I106" s="366" t="n"/>
      <c r="J106" s="366" t="n"/>
      <c r="K106" s="366" t="n"/>
      <c r="L106" s="366" t="n"/>
      <c r="M106" s="366" t="n"/>
      <c r="N106" s="366" t="n"/>
      <c r="O106" s="366" t="n"/>
      <c r="P106" s="366" t="n"/>
      <c r="Q106" s="366" t="n"/>
      <c r="R106" s="366" t="n"/>
      <c r="S106" s="366" t="n"/>
      <c r="T106" s="366" t="n"/>
      <c r="U106" s="366" t="n"/>
      <c r="V106" s="366" t="n"/>
      <c r="W106" s="366" t="n"/>
      <c r="X106" s="366" t="n"/>
      <c r="Y106" s="366" t="n"/>
      <c r="Z106" s="366" t="n"/>
      <c r="AA106" s="366" t="n"/>
      <c r="AB106" s="646" t="n"/>
      <c r="AC106" s="646" t="n"/>
      <c r="AD106" s="646" t="n"/>
    </row>
    <row r="107" hidden="1" ht="18.75" customHeight="1">
      <c r="A107" s="645" t="inlineStr">
        <is>
          <t>EGEO CHOC HIGH</t>
        </is>
      </c>
      <c r="B107" s="625" t="n"/>
      <c r="C107" s="625" t="n"/>
      <c r="D107" s="641" t="n"/>
      <c r="F107" s="366" t="n"/>
      <c r="G107" s="366" t="n"/>
      <c r="H107" s="366" t="n"/>
      <c r="I107" s="366" t="n"/>
      <c r="J107" s="366" t="n"/>
      <c r="K107" s="366" t="n"/>
      <c r="L107" s="366" t="n"/>
      <c r="M107" s="366" t="n"/>
      <c r="N107" s="366" t="n"/>
      <c r="O107" s="366" t="n"/>
      <c r="P107" s="366" t="n"/>
      <c r="Q107" s="366" t="n"/>
      <c r="R107" s="366" t="n"/>
      <c r="S107" s="366" t="n"/>
      <c r="T107" s="366" t="n"/>
      <c r="U107" s="366" t="n"/>
      <c r="V107" s="366" t="n"/>
      <c r="W107" s="366" t="n"/>
      <c r="X107" s="366" t="n"/>
      <c r="Y107" s="366" t="n"/>
      <c r="Z107" s="366" t="n"/>
      <c r="AA107" s="366" t="n"/>
      <c r="AB107" s="646" t="n"/>
      <c r="AC107" s="646" t="n"/>
      <c r="AD107" s="646" t="n"/>
    </row>
    <row r="108" hidden="1" ht="18.75" customHeight="1">
      <c r="A108" s="645" t="inlineStr">
        <is>
          <t>FLORATTA RED BLOSSOM</t>
        </is>
      </c>
      <c r="B108" s="625" t="n"/>
      <c r="C108" s="625" t="n"/>
      <c r="D108" s="641" t="n"/>
      <c r="F108" s="366" t="n"/>
      <c r="G108" s="366" t="n"/>
      <c r="H108" s="366" t="n"/>
      <c r="I108" s="366" t="n"/>
      <c r="J108" s="366" t="n"/>
      <c r="K108" s="366" t="n"/>
      <c r="L108" s="366" t="n"/>
      <c r="M108" s="366" t="n"/>
      <c r="N108" s="366" t="n"/>
      <c r="O108" s="366" t="n"/>
      <c r="P108" s="366" t="n"/>
      <c r="Q108" s="366" t="n"/>
      <c r="R108" s="366" t="n"/>
      <c r="S108" s="366" t="n"/>
      <c r="T108" s="366" t="n"/>
      <c r="U108" s="366" t="n"/>
      <c r="V108" s="366" t="n"/>
      <c r="W108" s="366" t="n"/>
      <c r="X108" s="366" t="n"/>
      <c r="Y108" s="366" t="n"/>
      <c r="Z108" s="366" t="n"/>
      <c r="AA108" s="366" t="n"/>
      <c r="AB108" s="646" t="n"/>
      <c r="AC108" s="646" t="n"/>
      <c r="AD108" s="646" t="n"/>
    </row>
    <row r="109" hidden="1" ht="18.75" customHeight="1">
      <c r="A109" s="645" t="inlineStr">
        <is>
          <t>MALBEC ICON</t>
        </is>
      </c>
      <c r="B109" s="625" t="n"/>
      <c r="C109" s="625" t="n"/>
      <c r="D109" s="641" t="n"/>
      <c r="F109" s="366" t="n"/>
      <c r="G109" s="366" t="n"/>
      <c r="H109" s="366" t="n"/>
      <c r="I109" s="366" t="n"/>
      <c r="J109" s="366" t="n"/>
      <c r="K109" s="366" t="n"/>
      <c r="L109" s="366" t="n"/>
      <c r="M109" s="366" t="n"/>
      <c r="N109" s="366" t="n"/>
      <c r="O109" s="366" t="n"/>
      <c r="P109" s="366" t="n"/>
      <c r="Q109" s="366" t="n"/>
      <c r="R109" s="366" t="n"/>
      <c r="S109" s="366" t="n"/>
      <c r="T109" s="366" t="n"/>
      <c r="U109" s="366" t="n"/>
      <c r="V109" s="366" t="n"/>
      <c r="W109" s="366" t="n"/>
      <c r="X109" s="366" t="n"/>
      <c r="Y109" s="366" t="n"/>
      <c r="Z109" s="366" t="n"/>
      <c r="AA109" s="366" t="n"/>
      <c r="AB109" s="646" t="n"/>
      <c r="AC109" s="646" t="n"/>
      <c r="AD109" s="646" t="n"/>
    </row>
    <row r="110" hidden="1" ht="18.75" customHeight="1">
      <c r="A110" s="645" t="inlineStr">
        <is>
          <t>CLASH</t>
        </is>
      </c>
      <c r="B110" s="625" t="n"/>
      <c r="C110" s="625" t="n"/>
      <c r="D110" s="641" t="n"/>
      <c r="F110" s="366" t="n"/>
      <c r="G110" s="366" t="n"/>
      <c r="H110" s="366" t="n"/>
      <c r="I110" s="366" t="n"/>
      <c r="J110" s="366" t="n"/>
      <c r="K110" s="366" t="n"/>
      <c r="L110" s="366" t="n"/>
      <c r="M110" s="366" t="n"/>
      <c r="N110" s="366" t="n"/>
      <c r="O110" s="366" t="n"/>
      <c r="P110" s="366" t="n"/>
      <c r="Q110" s="366" t="n"/>
      <c r="R110" s="366" t="n"/>
      <c r="S110" s="366" t="n"/>
      <c r="T110" s="366" t="n"/>
      <c r="U110" s="366" t="n"/>
      <c r="V110" s="366" t="n"/>
      <c r="W110" s="366" t="n"/>
      <c r="X110" s="366" t="n"/>
      <c r="Y110" s="366" t="n"/>
      <c r="Z110" s="366" t="n"/>
      <c r="AA110" s="366" t="n"/>
      <c r="AB110" s="646" t="n"/>
      <c r="AC110" s="646" t="n"/>
      <c r="AD110" s="646" t="n"/>
    </row>
    <row r="111" hidden="1" ht="18.75" customHeight="1">
      <c r="A111" s="645" t="inlineStr">
        <is>
          <t>CBEM HIDR. DOCURA NA PESSEGURA</t>
        </is>
      </c>
      <c r="B111" s="625" t="n"/>
      <c r="C111" s="625" t="n"/>
      <c r="D111" s="641" t="n"/>
      <c r="F111" s="366" t="n"/>
      <c r="G111" s="366" t="n"/>
      <c r="H111" s="366" t="n"/>
      <c r="I111" s="366" t="n"/>
      <c r="J111" s="366" t="n"/>
      <c r="K111" s="366" t="n"/>
      <c r="L111" s="366" t="n"/>
      <c r="M111" s="366" t="n"/>
      <c r="N111" s="366" t="n"/>
      <c r="O111" s="366" t="n"/>
      <c r="P111" s="366" t="n"/>
      <c r="Q111" s="366" t="n"/>
      <c r="R111" s="366" t="n"/>
      <c r="S111" s="366" t="n"/>
      <c r="T111" s="366" t="n"/>
      <c r="U111" s="366" t="n"/>
      <c r="V111" s="366" t="n"/>
      <c r="W111" s="366" t="n"/>
      <c r="X111" s="366" t="n"/>
      <c r="Y111" s="366" t="n"/>
      <c r="Z111" s="366" t="n"/>
      <c r="AA111" s="366" t="n"/>
      <c r="AB111" s="646" t="n"/>
      <c r="AC111" s="646" t="n"/>
      <c r="AD111" s="646" t="n"/>
    </row>
    <row r="112" hidden="1" ht="18.75" customHeight="1">
      <c r="A112" s="645" t="inlineStr">
        <is>
          <t>LILY BLANCHE</t>
        </is>
      </c>
      <c r="B112" s="625" t="n"/>
      <c r="C112" s="625" t="n"/>
      <c r="D112" s="641" t="n"/>
      <c r="F112" s="366" t="n"/>
      <c r="G112" s="366" t="n"/>
      <c r="H112" s="366" t="n"/>
      <c r="I112" s="366" t="n"/>
      <c r="J112" s="366" t="n"/>
      <c r="K112" s="366" t="n"/>
      <c r="L112" s="366" t="n"/>
      <c r="M112" s="366" t="n"/>
      <c r="N112" s="366" t="n"/>
      <c r="O112" s="366" t="n"/>
      <c r="P112" s="366" t="n"/>
      <c r="Q112" s="366" t="n"/>
      <c r="R112" s="366" t="n"/>
      <c r="S112" s="366" t="n"/>
      <c r="T112" s="366" t="n"/>
      <c r="U112" s="366" t="n"/>
      <c r="V112" s="366" t="n"/>
      <c r="W112" s="366" t="n"/>
      <c r="X112" s="366" t="n"/>
      <c r="Y112" s="366" t="n"/>
      <c r="Z112" s="366" t="n"/>
      <c r="AA112" s="366" t="n"/>
      <c r="AB112" s="646" t="n"/>
      <c r="AC112" s="646" t="n"/>
      <c r="AD112" s="646" t="n"/>
    </row>
    <row r="113" hidden="1" ht="18.75" customHeight="1">
      <c r="A113" s="645" t="inlineStr">
        <is>
          <t>MEN CUIDADOS</t>
        </is>
      </c>
      <c r="B113" s="625" t="n"/>
      <c r="C113" s="625" t="n"/>
      <c r="D113" s="641" t="n"/>
      <c r="F113" s="366" t="n"/>
      <c r="G113" s="366" t="n"/>
      <c r="H113" s="366" t="n"/>
      <c r="I113" s="366" t="n"/>
      <c r="J113" s="366" t="n"/>
      <c r="K113" s="366" t="n"/>
      <c r="L113" s="366" t="n"/>
      <c r="M113" s="366" t="n"/>
      <c r="N113" s="366" t="n"/>
      <c r="O113" s="366" t="n"/>
      <c r="P113" s="366" t="n"/>
      <c r="Q113" s="366" t="n"/>
      <c r="R113" s="366" t="n"/>
      <c r="S113" s="366" t="n"/>
      <c r="T113" s="366" t="n"/>
      <c r="U113" s="366" t="n"/>
      <c r="V113" s="366" t="n"/>
      <c r="W113" s="366" t="n"/>
      <c r="X113" s="366" t="n"/>
      <c r="Y113" s="366" t="n"/>
      <c r="Z113" s="366" t="n"/>
      <c r="AA113" s="366" t="n"/>
      <c r="AB113" s="646" t="n"/>
      <c r="AC113" s="646" t="n"/>
      <c r="AD113" s="646" t="n"/>
    </row>
    <row r="114">
      <c r="A114" s="645" t="inlineStr">
        <is>
          <t>MEN NBA</t>
        </is>
      </c>
      <c r="B114" s="625" t="n"/>
      <c r="C114" s="625" t="n"/>
      <c r="D114" s="641" t="n"/>
      <c r="F114" s="366" t="n">
        <v>0</v>
      </c>
      <c r="G114" s="366" t="n">
        <v>0</v>
      </c>
      <c r="H114" s="366" t="n">
        <v>0</v>
      </c>
      <c r="I114" s="366" t="n">
        <v>0</v>
      </c>
      <c r="J114" s="366" t="n">
        <v>0</v>
      </c>
      <c r="K114" s="366" t="n">
        <v>0</v>
      </c>
      <c r="L114" s="366" t="n">
        <v>0</v>
      </c>
      <c r="M114" s="366" t="n">
        <v>0</v>
      </c>
      <c r="N114" s="366" t="n">
        <v>0</v>
      </c>
      <c r="O114" s="366" t="n">
        <v>0</v>
      </c>
      <c r="P114" s="366" t="n">
        <v>0</v>
      </c>
      <c r="Q114" s="366" t="n">
        <v>0</v>
      </c>
      <c r="R114" s="366" t="n">
        <v>0</v>
      </c>
      <c r="S114" s="366" t="n">
        <v>0</v>
      </c>
      <c r="T114" s="366" t="n">
        <v>0</v>
      </c>
      <c r="U114" s="366" t="n">
        <v>0</v>
      </c>
      <c r="V114" s="366" t="n">
        <v>0</v>
      </c>
      <c r="W114" s="366" t="n">
        <v>0</v>
      </c>
      <c r="X114" s="366" t="n">
        <v>0</v>
      </c>
      <c r="Y114" s="366" t="n">
        <v>0</v>
      </c>
      <c r="Z114" s="366" t="n">
        <v>0</v>
      </c>
      <c r="AA114" s="366" t="n"/>
      <c r="AB114" s="646" t="n"/>
      <c r="AC114" s="646" t="n"/>
      <c r="AD114" s="646" t="n"/>
    </row>
    <row r="115">
      <c r="A115" s="645" t="inlineStr">
        <is>
          <t>ARBO ATLANTICA</t>
        </is>
      </c>
      <c r="B115" s="625" t="n"/>
      <c r="C115" s="625" t="n"/>
      <c r="D115" s="641" t="n"/>
      <c r="F115" s="366" t="n">
        <v>0</v>
      </c>
      <c r="G115" s="366" t="n">
        <v>0</v>
      </c>
      <c r="H115" s="366" t="n">
        <v>0</v>
      </c>
      <c r="I115" s="366" t="n">
        <v>0</v>
      </c>
      <c r="J115" s="366" t="n">
        <v>0</v>
      </c>
      <c r="K115" s="366" t="n">
        <v>0</v>
      </c>
      <c r="L115" s="366" t="n">
        <v>0</v>
      </c>
      <c r="M115" s="366" t="n">
        <v>0</v>
      </c>
      <c r="N115" s="366" t="n">
        <v>0</v>
      </c>
      <c r="O115" s="366" t="n">
        <v>0</v>
      </c>
      <c r="P115" s="366" t="n">
        <v>0</v>
      </c>
      <c r="Q115" s="366" t="n">
        <v>0</v>
      </c>
      <c r="R115" s="366" t="n">
        <v>0</v>
      </c>
      <c r="S115" s="366" t="n">
        <v>0</v>
      </c>
      <c r="T115" s="366" t="n">
        <v>0</v>
      </c>
      <c r="U115" s="366" t="n">
        <v>0</v>
      </c>
      <c r="V115" s="366" t="n">
        <v>0</v>
      </c>
      <c r="W115" s="366" t="n">
        <v>0</v>
      </c>
      <c r="X115" s="366" t="n">
        <v>0</v>
      </c>
      <c r="Y115" s="366" t="n">
        <v>0</v>
      </c>
      <c r="Z115" s="366" t="n">
        <v>0</v>
      </c>
      <c r="AA115" s="366" t="n"/>
      <c r="AB115" s="646" t="n"/>
      <c r="AC115" s="646" t="n"/>
      <c r="AD115" s="646" t="n"/>
    </row>
    <row r="116">
      <c r="A116" s="645" t="inlineStr">
        <is>
          <t>QUASAR DEEP BLUE</t>
        </is>
      </c>
      <c r="B116" s="625" t="n"/>
      <c r="C116" s="625" t="n"/>
      <c r="D116" s="641" t="n"/>
      <c r="F116" s="366" t="n">
        <v>0</v>
      </c>
      <c r="G116" s="366" t="n">
        <v>0</v>
      </c>
      <c r="H116" s="366" t="n">
        <v>0</v>
      </c>
      <c r="I116" s="366" t="n">
        <v>0</v>
      </c>
      <c r="J116" s="366" t="n">
        <v>0</v>
      </c>
      <c r="K116" s="366" t="n">
        <v>0</v>
      </c>
      <c r="L116" s="366" t="n">
        <v>0</v>
      </c>
      <c r="M116" s="366" t="n">
        <v>0</v>
      </c>
      <c r="N116" s="366" t="n">
        <v>0</v>
      </c>
      <c r="O116" s="366" t="n">
        <v>0</v>
      </c>
      <c r="P116" s="366" t="n">
        <v>0</v>
      </c>
      <c r="Q116" s="366" t="n">
        <v>0</v>
      </c>
      <c r="R116" s="366" t="n">
        <v>0</v>
      </c>
      <c r="S116" s="366" t="n">
        <v>0</v>
      </c>
      <c r="T116" s="366" t="n">
        <v>0</v>
      </c>
      <c r="U116" s="366" t="n">
        <v>0</v>
      </c>
      <c r="V116" s="366" t="n">
        <v>0</v>
      </c>
      <c r="W116" s="366" t="n">
        <v>0</v>
      </c>
      <c r="X116" s="366" t="n">
        <v>0</v>
      </c>
      <c r="Y116" s="366" t="n">
        <v>0</v>
      </c>
      <c r="Z116" s="366" t="n">
        <v>0</v>
      </c>
      <c r="AA116" s="366" t="n"/>
      <c r="AB116" s="646" t="n"/>
      <c r="AC116" s="646" t="n"/>
      <c r="AD116" s="646" t="n"/>
    </row>
    <row r="117">
      <c r="A117" s="645" t="inlineStr">
        <is>
          <t>BOTI SUN</t>
        </is>
      </c>
      <c r="B117" s="625" t="n"/>
      <c r="C117" s="625" t="n"/>
      <c r="D117" s="641" t="n"/>
      <c r="F117" s="366" t="n">
        <v>0</v>
      </c>
      <c r="G117" s="366" t="n">
        <v>0</v>
      </c>
      <c r="H117" s="366" t="n">
        <v>0</v>
      </c>
      <c r="I117" s="366" t="n">
        <v>0</v>
      </c>
      <c r="J117" s="366" t="n">
        <v>0</v>
      </c>
      <c r="K117" s="366" t="n">
        <v>0</v>
      </c>
      <c r="L117" s="366" t="n">
        <v>0</v>
      </c>
      <c r="M117" s="366" t="n">
        <v>0</v>
      </c>
      <c r="N117" s="366" t="n">
        <v>0</v>
      </c>
      <c r="O117" s="366" t="n">
        <v>0</v>
      </c>
      <c r="P117" s="366" t="n">
        <v>0</v>
      </c>
      <c r="Q117" s="366" t="n">
        <v>0</v>
      </c>
      <c r="R117" s="366" t="n">
        <v>0</v>
      </c>
      <c r="S117" s="366" t="n">
        <v>0</v>
      </c>
      <c r="T117" s="366" t="n">
        <v>0</v>
      </c>
      <c r="U117" s="366" t="n">
        <v>0</v>
      </c>
      <c r="V117" s="366" t="n">
        <v>0</v>
      </c>
      <c r="W117" s="366" t="n">
        <v>0</v>
      </c>
      <c r="X117" s="366" t="n">
        <v>0</v>
      </c>
      <c r="Y117" s="366" t="n">
        <v>0</v>
      </c>
      <c r="Z117" s="366" t="n">
        <v>0</v>
      </c>
      <c r="AA117" s="366" t="n"/>
      <c r="AB117" s="646" t="n"/>
      <c r="AC117" s="646" t="n"/>
      <c r="AD117" s="646" t="n"/>
    </row>
    <row r="118">
      <c r="A118" s="645" t="inlineStr">
        <is>
          <t>LIZ AURA</t>
        </is>
      </c>
      <c r="B118" s="625" t="n"/>
      <c r="C118" s="625" t="n"/>
      <c r="D118" s="641" t="n"/>
      <c r="F118" s="366" t="n">
        <v>0</v>
      </c>
      <c r="G118" s="366" t="n">
        <v>0</v>
      </c>
      <c r="H118" s="366" t="n">
        <v>0</v>
      </c>
      <c r="I118" s="366" t="n">
        <v>0</v>
      </c>
      <c r="J118" s="366" t="n">
        <v>0</v>
      </c>
      <c r="K118" s="366" t="n">
        <v>0</v>
      </c>
      <c r="L118" s="366" t="n">
        <v>0</v>
      </c>
      <c r="M118" s="366" t="n">
        <v>0</v>
      </c>
      <c r="N118" s="366" t="n">
        <v>0</v>
      </c>
      <c r="O118" s="366" t="n">
        <v>0</v>
      </c>
      <c r="P118" s="366" t="n">
        <v>0</v>
      </c>
      <c r="Q118" s="366" t="n">
        <v>0</v>
      </c>
      <c r="R118" s="366" t="n">
        <v>0</v>
      </c>
      <c r="S118" s="366" t="n">
        <v>0</v>
      </c>
      <c r="T118" s="366" t="n">
        <v>0</v>
      </c>
      <c r="U118" s="366" t="n">
        <v>0</v>
      </c>
      <c r="V118" s="366" t="n">
        <v>0</v>
      </c>
      <c r="W118" s="366" t="n">
        <v>0</v>
      </c>
      <c r="X118" s="366" t="n">
        <v>0</v>
      </c>
      <c r="Y118" s="366" t="n">
        <v>0</v>
      </c>
      <c r="Z118" s="366" t="n">
        <v>0</v>
      </c>
      <c r="AA118" s="366" t="n"/>
      <c r="AB118" s="646" t="n"/>
      <c r="AC118" s="646" t="n"/>
      <c r="AD118" s="646" t="n"/>
    </row>
    <row r="119">
      <c r="A119" s="645" t="inlineStr">
        <is>
          <t>FLORATTA BOUQUET</t>
        </is>
      </c>
      <c r="B119" s="625" t="n"/>
      <c r="C119" s="625" t="n"/>
      <c r="D119" s="641" t="n"/>
      <c r="F119" s="366" t="n">
        <v>0</v>
      </c>
      <c r="G119" s="366" t="n">
        <v>0</v>
      </c>
      <c r="H119" s="366" t="n">
        <v>0</v>
      </c>
      <c r="I119" s="366" t="n">
        <v>0</v>
      </c>
      <c r="J119" s="366" t="n">
        <v>0</v>
      </c>
      <c r="K119" s="366" t="n">
        <v>0</v>
      </c>
      <c r="L119" s="366" t="n">
        <v>0</v>
      </c>
      <c r="M119" s="366" t="n">
        <v>0</v>
      </c>
      <c r="N119" s="366" t="n">
        <v>0</v>
      </c>
      <c r="O119" s="366" t="n">
        <v>0</v>
      </c>
      <c r="P119" s="366" t="n">
        <v>0</v>
      </c>
      <c r="Q119" s="366" t="n">
        <v>0</v>
      </c>
      <c r="R119" s="366" t="n">
        <v>0</v>
      </c>
      <c r="S119" s="366" t="n">
        <v>0</v>
      </c>
      <c r="T119" s="366" t="n">
        <v>0</v>
      </c>
      <c r="U119" s="366" t="n">
        <v>0</v>
      </c>
      <c r="V119" s="366" t="n">
        <v>0</v>
      </c>
      <c r="W119" s="366" t="n">
        <v>0</v>
      </c>
      <c r="X119" s="366" t="n">
        <v>0</v>
      </c>
      <c r="Y119" s="366" t="n">
        <v>0</v>
      </c>
      <c r="Z119" s="366" t="n">
        <v>0</v>
      </c>
      <c r="AA119" s="366" t="n"/>
      <c r="AB119" s="646" t="n"/>
      <c r="AC119" s="646" t="n"/>
      <c r="AD119" s="646" t="n"/>
    </row>
    <row r="120">
      <c r="A120" s="645" t="inlineStr">
        <is>
          <t>EGEO DOLCE ILUSION</t>
        </is>
      </c>
      <c r="B120" s="625" t="n"/>
      <c r="C120" s="625" t="n"/>
      <c r="D120" s="641" t="n"/>
      <c r="F120" s="366" t="n"/>
      <c r="G120" s="366" t="n"/>
      <c r="H120" s="366" t="n"/>
      <c r="I120" s="366" t="n"/>
      <c r="J120" s="366" t="n"/>
      <c r="K120" s="366" t="n">
        <v>0</v>
      </c>
      <c r="L120" s="366" t="n">
        <v>50</v>
      </c>
      <c r="M120" s="366" t="n">
        <v>40</v>
      </c>
      <c r="N120" s="366" t="n">
        <v>40</v>
      </c>
      <c r="O120" s="366" t="n">
        <v>40</v>
      </c>
      <c r="P120" s="366" t="n">
        <v>15</v>
      </c>
      <c r="Q120" s="366" t="n">
        <v>15</v>
      </c>
      <c r="R120" s="366" t="n">
        <v>15</v>
      </c>
      <c r="S120" s="366" t="n">
        <v>15</v>
      </c>
      <c r="T120" s="366" t="n">
        <v>0</v>
      </c>
      <c r="U120" s="366" t="n">
        <v>0</v>
      </c>
      <c r="V120" s="366" t="n">
        <v>0</v>
      </c>
      <c r="W120" s="366" t="n">
        <v>0</v>
      </c>
      <c r="X120" s="366" t="n">
        <v>0</v>
      </c>
      <c r="Y120" s="366" t="n">
        <v>0</v>
      </c>
      <c r="Z120" s="366" t="n">
        <v>0</v>
      </c>
      <c r="AA120" s="366" t="n"/>
      <c r="AB120" s="646" t="n"/>
      <c r="AC120" s="646" t="n"/>
      <c r="AD120" s="646" t="n"/>
    </row>
    <row r="121">
      <c r="A121" s="645" t="inlineStr">
        <is>
          <t>HADYA</t>
        </is>
      </c>
      <c r="B121" s="625" t="n"/>
      <c r="C121" s="625" t="n"/>
      <c r="D121" s="641" t="n"/>
      <c r="F121" s="366" t="n"/>
      <c r="G121" s="366" t="n"/>
      <c r="H121" s="366" t="n"/>
      <c r="I121" s="366" t="n"/>
      <c r="J121" s="366" t="n"/>
      <c r="K121" s="366" t="n">
        <v>0</v>
      </c>
      <c r="L121" s="366" t="n">
        <v>5</v>
      </c>
      <c r="M121" s="366" t="n">
        <v>0</v>
      </c>
      <c r="N121" s="366" t="n">
        <v>0</v>
      </c>
      <c r="O121" s="366" t="n">
        <v>0</v>
      </c>
      <c r="P121" s="366" t="n">
        <v>0</v>
      </c>
      <c r="Q121" s="366" t="n">
        <v>0</v>
      </c>
      <c r="R121" s="366" t="n">
        <v>0</v>
      </c>
      <c r="S121" s="366" t="n">
        <v>0</v>
      </c>
      <c r="T121" s="366" t="n">
        <v>0</v>
      </c>
      <c r="U121" s="366" t="n">
        <v>0</v>
      </c>
      <c r="V121" s="366" t="n">
        <v>0</v>
      </c>
      <c r="W121" s="366" t="n">
        <v>0</v>
      </c>
      <c r="X121" s="366" t="n">
        <v>0</v>
      </c>
      <c r="Y121" s="366" t="n">
        <v>0</v>
      </c>
      <c r="Z121" s="366" t="n">
        <v>0</v>
      </c>
      <c r="AA121" s="366" t="n"/>
      <c r="AB121" s="646" t="n"/>
      <c r="AC121" s="646" t="n"/>
      <c r="AD121" s="646" t="n"/>
    </row>
  </sheetData>
  <mergeCells count="73">
    <mergeCell ref="A116:D116"/>
    <mergeCell ref="A106:D106"/>
    <mergeCell ref="A91:D91"/>
    <mergeCell ref="A97:D97"/>
    <mergeCell ref="A100:D100"/>
    <mergeCell ref="A62:D62"/>
    <mergeCell ref="A96:D96"/>
    <mergeCell ref="A109:D109"/>
    <mergeCell ref="A72:D72"/>
    <mergeCell ref="A112:D112"/>
    <mergeCell ref="A81:D81"/>
    <mergeCell ref="A63:D63"/>
    <mergeCell ref="A121:D121"/>
    <mergeCell ref="A117:D117"/>
    <mergeCell ref="A115:D115"/>
    <mergeCell ref="A93:D93"/>
    <mergeCell ref="A68:D68"/>
    <mergeCell ref="A111:D111"/>
    <mergeCell ref="A102:D102"/>
    <mergeCell ref="A67:D67"/>
    <mergeCell ref="AZ7:BH7"/>
    <mergeCell ref="A58:D58"/>
    <mergeCell ref="A114:D114"/>
    <mergeCell ref="A83:D83"/>
    <mergeCell ref="A77:D77"/>
    <mergeCell ref="A92:D92"/>
    <mergeCell ref="A64:D64"/>
    <mergeCell ref="A82:D82"/>
    <mergeCell ref="A59:D59"/>
    <mergeCell ref="A73:D73"/>
    <mergeCell ref="A107:D107"/>
    <mergeCell ref="A98:D98"/>
    <mergeCell ref="A60:D60"/>
    <mergeCell ref="A5:A6"/>
    <mergeCell ref="A103:D103"/>
    <mergeCell ref="A94:D94"/>
    <mergeCell ref="A110:D110"/>
    <mergeCell ref="A79:D79"/>
    <mergeCell ref="A70:D70"/>
    <mergeCell ref="A61:D61"/>
    <mergeCell ref="A119:D119"/>
    <mergeCell ref="A88:D88"/>
    <mergeCell ref="A69:D69"/>
    <mergeCell ref="A78:D78"/>
    <mergeCell ref="A87:D87"/>
    <mergeCell ref="A65:D65"/>
    <mergeCell ref="A99:D99"/>
    <mergeCell ref="A90:D90"/>
    <mergeCell ref="A108:D108"/>
    <mergeCell ref="A84:D84"/>
    <mergeCell ref="D5:D6"/>
    <mergeCell ref="A66:D66"/>
    <mergeCell ref="B5:B6"/>
    <mergeCell ref="A118:D118"/>
    <mergeCell ref="A80:D80"/>
    <mergeCell ref="A75:D75"/>
    <mergeCell ref="A56:D56"/>
    <mergeCell ref="A120:D120"/>
    <mergeCell ref="A89:D89"/>
    <mergeCell ref="B3:D3"/>
    <mergeCell ref="A105:D105"/>
    <mergeCell ref="A74:D74"/>
    <mergeCell ref="A101:D101"/>
    <mergeCell ref="A86:D86"/>
    <mergeCell ref="A104:D104"/>
    <mergeCell ref="A95:D95"/>
    <mergeCell ref="A113:D113"/>
    <mergeCell ref="A71:D71"/>
    <mergeCell ref="A57:D57"/>
    <mergeCell ref="A85:D85"/>
    <mergeCell ref="A76:D76"/>
    <mergeCell ref="B2:D2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61" fitToHeight="0"/>
</worksheet>
</file>

<file path=xl/worksheets/sheet19.xml><?xml version="1.0" encoding="utf-8"?>
<worksheet xmlns="http://schemas.openxmlformats.org/spreadsheetml/2006/main">
  <sheetPr codeName="Planilha61">
    <tabColor theme="9"/>
    <outlinePr summaryBelow="1" summaryRight="1"/>
    <pageSetUpPr/>
  </sheetPr>
  <dimension ref="A1:BG121"/>
  <sheetViews>
    <sheetView showGridLines="0" zoomScale="80" zoomScaleNormal="80" zoomScaleSheetLayoutView="70" workbookViewId="0">
      <selection activeCell="AJ27" sqref="AJ27"/>
    </sheetView>
  </sheetViews>
  <sheetFormatPr baseColWidth="8" defaultColWidth="9.140625" defaultRowHeight="18.75"/>
  <cols>
    <col width="26.7109375" customWidth="1" style="62" min="1" max="1"/>
    <col width="8.7109375" customWidth="1" style="11" min="2" max="2"/>
    <col width="15.28515625" customWidth="1" style="11" min="3" max="4"/>
    <col width="1.5703125" customWidth="1" style="11" min="5" max="5"/>
    <col hidden="1" width="9.28515625" customWidth="1" style="11" min="6" max="24"/>
    <col width="9.28515625" customWidth="1" style="11" min="25" max="26"/>
    <col width="8.7109375" customWidth="1" style="11" min="27" max="27"/>
    <col width="1.7109375" customWidth="1" style="11" min="28" max="28"/>
    <col width="14.28515625" bestFit="1" customWidth="1" style="34" min="29" max="29"/>
    <col width="1.28515625" customWidth="1" style="11" min="30" max="30"/>
    <col width="15.85546875" bestFit="1" customWidth="1" style="374" min="31" max="31"/>
    <col width="1.7109375" customWidth="1" style="11" min="32" max="32"/>
    <col width="8.7109375" customWidth="1" style="71" min="33" max="34"/>
    <col width="11.7109375" bestFit="1" customWidth="1" style="71" min="35" max="35"/>
    <col width="8.7109375" customWidth="1" style="71" min="36" max="38"/>
    <col hidden="1" width="8.7109375" customWidth="1" style="71" min="39" max="49"/>
    <col width="9.140625" customWidth="1" style="11" min="50" max="50"/>
    <col width="21.85546875" bestFit="1" customWidth="1" style="11" min="51" max="51"/>
    <col width="9.140625" customWidth="1" style="11" min="52" max="52"/>
    <col hidden="1" width="13" customWidth="1" style="11" min="53" max="56"/>
    <col width="9.140625" customWidth="1" style="11" min="57" max="16384"/>
  </cols>
  <sheetData>
    <row r="1" ht="23.25" customHeight="1">
      <c r="A1" s="362" t="inlineStr">
        <is>
          <t>Controle de Contagem Semanal - Antilhas</t>
        </is>
      </c>
      <c r="B1" s="362" t="n"/>
      <c r="C1" s="362" t="n"/>
      <c r="D1" s="362" t="n"/>
      <c r="E1" s="362" t="n"/>
      <c r="F1" s="361" t="n"/>
      <c r="G1" s="361" t="n"/>
      <c r="H1" s="361" t="n"/>
      <c r="I1" s="361" t="n"/>
      <c r="J1" s="361" t="n"/>
      <c r="K1" s="361" t="n"/>
      <c r="L1" s="361" t="n"/>
      <c r="M1" s="361" t="n"/>
      <c r="N1" s="361" t="n"/>
      <c r="O1" s="361" t="n"/>
      <c r="P1" s="361" t="n"/>
      <c r="Q1" s="361" t="n"/>
      <c r="R1" s="361" t="n"/>
      <c r="S1" s="361" t="n"/>
      <c r="T1" s="361" t="n"/>
      <c r="U1" s="361" t="n"/>
      <c r="V1" s="361" t="n"/>
      <c r="W1" s="361" t="n"/>
      <c r="X1" s="361" t="n"/>
      <c r="Y1" s="361" t="n"/>
      <c r="Z1" s="361" t="n"/>
      <c r="AA1" s="362" t="n"/>
      <c r="AB1" s="362" t="n"/>
      <c r="AC1" s="361" t="n"/>
      <c r="AD1" s="362" t="n"/>
      <c r="AE1" s="362" t="n"/>
      <c r="AF1" s="362" t="n"/>
      <c r="AG1" s="361" t="n"/>
      <c r="AH1" s="361" t="n"/>
      <c r="AI1" s="361" t="n"/>
      <c r="AJ1" s="361" t="n"/>
      <c r="AK1" s="361" t="n"/>
      <c r="AL1" s="361" t="n"/>
      <c r="AM1" s="361" t="n"/>
      <c r="AN1" s="361" t="n"/>
      <c r="AO1" s="361" t="n"/>
      <c r="AP1" s="361" t="n"/>
      <c r="AQ1" s="361" t="n"/>
      <c r="AR1" s="361" t="n"/>
      <c r="AS1" s="361" t="n"/>
      <c r="AT1" s="361" t="n"/>
      <c r="AU1" s="361" t="n"/>
      <c r="AV1" s="361" t="n"/>
      <c r="AW1" s="361" t="n"/>
    </row>
    <row r="2">
      <c r="A2" s="63" t="inlineStr">
        <is>
          <t>LOJA:</t>
        </is>
      </c>
      <c r="B2" s="604" t="inlineStr">
        <is>
          <t>DOIS CÓRREGOS</t>
        </is>
      </c>
      <c r="C2" s="605" t="n"/>
      <c r="D2" s="606" t="n"/>
      <c r="AC2" s="11" t="n"/>
      <c r="AE2" s="70" t="n"/>
    </row>
    <row r="3">
      <c r="A3" s="63" t="inlineStr">
        <is>
          <t>Responsável:</t>
        </is>
      </c>
      <c r="B3" s="607" t="inlineStr">
        <is>
          <t>KEYLA</t>
        </is>
      </c>
      <c r="C3" s="605" t="n"/>
      <c r="D3" s="606" t="n"/>
      <c r="E3" s="608" t="n"/>
      <c r="F3" s="608" t="n"/>
      <c r="G3" s="608" t="n"/>
      <c r="H3" s="608" t="n"/>
      <c r="I3" s="608" t="n"/>
      <c r="J3" s="608" t="n"/>
      <c r="K3" s="608" t="n"/>
      <c r="L3" s="608" t="n"/>
      <c r="M3" s="608" t="n"/>
      <c r="N3" s="608" t="n"/>
      <c r="O3" s="608" t="n"/>
      <c r="P3" s="608" t="n"/>
      <c r="Q3" s="608" t="n"/>
      <c r="R3" s="608" t="n"/>
      <c r="S3" s="608" t="n"/>
      <c r="T3" s="608" t="n"/>
      <c r="U3" s="608" t="n"/>
      <c r="V3" s="608" t="n"/>
      <c r="W3" s="608" t="n"/>
      <c r="X3" s="608" t="n"/>
      <c r="Y3" s="608" t="n"/>
      <c r="Z3" s="608" t="n"/>
      <c r="AA3" s="608" t="n"/>
      <c r="AB3" s="608" t="n"/>
      <c r="AC3" s="11" t="n"/>
      <c r="AD3" s="608" t="n"/>
    </row>
    <row r="4">
      <c r="AD4" s="34" t="n"/>
      <c r="AE4" s="70" t="n"/>
      <c r="AG4" s="395" t="n"/>
      <c r="AH4" s="395" t="n"/>
      <c r="AI4" s="395" t="n"/>
      <c r="AJ4" s="395" t="n"/>
      <c r="AK4" s="395" t="n"/>
      <c r="AL4" s="395" t="n"/>
      <c r="AM4" s="395" t="n"/>
      <c r="AN4" s="395" t="n"/>
      <c r="AO4" s="395" t="n"/>
      <c r="AP4" s="395" t="n"/>
      <c r="AQ4" s="395" t="n"/>
      <c r="AR4" s="395" t="n"/>
      <c r="AS4" s="395" t="n"/>
      <c r="AT4" s="395" t="n"/>
      <c r="AU4" s="395" t="n"/>
      <c r="AV4" s="395" t="n"/>
      <c r="AW4" s="395" t="n"/>
    </row>
    <row r="5" ht="18.75" customHeight="1">
      <c r="A5" s="610" t="inlineStr">
        <is>
          <t>Descrição</t>
        </is>
      </c>
      <c r="B5" s="611" t="inlineStr">
        <is>
          <t>PCT</t>
        </is>
      </c>
      <c r="C5" s="611" t="inlineStr">
        <is>
          <t xml:space="preserve">R$ </t>
        </is>
      </c>
      <c r="D5" s="612" t="inlineStr">
        <is>
          <t>Estoque Ideal</t>
        </is>
      </c>
      <c r="F5" s="40" t="n"/>
      <c r="G5" s="40" t="n"/>
      <c r="H5" s="40" t="n"/>
      <c r="I5" s="40" t="n"/>
      <c r="J5" s="40" t="n"/>
      <c r="K5" s="40" t="n"/>
      <c r="L5" s="40" t="n"/>
      <c r="M5" s="40" t="n"/>
      <c r="N5" s="40" t="n"/>
      <c r="O5" s="40" t="n"/>
      <c r="P5" s="40" t="n"/>
      <c r="Q5" s="40" t="n"/>
      <c r="R5" s="40" t="n"/>
      <c r="S5" s="40" t="n"/>
      <c r="T5" s="40" t="n"/>
      <c r="U5" s="40" t="n"/>
      <c r="V5" s="40" t="n"/>
      <c r="W5" s="40" t="n"/>
      <c r="X5" s="40" t="n"/>
      <c r="Y5" s="40" t="n"/>
      <c r="Z5" s="40" t="n"/>
      <c r="AA5" s="40" t="n"/>
      <c r="AC5" s="29" t="inlineStr">
        <is>
          <t>Pendências</t>
        </is>
      </c>
      <c r="AE5" s="9" t="inlineStr">
        <is>
          <t>Novo Pedido</t>
        </is>
      </c>
      <c r="AG5" s="614" t="n"/>
      <c r="AH5" s="614" t="n">
        <v>46142</v>
      </c>
      <c r="AI5" s="615" t="inlineStr">
        <is>
          <t>TRANSF.</t>
        </is>
      </c>
      <c r="AJ5" s="614" t="n">
        <v>46114</v>
      </c>
      <c r="AK5" s="616" t="n">
        <v>46065</v>
      </c>
      <c r="AL5" s="614" t="n">
        <v>46092</v>
      </c>
      <c r="AM5" s="614" t="n">
        <v>46077</v>
      </c>
      <c r="AN5" s="614" t="n">
        <v>46056</v>
      </c>
      <c r="AO5" s="614" t="n">
        <v>46048</v>
      </c>
      <c r="AP5" s="614" t="n">
        <v>46043</v>
      </c>
      <c r="AQ5" s="614" t="n">
        <v>46035</v>
      </c>
      <c r="AR5" s="614" t="n">
        <v>46024</v>
      </c>
      <c r="AS5" s="614" t="n">
        <v>46017</v>
      </c>
      <c r="AT5" s="614" t="n">
        <v>46007</v>
      </c>
      <c r="AU5" s="614" t="n">
        <v>46001</v>
      </c>
      <c r="AV5" s="614" t="n">
        <v>45994</v>
      </c>
      <c r="AW5" s="614" t="n">
        <v>45986</v>
      </c>
    </row>
    <row r="6" customFormat="1" s="3">
      <c r="A6" s="618" t="n"/>
      <c r="B6" s="618" t="n"/>
      <c r="C6" s="618" t="n"/>
      <c r="D6" s="618" t="n"/>
      <c r="E6" s="30" t="n"/>
      <c r="F6" s="619" t="n">
        <v>46013</v>
      </c>
      <c r="G6" s="619" t="n">
        <v>46020</v>
      </c>
      <c r="H6" s="619" t="n">
        <v>46027</v>
      </c>
      <c r="I6" s="619" t="n">
        <v>46034</v>
      </c>
      <c r="J6" s="619" t="n">
        <v>46041</v>
      </c>
      <c r="K6" s="619" t="n">
        <v>46048</v>
      </c>
      <c r="L6" s="619" t="n">
        <v>46055</v>
      </c>
      <c r="M6" s="619" t="n">
        <v>46062</v>
      </c>
      <c r="N6" s="619" t="n">
        <v>46069</v>
      </c>
      <c r="O6" s="619" t="n">
        <v>46076</v>
      </c>
      <c r="P6" s="619" t="n">
        <v>46083</v>
      </c>
      <c r="Q6" s="619" t="n">
        <v>46090</v>
      </c>
      <c r="R6" s="619" t="n">
        <v>46097</v>
      </c>
      <c r="S6" s="619" t="n">
        <v>46104</v>
      </c>
      <c r="T6" s="619" t="n">
        <v>46111</v>
      </c>
      <c r="U6" s="619" t="n">
        <v>46118</v>
      </c>
      <c r="V6" s="619" t="n">
        <v>46125</v>
      </c>
      <c r="W6" s="619" t="n">
        <v>46132</v>
      </c>
      <c r="X6" s="619" t="n">
        <v>46139</v>
      </c>
      <c r="Y6" s="619" t="n">
        <v>46146</v>
      </c>
      <c r="Z6" s="619" t="n">
        <v>46154</v>
      </c>
      <c r="AA6" s="621" t="inlineStr">
        <is>
          <t>USOU</t>
        </is>
      </c>
      <c r="AB6" s="30" t="n"/>
      <c r="AC6" s="622" t="n"/>
      <c r="AD6" s="11" t="n"/>
      <c r="AE6" s="624" t="n">
        <v>46155</v>
      </c>
      <c r="AF6" s="11" t="n"/>
      <c r="AG6" s="614" t="n"/>
      <c r="AH6" s="614" t="n">
        <v>46149</v>
      </c>
      <c r="AI6" s="615" t="n">
        <v>46148</v>
      </c>
      <c r="AJ6" s="614" t="n">
        <v>46126</v>
      </c>
      <c r="AK6" s="616" t="n">
        <v>46107</v>
      </c>
      <c r="AL6" s="614" t="n">
        <v>46100</v>
      </c>
      <c r="AM6" s="614" t="n">
        <v>46084</v>
      </c>
      <c r="AN6" s="614" t="n">
        <v>46063</v>
      </c>
      <c r="AO6" s="614" t="n">
        <v>46056</v>
      </c>
      <c r="AP6" s="614" t="n">
        <v>46049</v>
      </c>
      <c r="AQ6" s="614" t="n">
        <v>46042</v>
      </c>
      <c r="AR6" s="614" t="n">
        <v>46038</v>
      </c>
      <c r="AS6" s="614" t="n">
        <v>46028</v>
      </c>
      <c r="AT6" s="614" t="n">
        <v>46013</v>
      </c>
      <c r="AU6" s="614" t="n">
        <v>46007</v>
      </c>
      <c r="AV6" s="614" t="n">
        <v>45999</v>
      </c>
      <c r="AW6" s="614" t="n">
        <v>45993</v>
      </c>
      <c r="AY6" s="11" t="n"/>
      <c r="AZ6" s="11" t="n"/>
      <c r="BA6" s="11" t="n"/>
      <c r="BB6" s="11" t="n"/>
      <c r="BC6" s="11" t="n"/>
      <c r="BD6" s="11" t="n"/>
      <c r="BE6" s="11" t="n"/>
      <c r="BF6" s="11" t="n"/>
      <c r="BG6" s="11" t="n"/>
    </row>
    <row r="7" ht="21.75" customFormat="1" customHeight="1" s="3">
      <c r="A7" s="68" t="inlineStr">
        <is>
          <t xml:space="preserve">SACOLAS </t>
        </is>
      </c>
      <c r="B7" s="5" t="n"/>
      <c r="C7" s="5" t="n"/>
      <c r="D7" s="239" t="n"/>
      <c r="E7" s="11" t="n"/>
      <c r="F7" s="14" t="n"/>
      <c r="G7" s="14" t="n"/>
      <c r="H7" s="14" t="n"/>
      <c r="I7" s="14" t="n"/>
      <c r="J7" s="14" t="n"/>
      <c r="K7" s="14" t="n"/>
      <c r="L7" s="14" t="n"/>
      <c r="M7" s="14" t="n"/>
      <c r="N7" s="14" t="n"/>
      <c r="O7" s="14" t="n"/>
      <c r="P7" s="14" t="n"/>
      <c r="Q7" s="14" t="n"/>
      <c r="R7" s="14" t="n"/>
      <c r="S7" s="14" t="n"/>
      <c r="T7" s="14" t="n"/>
      <c r="U7" s="14" t="n"/>
      <c r="V7" s="14" t="n"/>
      <c r="W7" s="14" t="n"/>
      <c r="X7" s="14" t="n"/>
      <c r="Y7" s="14" t="n"/>
      <c r="Z7" s="14" t="n"/>
      <c r="AA7" s="14" t="n"/>
      <c r="AB7" s="11" t="n"/>
      <c r="AC7" s="85" t="n"/>
      <c r="AD7" s="11" t="n"/>
      <c r="AE7" s="127" t="n"/>
      <c r="AF7" s="11" t="n"/>
      <c r="AG7" s="12" t="n"/>
      <c r="AH7" s="12" t="n"/>
      <c r="AI7" s="12" t="n"/>
      <c r="AJ7" s="12" t="n"/>
      <c r="AK7" s="12" t="inlineStr">
        <is>
          <t>MÃES</t>
        </is>
      </c>
      <c r="AL7" s="12" t="n"/>
      <c r="AM7" s="12" t="n"/>
      <c r="AN7" s="12" t="n"/>
      <c r="AO7" s="12" t="n"/>
      <c r="AP7" s="12" t="n"/>
      <c r="AQ7" s="12" t="n"/>
      <c r="AR7" s="12" t="n"/>
      <c r="AS7" s="12" t="n"/>
      <c r="AT7" s="12" t="n"/>
      <c r="AU7" s="12" t="n"/>
      <c r="AV7" s="12" t="n"/>
      <c r="AW7" s="12" t="n"/>
      <c r="AY7" s="384" t="inlineStr">
        <is>
          <t>MÃES 2026</t>
        </is>
      </c>
      <c r="AZ7" s="625" t="n"/>
      <c r="BA7" s="625" t="n"/>
      <c r="BB7" s="625" t="n"/>
      <c r="BC7" s="625" t="n"/>
      <c r="BD7" s="625" t="n"/>
      <c r="BE7" s="625" t="n"/>
      <c r="BF7" s="625" t="n"/>
      <c r="BG7" s="641" t="n"/>
    </row>
    <row r="8" ht="19.5" customFormat="1" customHeight="1" s="3">
      <c r="A8" s="21" t="inlineStr">
        <is>
          <t>SACOLA PP VERDE</t>
        </is>
      </c>
      <c r="B8" s="6" t="n">
        <v>300</v>
      </c>
      <c r="C8" s="627" t="n">
        <v>187.12</v>
      </c>
      <c r="D8" s="240" t="n">
        <v>250</v>
      </c>
      <c r="E8" s="11" t="n"/>
      <c r="F8" s="39" t="n">
        <v>300</v>
      </c>
      <c r="G8" s="39" t="n">
        <v>140</v>
      </c>
      <c r="H8" s="39" t="n">
        <v>140</v>
      </c>
      <c r="I8" s="39" t="n">
        <v>140</v>
      </c>
      <c r="J8" s="39" t="n">
        <v>350</v>
      </c>
      <c r="K8" s="39" t="n">
        <v>350</v>
      </c>
      <c r="L8" s="39" t="n">
        <v>350</v>
      </c>
      <c r="M8" s="39" t="n">
        <v>350</v>
      </c>
      <c r="N8" s="39" t="n">
        <v>350</v>
      </c>
      <c r="O8" s="39" t="n">
        <v>300</v>
      </c>
      <c r="P8" s="39" t="n">
        <v>300</v>
      </c>
      <c r="Q8" s="39" t="n">
        <v>300</v>
      </c>
      <c r="R8" s="39" t="n">
        <v>245</v>
      </c>
      <c r="S8" s="39" t="n">
        <v>230</v>
      </c>
      <c r="T8" s="39" t="n">
        <v>80</v>
      </c>
      <c r="U8" s="39" t="n">
        <v>80</v>
      </c>
      <c r="V8" s="39">
        <f>0+AH8</f>
        <v/>
      </c>
      <c r="W8" s="39" t="n">
        <v>600</v>
      </c>
      <c r="X8" s="39" t="n">
        <v>500</v>
      </c>
      <c r="Y8" s="39" t="n">
        <v>500</v>
      </c>
      <c r="Z8" s="39" t="n">
        <v>400</v>
      </c>
      <c r="AA8" s="380">
        <f>Y8+IF(NOT(ISBLANK(OFFSET(AA8,0,6))),N(OFFSET(AA8,0,6)),N(OFFSET(AA8,0,7)))-Z8</f>
        <v/>
      </c>
      <c r="AB8" s="11" t="n"/>
      <c r="AC8" s="78" t="n"/>
      <c r="AD8" s="11" t="n"/>
      <c r="AE8" s="353" t="n"/>
      <c r="AF8" s="11" t="n"/>
      <c r="AG8" s="19" t="n">
        <v>0</v>
      </c>
      <c r="AH8" s="19" t="n">
        <v>0</v>
      </c>
      <c r="AI8" s="304" t="n"/>
      <c r="AJ8" s="19" t="n">
        <v>600</v>
      </c>
      <c r="AK8" s="19" t="n"/>
      <c r="AL8" s="19" t="n"/>
      <c r="AM8" s="19" t="n"/>
      <c r="AN8" s="19" t="n"/>
      <c r="AO8" s="19" t="n"/>
      <c r="AP8" s="19" t="n"/>
      <c r="AQ8" s="19" t="n"/>
      <c r="AR8" s="19" t="n">
        <v>300</v>
      </c>
      <c r="AS8" s="19" t="n"/>
      <c r="AT8" s="19" t="n"/>
      <c r="AU8" s="19" t="n"/>
      <c r="AV8" s="19" t="n">
        <v>300</v>
      </c>
      <c r="AW8" s="19" t="n"/>
      <c r="AY8" s="397" t="inlineStr">
        <is>
          <t xml:space="preserve">SACOLAS </t>
        </is>
      </c>
      <c r="AZ8" s="384" t="inlineStr">
        <is>
          <t>PCT</t>
        </is>
      </c>
      <c r="BA8" s="619" t="n">
        <v>46118</v>
      </c>
      <c r="BB8" s="619" t="n">
        <v>46125</v>
      </c>
      <c r="BC8" s="619" t="n">
        <v>46132</v>
      </c>
      <c r="BD8" s="619" t="n">
        <v>46139</v>
      </c>
      <c r="BE8" s="619" t="n">
        <v>46146</v>
      </c>
      <c r="BF8" s="619" t="n">
        <v>46154</v>
      </c>
      <c r="BG8" s="621" t="inlineStr">
        <is>
          <t>USOU</t>
        </is>
      </c>
    </row>
    <row r="9" ht="19.5" customFormat="1" customHeight="1" s="3">
      <c r="A9" s="21" t="inlineStr">
        <is>
          <t xml:space="preserve">SACOLA P VERDE </t>
        </is>
      </c>
      <c r="B9" s="6" t="n">
        <v>200</v>
      </c>
      <c r="C9" s="627" t="n">
        <v>193.08</v>
      </c>
      <c r="D9" s="240" t="n">
        <v>400</v>
      </c>
      <c r="E9" s="11" t="n"/>
      <c r="F9" s="39" t="n">
        <v>400</v>
      </c>
      <c r="G9" s="39" t="n">
        <v>100</v>
      </c>
      <c r="H9" s="39">
        <f>0+AS9</f>
        <v/>
      </c>
      <c r="I9" s="39" t="n">
        <v>90</v>
      </c>
      <c r="J9" s="39">
        <f>400+AQ9</f>
        <v/>
      </c>
      <c r="K9" s="39" t="n">
        <v>400</v>
      </c>
      <c r="L9" s="39">
        <f>400+AO9</f>
        <v/>
      </c>
      <c r="M9" s="39" t="n">
        <v>600</v>
      </c>
      <c r="N9" s="39" t="n">
        <v>440</v>
      </c>
      <c r="O9" s="39" t="n">
        <v>400</v>
      </c>
      <c r="P9" s="39">
        <f>400+AM9</f>
        <v/>
      </c>
      <c r="Q9" s="39" t="n">
        <v>310</v>
      </c>
      <c r="R9" s="39" t="n">
        <v>100</v>
      </c>
      <c r="S9" s="39" t="n">
        <v>480</v>
      </c>
      <c r="T9" s="39" t="n">
        <v>400</v>
      </c>
      <c r="U9" s="39" t="n">
        <v>200</v>
      </c>
      <c r="V9" s="39">
        <f>0+AH9</f>
        <v/>
      </c>
      <c r="W9" s="39" t="n">
        <v>370</v>
      </c>
      <c r="X9" s="39" t="n">
        <v>320</v>
      </c>
      <c r="Y9" s="39">
        <f>290+AH9</f>
        <v/>
      </c>
      <c r="Z9" s="39" t="n">
        <v>450</v>
      </c>
      <c r="AA9" s="380">
        <f>Y9+IF(NOT(ISBLANK(OFFSET(AA9,0,6))),N(OFFSET(AA9,0,6)),N(OFFSET(AA9,0,7)))-Z9</f>
        <v/>
      </c>
      <c r="AB9" s="11" t="n"/>
      <c r="AC9" s="78" t="n"/>
      <c r="AD9" s="11" t="n"/>
      <c r="AE9" s="353" t="n"/>
      <c r="AF9" s="11" t="n"/>
      <c r="AG9" s="304" t="n">
        <v>0</v>
      </c>
      <c r="AH9" s="304" t="n">
        <v>400</v>
      </c>
      <c r="AI9" s="304" t="n"/>
      <c r="AJ9" s="19" t="n">
        <v>200</v>
      </c>
      <c r="AK9" s="119" t="n">
        <v>600</v>
      </c>
      <c r="AL9" s="19" t="n">
        <v>400</v>
      </c>
      <c r="AM9" s="19" t="n">
        <v>200</v>
      </c>
      <c r="AN9" s="19" t="n"/>
      <c r="AO9" s="19" t="n">
        <v>400</v>
      </c>
      <c r="AP9" s="19" t="n"/>
      <c r="AQ9" s="19" t="n">
        <v>200</v>
      </c>
      <c r="AR9" s="19" t="n">
        <v>400</v>
      </c>
      <c r="AS9" s="19" t="n">
        <v>200</v>
      </c>
      <c r="AT9" s="19" t="n">
        <v>400</v>
      </c>
      <c r="AU9" s="19" t="n">
        <v>400</v>
      </c>
      <c r="AV9" s="19" t="n"/>
      <c r="AW9" s="19" t="n"/>
      <c r="AY9" s="372" t="inlineStr">
        <is>
          <t xml:space="preserve">SACOLA P </t>
        </is>
      </c>
      <c r="AZ9" s="139" t="n">
        <v>200</v>
      </c>
      <c r="BA9" s="39">
        <f>AK9</f>
        <v/>
      </c>
      <c r="BB9" s="39" t="n">
        <v>600</v>
      </c>
      <c r="BC9" s="39" t="n">
        <v>350</v>
      </c>
      <c r="BD9" s="39" t="n">
        <v>250</v>
      </c>
      <c r="BE9" s="39" t="n">
        <v>100</v>
      </c>
      <c r="BF9" s="39" t="n">
        <v>0</v>
      </c>
      <c r="BG9" s="26">
        <f>BE9+IF(NOT(ISBLANK(OFFSET(BG9,0,6))),N(OFFSET(BG9,0,6)),N(OFFSET(BG9,0,7)))-BF9</f>
        <v/>
      </c>
    </row>
    <row r="10" ht="19.5" customFormat="1" customHeight="1" s="3">
      <c r="A10" s="21" t="inlineStr">
        <is>
          <t>SACOLA M VERDE</t>
        </is>
      </c>
      <c r="B10" s="6" t="n">
        <v>200</v>
      </c>
      <c r="C10" s="627" t="n">
        <v>253.83</v>
      </c>
      <c r="D10" s="240" t="n">
        <v>150</v>
      </c>
      <c r="E10" s="11" t="n"/>
      <c r="F10" s="39" t="n">
        <v>200</v>
      </c>
      <c r="G10" s="39" t="n">
        <v>74</v>
      </c>
      <c r="H10" s="39">
        <f>74+AS10</f>
        <v/>
      </c>
      <c r="I10" s="39" t="n">
        <v>174</v>
      </c>
      <c r="J10" s="39">
        <f>150+AQ10</f>
        <v/>
      </c>
      <c r="K10" s="39" t="n">
        <v>320</v>
      </c>
      <c r="L10" s="39" t="n">
        <v>200</v>
      </c>
      <c r="M10" s="39">
        <f>200+AN10</f>
        <v/>
      </c>
      <c r="N10" s="39" t="n">
        <v>400</v>
      </c>
      <c r="O10" s="39" t="n">
        <v>400</v>
      </c>
      <c r="P10" s="39" t="n">
        <v>350</v>
      </c>
      <c r="Q10" s="39" t="n">
        <v>350</v>
      </c>
      <c r="R10" s="39" t="n">
        <v>310</v>
      </c>
      <c r="S10" s="39" t="n">
        <v>310</v>
      </c>
      <c r="T10" s="39" t="n">
        <v>200</v>
      </c>
      <c r="U10" s="39" t="n">
        <v>200</v>
      </c>
      <c r="V10" s="39">
        <f>200+AH10</f>
        <v/>
      </c>
      <c r="W10" s="39" t="n">
        <v>400</v>
      </c>
      <c r="X10" s="39" t="n">
        <v>350</v>
      </c>
      <c r="Y10" s="39" t="n">
        <v>350</v>
      </c>
      <c r="Z10" s="39" t="n">
        <v>350</v>
      </c>
      <c r="AA10" s="380">
        <f>Y10+IF(NOT(ISBLANK(OFFSET(AA10,0,6))),N(OFFSET(AA10,0,6)),N(OFFSET(AA10,0,7)))-Z10</f>
        <v/>
      </c>
      <c r="AB10" s="11" t="n"/>
      <c r="AC10" s="78" t="n"/>
      <c r="AD10" s="11" t="n"/>
      <c r="AE10" s="353" t="n"/>
      <c r="AF10" s="11" t="n"/>
      <c r="AG10" s="304" t="n">
        <v>0</v>
      </c>
      <c r="AH10" s="304" t="n">
        <v>0</v>
      </c>
      <c r="AI10" s="304" t="n"/>
      <c r="AJ10" s="19" t="n">
        <v>200</v>
      </c>
      <c r="AK10" s="119" t="n">
        <v>400</v>
      </c>
      <c r="AL10" s="19" t="n"/>
      <c r="AM10" s="19" t="n"/>
      <c r="AN10" s="19" t="n">
        <v>200</v>
      </c>
      <c r="AO10" s="19" t="n"/>
      <c r="AP10" s="19" t="n"/>
      <c r="AQ10" s="19" t="n">
        <v>200</v>
      </c>
      <c r="AR10" s="19" t="n"/>
      <c r="AS10" s="19" t="n">
        <v>200</v>
      </c>
      <c r="AT10" s="19" t="n">
        <v>200</v>
      </c>
      <c r="AU10" s="19" t="n">
        <v>200</v>
      </c>
      <c r="AV10" s="19" t="n"/>
      <c r="AW10" s="19" t="n"/>
      <c r="AY10" s="21" t="inlineStr">
        <is>
          <t xml:space="preserve">SACOLA M </t>
        </is>
      </c>
      <c r="AZ10" s="6" t="n">
        <v>200</v>
      </c>
      <c r="BA10" s="39">
        <f>AK10</f>
        <v/>
      </c>
      <c r="BB10" s="39" t="n">
        <v>400</v>
      </c>
      <c r="BC10" s="39" t="n">
        <v>300</v>
      </c>
      <c r="BD10" s="39" t="n">
        <v>270</v>
      </c>
      <c r="BE10" s="39" t="n">
        <v>230</v>
      </c>
      <c r="BF10" s="39" t="n">
        <v>0</v>
      </c>
      <c r="BG10" s="26">
        <f>BE10+IF(NOT(ISBLANK(OFFSET(BG10,0,6))),N(OFFSET(BG10,0,6)),N(OFFSET(BG10,0,7)))-BF10</f>
        <v/>
      </c>
    </row>
    <row r="11" ht="19.5" customFormat="1" customHeight="1" s="3">
      <c r="A11" s="22" t="inlineStr">
        <is>
          <t xml:space="preserve">SACOLA G VERDE </t>
        </is>
      </c>
      <c r="B11" s="6" t="n">
        <v>100</v>
      </c>
      <c r="C11" s="627" t="n">
        <v>184.57</v>
      </c>
      <c r="D11" s="240" t="n">
        <v>30</v>
      </c>
      <c r="E11" s="11" t="n"/>
      <c r="F11" s="39" t="n">
        <v>80</v>
      </c>
      <c r="G11" s="39" t="n">
        <v>0</v>
      </c>
      <c r="H11" s="39" t="n">
        <v>0</v>
      </c>
      <c r="I11" s="39" t="n">
        <v>0</v>
      </c>
      <c r="J11" s="39" t="n">
        <v>100</v>
      </c>
      <c r="K11" s="39" t="n">
        <v>100</v>
      </c>
      <c r="L11" s="39" t="n">
        <v>100</v>
      </c>
      <c r="M11" s="39" t="n">
        <v>100</v>
      </c>
      <c r="N11" s="39" t="n">
        <v>100</v>
      </c>
      <c r="O11" s="39" t="n">
        <v>0</v>
      </c>
      <c r="P11" s="39">
        <f>0+AM11</f>
        <v/>
      </c>
      <c r="Q11" s="39" t="n">
        <v>100</v>
      </c>
      <c r="R11" s="39" t="n">
        <v>100</v>
      </c>
      <c r="S11" s="39" t="n">
        <v>100</v>
      </c>
      <c r="T11" s="39" t="n">
        <v>100</v>
      </c>
      <c r="U11" s="39" t="n">
        <v>100</v>
      </c>
      <c r="V11" s="39" t="n">
        <v>80</v>
      </c>
      <c r="W11" s="39" t="n">
        <v>80</v>
      </c>
      <c r="X11" s="39" t="n">
        <v>80</v>
      </c>
      <c r="Y11" s="39" t="n">
        <v>80</v>
      </c>
      <c r="Z11" s="39" t="n">
        <v>0</v>
      </c>
      <c r="AA11" s="380">
        <f>Y11+IF(NOT(ISBLANK(OFFSET(AA11,0,6))),N(OFFSET(AA11,0,6)),N(OFFSET(AA11,0,7)))-Z11</f>
        <v/>
      </c>
      <c r="AB11" s="11" t="n"/>
      <c r="AC11" s="78" t="inlineStr">
        <is>
          <t>50 DE JSH</t>
        </is>
      </c>
      <c r="AD11" s="11" t="n"/>
      <c r="AE11" s="353" t="n"/>
      <c r="AF11" s="11" t="n"/>
      <c r="AG11" s="304" t="n">
        <v>0</v>
      </c>
      <c r="AH11" s="304" t="n">
        <v>0</v>
      </c>
      <c r="AI11" s="304" t="n"/>
      <c r="AJ11" s="19" t="n"/>
      <c r="AK11" s="119" t="n">
        <v>100</v>
      </c>
      <c r="AL11" s="19" t="n"/>
      <c r="AM11" s="19" t="n">
        <v>100</v>
      </c>
      <c r="AN11" s="19" t="n"/>
      <c r="AO11" s="19" t="n"/>
      <c r="AP11" s="19" t="n"/>
      <c r="AQ11" s="19" t="n"/>
      <c r="AR11" s="19" t="n">
        <v>100</v>
      </c>
      <c r="AS11" s="19" t="n"/>
      <c r="AT11" s="19" t="n"/>
      <c r="AU11" s="19" t="n"/>
      <c r="AV11" s="19" t="n"/>
      <c r="AW11" s="19" t="n"/>
      <c r="AY11" s="22" t="inlineStr">
        <is>
          <t xml:space="preserve">SACOLA G </t>
        </is>
      </c>
      <c r="AZ11" s="6" t="n">
        <v>100</v>
      </c>
      <c r="BA11" s="39">
        <f>AK11</f>
        <v/>
      </c>
      <c r="BB11" s="39" t="n">
        <v>100</v>
      </c>
      <c r="BC11" s="39" t="n">
        <v>0</v>
      </c>
      <c r="BD11" s="39" t="n">
        <v>0</v>
      </c>
      <c r="BE11" s="39" t="n">
        <v>0</v>
      </c>
      <c r="BF11" s="39" t="n">
        <v>0</v>
      </c>
      <c r="BG11" s="26">
        <f>BE11+IF(NOT(ISBLANK(OFFSET(BG11,0,6))),N(OFFSET(BG11,0,6)),N(OFFSET(BG11,0,7)))-BF11</f>
        <v/>
      </c>
    </row>
    <row r="12" ht="16.5" customFormat="1" customHeight="1" s="3">
      <c r="A12" s="23" t="n"/>
      <c r="B12" s="1" t="n"/>
      <c r="C12" s="630" t="n"/>
      <c r="D12" s="277" t="n"/>
      <c r="E12" s="11" t="n"/>
      <c r="F12" s="2" t="n"/>
      <c r="G12" s="2" t="n"/>
      <c r="H12" s="2" t="n"/>
      <c r="I12" s="2" t="n"/>
      <c r="J12" s="2" t="n"/>
      <c r="K12" s="2" t="n"/>
      <c r="L12" s="2" t="n"/>
      <c r="M12" s="2" t="n"/>
      <c r="N12" s="2" t="n"/>
      <c r="O12" s="2" t="n"/>
      <c r="P12" s="2" t="n"/>
      <c r="Q12" s="2" t="n"/>
      <c r="R12" s="2" t="n"/>
      <c r="S12" s="2" t="n"/>
      <c r="T12" s="2" t="n"/>
      <c r="U12" s="2" t="n"/>
      <c r="V12" s="2" t="n"/>
      <c r="W12" s="2" t="n"/>
      <c r="X12" s="2" t="n"/>
      <c r="Y12" s="2" t="n"/>
      <c r="Z12" s="2" t="n"/>
      <c r="AA12" s="2" t="n"/>
      <c r="AB12" s="11" t="n"/>
      <c r="AC12" s="350" t="n"/>
      <c r="AD12" s="11" t="n"/>
      <c r="AE12" s="359" t="n"/>
      <c r="AF12" s="11" t="n"/>
      <c r="AG12" s="75" t="n"/>
      <c r="AH12" s="75" t="n"/>
      <c r="AI12" s="75" t="n"/>
      <c r="AJ12" s="75" t="n"/>
      <c r="AK12" s="75" t="n"/>
      <c r="AL12" s="75" t="n"/>
      <c r="AM12" s="75" t="n"/>
      <c r="AN12" s="75" t="n"/>
      <c r="AO12" s="75" t="n"/>
      <c r="AP12" s="75" t="n"/>
      <c r="AQ12" s="75" t="n"/>
      <c r="AR12" s="75" t="n"/>
      <c r="AS12" s="75" t="n"/>
      <c r="AT12" s="75" t="n"/>
      <c r="AU12" s="75" t="n"/>
      <c r="AV12" s="75" t="n"/>
      <c r="AW12" s="75" t="n"/>
      <c r="AY12" s="23" t="n"/>
      <c r="AZ12" s="1" t="n"/>
      <c r="BA12" s="2" t="n"/>
      <c r="BB12" s="2" t="n"/>
      <c r="BC12" s="2" t="n"/>
      <c r="BD12" s="2" t="n"/>
      <c r="BE12" s="2" t="n"/>
      <c r="BF12" s="2" t="n"/>
    </row>
    <row r="13" customFormat="1" s="3">
      <c r="A13" s="548" t="inlineStr">
        <is>
          <t>DIVERSOS</t>
        </is>
      </c>
      <c r="B13" s="12" t="n"/>
      <c r="C13" s="631" t="n"/>
      <c r="D13" s="403" t="n"/>
      <c r="E13" s="608" t="n"/>
      <c r="F13" s="619" t="n">
        <v>46013</v>
      </c>
      <c r="G13" s="619" t="n">
        <v>46020</v>
      </c>
      <c r="H13" s="619" t="n">
        <v>46027</v>
      </c>
      <c r="I13" s="619" t="n">
        <v>46034</v>
      </c>
      <c r="J13" s="619" t="n">
        <v>46041</v>
      </c>
      <c r="K13" s="619" t="n">
        <v>46048</v>
      </c>
      <c r="L13" s="619" t="n">
        <v>46055</v>
      </c>
      <c r="M13" s="619" t="n">
        <v>46062</v>
      </c>
      <c r="N13" s="619" t="n">
        <v>46069</v>
      </c>
      <c r="O13" s="619" t="n">
        <v>46076</v>
      </c>
      <c r="P13" s="619" t="n">
        <v>46083</v>
      </c>
      <c r="Q13" s="619" t="n">
        <v>46090</v>
      </c>
      <c r="R13" s="619" t="n">
        <v>46097</v>
      </c>
      <c r="S13" s="619" t="n">
        <v>46104</v>
      </c>
      <c r="T13" s="619" t="n">
        <v>46111</v>
      </c>
      <c r="U13" s="619" t="n">
        <v>46118</v>
      </c>
      <c r="V13" s="619" t="n">
        <v>46125</v>
      </c>
      <c r="W13" s="619" t="n">
        <v>46132</v>
      </c>
      <c r="X13" s="619" t="n">
        <v>46139</v>
      </c>
      <c r="Y13" s="619" t="n">
        <v>46146</v>
      </c>
      <c r="Z13" s="619" t="n">
        <v>46154</v>
      </c>
      <c r="AA13" s="621" t="inlineStr">
        <is>
          <t>USOU</t>
        </is>
      </c>
      <c r="AB13" s="608" t="n"/>
      <c r="AC13" s="29" t="inlineStr">
        <is>
          <t>Pendências</t>
        </is>
      </c>
      <c r="AD13" s="11" t="n"/>
      <c r="AE13" s="9" t="inlineStr">
        <is>
          <t>Novo Pedido</t>
        </is>
      </c>
      <c r="AF13" s="608" t="n"/>
      <c r="AG13" s="614" t="n"/>
      <c r="AH13" s="614" t="n">
        <v>46142</v>
      </c>
      <c r="AI13" s="615" t="n">
        <v>46148</v>
      </c>
      <c r="AJ13" s="614" t="n">
        <v>46114</v>
      </c>
      <c r="AK13" s="616" t="n">
        <v>46065</v>
      </c>
      <c r="AL13" s="614" t="n">
        <v>46092</v>
      </c>
      <c r="AM13" s="614" t="n">
        <v>46077</v>
      </c>
      <c r="AN13" s="614" t="n">
        <v>46056</v>
      </c>
      <c r="AO13" s="614" t="n">
        <v>46048</v>
      </c>
      <c r="AP13" s="614" t="n">
        <v>46043</v>
      </c>
      <c r="AQ13" s="614" t="n">
        <v>46035</v>
      </c>
      <c r="AR13" s="614" t="n">
        <v>46024</v>
      </c>
      <c r="AS13" s="614" t="n">
        <v>46017</v>
      </c>
      <c r="AT13" s="614" t="n">
        <v>46007</v>
      </c>
      <c r="AU13" s="614" t="n">
        <v>46001</v>
      </c>
      <c r="AV13" s="614" t="n">
        <v>45994</v>
      </c>
      <c r="AW13" s="614" t="n">
        <v>45986</v>
      </c>
      <c r="AY13" s="397" t="inlineStr">
        <is>
          <t>DIVERSOS</t>
        </is>
      </c>
      <c r="AZ13" s="384" t="inlineStr">
        <is>
          <t>PCT</t>
        </is>
      </c>
      <c r="BA13" s="619" t="n">
        <v>46118</v>
      </c>
      <c r="BB13" s="619" t="n">
        <v>46125</v>
      </c>
      <c r="BC13" s="619" t="n">
        <v>46132</v>
      </c>
      <c r="BD13" s="619" t="n">
        <v>46139</v>
      </c>
      <c r="BE13" s="619" t="n">
        <v>46146</v>
      </c>
      <c r="BF13" s="619" t="n">
        <v>46154</v>
      </c>
      <c r="BG13" s="621" t="inlineStr">
        <is>
          <t>USOU</t>
        </is>
      </c>
    </row>
    <row r="14" customFormat="1" s="3">
      <c r="A14" s="25" t="inlineStr">
        <is>
          <t xml:space="preserve">PAPEL DE SEDA </t>
        </is>
      </c>
      <c r="B14" s="6" t="n">
        <v>500</v>
      </c>
      <c r="C14" s="632" t="n">
        <v>99.26000000000001</v>
      </c>
      <c r="D14" s="240" t="n">
        <v>2</v>
      </c>
      <c r="E14" s="608" t="n"/>
      <c r="F14" s="365" t="n">
        <v>7</v>
      </c>
      <c r="G14" s="365" t="n">
        <v>3</v>
      </c>
      <c r="H14" s="365">
        <f>3+AS14</f>
        <v/>
      </c>
      <c r="I14" s="365" t="n">
        <v>5</v>
      </c>
      <c r="J14" s="365" t="n">
        <v>7</v>
      </c>
      <c r="K14" s="365" t="n">
        <v>7</v>
      </c>
      <c r="L14" s="365" t="n">
        <v>6</v>
      </c>
      <c r="M14" s="365" t="n">
        <v>6</v>
      </c>
      <c r="N14" s="365" t="n">
        <v>5</v>
      </c>
      <c r="O14" s="365" t="n">
        <v>4</v>
      </c>
      <c r="P14" s="365">
        <f>4+AM14</f>
        <v/>
      </c>
      <c r="Q14" s="365" t="n">
        <v>3</v>
      </c>
      <c r="R14" s="365" t="n">
        <v>3</v>
      </c>
      <c r="S14" s="365" t="n">
        <v>5</v>
      </c>
      <c r="T14" s="365" t="n">
        <v>4</v>
      </c>
      <c r="U14" s="365" t="n">
        <v>4</v>
      </c>
      <c r="V14" s="365">
        <f>3+AH14</f>
        <v/>
      </c>
      <c r="W14" s="365" t="n">
        <v>4</v>
      </c>
      <c r="X14" s="365" t="n">
        <v>4</v>
      </c>
      <c r="Y14" s="365">
        <f>3+AH14</f>
        <v/>
      </c>
      <c r="Z14" s="365" t="n">
        <v>5</v>
      </c>
      <c r="AA14" s="380">
        <f>Y14+IF(NOT(ISBLANK(OFFSET(AA14,0,6))),N(OFFSET(AA14,0,6)),N(OFFSET(AA14,0,7)))-Z14</f>
        <v/>
      </c>
      <c r="AB14" s="608" t="n"/>
      <c r="AC14" s="78" t="n"/>
      <c r="AD14" s="608" t="n"/>
      <c r="AE14" s="353" t="n"/>
      <c r="AF14" s="608" t="n"/>
      <c r="AG14" s="304" t="n">
        <v>0</v>
      </c>
      <c r="AH14" s="304" t="n">
        <v>2</v>
      </c>
      <c r="AI14" s="304" t="n"/>
      <c r="AJ14" s="19" t="n">
        <v>1</v>
      </c>
      <c r="AK14" s="119" t="n">
        <v>5</v>
      </c>
      <c r="AL14" s="19" t="n">
        <v>2</v>
      </c>
      <c r="AM14" s="19" t="n">
        <v>1</v>
      </c>
      <c r="AN14" s="19" t="n"/>
      <c r="AO14" s="19" t="n"/>
      <c r="AP14" s="19" t="n"/>
      <c r="AQ14" s="19" t="n"/>
      <c r="AR14" s="19" t="n">
        <v>3</v>
      </c>
      <c r="AS14" s="19" t="n">
        <v>2</v>
      </c>
      <c r="AT14" s="19" t="n">
        <v>3</v>
      </c>
      <c r="AU14" s="19" t="n">
        <v>1</v>
      </c>
      <c r="AV14" s="19" t="n"/>
      <c r="AW14" s="19" t="n">
        <v>1</v>
      </c>
      <c r="AY14" s="372" t="inlineStr">
        <is>
          <t>PAPEL DE SEDA</t>
        </is>
      </c>
      <c r="AZ14" s="139" t="n">
        <v>200</v>
      </c>
      <c r="BA14" s="39">
        <f>AK14</f>
        <v/>
      </c>
      <c r="BB14" s="39" t="n">
        <v>4</v>
      </c>
      <c r="BC14" s="39" t="n">
        <v>4</v>
      </c>
      <c r="BD14" s="39" t="n">
        <v>3</v>
      </c>
      <c r="BE14" s="39" t="n">
        <v>3</v>
      </c>
      <c r="BF14" s="39" t="n">
        <v>0</v>
      </c>
      <c r="BG14" s="26">
        <f>BE14+IF(NOT(ISBLANK(OFFSET(BG14,0,6))),N(OFFSET(BG14,0,6)),N(OFFSET(BG14,0,7)))-BF14</f>
        <v/>
      </c>
    </row>
    <row r="15" customFormat="1" s="3">
      <c r="A15" s="25" t="inlineStr">
        <is>
          <t>ETIQUETAS</t>
        </is>
      </c>
      <c r="B15" s="6" t="n">
        <v>2000</v>
      </c>
      <c r="C15" s="632" t="n">
        <v>55.36</v>
      </c>
      <c r="D15" s="240" t="n">
        <v>1</v>
      </c>
      <c r="E15" s="608" t="n"/>
      <c r="F15" s="365" t="n">
        <v>4</v>
      </c>
      <c r="G15" s="365" t="n">
        <v>3</v>
      </c>
      <c r="H15" s="365">
        <f>3+AS15</f>
        <v/>
      </c>
      <c r="I15" s="365" t="n">
        <v>5</v>
      </c>
      <c r="J15" s="365" t="n">
        <v>5</v>
      </c>
      <c r="K15" s="365" t="n">
        <v>5</v>
      </c>
      <c r="L15" s="365" t="n">
        <v>5</v>
      </c>
      <c r="M15" s="365" t="n">
        <v>5</v>
      </c>
      <c r="N15" s="365" t="n">
        <v>5</v>
      </c>
      <c r="O15" s="365" t="n">
        <v>5</v>
      </c>
      <c r="P15" s="365" t="n">
        <v>5</v>
      </c>
      <c r="Q15" s="365" t="n">
        <v>5</v>
      </c>
      <c r="R15" s="365" t="n">
        <v>5</v>
      </c>
      <c r="S15" s="365" t="n">
        <v>4</v>
      </c>
      <c r="T15" s="365" t="n">
        <v>4</v>
      </c>
      <c r="U15" s="365" t="n">
        <v>3</v>
      </c>
      <c r="V15" s="365" t="n">
        <v>3</v>
      </c>
      <c r="W15" s="365" t="n">
        <v>2</v>
      </c>
      <c r="X15" s="365" t="n">
        <v>2</v>
      </c>
      <c r="Y15" s="365" t="n">
        <v>2</v>
      </c>
      <c r="Z15" s="365" t="n">
        <v>2</v>
      </c>
      <c r="AA15" s="380">
        <f>Y15+IF(NOT(ISBLANK(OFFSET(AA15,0,6))),N(OFFSET(AA15,0,6)),N(OFFSET(AA15,0,7)))-Z15</f>
        <v/>
      </c>
      <c r="AB15" s="608" t="n"/>
      <c r="AC15" s="78" t="n"/>
      <c r="AD15" s="608" t="n"/>
      <c r="AE15" s="353" t="n"/>
      <c r="AF15" s="608" t="n"/>
      <c r="AG15" s="304" t="n">
        <v>0</v>
      </c>
      <c r="AH15" s="304" t="n">
        <v>0</v>
      </c>
      <c r="AI15" s="304" t="n"/>
      <c r="AJ15" s="19" t="n"/>
      <c r="AK15" s="119" t="n">
        <v>1</v>
      </c>
      <c r="AL15" s="19" t="n"/>
      <c r="AM15" s="19" t="n"/>
      <c r="AN15" s="19" t="n"/>
      <c r="AO15" s="19" t="n"/>
      <c r="AP15" s="19" t="n"/>
      <c r="AQ15" s="19" t="n"/>
      <c r="AR15" s="19" t="n"/>
      <c r="AS15" s="19" t="n">
        <v>2</v>
      </c>
      <c r="AT15" s="19" t="n"/>
      <c r="AU15" s="19" t="n">
        <v>2</v>
      </c>
      <c r="AV15" s="19" t="n"/>
      <c r="AW15" s="19" t="n">
        <v>1</v>
      </c>
      <c r="AY15" s="21" t="inlineStr">
        <is>
          <t>ADESIVOS</t>
        </is>
      </c>
      <c r="AZ15" s="6" t="n">
        <v>200</v>
      </c>
      <c r="BA15" s="39">
        <f>AK15</f>
        <v/>
      </c>
      <c r="BB15" s="39" t="n">
        <v>1</v>
      </c>
      <c r="BC15" s="39" t="n">
        <v>1</v>
      </c>
      <c r="BD15" s="39" t="n">
        <v>1</v>
      </c>
      <c r="BE15" s="39" t="n">
        <v>0</v>
      </c>
      <c r="BF15" s="39" t="n">
        <v>0</v>
      </c>
      <c r="BG15" s="26">
        <f>BE15+IF(NOT(ISBLANK(OFFSET(BG15,0,6))),N(OFFSET(BG15,0,6)),N(OFFSET(BG15,0,7)))-BF15</f>
        <v/>
      </c>
    </row>
    <row r="16" customFormat="1" s="3">
      <c r="A16" s="25" t="inlineStr">
        <is>
          <t xml:space="preserve">TAGS </t>
        </is>
      </c>
      <c r="B16" s="6" t="n">
        <v>200</v>
      </c>
      <c r="C16" s="632" t="n">
        <v>10.28</v>
      </c>
      <c r="D16" s="240" t="n">
        <v>2</v>
      </c>
      <c r="E16" s="1" t="n"/>
      <c r="F16" s="365" t="n">
        <v>4</v>
      </c>
      <c r="G16" s="365" t="n">
        <v>3</v>
      </c>
      <c r="H16" s="365">
        <f>3+AS16</f>
        <v/>
      </c>
      <c r="I16" s="365" t="n">
        <v>2</v>
      </c>
      <c r="J16" s="365">
        <f>4+AQ16</f>
        <v/>
      </c>
      <c r="K16" s="365" t="n">
        <v>7</v>
      </c>
      <c r="L16" s="365" t="n">
        <v>7</v>
      </c>
      <c r="M16" s="365" t="n">
        <v>7</v>
      </c>
      <c r="N16" s="365" t="n">
        <v>7</v>
      </c>
      <c r="O16" s="365" t="n">
        <v>7</v>
      </c>
      <c r="P16" s="365" t="n">
        <v>7</v>
      </c>
      <c r="Q16" s="365" t="n">
        <v>7</v>
      </c>
      <c r="R16" s="365" t="n">
        <v>7</v>
      </c>
      <c r="S16" s="365" t="n">
        <v>7</v>
      </c>
      <c r="T16" s="365" t="n">
        <v>7</v>
      </c>
      <c r="U16" s="365" t="n">
        <v>6</v>
      </c>
      <c r="V16" s="365" t="n">
        <v>6</v>
      </c>
      <c r="W16" s="365" t="n">
        <v>6</v>
      </c>
      <c r="X16" s="365" t="n">
        <v>6</v>
      </c>
      <c r="Y16" s="365">
        <f>6-4</f>
        <v/>
      </c>
      <c r="Z16" s="365" t="n">
        <v>2</v>
      </c>
      <c r="AA16" s="380">
        <f>Y16+IF(NOT(ISBLANK(OFFSET(AA16,0,6))),N(OFFSET(AA16,0,6)),N(OFFSET(AA16,0,7)))-Z16</f>
        <v/>
      </c>
      <c r="AB16" s="1" t="n"/>
      <c r="AC16" s="78" t="n"/>
      <c r="AD16" s="1" t="n"/>
      <c r="AE16" s="353" t="n"/>
      <c r="AF16" s="1" t="n"/>
      <c r="AG16" s="19" t="n">
        <v>0</v>
      </c>
      <c r="AH16" s="19" t="n">
        <v>0</v>
      </c>
      <c r="AI16" s="260" t="inlineStr">
        <is>
          <t>04 P/ JSH</t>
        </is>
      </c>
      <c r="AJ16" s="19" t="n"/>
      <c r="AK16" s="19" t="n"/>
      <c r="AL16" s="19" t="n"/>
      <c r="AM16" s="19" t="n"/>
      <c r="AN16" s="19" t="n"/>
      <c r="AO16" s="19" t="n"/>
      <c r="AP16" s="19" t="n"/>
      <c r="AQ16" s="19" t="n">
        <v>3</v>
      </c>
      <c r="AR16" s="19" t="n"/>
      <c r="AS16" s="19" t="n">
        <v>3</v>
      </c>
      <c r="AT16" s="19" t="n">
        <v>4</v>
      </c>
      <c r="AU16" s="19" t="n"/>
      <c r="AV16" s="19" t="n">
        <v>3</v>
      </c>
      <c r="AW16" s="19" t="n"/>
    </row>
    <row r="17" customFormat="1" s="3">
      <c r="A17" s="25" t="inlineStr">
        <is>
          <t>LÂMINA OLFATIVA</t>
        </is>
      </c>
      <c r="B17" s="6" t="n">
        <v>3000</v>
      </c>
      <c r="C17" s="632" t="n">
        <v>71.8</v>
      </c>
      <c r="D17" s="240" t="n">
        <v>1</v>
      </c>
      <c r="E17" s="1" t="n"/>
      <c r="F17" s="365" t="n">
        <v>3</v>
      </c>
      <c r="G17" s="365" t="n">
        <v>3</v>
      </c>
      <c r="H17" s="365" t="n">
        <v>3</v>
      </c>
      <c r="I17" s="365" t="n">
        <v>3</v>
      </c>
      <c r="J17" s="365" t="n">
        <v>3</v>
      </c>
      <c r="K17" s="365" t="n">
        <v>3</v>
      </c>
      <c r="L17" s="365" t="n">
        <v>2</v>
      </c>
      <c r="M17" s="365">
        <f>2+AN17</f>
        <v/>
      </c>
      <c r="N17" s="365" t="n">
        <v>3</v>
      </c>
      <c r="O17" s="365" t="n">
        <v>3</v>
      </c>
      <c r="P17" s="365" t="n">
        <v>3</v>
      </c>
      <c r="Q17" s="365" t="n">
        <v>3</v>
      </c>
      <c r="R17" s="365" t="n">
        <v>3</v>
      </c>
      <c r="S17" s="365" t="n">
        <v>2</v>
      </c>
      <c r="T17" s="365" t="n">
        <v>1</v>
      </c>
      <c r="U17" s="365" t="n">
        <v>2</v>
      </c>
      <c r="V17" s="365" t="n">
        <v>2</v>
      </c>
      <c r="W17" s="365" t="n">
        <v>2</v>
      </c>
      <c r="X17" s="365" t="n">
        <v>1</v>
      </c>
      <c r="Y17" s="365">
        <f>1+AH17</f>
        <v/>
      </c>
      <c r="Z17" s="365" t="n">
        <v>2</v>
      </c>
      <c r="AA17" s="380">
        <f>Y17+IF(NOT(ISBLANK(OFFSET(AA17,0,6))),N(OFFSET(AA17,0,6)),N(OFFSET(AA17,0,7)))-Z17</f>
        <v/>
      </c>
      <c r="AB17" s="1" t="n"/>
      <c r="AC17" s="78" t="n"/>
      <c r="AD17" s="1" t="n"/>
      <c r="AE17" s="353" t="n"/>
      <c r="AF17" s="1" t="n"/>
      <c r="AG17" s="19" t="n">
        <v>0</v>
      </c>
      <c r="AH17" s="19" t="n">
        <v>1</v>
      </c>
      <c r="AI17" s="19" t="n"/>
      <c r="AJ17" s="19" t="n"/>
      <c r="AK17" s="19" t="n"/>
      <c r="AL17" s="19" t="n"/>
      <c r="AM17" s="19" t="n"/>
      <c r="AN17" s="19" t="n">
        <v>1</v>
      </c>
      <c r="AO17" s="19" t="n"/>
      <c r="AP17" s="19" t="n"/>
      <c r="AQ17" s="19" t="n"/>
      <c r="AR17" s="19" t="n"/>
      <c r="AS17" s="19" t="n"/>
      <c r="AT17" s="19" t="n">
        <v>1</v>
      </c>
      <c r="AU17" s="19" t="n"/>
      <c r="AV17" s="19" t="n"/>
      <c r="AW17" s="19" t="n">
        <v>3</v>
      </c>
    </row>
    <row r="18" ht="14.25" customFormat="1" customHeight="1" s="3">
      <c r="A18" s="23" t="n"/>
      <c r="D18" s="277" t="n"/>
      <c r="F18" s="2" t="n"/>
      <c r="G18" s="2" t="n"/>
      <c r="H18" s="2" t="n"/>
      <c r="I18" s="2" t="n"/>
      <c r="J18" s="2" t="n"/>
      <c r="K18" s="2" t="n"/>
      <c r="L18" s="2" t="n"/>
      <c r="M18" s="2" t="n"/>
      <c r="N18" s="2" t="n"/>
      <c r="O18" s="2" t="n"/>
      <c r="P18" s="2" t="n"/>
      <c r="Q18" s="2" t="n"/>
      <c r="R18" s="2" t="n"/>
      <c r="S18" s="2" t="n"/>
      <c r="T18" s="2" t="n"/>
      <c r="U18" s="2" t="n"/>
      <c r="V18" s="2" t="n"/>
      <c r="W18" s="2" t="n"/>
      <c r="X18" s="2" t="n"/>
      <c r="Y18" s="2" t="n"/>
      <c r="Z18" s="2" t="n"/>
      <c r="AA18" s="2" t="n"/>
      <c r="AC18" s="398" t="n"/>
      <c r="AE18" s="360" t="n"/>
      <c r="AG18" s="396" t="n"/>
      <c r="AH18" s="396" t="n"/>
      <c r="AI18" s="396" t="n"/>
      <c r="AJ18" s="396" t="n"/>
      <c r="AK18" s="396" t="n"/>
      <c r="AL18" s="396" t="n"/>
      <c r="AM18" s="396" t="n"/>
      <c r="AN18" s="396" t="n"/>
      <c r="AO18" s="396" t="n"/>
      <c r="AP18" s="396" t="n"/>
      <c r="AQ18" s="396" t="n"/>
      <c r="AR18" s="396" t="n"/>
      <c r="AS18" s="396" t="n"/>
      <c r="AT18" s="396" t="n"/>
      <c r="AU18" s="396" t="n"/>
      <c r="AV18" s="396" t="n"/>
      <c r="AW18" s="396" t="n"/>
    </row>
    <row r="19" customFormat="1" s="3">
      <c r="A19" s="548" t="inlineStr">
        <is>
          <t>CAIXAS</t>
        </is>
      </c>
      <c r="B19" s="8" t="n"/>
      <c r="C19" s="654" t="n"/>
      <c r="D19" s="403" t="n"/>
      <c r="E19" s="1" t="n"/>
      <c r="F19" s="619" t="n">
        <v>46013</v>
      </c>
      <c r="G19" s="619" t="n">
        <v>46020</v>
      </c>
      <c r="H19" s="619" t="n">
        <v>46027</v>
      </c>
      <c r="I19" s="619" t="n">
        <v>46034</v>
      </c>
      <c r="J19" s="619" t="n">
        <v>46041</v>
      </c>
      <c r="K19" s="619" t="n">
        <v>46048</v>
      </c>
      <c r="L19" s="619" t="n">
        <v>46055</v>
      </c>
      <c r="M19" s="619" t="n">
        <v>46062</v>
      </c>
      <c r="N19" s="619" t="n">
        <v>46069</v>
      </c>
      <c r="O19" s="619" t="n">
        <v>46076</v>
      </c>
      <c r="P19" s="619" t="n">
        <v>46083</v>
      </c>
      <c r="Q19" s="619" t="n">
        <v>46090</v>
      </c>
      <c r="R19" s="619" t="n">
        <v>46097</v>
      </c>
      <c r="S19" s="619" t="n">
        <v>46104</v>
      </c>
      <c r="T19" s="619" t="n">
        <v>46111</v>
      </c>
      <c r="U19" s="619" t="n">
        <v>46118</v>
      </c>
      <c r="V19" s="619" t="n">
        <v>46125</v>
      </c>
      <c r="W19" s="619" t="n">
        <v>46132</v>
      </c>
      <c r="X19" s="619" t="n">
        <v>46139</v>
      </c>
      <c r="Y19" s="619" t="n">
        <v>46146</v>
      </c>
      <c r="Z19" s="619" t="n">
        <v>46154</v>
      </c>
      <c r="AA19" s="621" t="inlineStr">
        <is>
          <t>USOU</t>
        </is>
      </c>
      <c r="AB19" s="11" t="n"/>
      <c r="AC19" s="29" t="inlineStr">
        <is>
          <t>Pendências</t>
        </is>
      </c>
      <c r="AD19" s="11" t="n"/>
      <c r="AE19" s="9" t="inlineStr">
        <is>
          <t>Novo Pedido</t>
        </is>
      </c>
      <c r="AF19" s="1" t="n"/>
      <c r="AG19" s="614" t="n"/>
      <c r="AH19" s="614" t="n">
        <v>46142</v>
      </c>
      <c r="AI19" s="615" t="n">
        <v>46148</v>
      </c>
      <c r="AJ19" s="614" t="n">
        <v>46114</v>
      </c>
      <c r="AK19" s="616" t="n">
        <v>46065</v>
      </c>
      <c r="AL19" s="614" t="n">
        <v>46092</v>
      </c>
      <c r="AM19" s="614" t="n">
        <v>46077</v>
      </c>
      <c r="AN19" s="614" t="n">
        <v>46056</v>
      </c>
      <c r="AO19" s="614" t="n">
        <v>46048</v>
      </c>
      <c r="AP19" s="614" t="n">
        <v>46043</v>
      </c>
      <c r="AQ19" s="614" t="n">
        <v>46035</v>
      </c>
      <c r="AR19" s="614" t="n">
        <v>46024</v>
      </c>
      <c r="AS19" s="614" t="n">
        <v>46017</v>
      </c>
      <c r="AT19" s="614" t="n">
        <v>46007</v>
      </c>
      <c r="AU19" s="614" t="n">
        <v>46001</v>
      </c>
      <c r="AV19" s="614" t="n">
        <v>45994</v>
      </c>
      <c r="AW19" s="614" t="n">
        <v>45986</v>
      </c>
      <c r="AY19" s="397" t="inlineStr">
        <is>
          <t>CAIXAS</t>
        </is>
      </c>
      <c r="AZ19" s="384" t="inlineStr">
        <is>
          <t>PCT</t>
        </is>
      </c>
      <c r="BA19" s="619" t="n">
        <v>46118</v>
      </c>
      <c r="BB19" s="619" t="n">
        <v>46125</v>
      </c>
      <c r="BC19" s="619" t="n">
        <v>46132</v>
      </c>
      <c r="BD19" s="619" t="n">
        <v>46139</v>
      </c>
      <c r="BE19" s="619" t="n">
        <v>46146</v>
      </c>
      <c r="BF19" s="619" t="n">
        <v>46154</v>
      </c>
      <c r="BG19" s="621" t="inlineStr">
        <is>
          <t>USOU</t>
        </is>
      </c>
    </row>
    <row r="20" customFormat="1" s="3">
      <c r="A20" s="25" t="inlineStr">
        <is>
          <t>CAIXA P VERDE</t>
        </is>
      </c>
      <c r="B20" s="6" t="n">
        <v>150</v>
      </c>
      <c r="C20" s="627" t="n">
        <v>334.31</v>
      </c>
      <c r="D20" s="240" t="n">
        <v>70</v>
      </c>
      <c r="E20" s="1" t="n"/>
      <c r="F20" s="27" t="n">
        <v>43</v>
      </c>
      <c r="G20" s="27" t="n">
        <v>42</v>
      </c>
      <c r="H20" s="27" t="n">
        <v>38</v>
      </c>
      <c r="I20" s="27" t="n">
        <v>37</v>
      </c>
      <c r="J20" s="27" t="n">
        <v>29</v>
      </c>
      <c r="K20" s="27">
        <f>29+AP20</f>
        <v/>
      </c>
      <c r="L20" s="27" t="n">
        <v>179</v>
      </c>
      <c r="M20" s="27" t="n">
        <v>166</v>
      </c>
      <c r="N20" s="27" t="n">
        <v>165</v>
      </c>
      <c r="O20" s="27" t="n">
        <v>160</v>
      </c>
      <c r="P20" s="27" t="n">
        <v>152</v>
      </c>
      <c r="Q20" s="27" t="n">
        <v>145</v>
      </c>
      <c r="R20" s="27" t="n">
        <v>136</v>
      </c>
      <c r="S20" s="27" t="n">
        <v>122</v>
      </c>
      <c r="T20" s="27" t="n">
        <v>117</v>
      </c>
      <c r="U20" s="27" t="n"/>
      <c r="V20" s="27" t="n"/>
      <c r="W20" s="27" t="n"/>
      <c r="X20" s="27" t="n">
        <v>99</v>
      </c>
      <c r="Y20" s="27" t="n">
        <v>97</v>
      </c>
      <c r="Z20" s="27" t="n">
        <v>90</v>
      </c>
      <c r="AA20" s="380">
        <f>Y20+IF(NOT(ISBLANK(OFFSET(AA20,0,6))),N(OFFSET(AA20,0,6)),N(OFFSET(AA20,0,7)))-Z20</f>
        <v/>
      </c>
      <c r="AB20" s="11" t="n"/>
      <c r="AC20" s="78" t="n"/>
      <c r="AD20" s="1" t="n"/>
      <c r="AE20" s="353" t="n"/>
      <c r="AF20" s="1" t="n"/>
      <c r="AG20" s="19" t="n">
        <v>0</v>
      </c>
      <c r="AH20" s="19" t="n">
        <v>0</v>
      </c>
      <c r="AI20" s="19" t="n"/>
      <c r="AJ20" s="19" t="n"/>
      <c r="AK20" s="119" t="n"/>
      <c r="AL20" s="19" t="n"/>
      <c r="AM20" s="19" t="n"/>
      <c r="AN20" s="19" t="n"/>
      <c r="AO20" s="19" t="n"/>
      <c r="AP20" s="19" t="n">
        <v>150</v>
      </c>
      <c r="AQ20" s="19" t="n"/>
      <c r="AR20" s="19" t="n"/>
      <c r="AS20" s="19" t="n"/>
      <c r="AT20" s="19" t="n"/>
      <c r="AU20" s="19" t="n"/>
      <c r="AV20" s="19" t="n"/>
      <c r="AW20" s="19" t="n"/>
      <c r="AY20" s="372" t="inlineStr">
        <is>
          <t>CAIXA P</t>
        </is>
      </c>
      <c r="AZ20" s="139" t="n">
        <v>150</v>
      </c>
      <c r="BA20" s="39" t="n">
        <v>0</v>
      </c>
      <c r="BB20" s="39" t="n"/>
      <c r="BC20" s="39" t="n"/>
      <c r="BD20" s="39" t="n">
        <v>36</v>
      </c>
      <c r="BE20" s="39" t="n">
        <v>33</v>
      </c>
      <c r="BF20" s="39" t="n">
        <v>0</v>
      </c>
      <c r="BG20" s="26">
        <f>BE20+IF(NOT(ISBLANK(OFFSET(BG20,0,6))),N(OFFSET(BG20,0,6)),N(OFFSET(BG20,0,7)))-BF20</f>
        <v/>
      </c>
    </row>
    <row r="21" customFormat="1" s="3">
      <c r="A21" s="25" t="inlineStr">
        <is>
          <t>CAIXA M VERDE</t>
        </is>
      </c>
      <c r="B21" s="6" t="n">
        <v>100</v>
      </c>
      <c r="C21" s="634" t="n">
        <v>292.25</v>
      </c>
      <c r="D21" s="243" t="n">
        <v>70</v>
      </c>
      <c r="E21" s="1" t="n"/>
      <c r="F21" s="27" t="n">
        <v>62</v>
      </c>
      <c r="G21" s="27" t="n">
        <v>58</v>
      </c>
      <c r="H21" s="27" t="n">
        <v>40</v>
      </c>
      <c r="I21" s="27" t="n">
        <v>35</v>
      </c>
      <c r="J21" s="27" t="n">
        <v>33</v>
      </c>
      <c r="K21" s="27">
        <f>45+AP21</f>
        <v/>
      </c>
      <c r="L21" s="27" t="n">
        <v>136</v>
      </c>
      <c r="M21" s="27" t="n">
        <v>129</v>
      </c>
      <c r="N21" s="27" t="n">
        <v>129</v>
      </c>
      <c r="O21" s="27" t="n">
        <v>122</v>
      </c>
      <c r="P21" s="27" t="n">
        <v>119</v>
      </c>
      <c r="Q21" s="27" t="n">
        <v>106</v>
      </c>
      <c r="R21" s="27" t="n">
        <v>92</v>
      </c>
      <c r="S21" s="27" t="n">
        <v>83</v>
      </c>
      <c r="T21" s="27" t="n">
        <v>82</v>
      </c>
      <c r="U21" s="27" t="n"/>
      <c r="V21" s="27" t="n"/>
      <c r="W21" s="27" t="n"/>
      <c r="X21" s="27" t="n">
        <v>62</v>
      </c>
      <c r="Y21" s="27" t="n">
        <v>62</v>
      </c>
      <c r="Z21" s="27" t="n">
        <v>82</v>
      </c>
      <c r="AA21" s="380">
        <f>Y21+IF(NOT(ISBLANK(OFFSET(AA21,0,6))),N(OFFSET(AA21,0,6)),N(OFFSET(AA21,0,7)))-Z21</f>
        <v/>
      </c>
      <c r="AB21" s="11" t="n"/>
      <c r="AC21" s="78" t="n"/>
      <c r="AD21" s="1" t="n"/>
      <c r="AE21" s="353" t="n"/>
      <c r="AF21" s="1" t="n"/>
      <c r="AG21" s="19" t="n">
        <v>0</v>
      </c>
      <c r="AH21" s="19" t="n">
        <v>0</v>
      </c>
      <c r="AI21" s="19" t="n"/>
      <c r="AJ21" s="19" t="n"/>
      <c r="AK21" s="119" t="n"/>
      <c r="AL21" s="19" t="n"/>
      <c r="AM21" s="19" t="n"/>
      <c r="AN21" s="19" t="n"/>
      <c r="AO21" s="19" t="n"/>
      <c r="AP21" s="19" t="n">
        <v>100</v>
      </c>
      <c r="AQ21" s="19" t="n"/>
      <c r="AR21" s="19" t="n"/>
      <c r="AS21" s="19" t="n"/>
      <c r="AT21" s="19" t="n"/>
      <c r="AU21" s="19" t="n"/>
      <c r="AV21" s="19" t="n"/>
      <c r="AW21" s="19" t="n"/>
      <c r="AY21" s="21" t="inlineStr">
        <is>
          <t>CAIXA M</t>
        </is>
      </c>
      <c r="AZ21" s="6" t="n">
        <v>100</v>
      </c>
      <c r="BA21" s="39" t="n">
        <v>0</v>
      </c>
      <c r="BB21" s="39" t="n"/>
      <c r="BC21" s="39" t="n"/>
      <c r="BD21" s="39" t="n">
        <v>52</v>
      </c>
      <c r="BE21" s="39" t="n">
        <v>48</v>
      </c>
      <c r="BF21" s="39" t="n">
        <v>-2</v>
      </c>
      <c r="BG21" s="26">
        <f>BE21+IF(NOT(ISBLANK(OFFSET(BG21,0,6))),N(OFFSET(BG21,0,6)),N(OFFSET(BG21,0,7)))-BF21</f>
        <v/>
      </c>
    </row>
    <row r="22" customFormat="1" s="3">
      <c r="A22" s="25" t="inlineStr">
        <is>
          <t>CAIXA G VERDE</t>
        </is>
      </c>
      <c r="B22" s="6" t="n">
        <v>75</v>
      </c>
      <c r="C22" s="632" t="n">
        <v>425.38</v>
      </c>
      <c r="D22" s="240" t="n">
        <v>15</v>
      </c>
      <c r="E22" s="608" t="n"/>
      <c r="F22" s="27" t="n">
        <v>11</v>
      </c>
      <c r="G22" s="27" t="n">
        <v>11</v>
      </c>
      <c r="H22" s="27" t="n">
        <v>11</v>
      </c>
      <c r="I22" s="27" t="n">
        <v>10</v>
      </c>
      <c r="J22" s="27" t="n">
        <v>10</v>
      </c>
      <c r="K22" s="27" t="n">
        <v>10</v>
      </c>
      <c r="L22" s="27" t="n">
        <v>10</v>
      </c>
      <c r="M22" s="27" t="n">
        <v>10</v>
      </c>
      <c r="N22" s="27" t="n">
        <v>10</v>
      </c>
      <c r="O22" s="27" t="n">
        <v>10</v>
      </c>
      <c r="P22" s="27" t="n">
        <v>8</v>
      </c>
      <c r="Q22" s="27" t="n">
        <v>8</v>
      </c>
      <c r="R22" s="27" t="n">
        <v>8</v>
      </c>
      <c r="S22" s="27" t="n">
        <v>8</v>
      </c>
      <c r="T22" s="27" t="n">
        <v>8</v>
      </c>
      <c r="U22" s="27" t="n">
        <v>8</v>
      </c>
      <c r="V22" s="27" t="n">
        <v>8</v>
      </c>
      <c r="W22" s="27" t="n">
        <v>8</v>
      </c>
      <c r="X22" s="27" t="n">
        <v>8</v>
      </c>
      <c r="Y22" s="27" t="n">
        <v>8</v>
      </c>
      <c r="Z22" s="27" t="n">
        <v>6</v>
      </c>
      <c r="AA22" s="380">
        <f>Y22+IF(NOT(ISBLANK(OFFSET(AA22,0,6))),N(OFFSET(AA22,0,6)),N(OFFSET(AA22,0,7)))-Z22</f>
        <v/>
      </c>
      <c r="AB22" s="608" t="n"/>
      <c r="AC22" s="78" t="n"/>
      <c r="AD22" s="608" t="n"/>
      <c r="AE22" s="353" t="n"/>
      <c r="AF22" s="608" t="n"/>
      <c r="AG22" s="19" t="n">
        <v>0</v>
      </c>
      <c r="AH22" s="19" t="n">
        <v>0</v>
      </c>
      <c r="AI22" s="19" t="n"/>
      <c r="AJ22" s="19" t="n"/>
      <c r="AK22" s="1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Y22" s="22" t="inlineStr">
        <is>
          <t>CARTUCHO P</t>
        </is>
      </c>
      <c r="AZ22" s="6" t="n">
        <v>200</v>
      </c>
      <c r="BA22" s="39" t="n">
        <v>0</v>
      </c>
      <c r="BB22" s="39" t="n"/>
      <c r="BC22" s="39" t="n"/>
      <c r="BD22" s="39" t="n">
        <v>43</v>
      </c>
      <c r="BE22" s="39" t="n">
        <v>38</v>
      </c>
      <c r="BF22" s="39" t="n">
        <v>-1</v>
      </c>
      <c r="BG22" s="26">
        <f>BE22+IF(NOT(ISBLANK(OFFSET(BG22,0,6))),N(OFFSET(BG22,0,6)),N(OFFSET(BG22,0,7)))-BF22</f>
        <v/>
      </c>
    </row>
    <row r="23" customFormat="1" s="3">
      <c r="A23" s="25" t="inlineStr">
        <is>
          <t>CARTUCHO M VERDE</t>
        </is>
      </c>
      <c r="B23" s="6" t="n">
        <v>150</v>
      </c>
      <c r="C23" s="632" t="n">
        <v>427.5</v>
      </c>
      <c r="D23" s="240" t="n"/>
      <c r="E23" s="608" t="n"/>
      <c r="F23" s="2" t="n"/>
      <c r="G23" s="2" t="n"/>
      <c r="H23" s="2" t="n"/>
      <c r="I23" s="2" t="n"/>
      <c r="J23" s="2" t="n"/>
      <c r="K23" s="2" t="n"/>
      <c r="L23" s="2" t="n"/>
      <c r="M23" s="2" t="n"/>
      <c r="N23" s="27" t="n">
        <v>0</v>
      </c>
      <c r="O23" s="27" t="n">
        <v>0</v>
      </c>
      <c r="P23" s="27" t="n">
        <v>0</v>
      </c>
      <c r="Q23" s="298" t="n">
        <v>20</v>
      </c>
      <c r="R23" s="27" t="n">
        <v>19</v>
      </c>
      <c r="S23" s="27" t="n">
        <v>16</v>
      </c>
      <c r="T23" s="27" t="n">
        <v>15</v>
      </c>
      <c r="U23" s="27" t="n"/>
      <c r="V23" s="27" t="n"/>
      <c r="W23" s="27" t="n"/>
      <c r="X23" s="27" t="n">
        <v>6</v>
      </c>
      <c r="Y23" s="27" t="n">
        <v>6</v>
      </c>
      <c r="Z23" s="298" t="n">
        <v>45</v>
      </c>
      <c r="AA23" s="380">
        <f>Y23+IF(NOT(ISBLANK(OFFSET(AA23,0,6))),N(OFFSET(AA23,0,6)),N(OFFSET(AA23,0,7)))-Z23</f>
        <v/>
      </c>
      <c r="AB23" s="608" t="n"/>
      <c r="AC23" s="78" t="n"/>
      <c r="AD23" s="608" t="n"/>
      <c r="AE23" s="353" t="n"/>
      <c r="AF23" s="608" t="n"/>
      <c r="AG23" s="19" t="n">
        <v>0</v>
      </c>
      <c r="AH23" s="19" t="n">
        <v>0</v>
      </c>
      <c r="AI23" s="19" t="n"/>
      <c r="AJ23" s="19" t="n"/>
      <c r="AK23" s="1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75" t="n"/>
      <c r="AU23" s="75" t="n"/>
      <c r="AV23" s="75" t="n"/>
      <c r="AW23" s="75" t="n"/>
      <c r="AY23" s="22" t="inlineStr">
        <is>
          <t>CARTUCHO M</t>
        </is>
      </c>
      <c r="AZ23" s="6" t="n">
        <v>150</v>
      </c>
      <c r="BA23" s="39" t="n">
        <v>0</v>
      </c>
      <c r="BB23" s="39" t="n"/>
      <c r="BC23" s="39" t="n"/>
      <c r="BD23" s="39" t="n">
        <v>43</v>
      </c>
      <c r="BE23" s="39" t="n">
        <v>37</v>
      </c>
      <c r="BF23" s="39" t="n">
        <v>0</v>
      </c>
      <c r="BG23" s="26">
        <f>BE23+IF(NOT(ISBLANK(OFFSET(BG23,0,6))),N(OFFSET(BG23,0,6)),N(OFFSET(BG23,0,7)))-BF23</f>
        <v/>
      </c>
    </row>
    <row r="24">
      <c r="AC24" s="355" t="n"/>
      <c r="AG24" s="11" t="n"/>
      <c r="AH24" s="11" t="n"/>
      <c r="AI24" s="11" t="n"/>
      <c r="AJ24" s="11" t="n"/>
      <c r="AK24" s="11" t="n"/>
      <c r="AL24" s="11" t="n"/>
      <c r="AT24" s="11" t="n"/>
      <c r="AU24" s="11" t="n"/>
      <c r="AV24" s="11" t="n"/>
      <c r="AW24" s="11" t="n"/>
    </row>
    <row r="25">
      <c r="A25" s="386" t="inlineStr">
        <is>
          <t>SOBRAS CAIXAS</t>
        </is>
      </c>
      <c r="B25" s="387" t="inlineStr">
        <is>
          <t>PCT</t>
        </is>
      </c>
      <c r="C25" s="387" t="inlineStr">
        <is>
          <t xml:space="preserve">R$ </t>
        </is>
      </c>
      <c r="D25" s="387" t="n"/>
      <c r="F25" s="619" t="n">
        <v>46013</v>
      </c>
      <c r="G25" s="619" t="n">
        <v>46020</v>
      </c>
      <c r="H25" s="619" t="n">
        <v>46027</v>
      </c>
      <c r="I25" s="619" t="n">
        <v>46034</v>
      </c>
      <c r="J25" s="619" t="n">
        <v>46041</v>
      </c>
      <c r="K25" s="619" t="n">
        <v>46048</v>
      </c>
      <c r="L25" s="619" t="n">
        <v>46055</v>
      </c>
      <c r="M25" s="619" t="n">
        <v>46062</v>
      </c>
      <c r="N25" s="619" t="n">
        <v>46069</v>
      </c>
      <c r="O25" s="619" t="n">
        <v>46076</v>
      </c>
      <c r="P25" s="619" t="n">
        <v>46083</v>
      </c>
      <c r="Q25" s="619" t="n">
        <v>46090</v>
      </c>
      <c r="R25" s="619" t="n">
        <v>46097</v>
      </c>
      <c r="S25" s="619" t="n">
        <v>46104</v>
      </c>
      <c r="T25" s="619" t="n">
        <v>46111</v>
      </c>
      <c r="U25" s="619" t="n">
        <v>46118</v>
      </c>
      <c r="V25" s="619" t="n">
        <v>46125</v>
      </c>
      <c r="W25" s="619" t="n">
        <v>46132</v>
      </c>
      <c r="X25" s="619" t="n">
        <v>46139</v>
      </c>
      <c r="Y25" s="619" t="n">
        <v>46146</v>
      </c>
      <c r="Z25" s="619" t="n">
        <v>46154</v>
      </c>
      <c r="AA25" s="621" t="inlineStr">
        <is>
          <t>USOU</t>
        </is>
      </c>
      <c r="AC25" s="355" t="n"/>
      <c r="AG25" s="11" t="n"/>
      <c r="AH25" s="11" t="n"/>
      <c r="AI25" s="11" t="n"/>
      <c r="AJ25" s="11" t="n"/>
      <c r="AK25" s="11" t="n"/>
      <c r="AL25" s="11" t="n"/>
      <c r="AM25" s="11" t="n"/>
      <c r="AN25" s="11" t="n"/>
      <c r="AO25" s="11" t="n"/>
      <c r="AP25" s="11" t="n"/>
      <c r="AQ25" s="11" t="n"/>
      <c r="AR25" s="11" t="n"/>
      <c r="AS25" s="11" t="n"/>
      <c r="AT25" s="11" t="n"/>
      <c r="AU25" s="11" t="n"/>
      <c r="AV25" s="11" t="n"/>
      <c r="AW25" s="11" t="n"/>
    </row>
    <row r="26" hidden="1" ht="18.75" customHeight="1">
      <c r="A26" s="390" t="inlineStr">
        <is>
          <t>CAIXA M PAIS/24</t>
        </is>
      </c>
      <c r="B26" s="391" t="n">
        <v>100</v>
      </c>
      <c r="C26" s="661" t="n">
        <v>722</v>
      </c>
      <c r="D26" s="404" t="n"/>
      <c r="F26" s="39" t="n">
        <v>0</v>
      </c>
      <c r="G26" s="39" t="n">
        <v>0</v>
      </c>
      <c r="H26" s="39" t="n"/>
      <c r="I26" s="39" t="n"/>
      <c r="J26" s="39" t="n"/>
      <c r="K26" s="39" t="n"/>
      <c r="L26" s="39" t="n"/>
      <c r="M26" s="39" t="n"/>
      <c r="N26" s="39" t="n"/>
      <c r="O26" s="39" t="n"/>
      <c r="P26" s="39" t="n"/>
      <c r="Q26" s="39" t="n"/>
      <c r="R26" s="39" t="n"/>
      <c r="S26" s="39" t="n"/>
      <c r="T26" s="39" t="n"/>
      <c r="U26" s="39" t="n"/>
      <c r="V26" s="39" t="n"/>
      <c r="W26" s="39" t="n"/>
      <c r="X26" s="39" t="n"/>
      <c r="Y26" s="39" t="n"/>
      <c r="Z26" s="39" t="n"/>
      <c r="AA26" s="26">
        <f>Y26+IF(NOT(ISBLANK(OFFSET(AA26,0,6))),N(OFFSET(AA26,0,6)),N(OFFSET(AA26,0,7)))-#REF!</f>
        <v/>
      </c>
      <c r="AC26" s="355" t="n"/>
      <c r="AG26" s="11" t="n"/>
      <c r="AH26" s="11" t="n"/>
      <c r="AI26" s="11" t="n"/>
      <c r="AJ26" s="11" t="n"/>
      <c r="AK26" s="11" t="n"/>
      <c r="AL26" s="11" t="n"/>
      <c r="AM26" s="11" t="n"/>
      <c r="AN26" s="11" t="n"/>
      <c r="AO26" s="11" t="n"/>
      <c r="AP26" s="11" t="n"/>
      <c r="AQ26" s="11" t="n"/>
      <c r="AR26" s="11" t="n"/>
      <c r="AS26" s="11" t="n"/>
      <c r="AT26" s="11" t="n"/>
      <c r="AU26" s="11" t="n"/>
      <c r="AV26" s="11" t="n"/>
      <c r="AW26" s="11" t="n"/>
    </row>
    <row r="27">
      <c r="A27" s="392" t="inlineStr">
        <is>
          <t>CAIXA M DIVERT./24</t>
        </is>
      </c>
      <c r="B27" s="393" t="n">
        <v>100</v>
      </c>
      <c r="C27" s="635" t="n">
        <v>790</v>
      </c>
      <c r="D27" s="404" t="n"/>
      <c r="F27" s="39" t="n">
        <v>187</v>
      </c>
      <c r="G27" s="39" t="n">
        <v>114</v>
      </c>
      <c r="H27" s="39" t="n">
        <v>114</v>
      </c>
      <c r="I27" s="39" t="n">
        <v>114</v>
      </c>
      <c r="J27" s="39" t="n">
        <v>114</v>
      </c>
      <c r="K27" s="39" t="n">
        <v>114</v>
      </c>
      <c r="L27" s="39" t="n">
        <v>111</v>
      </c>
      <c r="M27" s="39" t="n">
        <v>111</v>
      </c>
      <c r="N27" s="39" t="n">
        <v>111</v>
      </c>
      <c r="O27" s="39" t="n">
        <v>108</v>
      </c>
      <c r="P27" s="39" t="n">
        <v>104</v>
      </c>
      <c r="Q27" s="39" t="n">
        <v>104</v>
      </c>
      <c r="R27" s="39" t="n">
        <v>104</v>
      </c>
      <c r="S27" s="39" t="n">
        <v>104</v>
      </c>
      <c r="T27" s="39" t="n">
        <v>104</v>
      </c>
      <c r="U27" s="39" t="n">
        <v>104</v>
      </c>
      <c r="V27" s="39" t="n">
        <v>104</v>
      </c>
      <c r="W27" s="39" t="n">
        <v>104</v>
      </c>
      <c r="X27" s="39" t="n">
        <v>104</v>
      </c>
      <c r="Y27" s="39" t="n">
        <v>104</v>
      </c>
      <c r="Z27" s="39" t="n">
        <v>102</v>
      </c>
      <c r="AA27" s="380">
        <f>Y27+IF(NOT(ISBLANK(OFFSET(AA27,0,6))),N(OFFSET(AA27,0,6)),N(OFFSET(AA27,0,7)))-Z27</f>
        <v/>
      </c>
      <c r="AC27" s="355" t="n"/>
      <c r="AG27" s="11" t="n"/>
      <c r="AH27" s="11" t="n"/>
      <c r="AI27" s="11" t="n"/>
      <c r="AJ27" s="11" t="n"/>
      <c r="AK27" s="11" t="n"/>
      <c r="AL27" s="11" t="n"/>
      <c r="AM27" s="11" t="n"/>
      <c r="AN27" s="11" t="n"/>
      <c r="AO27" s="11" t="n"/>
      <c r="AP27" s="11" t="n"/>
      <c r="AQ27" s="11" t="n"/>
      <c r="AR27" s="11" t="n"/>
      <c r="AS27" s="11" t="n"/>
      <c r="AT27" s="11" t="n"/>
      <c r="AU27" s="11" t="n"/>
      <c r="AV27" s="11" t="n"/>
      <c r="AW27" s="11" t="n"/>
    </row>
    <row r="28" hidden="1" ht="18" customHeight="1">
      <c r="A28" s="394" t="inlineStr">
        <is>
          <t>CAIXA P NAT./24</t>
        </is>
      </c>
      <c r="B28" s="163" t="n">
        <v>150</v>
      </c>
      <c r="C28" s="636" t="n">
        <v>715.5</v>
      </c>
      <c r="D28" s="404" t="n"/>
      <c r="F28" s="39" t="n"/>
      <c r="G28" s="39" t="n"/>
      <c r="H28" s="39" t="n"/>
      <c r="I28" s="39" t="n"/>
      <c r="J28" s="39" t="n"/>
      <c r="K28" s="39" t="n"/>
      <c r="L28" s="39" t="n"/>
      <c r="M28" s="39" t="n"/>
      <c r="N28" s="39" t="n"/>
      <c r="O28" s="39" t="n"/>
      <c r="P28" s="39" t="n"/>
      <c r="Q28" s="39" t="n"/>
      <c r="R28" s="39" t="n"/>
      <c r="S28" s="39" t="n"/>
      <c r="T28" s="39" t="n"/>
      <c r="U28" s="39" t="n"/>
      <c r="V28" s="39" t="n"/>
      <c r="W28" s="39" t="n"/>
      <c r="X28" s="39" t="n"/>
      <c r="Y28" s="39" t="n"/>
      <c r="Z28" s="39" t="n"/>
      <c r="AA28" s="380">
        <f>Y28+IF(NOT(ISBLANK(OFFSET(AA28,0,6))),N(OFFSET(AA28,0,6)),N(OFFSET(AA28,0,7)))-Z28</f>
        <v/>
      </c>
      <c r="AC28" s="355" t="n"/>
      <c r="AG28" s="11" t="n"/>
      <c r="AH28" s="11" t="n"/>
      <c r="AI28" s="11" t="n"/>
      <c r="AJ28" s="11" t="n"/>
      <c r="AK28" s="11" t="n"/>
      <c r="AL28" s="11" t="n"/>
      <c r="AM28" s="11" t="n"/>
      <c r="AN28" s="11" t="n"/>
      <c r="AO28" s="11" t="n"/>
      <c r="AP28" s="11" t="n"/>
      <c r="AQ28" s="11" t="n"/>
      <c r="AR28" s="11" t="n"/>
      <c r="AS28" s="11" t="n"/>
      <c r="AT28" s="11" t="n"/>
      <c r="AU28" s="11" t="n"/>
      <c r="AV28" s="11" t="n"/>
      <c r="AW28" s="11" t="n"/>
    </row>
    <row r="29" hidden="1" ht="18" customHeight="1">
      <c r="A29" s="394" t="inlineStr">
        <is>
          <t>CAIXA M NAT./24</t>
        </is>
      </c>
      <c r="B29" s="163" t="n">
        <v>100</v>
      </c>
      <c r="C29" s="636" t="n">
        <v>746</v>
      </c>
      <c r="D29" s="404" t="n"/>
      <c r="F29" s="39" t="n"/>
      <c r="G29" s="39" t="n"/>
      <c r="H29" s="39" t="n"/>
      <c r="I29" s="39" t="n"/>
      <c r="J29" s="39" t="n"/>
      <c r="K29" s="39" t="n"/>
      <c r="L29" s="39" t="n"/>
      <c r="M29" s="39" t="n"/>
      <c r="N29" s="39" t="n"/>
      <c r="O29" s="39" t="n"/>
      <c r="P29" s="39" t="n"/>
      <c r="Q29" s="39" t="n"/>
      <c r="R29" s="39" t="n"/>
      <c r="S29" s="39" t="n"/>
      <c r="T29" s="39" t="n"/>
      <c r="U29" s="39" t="n"/>
      <c r="V29" s="39" t="n"/>
      <c r="W29" s="39" t="n"/>
      <c r="X29" s="39" t="n"/>
      <c r="Y29" s="39" t="n"/>
      <c r="Z29" s="39" t="n"/>
      <c r="AA29" s="380">
        <f>Y29+IF(NOT(ISBLANK(OFFSET(AA29,0,6))),N(OFFSET(AA29,0,6)),N(OFFSET(AA29,0,7)))-Z29</f>
        <v/>
      </c>
      <c r="AC29" s="355" t="n"/>
      <c r="AG29" s="11" t="n"/>
      <c r="AH29" s="11" t="n"/>
      <c r="AI29" s="11" t="n"/>
      <c r="AJ29" s="11" t="n"/>
      <c r="AK29" s="11" t="n"/>
      <c r="AL29" s="11" t="n"/>
      <c r="AM29" s="11" t="n"/>
      <c r="AN29" s="11" t="n"/>
      <c r="AO29" s="11" t="n"/>
      <c r="AP29" s="11" t="n"/>
      <c r="AQ29" s="11" t="n"/>
      <c r="AR29" s="11" t="n"/>
      <c r="AS29" s="11" t="n"/>
      <c r="AT29" s="11" t="n"/>
      <c r="AU29" s="11" t="n"/>
      <c r="AV29" s="11" t="n"/>
      <c r="AW29" s="11" t="n"/>
    </row>
    <row r="30" hidden="1" ht="18" customHeight="1">
      <c r="A30" s="394" t="inlineStr">
        <is>
          <t>CAIXA G NAT./24</t>
        </is>
      </c>
      <c r="B30" s="163" t="n">
        <v>50</v>
      </c>
      <c r="C30" s="636" t="n">
        <v>777</v>
      </c>
      <c r="D30" s="404" t="n"/>
      <c r="F30" s="39" t="n"/>
      <c r="G30" s="39" t="n"/>
      <c r="H30" s="39" t="n"/>
      <c r="I30" s="39" t="n"/>
      <c r="J30" s="39" t="n"/>
      <c r="K30" s="39" t="n"/>
      <c r="L30" s="39" t="n"/>
      <c r="M30" s="39" t="n"/>
      <c r="N30" s="39" t="n"/>
      <c r="O30" s="39" t="n"/>
      <c r="P30" s="39" t="n"/>
      <c r="Q30" s="39" t="n"/>
      <c r="R30" s="39" t="n"/>
      <c r="S30" s="39" t="n"/>
      <c r="T30" s="39" t="n"/>
      <c r="U30" s="39" t="n"/>
      <c r="V30" s="39" t="n"/>
      <c r="W30" s="39" t="n"/>
      <c r="X30" s="39" t="n"/>
      <c r="Y30" s="39" t="n"/>
      <c r="Z30" s="39" t="n"/>
      <c r="AA30" s="380">
        <f>Y30+IF(NOT(ISBLANK(OFFSET(AA30,0,6))),N(OFFSET(AA30,0,6)),N(OFFSET(AA30,0,7)))-Z30</f>
        <v/>
      </c>
      <c r="AC30" s="355" t="n"/>
      <c r="AG30" s="11" t="n"/>
      <c r="AH30" s="11" t="n"/>
      <c r="AI30" s="11" t="n"/>
      <c r="AJ30" s="11" t="n"/>
      <c r="AK30" s="11" t="n"/>
      <c r="AL30" s="11" t="n"/>
      <c r="AM30" s="11" t="n"/>
      <c r="AN30" s="11" t="n"/>
      <c r="AO30" s="11" t="n"/>
      <c r="AP30" s="11" t="n"/>
      <c r="AQ30" s="11" t="n"/>
      <c r="AR30" s="11" t="n"/>
      <c r="AS30" s="11" t="n"/>
      <c r="AT30" s="11" t="n"/>
      <c r="AU30" s="11" t="n"/>
      <c r="AV30" s="11" t="n"/>
      <c r="AW30" s="11" t="n"/>
    </row>
    <row r="31" hidden="1" ht="18" customHeight="1">
      <c r="A31" s="394" t="inlineStr">
        <is>
          <t>CARTUCHO P NAT./24</t>
        </is>
      </c>
      <c r="B31" s="163" t="n">
        <v>200</v>
      </c>
      <c r="C31" s="636" t="n">
        <v>486</v>
      </c>
      <c r="D31" s="404" t="n"/>
      <c r="F31" s="39" t="n"/>
      <c r="G31" s="39" t="n"/>
      <c r="H31" s="39" t="n"/>
      <c r="I31" s="39" t="n"/>
      <c r="J31" s="39" t="n"/>
      <c r="K31" s="39" t="n"/>
      <c r="L31" s="39" t="n"/>
      <c r="M31" s="39" t="n"/>
      <c r="N31" s="39" t="n"/>
      <c r="O31" s="39" t="n"/>
      <c r="P31" s="39" t="n"/>
      <c r="Q31" s="39" t="n"/>
      <c r="R31" s="39" t="n"/>
      <c r="S31" s="39" t="n"/>
      <c r="T31" s="39" t="n"/>
      <c r="U31" s="39" t="n"/>
      <c r="V31" s="39" t="n"/>
      <c r="W31" s="39" t="n"/>
      <c r="X31" s="39" t="n"/>
      <c r="Y31" s="39" t="n"/>
      <c r="Z31" s="39" t="n"/>
      <c r="AA31" s="380">
        <f>Y31+IF(NOT(ISBLANK(OFFSET(AA31,0,6))),N(OFFSET(AA31,0,6)),N(OFFSET(AA31,0,7)))-Z31</f>
        <v/>
      </c>
      <c r="AC31" s="355" t="n"/>
      <c r="AG31" s="11" t="n"/>
      <c r="AH31" s="11" t="n"/>
      <c r="AI31" s="11" t="n"/>
      <c r="AJ31" s="11" t="n"/>
      <c r="AK31" s="11" t="n"/>
      <c r="AL31" s="11" t="n"/>
      <c r="AM31" s="11" t="n"/>
      <c r="AN31" s="11" t="n"/>
      <c r="AO31" s="11" t="n"/>
      <c r="AP31" s="11" t="n"/>
      <c r="AQ31" s="11" t="n"/>
      <c r="AR31" s="11" t="n"/>
      <c r="AS31" s="11" t="n"/>
      <c r="AT31" s="11" t="n"/>
      <c r="AU31" s="11" t="n"/>
      <c r="AV31" s="11" t="n"/>
      <c r="AW31" s="11" t="n"/>
    </row>
    <row r="32" hidden="1" ht="18" customHeight="1">
      <c r="A32" s="394" t="inlineStr">
        <is>
          <t>CARTUCHO M NAT./24</t>
        </is>
      </c>
      <c r="B32" s="163" t="n">
        <v>150</v>
      </c>
      <c r="C32" s="636" t="n">
        <v>459</v>
      </c>
      <c r="D32" s="404" t="n"/>
      <c r="F32" s="39" t="n"/>
      <c r="G32" s="39" t="n"/>
      <c r="H32" s="39" t="n"/>
      <c r="I32" s="39" t="n"/>
      <c r="J32" s="39" t="n"/>
      <c r="K32" s="39" t="n"/>
      <c r="L32" s="39" t="n"/>
      <c r="M32" s="39" t="n"/>
      <c r="N32" s="39" t="n"/>
      <c r="O32" s="39" t="n"/>
      <c r="P32" s="39" t="n"/>
      <c r="Q32" s="39" t="n"/>
      <c r="R32" s="39" t="n"/>
      <c r="S32" s="39" t="n"/>
      <c r="T32" s="39" t="n"/>
      <c r="U32" s="39" t="n"/>
      <c r="V32" s="39" t="n"/>
      <c r="W32" s="39" t="n"/>
      <c r="X32" s="39" t="n"/>
      <c r="Y32" s="39" t="n"/>
      <c r="Z32" s="39" t="n"/>
      <c r="AA32" s="380">
        <f>Y32+IF(NOT(ISBLANK(OFFSET(AA32,0,6))),N(OFFSET(AA32,0,6)),N(OFFSET(AA32,0,7)))-Z32</f>
        <v/>
      </c>
      <c r="AC32" s="355" t="n"/>
      <c r="AG32" s="11" t="n"/>
      <c r="AH32" s="11" t="n"/>
      <c r="AI32" s="11" t="n"/>
      <c r="AJ32" s="11" t="n"/>
      <c r="AK32" s="11" t="n"/>
      <c r="AL32" s="11" t="n"/>
      <c r="AM32" s="11" t="n"/>
      <c r="AN32" s="11" t="n"/>
      <c r="AO32" s="11" t="n"/>
      <c r="AP32" s="11" t="n"/>
      <c r="AQ32" s="11" t="n"/>
      <c r="AR32" s="11" t="n"/>
      <c r="AS32" s="11" t="n"/>
      <c r="AT32" s="11" t="n"/>
      <c r="AU32" s="11" t="n"/>
      <c r="AV32" s="11" t="n"/>
      <c r="AW32" s="11" t="n"/>
    </row>
    <row r="33" hidden="1">
      <c r="A33" s="394" t="inlineStr">
        <is>
          <t>ÁRVORE</t>
        </is>
      </c>
      <c r="B33" s="163" t="n">
        <v>100</v>
      </c>
      <c r="C33" s="636" t="n">
        <v>295</v>
      </c>
      <c r="D33" s="404" t="n"/>
      <c r="F33" s="39" t="n">
        <v>15</v>
      </c>
      <c r="G33" s="39" t="n">
        <v>15</v>
      </c>
      <c r="H33" s="39" t="n">
        <v>15</v>
      </c>
      <c r="I33" s="39" t="n">
        <v>15</v>
      </c>
      <c r="J33" s="39" t="n">
        <v>0</v>
      </c>
      <c r="K33" s="39" t="n">
        <v>0</v>
      </c>
      <c r="L33" s="39" t="n"/>
      <c r="M33" s="39" t="n"/>
      <c r="N33" s="39" t="n"/>
      <c r="O33" s="39" t="n"/>
      <c r="P33" s="39" t="n"/>
      <c r="Q33" s="39" t="n"/>
      <c r="R33" s="39" t="n"/>
      <c r="S33" s="39" t="n"/>
      <c r="T33" s="39" t="n"/>
      <c r="U33" s="39" t="n"/>
      <c r="V33" s="39" t="n"/>
      <c r="W33" s="39" t="n"/>
      <c r="X33" s="39" t="n"/>
      <c r="Y33" s="39" t="n"/>
      <c r="Z33" s="39" t="n"/>
      <c r="AA33" s="380">
        <f>Y33+IF(NOT(ISBLANK(OFFSET(AA33,0,6))),N(OFFSET(AA33,0,6)),N(OFFSET(AA33,0,7)))-Z33</f>
        <v/>
      </c>
      <c r="AC33" s="355" t="n"/>
      <c r="AG33" s="11" t="n"/>
      <c r="AH33" s="11" t="n"/>
      <c r="AI33" s="11" t="n"/>
      <c r="AJ33" s="11" t="n"/>
      <c r="AK33" s="11" t="n"/>
      <c r="AL33" s="11" t="n"/>
      <c r="AM33" s="11" t="n"/>
      <c r="AN33" s="11" t="n"/>
      <c r="AO33" s="11" t="n"/>
      <c r="AP33" s="11" t="n"/>
      <c r="AQ33" s="11" t="n"/>
      <c r="AR33" s="11" t="n"/>
      <c r="AS33" s="11" t="n"/>
      <c r="AT33" s="11" t="n"/>
      <c r="AU33" s="11" t="n"/>
      <c r="AV33" s="11" t="n"/>
      <c r="AW33" s="11" t="n"/>
    </row>
    <row r="34" hidden="1">
      <c r="A34" s="394" t="inlineStr">
        <is>
          <t>BOLA</t>
        </is>
      </c>
      <c r="B34" s="163" t="n">
        <v>100</v>
      </c>
      <c r="C34" s="636" t="n">
        <v>283</v>
      </c>
      <c r="D34" s="404" t="n"/>
      <c r="F34" s="39" t="n">
        <v>8</v>
      </c>
      <c r="G34" s="39" t="n">
        <v>8</v>
      </c>
      <c r="H34" s="39" t="n">
        <v>8</v>
      </c>
      <c r="I34" s="39" t="n">
        <v>8</v>
      </c>
      <c r="J34" s="39" t="n">
        <v>0</v>
      </c>
      <c r="K34" s="39" t="n">
        <v>0</v>
      </c>
      <c r="L34" s="39" t="n"/>
      <c r="M34" s="39" t="n"/>
      <c r="N34" s="39" t="n"/>
      <c r="O34" s="39" t="n"/>
      <c r="P34" s="39" t="n"/>
      <c r="Q34" s="39" t="n"/>
      <c r="R34" s="39" t="n"/>
      <c r="S34" s="39" t="n"/>
      <c r="T34" s="39" t="n"/>
      <c r="U34" s="39" t="n"/>
      <c r="V34" s="39" t="n"/>
      <c r="W34" s="39" t="n"/>
      <c r="X34" s="39" t="n"/>
      <c r="Y34" s="39" t="n"/>
      <c r="Z34" s="39" t="n"/>
      <c r="AA34" s="380">
        <f>Y34+IF(NOT(ISBLANK(OFFSET(AA34,0,6))),N(OFFSET(AA34,0,6)),N(OFFSET(AA34,0,7)))-Z34</f>
        <v/>
      </c>
      <c r="AC34" s="355" t="n"/>
      <c r="AG34" s="11" t="n"/>
      <c r="AH34" s="11" t="n"/>
      <c r="AI34" s="11" t="n"/>
      <c r="AJ34" s="11" t="n"/>
      <c r="AK34" s="11" t="n"/>
      <c r="AL34" s="11" t="n"/>
      <c r="AM34" s="11" t="n"/>
      <c r="AN34" s="11" t="n"/>
      <c r="AO34" s="11" t="n"/>
      <c r="AP34" s="11" t="n"/>
      <c r="AQ34" s="11" t="n"/>
      <c r="AR34" s="11" t="n"/>
      <c r="AS34" s="11" t="n"/>
      <c r="AT34" s="11" t="n"/>
      <c r="AU34" s="11" t="n"/>
      <c r="AV34" s="11" t="n"/>
      <c r="AW34" s="11" t="n"/>
    </row>
    <row r="35" hidden="1">
      <c r="A35" s="390" t="inlineStr">
        <is>
          <t>CAIXA P MÃES/25</t>
        </is>
      </c>
      <c r="B35" s="391" t="n">
        <v>150</v>
      </c>
      <c r="C35" s="662" t="n">
        <v>781.05</v>
      </c>
      <c r="D35" s="404" t="n"/>
      <c r="F35" s="39" t="n"/>
      <c r="G35" s="39" t="n"/>
      <c r="H35" s="39" t="n"/>
      <c r="I35" s="39" t="n"/>
      <c r="J35" s="39" t="n"/>
      <c r="K35" s="39" t="n"/>
      <c r="L35" s="39" t="n"/>
      <c r="M35" s="39" t="n"/>
      <c r="N35" s="39" t="n"/>
      <c r="O35" s="39" t="n"/>
      <c r="P35" s="39" t="n"/>
      <c r="Q35" s="39" t="n"/>
      <c r="R35" s="39" t="n"/>
      <c r="S35" s="39" t="n"/>
      <c r="T35" s="39" t="n"/>
      <c r="U35" s="39" t="n"/>
      <c r="V35" s="39" t="n"/>
      <c r="W35" s="39" t="n"/>
      <c r="X35" s="39" t="n"/>
      <c r="Y35" s="39" t="n"/>
      <c r="Z35" s="39" t="n"/>
      <c r="AA35" s="380">
        <f>Y35+IF(NOT(ISBLANK(OFFSET(AA35,0,6))),N(OFFSET(AA35,0,6)),N(OFFSET(AA35,0,7)))-Z35</f>
        <v/>
      </c>
      <c r="AC35" s="355" t="n"/>
      <c r="AG35" s="11" t="n"/>
      <c r="AH35" s="11" t="n"/>
      <c r="AI35" s="11" t="n"/>
      <c r="AJ35" s="11" t="n"/>
      <c r="AK35" s="11" t="n"/>
      <c r="AL35" s="11" t="n"/>
      <c r="AM35" s="11" t="n"/>
      <c r="AN35" s="11" t="n"/>
      <c r="AO35" s="11" t="n"/>
      <c r="AP35" s="11" t="n"/>
      <c r="AQ35" s="11" t="n"/>
      <c r="AR35" s="11" t="n"/>
      <c r="AS35" s="11" t="n"/>
      <c r="AT35" s="11" t="n"/>
      <c r="AU35" s="11" t="n"/>
      <c r="AV35" s="11" t="n"/>
      <c r="AW35" s="11" t="n"/>
    </row>
    <row r="36" hidden="1" ht="18.75" customHeight="1">
      <c r="A36" s="390" t="inlineStr">
        <is>
          <t>CAIXA M MÃES/25</t>
        </is>
      </c>
      <c r="B36" s="391" t="n">
        <v>100</v>
      </c>
      <c r="C36" s="662" t="n">
        <v>789</v>
      </c>
      <c r="D36" s="404" t="n"/>
      <c r="F36" s="39" t="n"/>
      <c r="G36" s="39" t="n"/>
      <c r="H36" s="39" t="n"/>
      <c r="I36" s="39" t="n"/>
      <c r="J36" s="39" t="n"/>
      <c r="K36" s="39" t="n"/>
      <c r="L36" s="39" t="n"/>
      <c r="M36" s="39" t="n"/>
      <c r="N36" s="39" t="n"/>
      <c r="O36" s="39" t="n"/>
      <c r="P36" s="39" t="n"/>
      <c r="Q36" s="39" t="n"/>
      <c r="R36" s="39" t="n"/>
      <c r="S36" s="39" t="n"/>
      <c r="T36" s="39" t="n"/>
      <c r="U36" s="39" t="n"/>
      <c r="V36" s="39" t="n"/>
      <c r="W36" s="39" t="n"/>
      <c r="X36" s="39" t="n"/>
      <c r="Y36" s="39" t="n"/>
      <c r="Z36" s="39" t="n"/>
      <c r="AA36" s="380">
        <f>Y36+IF(NOT(ISBLANK(OFFSET(AA36,0,6))),N(OFFSET(AA36,0,6)),N(OFFSET(AA36,0,7)))-Z36</f>
        <v/>
      </c>
      <c r="AC36" s="11" t="n"/>
      <c r="AG36" s="11" t="n"/>
      <c r="AH36" s="11" t="n"/>
      <c r="AI36" s="11" t="n"/>
      <c r="AJ36" s="11" t="n"/>
      <c r="AK36" s="11" t="n"/>
      <c r="AL36" s="11" t="n"/>
      <c r="AM36" s="11" t="n"/>
      <c r="AN36" s="11" t="n"/>
      <c r="AO36" s="11" t="n"/>
      <c r="AP36" s="11" t="n"/>
      <c r="AQ36" s="11" t="n"/>
      <c r="AR36" s="11" t="n"/>
      <c r="AS36" s="11" t="n"/>
      <c r="AT36" s="11" t="n"/>
      <c r="AU36" s="11" t="n"/>
      <c r="AV36" s="11" t="n"/>
      <c r="AW36" s="11" t="n"/>
    </row>
    <row r="37" hidden="1" ht="18.75" customHeight="1">
      <c r="A37" s="390" t="inlineStr">
        <is>
          <t>CAIXA G MÃES/25</t>
        </is>
      </c>
      <c r="B37" s="391" t="n">
        <v>75</v>
      </c>
      <c r="C37" s="662" t="n">
        <v>844.05</v>
      </c>
      <c r="D37" s="404" t="n"/>
      <c r="F37" s="39" t="n"/>
      <c r="G37" s="39" t="n"/>
      <c r="H37" s="39" t="n"/>
      <c r="I37" s="39" t="n"/>
      <c r="J37" s="39" t="n"/>
      <c r="K37" s="39" t="n"/>
      <c r="L37" s="39" t="n"/>
      <c r="M37" s="39" t="n"/>
      <c r="N37" s="39" t="n"/>
      <c r="O37" s="39" t="n"/>
      <c r="P37" s="39" t="n"/>
      <c r="Q37" s="39" t="n"/>
      <c r="R37" s="39" t="n"/>
      <c r="S37" s="39" t="n"/>
      <c r="T37" s="39" t="n"/>
      <c r="U37" s="39" t="n"/>
      <c r="V37" s="39" t="n"/>
      <c r="W37" s="39" t="n"/>
      <c r="X37" s="39" t="n"/>
      <c r="Y37" s="39" t="n"/>
      <c r="Z37" s="39" t="n"/>
      <c r="AA37" s="380">
        <f>Y37+IF(NOT(ISBLANK(OFFSET(AA37,0,6))),N(OFFSET(AA37,0,6)),N(OFFSET(AA37,0,7)))-Z37</f>
        <v/>
      </c>
      <c r="AG37" s="11" t="n"/>
      <c r="AH37" s="11" t="n"/>
      <c r="AI37" s="11" t="n"/>
      <c r="AJ37" s="11" t="n"/>
      <c r="AK37" s="11" t="n"/>
      <c r="AL37" s="11" t="n"/>
      <c r="AM37" s="11" t="n"/>
      <c r="AN37" s="11" t="n"/>
      <c r="AO37" s="11" t="n"/>
      <c r="AP37" s="11" t="n"/>
      <c r="AQ37" s="11" t="n"/>
      <c r="AR37" s="11" t="n"/>
      <c r="AS37" s="11" t="n"/>
      <c r="AT37" s="11" t="n"/>
      <c r="AU37" s="11" t="n"/>
      <c r="AV37" s="11" t="n"/>
      <c r="AW37" s="11" t="n"/>
    </row>
    <row r="38" hidden="1" ht="18.75" customHeight="1">
      <c r="A38" s="390" t="inlineStr">
        <is>
          <t>CARTUCHO P MÃES/25</t>
        </is>
      </c>
      <c r="B38" s="391" t="n">
        <v>200</v>
      </c>
      <c r="C38" s="662" t="n">
        <v>450</v>
      </c>
      <c r="D38" s="404" t="n"/>
      <c r="F38" s="39" t="n"/>
      <c r="G38" s="39" t="n"/>
      <c r="H38" s="39" t="n"/>
      <c r="I38" s="39" t="n"/>
      <c r="J38" s="39" t="n"/>
      <c r="K38" s="39" t="n"/>
      <c r="L38" s="39" t="n"/>
      <c r="M38" s="39" t="n"/>
      <c r="N38" s="39" t="n"/>
      <c r="O38" s="39" t="n"/>
      <c r="P38" s="39" t="n"/>
      <c r="Q38" s="39" t="n"/>
      <c r="R38" s="39" t="n"/>
      <c r="S38" s="39" t="n"/>
      <c r="T38" s="39" t="n"/>
      <c r="U38" s="39" t="n"/>
      <c r="V38" s="39" t="n"/>
      <c r="W38" s="39" t="n"/>
      <c r="X38" s="39" t="n"/>
      <c r="Y38" s="39" t="n"/>
      <c r="Z38" s="39" t="n"/>
      <c r="AA38" s="380">
        <f>Y38+IF(NOT(ISBLANK(OFFSET(AA38,0,6))),N(OFFSET(AA38,0,6)),N(OFFSET(AA38,0,7)))-Z38</f>
        <v/>
      </c>
      <c r="AG38" s="11" t="n"/>
      <c r="AH38" s="11" t="n"/>
      <c r="AI38" s="11" t="n"/>
      <c r="AJ38" s="11" t="n"/>
      <c r="AK38" s="11" t="n"/>
      <c r="AL38" s="11" t="n"/>
      <c r="AM38" s="11" t="n"/>
      <c r="AN38" s="11" t="n"/>
      <c r="AO38" s="11" t="n"/>
      <c r="AP38" s="11" t="n"/>
      <c r="AQ38" s="11" t="n"/>
      <c r="AR38" s="11" t="n"/>
      <c r="AS38" s="11" t="n"/>
      <c r="AT38" s="11" t="n"/>
      <c r="AU38" s="11" t="n"/>
      <c r="AV38" s="11" t="n"/>
      <c r="AW38" s="11" t="n"/>
    </row>
    <row r="39" hidden="1" ht="18.75" customHeight="1">
      <c r="A39" s="390" t="inlineStr">
        <is>
          <t>CARTUCHO M MÃES/25</t>
        </is>
      </c>
      <c r="B39" s="391" t="n">
        <v>150</v>
      </c>
      <c r="C39" s="662" t="n">
        <v>430.5</v>
      </c>
      <c r="D39" s="404" t="n"/>
      <c r="F39" s="39" t="n"/>
      <c r="G39" s="39" t="n"/>
      <c r="H39" s="39" t="n"/>
      <c r="I39" s="39" t="n"/>
      <c r="J39" s="39" t="n"/>
      <c r="K39" s="39" t="n"/>
      <c r="L39" s="39" t="n"/>
      <c r="M39" s="39" t="n"/>
      <c r="N39" s="39" t="n"/>
      <c r="O39" s="39" t="n"/>
      <c r="P39" s="39" t="n"/>
      <c r="Q39" s="39" t="n"/>
      <c r="R39" s="39" t="n"/>
      <c r="S39" s="39" t="n"/>
      <c r="T39" s="39" t="n"/>
      <c r="U39" s="39" t="n"/>
      <c r="V39" s="39" t="n"/>
      <c r="W39" s="39" t="n"/>
      <c r="X39" s="39" t="n"/>
      <c r="Y39" s="39" t="n"/>
      <c r="Z39" s="39" t="n"/>
      <c r="AA39" s="380">
        <f>Y39+IF(NOT(ISBLANK(OFFSET(AA39,0,6))),N(OFFSET(AA39,0,6)),N(OFFSET(AA39,0,7)))-Z39</f>
        <v/>
      </c>
      <c r="AC39" s="41" t="n"/>
      <c r="AG39" s="409" t="n"/>
      <c r="AH39" s="409" t="n"/>
      <c r="AI39" s="409" t="n"/>
      <c r="AJ39" s="409" t="n"/>
      <c r="AK39" s="409" t="n"/>
      <c r="AL39" s="409" t="n"/>
      <c r="AM39" s="11" t="n"/>
      <c r="AN39" s="11" t="n"/>
      <c r="AO39" s="11" t="n"/>
      <c r="AP39" s="11" t="n"/>
      <c r="AQ39" s="11" t="n"/>
      <c r="AR39" s="11" t="n"/>
      <c r="AS39" s="11" t="n"/>
      <c r="AT39" s="11" t="n"/>
      <c r="AU39" s="11" t="n"/>
      <c r="AV39" s="11" t="n"/>
      <c r="AW39" s="11" t="n"/>
    </row>
    <row r="40" hidden="1">
      <c r="A40" s="407" t="inlineStr">
        <is>
          <t>CARTUCHO M NAMO/25</t>
        </is>
      </c>
      <c r="B40" s="138" t="n">
        <v>150</v>
      </c>
      <c r="C40" s="663" t="n">
        <v>298</v>
      </c>
      <c r="D40" s="404" t="n"/>
      <c r="F40" s="39" t="n"/>
      <c r="G40" s="39" t="n"/>
      <c r="H40" s="39" t="n"/>
      <c r="I40" s="39" t="n"/>
      <c r="J40" s="39" t="n"/>
      <c r="K40" s="39" t="n"/>
      <c r="L40" s="39" t="n"/>
      <c r="M40" s="39" t="n"/>
      <c r="N40" s="39" t="n"/>
      <c r="O40" s="39" t="n"/>
      <c r="P40" s="39" t="n"/>
      <c r="Q40" s="39" t="n"/>
      <c r="R40" s="39" t="n"/>
      <c r="S40" s="39" t="n"/>
      <c r="T40" s="39" t="n"/>
      <c r="U40" s="39" t="n"/>
      <c r="V40" s="39" t="n"/>
      <c r="W40" s="39" t="n"/>
      <c r="X40" s="39" t="n"/>
      <c r="Y40" s="39" t="n"/>
      <c r="Z40" s="39" t="n"/>
      <c r="AA40" s="380">
        <f>Y40+IF(NOT(ISBLANK(OFFSET(AA40,0,6))),N(OFFSET(AA40,0,6)),N(OFFSET(AA40,0,7)))-Z40</f>
        <v/>
      </c>
      <c r="AC40" s="41" t="n"/>
      <c r="AG40" s="409" t="n"/>
      <c r="AH40" s="409" t="n"/>
      <c r="AI40" s="409" t="n"/>
      <c r="AJ40" s="409" t="n"/>
      <c r="AK40" s="409" t="n"/>
      <c r="AL40" s="409" t="n"/>
      <c r="AM40" s="409" t="n"/>
      <c r="AN40" s="409" t="n"/>
      <c r="AO40" s="409" t="n"/>
      <c r="AP40" s="11" t="n"/>
      <c r="AQ40" s="11" t="n"/>
      <c r="AR40" s="11" t="n"/>
      <c r="AS40" s="11" t="n"/>
      <c r="AT40" s="11" t="n"/>
      <c r="AU40" s="11" t="n"/>
      <c r="AV40" s="11" t="n"/>
      <c r="AW40" s="11" t="n"/>
    </row>
    <row r="41" hidden="1">
      <c r="A41" s="405" t="inlineStr">
        <is>
          <t>CAIXA M PAIS/25</t>
        </is>
      </c>
      <c r="B41" s="406" t="n">
        <v>100</v>
      </c>
      <c r="C41" s="663" t="n"/>
      <c r="D41" s="404" t="n"/>
      <c r="F41" s="39" t="n"/>
      <c r="G41" s="39" t="n"/>
      <c r="H41" s="39" t="n"/>
      <c r="I41" s="39" t="n"/>
      <c r="J41" s="39" t="n"/>
      <c r="K41" s="39" t="n"/>
      <c r="L41" s="39" t="n"/>
      <c r="M41" s="39" t="n"/>
      <c r="N41" s="39" t="n"/>
      <c r="O41" s="39" t="n"/>
      <c r="P41" s="39" t="n"/>
      <c r="Q41" s="39" t="n"/>
      <c r="R41" s="39" t="n"/>
      <c r="S41" s="39" t="n"/>
      <c r="T41" s="39" t="n"/>
      <c r="U41" s="39" t="n"/>
      <c r="V41" s="39" t="n"/>
      <c r="W41" s="39" t="n"/>
      <c r="X41" s="39" t="n"/>
      <c r="Y41" s="39" t="n"/>
      <c r="Z41" s="39" t="n"/>
      <c r="AA41" s="380">
        <f>Y41+IF(NOT(ISBLANK(OFFSET(AA41,0,6))),N(OFFSET(AA41,0,6)),N(OFFSET(AA41,0,7)))-Z41</f>
        <v/>
      </c>
      <c r="AC41" s="41" t="n"/>
      <c r="AG41" s="41" t="n"/>
      <c r="AH41" s="41" t="n"/>
      <c r="AI41" s="41" t="n"/>
      <c r="AJ41" s="41" t="n"/>
      <c r="AK41" s="41" t="n"/>
      <c r="AL41" s="41" t="n"/>
      <c r="AM41" s="409" t="n"/>
      <c r="AN41" s="409" t="n"/>
      <c r="AO41" s="409" t="n"/>
      <c r="AP41" s="11" t="n"/>
      <c r="AQ41" s="11" t="n"/>
      <c r="AR41" s="11" t="n"/>
      <c r="AS41" s="11" t="n"/>
      <c r="AT41" s="11" t="n"/>
      <c r="AU41" s="11" t="n"/>
      <c r="AV41" s="11" t="n"/>
      <c r="AW41" s="11" t="n"/>
      <c r="AY41" s="41" t="n"/>
      <c r="AZ41" s="41" t="n"/>
      <c r="BA41" s="41" t="n"/>
      <c r="BB41" s="41" t="n"/>
      <c r="BC41" s="41" t="n"/>
      <c r="BD41" s="41" t="n"/>
      <c r="BE41" s="41" t="n"/>
      <c r="BF41" s="41" t="n"/>
      <c r="BG41" s="41" t="n"/>
    </row>
    <row r="42" hidden="1">
      <c r="A42" s="405" t="inlineStr">
        <is>
          <t>PIN MELHOR PAI DO MDO</t>
        </is>
      </c>
      <c r="B42" s="406" t="n">
        <v>25</v>
      </c>
      <c r="C42" s="663" t="n"/>
      <c r="D42" s="404" t="n"/>
      <c r="F42" s="39" t="n"/>
      <c r="G42" s="39" t="n"/>
      <c r="H42" s="39" t="n"/>
      <c r="I42" s="39" t="n"/>
      <c r="J42" s="39" t="n"/>
      <c r="K42" s="39" t="n"/>
      <c r="L42" s="39" t="n"/>
      <c r="M42" s="39" t="n"/>
      <c r="N42" s="39" t="n"/>
      <c r="O42" s="39" t="n"/>
      <c r="P42" s="39" t="n"/>
      <c r="Q42" s="39" t="n"/>
      <c r="R42" s="39" t="n"/>
      <c r="S42" s="39" t="n"/>
      <c r="T42" s="39" t="n"/>
      <c r="U42" s="39" t="n"/>
      <c r="V42" s="39" t="n"/>
      <c r="W42" s="39" t="n"/>
      <c r="X42" s="39" t="n"/>
      <c r="Y42" s="39" t="n"/>
      <c r="Z42" s="39" t="n"/>
      <c r="AA42" s="380">
        <f>Y42+IF(NOT(ISBLANK(OFFSET(AA42,0,6))),N(OFFSET(AA42,0,6)),N(OFFSET(AA42,0,7)))-Z42</f>
        <v/>
      </c>
      <c r="AC42" s="41" t="n"/>
      <c r="AG42" s="41" t="n"/>
      <c r="AH42" s="41" t="n"/>
      <c r="AI42" s="41" t="n"/>
      <c r="AJ42" s="41" t="n"/>
      <c r="AK42" s="41" t="n"/>
      <c r="AL42" s="41" t="n"/>
      <c r="AM42" s="41" t="n"/>
      <c r="AN42" s="41" t="n"/>
      <c r="AO42" s="41" t="n"/>
      <c r="AP42" s="11" t="n"/>
      <c r="AQ42" s="11" t="n"/>
      <c r="AR42" s="11" t="n"/>
      <c r="AS42" s="11" t="n"/>
      <c r="AT42" s="11" t="n"/>
      <c r="AU42" s="11" t="n"/>
      <c r="AV42" s="11" t="n"/>
      <c r="AW42" s="11" t="n"/>
      <c r="AY42" s="41" t="n"/>
      <c r="AZ42" s="41" t="n"/>
      <c r="BA42" s="41" t="n"/>
      <c r="BB42" s="41" t="n"/>
      <c r="BC42" s="41" t="n"/>
      <c r="BD42" s="41" t="n"/>
      <c r="BE42" s="41" t="n"/>
      <c r="BF42" s="41" t="n"/>
      <c r="BG42" s="41" t="n"/>
    </row>
    <row r="43" hidden="1">
      <c r="A43" s="405" t="inlineStr">
        <is>
          <t>PIN BALÃO</t>
        </is>
      </c>
      <c r="B43" s="406" t="n">
        <v>25</v>
      </c>
      <c r="C43" s="663" t="n"/>
      <c r="D43" s="404" t="n"/>
      <c r="F43" s="39" t="n"/>
      <c r="G43" s="39" t="n"/>
      <c r="H43" s="39" t="n"/>
      <c r="I43" s="39" t="n"/>
      <c r="J43" s="39" t="n"/>
      <c r="K43" s="39" t="n"/>
      <c r="L43" s="39" t="n"/>
      <c r="M43" s="39" t="n"/>
      <c r="N43" s="39" t="n"/>
      <c r="O43" s="39" t="n"/>
      <c r="P43" s="39" t="n"/>
      <c r="Q43" s="39" t="n"/>
      <c r="R43" s="39" t="n"/>
      <c r="S43" s="39" t="n"/>
      <c r="T43" s="39" t="n"/>
      <c r="U43" s="39" t="n"/>
      <c r="V43" s="39" t="n"/>
      <c r="W43" s="39" t="n"/>
      <c r="X43" s="39" t="n"/>
      <c r="Y43" s="39" t="n"/>
      <c r="Z43" s="39" t="n"/>
      <c r="AA43" s="380">
        <f>Y43+IF(NOT(ISBLANK(OFFSET(AA43,0,6))),N(OFFSET(AA43,0,6)),N(OFFSET(AA43,0,7)))-Z43</f>
        <v/>
      </c>
      <c r="AC43" s="41" t="n"/>
      <c r="AG43" s="41" t="n"/>
      <c r="AH43" s="41" t="n"/>
      <c r="AI43" s="41" t="n"/>
      <c r="AJ43" s="41" t="n"/>
      <c r="AK43" s="41" t="n"/>
      <c r="AL43" s="41" t="n"/>
      <c r="AM43" s="41" t="n"/>
      <c r="AN43" s="41" t="n"/>
      <c r="AO43" s="41" t="n"/>
      <c r="AP43" s="11" t="n"/>
      <c r="AQ43" s="11" t="n"/>
      <c r="AR43" s="11" t="n"/>
      <c r="AS43" s="11" t="n"/>
      <c r="AT43" s="11" t="n"/>
      <c r="AU43" s="11" t="n"/>
      <c r="AV43" s="11" t="n"/>
      <c r="AW43" s="11" t="n"/>
      <c r="AY43" s="41" t="n"/>
      <c r="AZ43" s="41" t="n"/>
      <c r="BA43" s="41" t="n"/>
      <c r="BB43" s="41" t="n"/>
      <c r="BC43" s="41" t="n"/>
      <c r="BD43" s="41" t="n"/>
      <c r="BE43" s="41" t="n"/>
      <c r="BF43" s="41" t="n"/>
      <c r="BG43" s="41" t="n"/>
    </row>
    <row r="44" hidden="1">
      <c r="A44" s="405" t="inlineStr">
        <is>
          <t>PIN AMOR</t>
        </is>
      </c>
      <c r="B44" s="406" t="n">
        <v>25</v>
      </c>
      <c r="C44" s="663" t="n"/>
      <c r="D44" s="404" t="n"/>
      <c r="F44" s="39" t="n"/>
      <c r="G44" s="39" t="n"/>
      <c r="H44" s="39" t="n"/>
      <c r="I44" s="39" t="n"/>
      <c r="J44" s="39" t="n"/>
      <c r="K44" s="39" t="n"/>
      <c r="L44" s="39" t="n"/>
      <c r="M44" s="39" t="n"/>
      <c r="N44" s="39" t="n"/>
      <c r="O44" s="39" t="n"/>
      <c r="P44" s="39" t="n"/>
      <c r="Q44" s="39" t="n"/>
      <c r="R44" s="39" t="n"/>
      <c r="S44" s="39" t="n"/>
      <c r="T44" s="39" t="n"/>
      <c r="U44" s="39" t="n"/>
      <c r="V44" s="39" t="n"/>
      <c r="W44" s="39" t="n"/>
      <c r="X44" s="39" t="n"/>
      <c r="Y44" s="39" t="n"/>
      <c r="Z44" s="39" t="n"/>
      <c r="AA44" s="380">
        <f>Y44+IF(NOT(ISBLANK(OFFSET(AA44,0,6))),N(OFFSET(AA44,0,6)),N(OFFSET(AA44,0,7)))-Z44</f>
        <v/>
      </c>
      <c r="AC44" s="41" t="n"/>
      <c r="AG44" s="41" t="n"/>
      <c r="AH44" s="41" t="n"/>
      <c r="AI44" s="41" t="n"/>
      <c r="AJ44" s="41" t="n"/>
      <c r="AK44" s="41" t="n"/>
      <c r="AL44" s="41" t="n"/>
      <c r="AM44" s="41" t="n"/>
      <c r="AN44" s="41" t="n"/>
      <c r="AO44" s="41" t="n"/>
      <c r="AP44" s="11" t="n"/>
      <c r="AQ44" s="11" t="n"/>
      <c r="AR44" s="11" t="n"/>
      <c r="AS44" s="11" t="n"/>
      <c r="AT44" s="11" t="n"/>
      <c r="AU44" s="11" t="n"/>
      <c r="AV44" s="11" t="n"/>
      <c r="AW44" s="11" t="n"/>
      <c r="AY44" s="41" t="n"/>
      <c r="AZ44" s="41" t="n"/>
      <c r="BA44" s="41" t="n"/>
      <c r="BB44" s="41" t="n"/>
      <c r="BC44" s="41" t="n"/>
      <c r="BD44" s="41" t="n"/>
      <c r="BE44" s="41" t="n"/>
      <c r="BF44" s="41" t="n"/>
      <c r="BG44" s="41" t="n"/>
    </row>
    <row r="45" hidden="1">
      <c r="A45" s="412" t="inlineStr">
        <is>
          <t>CAIXA DORAMA/25</t>
        </is>
      </c>
      <c r="B45" s="413" t="n">
        <v>100</v>
      </c>
      <c r="C45" s="655" t="n">
        <v>841.1</v>
      </c>
      <c r="D45" s="404" t="n"/>
      <c r="F45" s="39" t="n">
        <v>1</v>
      </c>
      <c r="G45" s="39" t="n">
        <v>1</v>
      </c>
      <c r="H45" s="39" t="n">
        <v>1</v>
      </c>
      <c r="I45" s="39" t="n">
        <v>1</v>
      </c>
      <c r="J45" s="39" t="n">
        <v>1</v>
      </c>
      <c r="K45" s="39" t="n">
        <v>0</v>
      </c>
      <c r="L45" s="39" t="n">
        <v>0</v>
      </c>
      <c r="M45" s="39" t="n">
        <v>0</v>
      </c>
      <c r="N45" s="39" t="n">
        <v>0</v>
      </c>
      <c r="O45" s="39" t="n">
        <v>0</v>
      </c>
      <c r="P45" s="39" t="n">
        <v>0</v>
      </c>
      <c r="Q45" s="39" t="n">
        <v>0</v>
      </c>
      <c r="R45" s="39" t="n">
        <v>0</v>
      </c>
      <c r="S45" s="39" t="n"/>
      <c r="T45" s="39" t="n"/>
      <c r="U45" s="39" t="n"/>
      <c r="V45" s="39" t="n"/>
      <c r="W45" s="39" t="n"/>
      <c r="X45" s="39" t="n"/>
      <c r="Y45" s="39" t="n"/>
      <c r="Z45" s="39" t="n"/>
      <c r="AA45" s="380">
        <f>Y45+IF(NOT(ISBLANK(OFFSET(AA45,0,6))),N(OFFSET(AA45,0,6)),N(OFFSET(AA45,0,7)))-Z45</f>
        <v/>
      </c>
      <c r="AC45" s="41" t="n"/>
      <c r="AM45" s="41" t="n"/>
      <c r="AN45" s="41" t="n"/>
      <c r="AO45" s="41" t="n"/>
      <c r="AP45" s="11" t="n"/>
      <c r="AQ45" s="11" t="n"/>
      <c r="AR45" s="11" t="n"/>
      <c r="AS45" s="11" t="n"/>
      <c r="AT45" s="409" t="n"/>
      <c r="AU45" s="409" t="n"/>
      <c r="AV45" s="409" t="n"/>
      <c r="AW45" s="409" t="n"/>
    </row>
    <row r="46">
      <c r="A46" s="25" t="inlineStr">
        <is>
          <t>CAIXA P NATAL/25</t>
        </is>
      </c>
      <c r="B46" s="6" t="n">
        <v>150</v>
      </c>
      <c r="C46" s="639" t="n">
        <v>805.35</v>
      </c>
      <c r="D46" s="404" t="n"/>
      <c r="F46" s="6" t="n">
        <v>72</v>
      </c>
      <c r="G46" s="6" t="n">
        <v>40</v>
      </c>
      <c r="H46" s="6" t="n">
        <v>34</v>
      </c>
      <c r="I46" s="6" t="n">
        <v>32</v>
      </c>
      <c r="J46" s="6" t="n">
        <v>32</v>
      </c>
      <c r="K46" s="6" t="n">
        <v>32</v>
      </c>
      <c r="L46" s="6" t="n">
        <v>32</v>
      </c>
      <c r="M46" s="6" t="n">
        <v>30</v>
      </c>
      <c r="N46" s="6" t="n">
        <v>25</v>
      </c>
      <c r="O46" s="6" t="n">
        <v>21</v>
      </c>
      <c r="P46" s="6" t="n">
        <v>9</v>
      </c>
      <c r="Q46" s="6" t="n">
        <v>1</v>
      </c>
      <c r="R46" s="6" t="n">
        <v>1</v>
      </c>
      <c r="S46" s="6" t="n">
        <v>1</v>
      </c>
      <c r="T46" s="6" t="n">
        <v>1</v>
      </c>
      <c r="U46" s="6" t="n">
        <v>1</v>
      </c>
      <c r="V46" s="6" t="n">
        <v>1</v>
      </c>
      <c r="W46" s="6" t="n">
        <v>1</v>
      </c>
      <c r="X46" s="6" t="n">
        <v>1</v>
      </c>
      <c r="Y46" s="6" t="n">
        <v>0</v>
      </c>
      <c r="Z46" s="6" t="n">
        <v>0</v>
      </c>
      <c r="AA46" s="380">
        <f>Y46+IF(NOT(ISBLANK(OFFSET(AA46,0,6))),N(OFFSET(AA46,0,6)),N(OFFSET(AA46,0,7)))-Z46</f>
        <v/>
      </c>
      <c r="AC46" s="41" t="n"/>
      <c r="AP46" s="11" t="n"/>
      <c r="AQ46" s="11" t="n"/>
      <c r="AR46" s="11" t="n"/>
      <c r="AS46" s="11" t="n"/>
      <c r="AT46" s="409" t="n"/>
      <c r="AU46" s="409" t="n"/>
      <c r="AV46" s="409" t="n"/>
      <c r="AW46" s="409" t="n"/>
    </row>
    <row r="47" hidden="1">
      <c r="A47" s="25" t="inlineStr">
        <is>
          <t>CAIXA M NATAL/25</t>
        </is>
      </c>
      <c r="B47" s="6" t="n">
        <v>100</v>
      </c>
      <c r="C47" s="639" t="n">
        <v>792.2</v>
      </c>
      <c r="D47" s="404" t="n"/>
      <c r="F47" s="6" t="n">
        <v>87</v>
      </c>
      <c r="G47" s="6" t="n">
        <v>37</v>
      </c>
      <c r="H47" s="6" t="n">
        <v>33</v>
      </c>
      <c r="I47" s="6" t="n">
        <v>29</v>
      </c>
      <c r="J47" s="6" t="n">
        <v>19</v>
      </c>
      <c r="K47" s="6" t="n">
        <v>34</v>
      </c>
      <c r="L47" s="6" t="n">
        <v>28</v>
      </c>
      <c r="M47" s="6" t="n">
        <v>17</v>
      </c>
      <c r="N47" s="6" t="n">
        <v>17</v>
      </c>
      <c r="O47" s="6" t="n">
        <v>17</v>
      </c>
      <c r="P47" s="6" t="n">
        <v>7</v>
      </c>
      <c r="Q47" s="6" t="n">
        <v>0</v>
      </c>
      <c r="R47" s="6" t="n">
        <v>0</v>
      </c>
      <c r="S47" s="6" t="n"/>
      <c r="T47" s="6" t="n"/>
      <c r="U47" s="6" t="n"/>
      <c r="V47" s="6" t="n"/>
      <c r="W47" s="6" t="n"/>
      <c r="X47" s="6" t="n"/>
      <c r="Y47" s="6" t="n"/>
      <c r="Z47" s="6" t="n"/>
      <c r="AA47" s="26">
        <f>Y47+IF(NOT(ISBLANK(OFFSET(AA47,0,6))),N(OFFSET(AA47,0,6)),N(OFFSET(AA47,0,7)))-#REF!</f>
        <v/>
      </c>
      <c r="AC47" s="41" t="n"/>
      <c r="AG47" s="11" t="n"/>
      <c r="AH47" s="11" t="n"/>
      <c r="AI47" s="11" t="n"/>
      <c r="AJ47" s="11" t="n"/>
      <c r="AK47" s="11" t="n"/>
      <c r="AL47" s="11" t="n"/>
      <c r="AP47" s="11" t="n"/>
      <c r="AQ47" s="11" t="n"/>
      <c r="AR47" s="11" t="n"/>
      <c r="AS47" s="11" t="n"/>
      <c r="AT47" s="409" t="n"/>
      <c r="AU47" s="409" t="n"/>
      <c r="AV47" s="409" t="n"/>
      <c r="AW47" s="409" t="n"/>
    </row>
    <row r="48" hidden="1">
      <c r="A48" s="25" t="inlineStr">
        <is>
          <t>CARTUCHO P NATAL/25</t>
        </is>
      </c>
      <c r="B48" s="6" t="n">
        <v>200</v>
      </c>
      <c r="C48" s="639" t="n">
        <v>487.2</v>
      </c>
      <c r="D48" s="404" t="n"/>
      <c r="F48" s="6" t="n">
        <v>45</v>
      </c>
      <c r="G48" s="6" t="n">
        <v>6</v>
      </c>
      <c r="H48" s="381" t="n">
        <v>26</v>
      </c>
      <c r="I48" s="6" t="n">
        <v>15</v>
      </c>
      <c r="J48" s="6" t="n">
        <v>26</v>
      </c>
      <c r="K48" s="6" t="n">
        <v>14</v>
      </c>
      <c r="L48" s="6" t="n">
        <v>1</v>
      </c>
      <c r="M48" s="6" t="n">
        <v>0</v>
      </c>
      <c r="N48" s="6" t="n">
        <v>0</v>
      </c>
      <c r="O48" s="6" t="n">
        <v>0</v>
      </c>
      <c r="P48" s="6" t="n">
        <v>0</v>
      </c>
      <c r="Q48" s="6" t="n">
        <v>0</v>
      </c>
      <c r="R48" s="6" t="n">
        <v>0</v>
      </c>
      <c r="S48" s="6" t="n"/>
      <c r="T48" s="6" t="n"/>
      <c r="U48" s="6" t="n"/>
      <c r="V48" s="6" t="n"/>
      <c r="W48" s="6" t="n"/>
      <c r="X48" s="6" t="n"/>
      <c r="Y48" s="6" t="n"/>
      <c r="Z48" s="6" t="n"/>
      <c r="AA48" s="26">
        <f>Y48+IF(NOT(ISBLANK(OFFSET(AA48,0,6))),N(OFFSET(AA48,0,6)),N(OFFSET(AA48,0,7)))-#REF!</f>
        <v/>
      </c>
      <c r="AC48" s="41" t="n"/>
      <c r="AM48" s="11" t="n"/>
      <c r="AN48" s="11" t="n"/>
      <c r="AO48" s="11" t="n"/>
      <c r="AP48" s="11" t="n"/>
      <c r="AQ48" s="11" t="n"/>
      <c r="AR48" s="11" t="n"/>
      <c r="AS48" s="11" t="n"/>
      <c r="AT48" s="409" t="n"/>
      <c r="AU48" s="409" t="n"/>
      <c r="AV48" s="409" t="n"/>
      <c r="AW48" s="409" t="n"/>
    </row>
    <row r="49" hidden="1">
      <c r="A49" s="25" t="inlineStr">
        <is>
          <t>CARTUCHO M NATAL/25</t>
        </is>
      </c>
      <c r="B49" s="6" t="n">
        <v>150</v>
      </c>
      <c r="C49" s="639" t="n">
        <v>460.35</v>
      </c>
      <c r="D49" s="404" t="n"/>
      <c r="F49" s="6" t="n">
        <v>54</v>
      </c>
      <c r="G49" s="6" t="n">
        <v>17</v>
      </c>
      <c r="H49" s="6" t="n">
        <v>14</v>
      </c>
      <c r="I49" s="6" t="n">
        <v>4</v>
      </c>
      <c r="J49" s="6" t="n">
        <v>0</v>
      </c>
      <c r="K49" s="6" t="n">
        <v>0</v>
      </c>
      <c r="L49" s="6" t="n">
        <v>0</v>
      </c>
      <c r="M49" s="6" t="n">
        <v>0</v>
      </c>
      <c r="N49" s="6" t="n">
        <v>0</v>
      </c>
      <c r="O49" s="6" t="n">
        <v>0</v>
      </c>
      <c r="P49" s="6" t="n">
        <v>0</v>
      </c>
      <c r="Q49" s="6" t="n">
        <v>0</v>
      </c>
      <c r="R49" s="6" t="n">
        <v>0</v>
      </c>
      <c r="S49" s="6" t="n"/>
      <c r="T49" s="6" t="n"/>
      <c r="U49" s="6" t="n"/>
      <c r="V49" s="6" t="n"/>
      <c r="W49" s="6" t="n"/>
      <c r="X49" s="6" t="n"/>
      <c r="Y49" s="6" t="n"/>
      <c r="Z49" s="6" t="n"/>
      <c r="AA49" s="26">
        <f>Y49+IF(NOT(ISBLANK(OFFSET(AA49,0,6))),N(OFFSET(AA49,0,6)),N(OFFSET(AA49,0,7)))-#REF!</f>
        <v/>
      </c>
      <c r="AC49" s="41" t="n"/>
      <c r="AP49" s="11" t="n"/>
      <c r="AQ49" s="11" t="n"/>
      <c r="AR49" s="11" t="n"/>
      <c r="AS49" s="11" t="n"/>
      <c r="AT49" s="409" t="n"/>
      <c r="AU49" s="409" t="n"/>
      <c r="AV49" s="409" t="n"/>
      <c r="AW49" s="409" t="n"/>
    </row>
    <row r="50" hidden="1">
      <c r="A50" s="25" t="inlineStr">
        <is>
          <t>PIN NATAL/25</t>
        </is>
      </c>
      <c r="B50" s="6" t="n">
        <v>10</v>
      </c>
      <c r="C50" s="639" t="n">
        <v>120</v>
      </c>
      <c r="D50" s="404" t="n"/>
      <c r="F50" s="39" t="n">
        <v>10</v>
      </c>
      <c r="G50" s="39" t="n">
        <v>10</v>
      </c>
      <c r="H50" s="39" t="n">
        <v>10</v>
      </c>
      <c r="I50" s="39" t="n">
        <v>10</v>
      </c>
      <c r="J50" s="39" t="n">
        <v>0</v>
      </c>
      <c r="K50" s="39" t="n">
        <v>0</v>
      </c>
      <c r="L50" s="39" t="n">
        <v>0</v>
      </c>
      <c r="M50" s="39" t="n">
        <v>0</v>
      </c>
      <c r="N50" s="39" t="n">
        <v>0</v>
      </c>
      <c r="O50" s="39" t="n">
        <v>0</v>
      </c>
      <c r="P50" s="39" t="n">
        <v>0</v>
      </c>
      <c r="Q50" s="39" t="n">
        <v>0</v>
      </c>
      <c r="R50" s="39" t="n">
        <v>0</v>
      </c>
      <c r="S50" s="39" t="n"/>
      <c r="T50" s="39" t="n"/>
      <c r="U50" s="39" t="n"/>
      <c r="V50" s="39" t="n"/>
      <c r="W50" s="39" t="n"/>
      <c r="X50" s="39" t="n"/>
      <c r="Y50" s="39" t="n"/>
      <c r="Z50" s="39" t="n"/>
      <c r="AA50" s="26">
        <f>Y50+IF(NOT(ISBLANK(OFFSET(AA50,0,6))),N(OFFSET(AA50,0,6)),N(OFFSET(AA50,0,7)))-#REF!</f>
        <v/>
      </c>
      <c r="AC50" s="41" t="n"/>
      <c r="AP50" s="11" t="n"/>
      <c r="AQ50" s="11" t="n"/>
      <c r="AR50" s="11" t="n"/>
      <c r="AS50" s="11" t="n"/>
      <c r="AT50" s="409" t="n"/>
      <c r="AU50" s="409" t="n"/>
      <c r="AV50" s="409" t="n"/>
      <c r="AW50" s="409" t="n"/>
    </row>
    <row r="51">
      <c r="AC51" s="41" t="n"/>
      <c r="AP51" s="11" t="n"/>
      <c r="AQ51" s="11" t="n"/>
      <c r="AR51" s="11" t="n"/>
      <c r="AS51" s="11" t="n"/>
      <c r="AT51" s="409" t="n"/>
      <c r="AU51" s="409" t="n"/>
      <c r="AV51" s="409" t="n"/>
      <c r="AW51" s="409" t="n"/>
    </row>
    <row r="52" ht="21" customHeight="1">
      <c r="A52" s="402" t="inlineStr">
        <is>
          <t>SOBRAS DATAS COMEMORATIVAS</t>
        </is>
      </c>
      <c r="B52" s="402" t="n"/>
      <c r="C52" s="402" t="n"/>
      <c r="AC52" s="41" t="n"/>
      <c r="AP52" s="11" t="n"/>
      <c r="AQ52" s="11" t="n"/>
      <c r="AR52" s="11" t="n"/>
      <c r="AS52" s="11" t="n"/>
      <c r="AT52" s="41" t="n"/>
      <c r="AU52" s="41" t="n"/>
      <c r="AV52" s="41" t="n"/>
      <c r="AW52" s="41" t="n"/>
    </row>
    <row r="53">
      <c r="A53" s="369" t="inlineStr">
        <is>
          <t>ITENS</t>
        </is>
      </c>
      <c r="B53" s="369" t="inlineStr">
        <is>
          <t>QTDE</t>
        </is>
      </c>
      <c r="C53" s="369" t="inlineStr">
        <is>
          <t>ESTOQUE</t>
        </is>
      </c>
      <c r="E53" s="41" t="n"/>
      <c r="F53" s="41" t="n"/>
      <c r="G53" s="41" t="n"/>
      <c r="H53" s="41" t="n"/>
      <c r="I53" s="41" t="n"/>
      <c r="J53" s="41" t="n"/>
      <c r="K53" s="41" t="n"/>
      <c r="L53" s="41" t="n"/>
      <c r="M53" s="41" t="n"/>
      <c r="N53" s="41" t="n"/>
      <c r="O53" s="41" t="n"/>
      <c r="P53" s="41" t="n"/>
      <c r="Q53" s="41" t="n"/>
      <c r="R53" s="41" t="n"/>
      <c r="S53" s="41" t="n"/>
      <c r="T53" s="41" t="n"/>
      <c r="U53" s="41" t="n"/>
      <c r="V53" s="41" t="n"/>
      <c r="W53" s="41" t="n"/>
      <c r="X53" s="41" t="n"/>
      <c r="Y53" s="41" t="n"/>
      <c r="Z53" s="41" t="n"/>
      <c r="AA53" s="41" t="n"/>
      <c r="AB53" s="41" t="n"/>
      <c r="AC53" s="41" t="n"/>
      <c r="AD53" s="41" t="n"/>
      <c r="AF53" s="41" t="n"/>
      <c r="AP53" s="11" t="n"/>
      <c r="AQ53" s="11" t="n"/>
      <c r="AR53" s="11" t="n"/>
      <c r="AS53" s="11" t="n"/>
      <c r="AT53" s="41" t="n"/>
      <c r="AU53" s="41" t="n"/>
      <c r="AV53" s="41" t="n"/>
      <c r="AW53" s="41" t="n"/>
    </row>
    <row r="54">
      <c r="A54" s="186" t="inlineStr">
        <is>
          <t>TAG PAIS/24</t>
        </is>
      </c>
      <c r="B54" s="161" t="n"/>
      <c r="C54" s="162" t="n">
        <v>50</v>
      </c>
      <c r="F54" s="41" t="n"/>
      <c r="G54" s="41" t="n"/>
      <c r="H54" s="41" t="n"/>
      <c r="I54" s="41" t="n"/>
      <c r="J54" s="41" t="n"/>
      <c r="K54" s="41" t="n"/>
      <c r="L54" s="41" t="n"/>
      <c r="M54" s="41" t="n"/>
      <c r="N54" s="41" t="n"/>
      <c r="O54" s="41" t="n"/>
      <c r="P54" s="41" t="n"/>
      <c r="Q54" s="41" t="n"/>
      <c r="R54" s="41" t="n"/>
      <c r="S54" s="41" t="n"/>
      <c r="T54" s="41" t="n"/>
      <c r="U54" s="41" t="n"/>
      <c r="V54" s="41" t="n"/>
      <c r="W54" s="41" t="n"/>
      <c r="X54" s="41" t="n"/>
      <c r="Y54" s="41" t="n"/>
      <c r="Z54" s="41" t="n"/>
      <c r="AC54" s="41" t="n"/>
      <c r="AP54" s="11" t="n"/>
      <c r="AQ54" s="11" t="n"/>
      <c r="AR54" s="11" t="n"/>
      <c r="AS54" s="11" t="n"/>
      <c r="AT54" s="41" t="n"/>
      <c r="AU54" s="41" t="n"/>
      <c r="AV54" s="41" t="n"/>
      <c r="AW54" s="41" t="n"/>
    </row>
    <row r="55">
      <c r="A55" s="190" t="n"/>
      <c r="C55" s="382" t="n"/>
      <c r="D55" s="382" t="n"/>
      <c r="F55" s="41" t="n"/>
      <c r="G55" s="41" t="n"/>
      <c r="H55" s="41" t="n"/>
      <c r="I55" s="41" t="n"/>
      <c r="J55" s="41" t="n"/>
      <c r="K55" s="41" t="n"/>
      <c r="L55" s="41" t="n"/>
      <c r="M55" s="41" t="n"/>
      <c r="N55" s="41" t="n"/>
      <c r="O55" s="41" t="n"/>
      <c r="P55" s="41" t="n"/>
      <c r="Q55" s="41" t="n"/>
      <c r="R55" s="41" t="n"/>
      <c r="S55" s="41" t="n"/>
      <c r="T55" s="41" t="n"/>
      <c r="U55" s="41" t="n"/>
      <c r="V55" s="41" t="n"/>
      <c r="W55" s="41" t="n"/>
      <c r="X55" s="41" t="n"/>
      <c r="Y55" s="41" t="n"/>
      <c r="Z55" s="41" t="n"/>
      <c r="AC55" s="41" t="n"/>
      <c r="AP55" s="11" t="n"/>
      <c r="AQ55" s="11" t="n"/>
      <c r="AR55" s="11" t="n"/>
      <c r="AS55" s="11" t="n"/>
      <c r="AT55" s="41" t="n"/>
      <c r="AU55" s="41" t="n"/>
      <c r="AV55" s="41" t="n"/>
      <c r="AW55" s="41" t="n"/>
    </row>
    <row r="56">
      <c r="A56" s="642" t="inlineStr">
        <is>
          <t>FLACONETES</t>
        </is>
      </c>
      <c r="B56" s="625" t="n"/>
      <c r="C56" s="625" t="n"/>
      <c r="D56" s="641" t="n"/>
      <c r="F56" s="643" t="n">
        <v>46013</v>
      </c>
      <c r="G56" s="643" t="n">
        <v>46020</v>
      </c>
      <c r="H56" s="643" t="n">
        <v>46027</v>
      </c>
      <c r="I56" s="643" t="n">
        <v>46034</v>
      </c>
      <c r="J56" s="643" t="n">
        <v>46041</v>
      </c>
      <c r="K56" s="643" t="n">
        <v>46048</v>
      </c>
      <c r="L56" s="643" t="n">
        <v>46055</v>
      </c>
      <c r="M56" s="643" t="n">
        <v>46062</v>
      </c>
      <c r="N56" s="643" t="n">
        <v>46069</v>
      </c>
      <c r="O56" s="643" t="n">
        <v>46076</v>
      </c>
      <c r="P56" s="643" t="n">
        <v>46083</v>
      </c>
      <c r="Q56" s="643" t="n">
        <v>46090</v>
      </c>
      <c r="R56" s="643" t="n">
        <v>46097</v>
      </c>
      <c r="S56" s="643" t="n">
        <v>46104</v>
      </c>
      <c r="T56" s="643" t="n">
        <v>46111</v>
      </c>
      <c r="U56" s="643" t="n">
        <v>46118</v>
      </c>
      <c r="V56" s="643" t="n">
        <v>46125</v>
      </c>
      <c r="W56" s="643" t="n">
        <v>46132</v>
      </c>
      <c r="X56" s="643" t="n">
        <v>46139</v>
      </c>
      <c r="Y56" s="643" t="n">
        <v>46146</v>
      </c>
      <c r="Z56" s="643" t="n">
        <v>46154</v>
      </c>
      <c r="AC56" s="41" t="n"/>
      <c r="AP56" s="11" t="n"/>
      <c r="AQ56" s="11" t="n"/>
      <c r="AR56" s="11" t="n"/>
      <c r="AS56" s="11" t="n"/>
      <c r="AT56" s="41" t="n"/>
      <c r="AU56" s="41" t="n"/>
      <c r="AV56" s="41" t="n"/>
      <c r="AW56" s="41" t="n"/>
    </row>
    <row r="57" hidden="1" ht="18.75" customHeight="1">
      <c r="A57" s="645" t="inlineStr">
        <is>
          <t>FEMININA</t>
        </is>
      </c>
      <c r="B57" s="625" t="n"/>
      <c r="C57" s="625" t="n"/>
      <c r="D57" s="641" t="n"/>
      <c r="F57" s="366" t="n"/>
      <c r="G57" s="366" t="n"/>
      <c r="H57" s="366" t="n"/>
      <c r="I57" s="366" t="n"/>
      <c r="J57" s="366" t="n"/>
      <c r="K57" s="366" t="n"/>
      <c r="L57" s="366" t="n"/>
      <c r="M57" s="366" t="n"/>
      <c r="N57" s="366" t="n"/>
      <c r="O57" s="366" t="n"/>
      <c r="P57" s="366" t="n"/>
      <c r="Q57" s="366" t="n"/>
      <c r="R57" s="366" t="n"/>
      <c r="S57" s="366" t="n"/>
      <c r="T57" s="366" t="n"/>
      <c r="U57" s="366" t="n"/>
      <c r="V57" s="366" t="n"/>
      <c r="W57" s="366" t="n"/>
      <c r="X57" s="366" t="n"/>
      <c r="Y57" s="366" t="n"/>
      <c r="Z57" s="366" t="n"/>
      <c r="AC57" s="41" t="n"/>
      <c r="AP57" s="11" t="n"/>
      <c r="AQ57" s="11" t="n"/>
      <c r="AR57" s="11" t="n"/>
      <c r="AS57" s="11" t="n"/>
      <c r="AT57" s="11" t="n"/>
      <c r="AU57" s="11" t="n"/>
      <c r="AV57" s="11" t="n"/>
      <c r="AW57" s="11" t="n"/>
    </row>
    <row r="58" hidden="1" ht="18.75" customHeight="1">
      <c r="A58" s="645" t="inlineStr">
        <is>
          <t>MASCULINA</t>
        </is>
      </c>
      <c r="B58" s="625" t="n"/>
      <c r="C58" s="625" t="n"/>
      <c r="D58" s="641" t="n"/>
      <c r="F58" s="366" t="n"/>
      <c r="G58" s="366" t="n"/>
      <c r="H58" s="366" t="n"/>
      <c r="I58" s="366" t="n"/>
      <c r="J58" s="366" t="n"/>
      <c r="K58" s="366" t="n"/>
      <c r="L58" s="366" t="n"/>
      <c r="M58" s="366" t="n"/>
      <c r="N58" s="366" t="n"/>
      <c r="O58" s="366" t="n"/>
      <c r="P58" s="366" t="n"/>
      <c r="Q58" s="366" t="n"/>
      <c r="R58" s="366" t="n"/>
      <c r="S58" s="366" t="n"/>
      <c r="T58" s="366" t="n"/>
      <c r="U58" s="366" t="n"/>
      <c r="V58" s="366" t="n"/>
      <c r="W58" s="366" t="n"/>
      <c r="X58" s="366" t="n"/>
      <c r="Y58" s="366" t="n"/>
      <c r="Z58" s="366" t="n"/>
      <c r="AC58" s="41" t="n"/>
      <c r="AP58" s="11" t="n"/>
      <c r="AQ58" s="11" t="n"/>
      <c r="AR58" s="11" t="n"/>
      <c r="AS58" s="11" t="n"/>
      <c r="AT58" s="357" t="n"/>
      <c r="AU58" s="357" t="n"/>
      <c r="AV58" s="357" t="n"/>
      <c r="AW58" s="357" t="n"/>
    </row>
    <row r="59" hidden="1" ht="18.75" customHeight="1">
      <c r="A59" s="645" t="inlineStr">
        <is>
          <t>FACIAL</t>
        </is>
      </c>
      <c r="B59" s="625" t="n"/>
      <c r="C59" s="625" t="n"/>
      <c r="D59" s="641" t="n"/>
      <c r="F59" s="366" t="n"/>
      <c r="G59" s="366" t="n"/>
      <c r="H59" s="366" t="n"/>
      <c r="I59" s="366" t="n"/>
      <c r="J59" s="366" t="n"/>
      <c r="K59" s="366" t="n"/>
      <c r="L59" s="366" t="n"/>
      <c r="M59" s="366" t="n"/>
      <c r="N59" s="366" t="n"/>
      <c r="O59" s="366" t="n"/>
      <c r="P59" s="366" t="n"/>
      <c r="Q59" s="366" t="n"/>
      <c r="R59" s="366" t="n"/>
      <c r="S59" s="366" t="n"/>
      <c r="T59" s="366" t="n"/>
      <c r="U59" s="366" t="n"/>
      <c r="V59" s="366" t="n"/>
      <c r="W59" s="366" t="n"/>
      <c r="X59" s="366" t="n"/>
      <c r="Y59" s="366" t="n"/>
      <c r="Z59" s="366" t="n"/>
      <c r="AC59" s="41" t="n"/>
      <c r="AP59" s="11" t="n"/>
      <c r="AQ59" s="11" t="n"/>
      <c r="AR59" s="11" t="n"/>
      <c r="AS59" s="11" t="n"/>
      <c r="AT59" s="357" t="n"/>
      <c r="AU59" s="357" t="n"/>
      <c r="AV59" s="357" t="n"/>
      <c r="AW59" s="357" t="n"/>
    </row>
    <row r="60" hidden="1" ht="18.75" customHeight="1">
      <c r="A60" s="645" t="inlineStr">
        <is>
          <t>214 F. PARADISE MASC</t>
        </is>
      </c>
      <c r="B60" s="625" t="n"/>
      <c r="C60" s="625" t="n"/>
      <c r="D60" s="641" t="n"/>
      <c r="F60" s="366" t="n"/>
      <c r="G60" s="366" t="n"/>
      <c r="H60" s="366" t="n"/>
      <c r="I60" s="366" t="n"/>
      <c r="J60" s="366" t="n"/>
      <c r="K60" s="366" t="n"/>
      <c r="L60" s="366" t="n"/>
      <c r="M60" s="366" t="n"/>
      <c r="N60" s="366" t="n"/>
      <c r="O60" s="366" t="n"/>
      <c r="P60" s="366" t="n"/>
      <c r="Q60" s="366" t="n"/>
      <c r="R60" s="366" t="n"/>
      <c r="S60" s="366" t="n"/>
      <c r="T60" s="366" t="n"/>
      <c r="U60" s="366" t="n"/>
      <c r="V60" s="366" t="n"/>
      <c r="W60" s="366" t="n"/>
      <c r="X60" s="366" t="n"/>
      <c r="Y60" s="366" t="n"/>
      <c r="Z60" s="366" t="n"/>
      <c r="AC60" s="41" t="n"/>
      <c r="AP60" s="11" t="n"/>
      <c r="AQ60" s="11" t="n"/>
      <c r="AR60" s="11" t="n"/>
      <c r="AS60" s="11" t="n"/>
    </row>
    <row r="61" hidden="1" ht="18.75" customHeight="1">
      <c r="A61" s="645" t="inlineStr">
        <is>
          <t>CELEBRE AGORA MASC</t>
        </is>
      </c>
      <c r="B61" s="625" t="n"/>
      <c r="C61" s="625" t="n"/>
      <c r="D61" s="641" t="n"/>
      <c r="F61" s="366" t="n"/>
      <c r="G61" s="366" t="n"/>
      <c r="H61" s="366" t="n"/>
      <c r="I61" s="366" t="n"/>
      <c r="J61" s="366" t="n"/>
      <c r="K61" s="366" t="n"/>
      <c r="L61" s="366" t="n"/>
      <c r="M61" s="366" t="n"/>
      <c r="N61" s="366" t="n"/>
      <c r="O61" s="366" t="n"/>
      <c r="P61" s="366" t="n"/>
      <c r="Q61" s="366" t="n"/>
      <c r="R61" s="366" t="n"/>
      <c r="S61" s="366" t="n"/>
      <c r="T61" s="366" t="n"/>
      <c r="U61" s="366" t="n"/>
      <c r="V61" s="366" t="n"/>
      <c r="W61" s="366" t="n"/>
      <c r="X61" s="366" t="n"/>
      <c r="Y61" s="366" t="n"/>
      <c r="Z61" s="366" t="n"/>
      <c r="AC61" s="41" t="n"/>
      <c r="AP61" s="11" t="n"/>
      <c r="AQ61" s="11" t="n"/>
      <c r="AR61" s="11" t="n"/>
      <c r="AS61" s="11" t="n"/>
    </row>
    <row r="62" hidden="1" ht="18.75" customHeight="1">
      <c r="A62" s="645" t="inlineStr">
        <is>
          <t>EGEO FREE FIRE</t>
        </is>
      </c>
      <c r="B62" s="625" t="n"/>
      <c r="C62" s="625" t="n"/>
      <c r="D62" s="641" t="n"/>
      <c r="F62" s="366" t="n"/>
      <c r="G62" s="366" t="n"/>
      <c r="H62" s="366" t="n"/>
      <c r="I62" s="366" t="n"/>
      <c r="J62" s="366" t="n"/>
      <c r="K62" s="366" t="n"/>
      <c r="L62" s="366" t="n"/>
      <c r="M62" s="366" t="n"/>
      <c r="N62" s="366" t="n"/>
      <c r="O62" s="366" t="n"/>
      <c r="P62" s="366" t="n"/>
      <c r="Q62" s="366" t="n"/>
      <c r="R62" s="366" t="n"/>
      <c r="S62" s="366" t="n"/>
      <c r="T62" s="366" t="n"/>
      <c r="U62" s="366" t="n"/>
      <c r="V62" s="366" t="n"/>
      <c r="W62" s="366" t="n"/>
      <c r="X62" s="366" t="n"/>
      <c r="Y62" s="366" t="n"/>
      <c r="Z62" s="366" t="n"/>
      <c r="AP62" s="11" t="n"/>
      <c r="AQ62" s="11" t="n"/>
      <c r="AR62" s="11" t="n"/>
      <c r="AS62" s="11" t="n"/>
    </row>
    <row r="63" hidden="1" ht="18.75" customHeight="1">
      <c r="A63" s="645" t="inlineStr">
        <is>
          <t>GLAMOUR MIDNIGHT</t>
        </is>
      </c>
      <c r="B63" s="625" t="n"/>
      <c r="C63" s="625" t="n"/>
      <c r="D63" s="641" t="n"/>
      <c r="F63" s="366" t="n"/>
      <c r="G63" s="366" t="n"/>
      <c r="H63" s="366" t="n"/>
      <c r="I63" s="366" t="n"/>
      <c r="J63" s="366" t="n"/>
      <c r="K63" s="366" t="n"/>
      <c r="L63" s="366" t="n"/>
      <c r="M63" s="366" t="n"/>
      <c r="N63" s="366" t="n"/>
      <c r="O63" s="366" t="n"/>
      <c r="P63" s="366" t="n"/>
      <c r="Q63" s="366" t="n"/>
      <c r="R63" s="366" t="n"/>
      <c r="S63" s="366" t="n"/>
      <c r="T63" s="366" t="n"/>
      <c r="U63" s="366" t="n"/>
      <c r="V63" s="366" t="n"/>
      <c r="W63" s="366" t="n"/>
      <c r="X63" s="366" t="n"/>
      <c r="Y63" s="366" t="n"/>
      <c r="Z63" s="366" t="n"/>
      <c r="AC63" s="355" t="n"/>
      <c r="AP63" s="11" t="n"/>
      <c r="AQ63" s="11" t="n"/>
      <c r="AR63" s="11" t="n"/>
      <c r="AS63" s="11" t="n"/>
    </row>
    <row r="64" hidden="1" ht="18.75" customHeight="1">
      <c r="A64" s="645" t="inlineStr">
        <is>
          <t>CELEBRE AGORA FEM</t>
        </is>
      </c>
      <c r="B64" s="625" t="n"/>
      <c r="C64" s="625" t="n"/>
      <c r="D64" s="641" t="n"/>
      <c r="F64" s="366" t="n"/>
      <c r="G64" s="366" t="n"/>
      <c r="H64" s="366" t="n"/>
      <c r="I64" s="366" t="n"/>
      <c r="J64" s="366" t="n"/>
      <c r="K64" s="366" t="n"/>
      <c r="L64" s="366" t="n"/>
      <c r="M64" s="366" t="n"/>
      <c r="N64" s="366" t="n"/>
      <c r="O64" s="366" t="n"/>
      <c r="P64" s="366" t="n"/>
      <c r="Q64" s="366" t="n"/>
      <c r="R64" s="366" t="n"/>
      <c r="S64" s="366" t="n"/>
      <c r="T64" s="366" t="n"/>
      <c r="U64" s="366" t="n"/>
      <c r="V64" s="366" t="n"/>
      <c r="W64" s="366" t="n"/>
      <c r="X64" s="366" t="n"/>
      <c r="Y64" s="366" t="n"/>
      <c r="Z64" s="366" t="n"/>
      <c r="AC64" s="355" t="n"/>
      <c r="AP64" s="11" t="n"/>
      <c r="AQ64" s="11" t="n"/>
      <c r="AR64" s="11" t="n"/>
      <c r="AS64" s="11" t="n"/>
      <c r="AT64" s="11" t="n"/>
      <c r="AU64" s="11" t="n"/>
      <c r="AV64" s="11" t="n"/>
      <c r="AW64" s="11" t="n"/>
    </row>
    <row r="65" hidden="1" ht="18.75" customHeight="1">
      <c r="A65" s="645" t="inlineStr">
        <is>
          <t>214 F. PARADISE FEM</t>
        </is>
      </c>
      <c r="B65" s="625" t="n"/>
      <c r="C65" s="625" t="n"/>
      <c r="D65" s="641" t="n"/>
      <c r="F65" s="366" t="n"/>
      <c r="G65" s="366" t="n"/>
      <c r="H65" s="366" t="n"/>
      <c r="I65" s="366" t="n"/>
      <c r="J65" s="366" t="n"/>
      <c r="K65" s="366" t="n"/>
      <c r="L65" s="366" t="n"/>
      <c r="M65" s="366" t="n"/>
      <c r="N65" s="366" t="n"/>
      <c r="O65" s="366" t="n"/>
      <c r="P65" s="366" t="n"/>
      <c r="Q65" s="366" t="n"/>
      <c r="R65" s="366" t="n"/>
      <c r="S65" s="366" t="n"/>
      <c r="T65" s="366" t="n"/>
      <c r="U65" s="366" t="n"/>
      <c r="V65" s="366" t="n"/>
      <c r="W65" s="366" t="n"/>
      <c r="X65" s="366" t="n"/>
      <c r="Y65" s="366" t="n"/>
      <c r="Z65" s="366" t="n"/>
      <c r="AC65" s="355" t="n"/>
      <c r="AP65" s="11" t="n"/>
      <c r="AQ65" s="11" t="n"/>
      <c r="AR65" s="11" t="n"/>
      <c r="AS65" s="11" t="n"/>
      <c r="AT65" s="11" t="n"/>
      <c r="AU65" s="11" t="n"/>
      <c r="AV65" s="11" t="n"/>
      <c r="AW65" s="11" t="n"/>
    </row>
    <row r="66" hidden="1" ht="18.75" customHeight="1">
      <c r="A66" s="645" t="inlineStr">
        <is>
          <t>VITAMINA C</t>
        </is>
      </c>
      <c r="B66" s="625" t="n"/>
      <c r="C66" s="625" t="n"/>
      <c r="D66" s="641" t="n"/>
      <c r="F66" s="366" t="n"/>
      <c r="G66" s="366" t="n"/>
      <c r="H66" s="366" t="n"/>
      <c r="I66" s="366" t="n"/>
      <c r="J66" s="366" t="n"/>
      <c r="K66" s="366" t="n"/>
      <c r="L66" s="366" t="n"/>
      <c r="M66" s="366" t="n"/>
      <c r="N66" s="366" t="n"/>
      <c r="O66" s="366" t="n"/>
      <c r="P66" s="366" t="n"/>
      <c r="Q66" s="366" t="n"/>
      <c r="R66" s="366" t="n"/>
      <c r="S66" s="366" t="n"/>
      <c r="T66" s="366" t="n"/>
      <c r="U66" s="366" t="n"/>
      <c r="V66" s="366" t="n"/>
      <c r="W66" s="366" t="n"/>
      <c r="X66" s="366" t="n"/>
      <c r="Y66" s="366" t="n"/>
      <c r="Z66" s="366" t="n"/>
      <c r="AP66" s="11" t="n"/>
      <c r="AQ66" s="11" t="n"/>
      <c r="AR66" s="11" t="n"/>
      <c r="AS66" s="11" t="n"/>
      <c r="AT66" s="11" t="n"/>
      <c r="AU66" s="11" t="n"/>
      <c r="AV66" s="11" t="n"/>
      <c r="AW66" s="11" t="n"/>
    </row>
    <row r="67" hidden="1" ht="18.75" customHeight="1">
      <c r="A67" s="645" t="inlineStr">
        <is>
          <t>ÁCIDO MANDÉLICO</t>
        </is>
      </c>
      <c r="B67" s="625" t="n"/>
      <c r="C67" s="625" t="n"/>
      <c r="D67" s="641" t="n"/>
      <c r="F67" s="366" t="n"/>
      <c r="G67" s="366" t="n"/>
      <c r="H67" s="366" t="n"/>
      <c r="I67" s="366" t="n"/>
      <c r="J67" s="366" t="n"/>
      <c r="K67" s="366" t="n"/>
      <c r="L67" s="366" t="n"/>
      <c r="M67" s="366" t="n"/>
      <c r="N67" s="366" t="n"/>
      <c r="O67" s="366" t="n"/>
      <c r="P67" s="366" t="n"/>
      <c r="Q67" s="366" t="n"/>
      <c r="R67" s="366" t="n"/>
      <c r="S67" s="366" t="n"/>
      <c r="T67" s="366" t="n"/>
      <c r="U67" s="366" t="n"/>
      <c r="V67" s="366" t="n"/>
      <c r="W67" s="366" t="n"/>
      <c r="X67" s="366" t="n"/>
      <c r="Y67" s="366" t="n"/>
      <c r="Z67" s="366" t="n"/>
      <c r="AP67" s="409" t="n"/>
      <c r="AQ67" s="409" t="n"/>
      <c r="AR67" s="409" t="n"/>
      <c r="AS67" s="409" t="n"/>
    </row>
    <row r="68" hidden="1" ht="18.75" customHeight="1">
      <c r="A68" s="645" t="inlineStr">
        <is>
          <t>ÁCIDO HIALURONICO</t>
        </is>
      </c>
      <c r="B68" s="625" t="n"/>
      <c r="C68" s="625" t="n"/>
      <c r="D68" s="641" t="n"/>
      <c r="F68" s="366" t="n"/>
      <c r="G68" s="366" t="n"/>
      <c r="H68" s="366" t="n"/>
      <c r="I68" s="366" t="n"/>
      <c r="J68" s="366" t="n"/>
      <c r="K68" s="366" t="n"/>
      <c r="L68" s="366" t="n"/>
      <c r="M68" s="366" t="n"/>
      <c r="N68" s="366" t="n"/>
      <c r="O68" s="366" t="n"/>
      <c r="P68" s="366" t="n"/>
      <c r="Q68" s="366" t="n"/>
      <c r="R68" s="366" t="n"/>
      <c r="S68" s="366" t="n"/>
      <c r="T68" s="366" t="n"/>
      <c r="U68" s="366" t="n"/>
      <c r="V68" s="366" t="n"/>
      <c r="W68" s="366" t="n"/>
      <c r="X68" s="366" t="n"/>
      <c r="Y68" s="366" t="n"/>
      <c r="Z68" s="366" t="n"/>
      <c r="AP68" s="409" t="n"/>
      <c r="AQ68" s="409" t="n"/>
      <c r="AR68" s="409" t="n"/>
      <c r="AS68" s="409" t="n"/>
    </row>
    <row r="69" hidden="1" ht="18.75" customHeight="1">
      <c r="A69" s="645" t="inlineStr">
        <is>
          <t>HER CODE</t>
        </is>
      </c>
      <c r="B69" s="625" t="n"/>
      <c r="C69" s="625" t="n"/>
      <c r="D69" s="641" t="n"/>
      <c r="F69" s="366" t="n"/>
      <c r="G69" s="366" t="n"/>
      <c r="H69" s="366" t="n"/>
      <c r="I69" s="366" t="n"/>
      <c r="J69" s="366" t="n"/>
      <c r="K69" s="366" t="n"/>
      <c r="L69" s="366" t="n"/>
      <c r="M69" s="366" t="n"/>
      <c r="N69" s="366" t="n"/>
      <c r="O69" s="366" t="n"/>
      <c r="P69" s="366" t="n"/>
      <c r="Q69" s="366" t="n"/>
      <c r="R69" s="366" t="n"/>
      <c r="S69" s="366" t="n"/>
      <c r="T69" s="366" t="n"/>
      <c r="U69" s="366" t="n"/>
      <c r="V69" s="366" t="n"/>
      <c r="W69" s="366" t="n"/>
      <c r="X69" s="366" t="n"/>
      <c r="Y69" s="366" t="n"/>
      <c r="Z69" s="366" t="n"/>
      <c r="AP69" s="41" t="n"/>
      <c r="AQ69" s="41" t="n"/>
      <c r="AR69" s="41" t="n"/>
      <c r="AS69" s="41" t="n"/>
    </row>
    <row r="70" hidden="1" ht="18.75" customHeight="1">
      <c r="A70" s="645" t="inlineStr">
        <is>
          <t xml:space="preserve">anti queda </t>
        </is>
      </c>
      <c r="B70" s="625" t="n"/>
      <c r="C70" s="625" t="n"/>
      <c r="D70" s="641" t="n"/>
      <c r="F70" s="366" t="n"/>
      <c r="G70" s="366" t="n"/>
      <c r="H70" s="366" t="n"/>
      <c r="I70" s="366" t="n"/>
      <c r="J70" s="366" t="n"/>
      <c r="K70" s="366" t="n"/>
      <c r="L70" s="366" t="n"/>
      <c r="M70" s="366" t="n"/>
      <c r="N70" s="366" t="n"/>
      <c r="O70" s="366" t="n"/>
      <c r="P70" s="366" t="n"/>
      <c r="Q70" s="366" t="n"/>
      <c r="R70" s="366" t="n"/>
      <c r="S70" s="366" t="n"/>
      <c r="T70" s="366" t="n"/>
      <c r="U70" s="366" t="n"/>
      <c r="V70" s="366" t="n"/>
      <c r="W70" s="366" t="n"/>
      <c r="X70" s="366" t="n"/>
      <c r="Y70" s="366" t="n"/>
      <c r="Z70" s="366" t="n"/>
      <c r="AP70" s="41" t="n"/>
      <c r="AQ70" s="41" t="n"/>
      <c r="AR70" s="41" t="n"/>
      <c r="AS70" s="41" t="n"/>
    </row>
    <row r="71" hidden="1" ht="18.75" customHeight="1">
      <c r="A71" s="645" t="inlineStr">
        <is>
          <t>poliglutamico</t>
        </is>
      </c>
      <c r="B71" s="625" t="n"/>
      <c r="C71" s="625" t="n"/>
      <c r="D71" s="641" t="n"/>
      <c r="F71" s="366" t="n"/>
      <c r="G71" s="366" t="n"/>
      <c r="H71" s="366" t="n"/>
      <c r="I71" s="366" t="n"/>
      <c r="J71" s="366" t="n"/>
      <c r="K71" s="366" t="n"/>
      <c r="L71" s="366" t="n"/>
      <c r="M71" s="366" t="n"/>
      <c r="N71" s="366" t="n"/>
      <c r="O71" s="366" t="n"/>
      <c r="P71" s="366" t="n"/>
      <c r="Q71" s="366" t="n"/>
      <c r="R71" s="366" t="n"/>
      <c r="S71" s="366" t="n"/>
      <c r="T71" s="366" t="n"/>
      <c r="U71" s="366" t="n"/>
      <c r="V71" s="366" t="n"/>
      <c r="W71" s="366" t="n"/>
      <c r="X71" s="366" t="n"/>
      <c r="Y71" s="366" t="n"/>
      <c r="Z71" s="366" t="n"/>
      <c r="AP71" s="41" t="n"/>
      <c r="AQ71" s="41" t="n"/>
      <c r="AR71" s="41" t="n"/>
      <c r="AS71" s="41" t="n"/>
    </row>
    <row r="72" hidden="1" ht="18.75" customHeight="1">
      <c r="A72" s="645" t="inlineStr">
        <is>
          <t>anti caspa</t>
        </is>
      </c>
      <c r="B72" s="625" t="n"/>
      <c r="C72" s="625" t="n"/>
      <c r="D72" s="641" t="n"/>
      <c r="F72" s="366" t="n"/>
      <c r="G72" s="366" t="n"/>
      <c r="H72" s="366" t="n"/>
      <c r="I72" s="366" t="n"/>
      <c r="J72" s="366" t="n"/>
      <c r="K72" s="366" t="n"/>
      <c r="L72" s="366" t="n"/>
      <c r="M72" s="366" t="n"/>
      <c r="N72" s="366" t="n"/>
      <c r="O72" s="366" t="n"/>
      <c r="P72" s="366" t="n"/>
      <c r="Q72" s="366" t="n"/>
      <c r="R72" s="366" t="n"/>
      <c r="S72" s="366" t="n"/>
      <c r="T72" s="366" t="n"/>
      <c r="U72" s="366" t="n"/>
      <c r="V72" s="366" t="n"/>
      <c r="W72" s="366" t="n"/>
      <c r="X72" s="366" t="n"/>
      <c r="Y72" s="366" t="n"/>
      <c r="Z72" s="366" t="n"/>
      <c r="AP72" s="41" t="n"/>
      <c r="AQ72" s="41" t="n"/>
      <c r="AR72" s="41" t="n"/>
      <c r="AS72" s="41" t="n"/>
    </row>
    <row r="73" hidden="1" ht="18.75" customHeight="1">
      <c r="A73" s="645" t="inlineStr">
        <is>
          <t>portinari</t>
        </is>
      </c>
      <c r="B73" s="625" t="n"/>
      <c r="C73" s="625" t="n"/>
      <c r="D73" s="641" t="n"/>
      <c r="F73" s="366" t="n"/>
      <c r="G73" s="366" t="n"/>
      <c r="H73" s="366" t="n"/>
      <c r="I73" s="366" t="n"/>
      <c r="J73" s="366" t="n"/>
      <c r="K73" s="366" t="n"/>
      <c r="L73" s="366" t="n"/>
      <c r="M73" s="366" t="n"/>
      <c r="N73" s="366" t="n"/>
      <c r="O73" s="366" t="n"/>
      <c r="P73" s="366" t="n"/>
      <c r="Q73" s="366" t="n"/>
      <c r="R73" s="366" t="n"/>
      <c r="S73" s="366" t="n"/>
      <c r="T73" s="366" t="n"/>
      <c r="U73" s="366" t="n"/>
      <c r="V73" s="366" t="n"/>
      <c r="W73" s="366" t="n"/>
      <c r="X73" s="366" t="n"/>
      <c r="Y73" s="366" t="n"/>
      <c r="Z73" s="366" t="n"/>
      <c r="AP73" s="41" t="n"/>
      <c r="AQ73" s="41" t="n"/>
      <c r="AR73" s="41" t="n"/>
      <c r="AS73" s="41" t="n"/>
    </row>
    <row r="74" hidden="1" ht="18.75" customHeight="1">
      <c r="A74" s="645" t="inlineStr">
        <is>
          <t>LILY SOLEIL</t>
        </is>
      </c>
      <c r="B74" s="625" t="n"/>
      <c r="C74" s="625" t="n"/>
      <c r="D74" s="641" t="n"/>
      <c r="F74" s="366" t="n"/>
      <c r="G74" s="366" t="n"/>
      <c r="H74" s="366" t="n"/>
      <c r="I74" s="366" t="n"/>
      <c r="J74" s="366" t="n"/>
      <c r="K74" s="366" t="n"/>
      <c r="L74" s="366" t="n"/>
      <c r="M74" s="366" t="n"/>
      <c r="N74" s="366" t="n"/>
      <c r="O74" s="366" t="n"/>
      <c r="P74" s="366" t="n"/>
      <c r="Q74" s="366" t="n"/>
      <c r="R74" s="366" t="n"/>
      <c r="S74" s="366" t="n"/>
      <c r="T74" s="366" t="n"/>
      <c r="U74" s="366" t="n"/>
      <c r="V74" s="366" t="n"/>
      <c r="W74" s="366" t="n"/>
      <c r="X74" s="366" t="n"/>
      <c r="Y74" s="366" t="n"/>
      <c r="Z74" s="366" t="n"/>
      <c r="AP74" s="11" t="n"/>
      <c r="AQ74" s="11" t="n"/>
      <c r="AR74" s="11" t="n"/>
      <c r="AS74" s="11" t="n"/>
    </row>
    <row r="75" hidden="1" ht="18.75" customHeight="1">
      <c r="A75" s="645" t="inlineStr">
        <is>
          <t>QUASAR  VISION</t>
        </is>
      </c>
      <c r="B75" s="625" t="n"/>
      <c r="C75" s="625" t="n"/>
      <c r="D75" s="641" t="n"/>
      <c r="F75" s="366" t="n"/>
      <c r="G75" s="366" t="n"/>
      <c r="H75" s="366" t="n"/>
      <c r="I75" s="366" t="n"/>
      <c r="J75" s="366" t="n"/>
      <c r="K75" s="366" t="n"/>
      <c r="L75" s="366" t="n"/>
      <c r="M75" s="366" t="n"/>
      <c r="N75" s="366" t="n"/>
      <c r="O75" s="366" t="n"/>
      <c r="P75" s="366" t="n"/>
      <c r="Q75" s="366" t="n"/>
      <c r="R75" s="366" t="n"/>
      <c r="S75" s="366" t="n"/>
      <c r="T75" s="366" t="n"/>
      <c r="U75" s="366" t="n"/>
      <c r="V75" s="366" t="n"/>
      <c r="W75" s="366" t="n"/>
      <c r="X75" s="366" t="n"/>
      <c r="Y75" s="366" t="n"/>
      <c r="Z75" s="366" t="n"/>
      <c r="AP75" s="357" t="n"/>
      <c r="AQ75" s="357" t="n"/>
      <c r="AR75" s="357" t="n"/>
      <c r="AS75" s="357" t="n"/>
    </row>
    <row r="76" hidden="1" ht="18.75" customHeight="1">
      <c r="A76" s="645" t="inlineStr">
        <is>
          <t>BOTI BABY</t>
        </is>
      </c>
      <c r="B76" s="625" t="n"/>
      <c r="C76" s="625" t="n"/>
      <c r="D76" s="641" t="n"/>
      <c r="F76" s="366" t="n"/>
      <c r="G76" s="366" t="n"/>
      <c r="H76" s="366" t="n"/>
      <c r="I76" s="366" t="n"/>
      <c r="J76" s="366" t="n"/>
      <c r="K76" s="366" t="n"/>
      <c r="L76" s="366" t="n"/>
      <c r="M76" s="366" t="n"/>
      <c r="N76" s="366" t="n"/>
      <c r="O76" s="366" t="n"/>
      <c r="P76" s="366" t="n"/>
      <c r="Q76" s="366" t="n"/>
      <c r="R76" s="366" t="n"/>
      <c r="S76" s="366" t="n"/>
      <c r="T76" s="366" t="n"/>
      <c r="U76" s="366" t="n"/>
      <c r="V76" s="366" t="n"/>
      <c r="W76" s="366" t="n"/>
      <c r="X76" s="366" t="n"/>
      <c r="Y76" s="366" t="n"/>
      <c r="Z76" s="366" t="n"/>
      <c r="AP76" s="357" t="n"/>
      <c r="AQ76" s="357" t="n"/>
      <c r="AR76" s="357" t="n"/>
      <c r="AS76" s="357" t="n"/>
    </row>
    <row r="77" hidden="1" ht="18.75" customHeight="1">
      <c r="A77" s="645" t="inlineStr">
        <is>
          <t>BASE SALICYLIC</t>
        </is>
      </c>
      <c r="B77" s="625" t="n"/>
      <c r="C77" s="625" t="n"/>
      <c r="D77" s="641" t="n"/>
      <c r="F77" s="366" t="n"/>
      <c r="G77" s="366" t="n"/>
      <c r="H77" s="366" t="n"/>
      <c r="I77" s="366" t="n"/>
      <c r="J77" s="366" t="n"/>
      <c r="K77" s="366" t="n"/>
      <c r="L77" s="366" t="n"/>
      <c r="M77" s="366" t="n"/>
      <c r="N77" s="366" t="n"/>
      <c r="O77" s="366" t="n"/>
      <c r="P77" s="366" t="n"/>
      <c r="Q77" s="366" t="n"/>
      <c r="R77" s="366" t="n"/>
      <c r="S77" s="366" t="n"/>
      <c r="T77" s="366" t="n"/>
      <c r="U77" s="366" t="n"/>
      <c r="V77" s="366" t="n"/>
      <c r="W77" s="366" t="n"/>
      <c r="X77" s="366" t="n"/>
      <c r="Y77" s="366" t="n"/>
      <c r="Z77" s="366" t="n"/>
    </row>
    <row r="78" hidden="1" ht="18.75" customHeight="1">
      <c r="A78" s="645" t="inlineStr">
        <is>
          <t>FLORATTA ROMANCE DE VERÃO</t>
        </is>
      </c>
      <c r="B78" s="625" t="n"/>
      <c r="C78" s="625" t="n"/>
      <c r="D78" s="641" t="n"/>
      <c r="F78" s="366" t="n"/>
      <c r="G78" s="366" t="n"/>
      <c r="H78" s="366" t="n"/>
      <c r="I78" s="366" t="n"/>
      <c r="J78" s="366" t="n"/>
      <c r="K78" s="366" t="n"/>
      <c r="L78" s="366" t="n"/>
      <c r="M78" s="366" t="n"/>
      <c r="N78" s="366" t="n"/>
      <c r="O78" s="366" t="n"/>
      <c r="P78" s="366" t="n"/>
      <c r="Q78" s="366" t="n"/>
      <c r="R78" s="366" t="n"/>
      <c r="S78" s="366" t="n"/>
      <c r="T78" s="366" t="n"/>
      <c r="U78" s="366" t="n"/>
      <c r="V78" s="366" t="n"/>
      <c r="W78" s="366" t="n"/>
      <c r="X78" s="366" t="n"/>
      <c r="Y78" s="366" t="n"/>
      <c r="Z78" s="366" t="n"/>
    </row>
    <row r="79" hidden="1" ht="18.75" customHeight="1">
      <c r="A79" s="645" t="inlineStr">
        <is>
          <t>INTENSE BATOM</t>
        </is>
      </c>
      <c r="B79" s="625" t="n"/>
      <c r="C79" s="625" t="n"/>
      <c r="D79" s="641" t="n"/>
      <c r="F79" s="366" t="n"/>
      <c r="G79" s="366" t="n"/>
      <c r="H79" s="366" t="n"/>
      <c r="I79" s="366" t="n"/>
      <c r="J79" s="366" t="n"/>
      <c r="K79" s="366" t="n"/>
      <c r="L79" s="366" t="n"/>
      <c r="M79" s="366" t="n"/>
      <c r="N79" s="366" t="n"/>
      <c r="O79" s="366" t="n"/>
      <c r="P79" s="366" t="n"/>
      <c r="Q79" s="366" t="n"/>
      <c r="R79" s="366" t="n"/>
      <c r="S79" s="366" t="n"/>
      <c r="T79" s="366" t="n"/>
      <c r="U79" s="366" t="n"/>
      <c r="V79" s="366" t="n"/>
      <c r="W79" s="366" t="n"/>
      <c r="X79" s="366" t="n"/>
      <c r="Y79" s="366" t="n"/>
      <c r="Z79" s="366" t="n"/>
    </row>
    <row r="80" hidden="1" ht="18.75" customHeight="1">
      <c r="A80" s="645" t="inlineStr">
        <is>
          <t>BOTI SUN</t>
        </is>
      </c>
      <c r="B80" s="625" t="n"/>
      <c r="C80" s="625" t="n"/>
      <c r="D80" s="641" t="n"/>
      <c r="F80" s="366" t="n"/>
      <c r="G80" s="366" t="n"/>
      <c r="H80" s="366" t="n"/>
      <c r="I80" s="366" t="n"/>
      <c r="J80" s="366" t="n"/>
      <c r="K80" s="366" t="n"/>
      <c r="L80" s="366" t="n"/>
      <c r="M80" s="366" t="n"/>
      <c r="N80" s="366" t="n"/>
      <c r="O80" s="366" t="n"/>
      <c r="P80" s="366" t="n"/>
      <c r="Q80" s="366" t="n"/>
      <c r="R80" s="366" t="n"/>
      <c r="S80" s="366" t="n"/>
      <c r="T80" s="366" t="n"/>
      <c r="U80" s="366" t="n"/>
      <c r="V80" s="366" t="n"/>
      <c r="W80" s="366" t="n"/>
      <c r="X80" s="366" t="n"/>
      <c r="Y80" s="366" t="n"/>
      <c r="Z80" s="366" t="n"/>
    </row>
    <row r="81" hidden="1" ht="18.75" customHeight="1">
      <c r="A81" s="645" t="inlineStr">
        <is>
          <t>Arbo Puro</t>
        </is>
      </c>
      <c r="B81" s="625" t="n"/>
      <c r="C81" s="625" t="n"/>
      <c r="D81" s="641" t="n"/>
      <c r="F81" s="366" t="n"/>
      <c r="G81" s="366" t="n"/>
      <c r="H81" s="366" t="n"/>
      <c r="I81" s="366" t="n"/>
      <c r="J81" s="366" t="n"/>
      <c r="K81" s="366" t="n"/>
      <c r="L81" s="366" t="n"/>
      <c r="M81" s="366" t="n"/>
      <c r="N81" s="366" t="n"/>
      <c r="O81" s="366" t="n"/>
      <c r="P81" s="366" t="n"/>
      <c r="Q81" s="366" t="n"/>
      <c r="R81" s="366" t="n"/>
      <c r="S81" s="366" t="n"/>
      <c r="T81" s="366" t="n"/>
      <c r="U81" s="366" t="n"/>
      <c r="V81" s="366" t="n"/>
      <c r="W81" s="366" t="n"/>
      <c r="X81" s="366" t="n"/>
      <c r="Y81" s="366" t="n"/>
      <c r="Z81" s="366" t="n"/>
      <c r="AP81" s="11" t="n"/>
      <c r="AQ81" s="11" t="n"/>
      <c r="AR81" s="11" t="n"/>
      <c r="AS81" s="11" t="n"/>
    </row>
    <row r="82" hidden="1" ht="18.75" customHeight="1">
      <c r="A82" s="645" t="inlineStr">
        <is>
          <t>feira</t>
        </is>
      </c>
      <c r="B82" s="625" t="n"/>
      <c r="C82" s="625" t="n"/>
      <c r="D82" s="641" t="n"/>
      <c r="F82" s="366" t="n"/>
      <c r="G82" s="366" t="n"/>
      <c r="H82" s="366" t="n"/>
      <c r="I82" s="366" t="n"/>
      <c r="J82" s="366" t="n"/>
      <c r="K82" s="366" t="n"/>
      <c r="L82" s="366" t="n"/>
      <c r="M82" s="366" t="n"/>
      <c r="N82" s="366" t="n"/>
      <c r="O82" s="366" t="n"/>
      <c r="P82" s="366" t="n"/>
      <c r="Q82" s="366" t="n"/>
      <c r="R82" s="366" t="n"/>
      <c r="S82" s="366" t="n"/>
      <c r="T82" s="366" t="n"/>
      <c r="U82" s="366" t="n"/>
      <c r="V82" s="366" t="n"/>
      <c r="W82" s="366" t="n"/>
      <c r="X82" s="366" t="n"/>
      <c r="Y82" s="366" t="n"/>
      <c r="Z82" s="366" t="n"/>
      <c r="AP82" s="11" t="n"/>
      <c r="AQ82" s="11" t="n"/>
      <c r="AR82" s="11" t="n"/>
      <c r="AS82" s="11" t="n"/>
    </row>
    <row r="83" hidden="1" ht="18.75" customHeight="1">
      <c r="A83" s="645" t="inlineStr">
        <is>
          <t>QUASAR BLUE</t>
        </is>
      </c>
      <c r="B83" s="625" t="n"/>
      <c r="C83" s="625" t="n"/>
      <c r="D83" s="641" t="n"/>
      <c r="F83" s="366" t="n"/>
      <c r="G83" s="366" t="n"/>
      <c r="H83" s="366" t="n"/>
      <c r="I83" s="366" t="n"/>
      <c r="J83" s="366" t="n"/>
      <c r="K83" s="366" t="n"/>
      <c r="L83" s="366" t="n"/>
      <c r="M83" s="366" t="n"/>
      <c r="N83" s="366" t="n"/>
      <c r="O83" s="366" t="n"/>
      <c r="P83" s="366" t="n"/>
      <c r="Q83" s="366" t="n"/>
      <c r="R83" s="366" t="n"/>
      <c r="S83" s="366" t="n"/>
      <c r="T83" s="366" t="n"/>
      <c r="U83" s="366" t="n"/>
      <c r="V83" s="366" t="n"/>
      <c r="W83" s="366" t="n"/>
      <c r="X83" s="366" t="n"/>
      <c r="Y83" s="366" t="n"/>
      <c r="Z83" s="366" t="n"/>
      <c r="AP83" s="11" t="n"/>
      <c r="AQ83" s="11" t="n"/>
      <c r="AR83" s="11" t="n"/>
      <c r="AS83" s="11" t="n"/>
    </row>
    <row r="84" hidden="1" ht="18.75" customHeight="1">
      <c r="A84" s="645" t="inlineStr">
        <is>
          <t>HIDNUVEM</t>
        </is>
      </c>
      <c r="B84" s="625" t="n"/>
      <c r="C84" s="625" t="n"/>
      <c r="D84" s="641" t="n"/>
      <c r="F84" s="366" t="n"/>
      <c r="G84" s="366" t="n"/>
      <c r="H84" s="366" t="n"/>
      <c r="I84" s="366" t="n"/>
      <c r="J84" s="366" t="n"/>
      <c r="K84" s="366" t="n"/>
      <c r="L84" s="366" t="n"/>
      <c r="M84" s="366" t="n"/>
      <c r="N84" s="366" t="n"/>
      <c r="O84" s="366" t="n"/>
      <c r="P84" s="366" t="n"/>
      <c r="Q84" s="366" t="n"/>
      <c r="R84" s="366" t="n"/>
      <c r="S84" s="366" t="n"/>
      <c r="T84" s="366" t="n"/>
      <c r="U84" s="366" t="n"/>
      <c r="V84" s="366" t="n"/>
      <c r="W84" s="366" t="n"/>
      <c r="X84" s="366" t="n"/>
      <c r="Y84" s="366" t="n"/>
      <c r="Z84" s="366" t="n"/>
    </row>
    <row r="85" hidden="1" ht="18.75" customHeight="1">
      <c r="A85" s="645" t="inlineStr">
        <is>
          <t>HID ROSAS</t>
        </is>
      </c>
      <c r="B85" s="625" t="n"/>
      <c r="C85" s="625" t="n"/>
      <c r="D85" s="641" t="n"/>
      <c r="F85" s="366" t="n"/>
      <c r="G85" s="366" t="n"/>
      <c r="H85" s="366" t="n"/>
      <c r="I85" s="366" t="n"/>
      <c r="J85" s="366" t="n"/>
      <c r="K85" s="366" t="n"/>
      <c r="L85" s="366" t="n"/>
      <c r="M85" s="366" t="n"/>
      <c r="N85" s="366" t="n"/>
      <c r="O85" s="366" t="n"/>
      <c r="P85" s="366" t="n"/>
      <c r="Q85" s="366" t="n"/>
      <c r="R85" s="366" t="n"/>
      <c r="S85" s="366" t="n"/>
      <c r="T85" s="366" t="n"/>
      <c r="U85" s="366" t="n"/>
      <c r="V85" s="366" t="n"/>
      <c r="W85" s="366" t="n"/>
      <c r="X85" s="366" t="n"/>
      <c r="Y85" s="366" t="n"/>
      <c r="Z85" s="366" t="n"/>
    </row>
    <row r="86" hidden="1" ht="18.75" customHeight="1">
      <c r="A86" s="645" t="inlineStr">
        <is>
          <t>HID DELEITE</t>
        </is>
      </c>
      <c r="B86" s="625" t="n"/>
      <c r="C86" s="625" t="n"/>
      <c r="D86" s="641" t="n"/>
      <c r="F86" s="366" t="n"/>
      <c r="G86" s="366" t="n"/>
      <c r="H86" s="366" t="n"/>
      <c r="I86" s="366" t="n"/>
      <c r="J86" s="366" t="n"/>
      <c r="K86" s="366" t="n"/>
      <c r="L86" s="366" t="n"/>
      <c r="M86" s="366" t="n"/>
      <c r="N86" s="366" t="n"/>
      <c r="O86" s="366" t="n"/>
      <c r="P86" s="366" t="n"/>
      <c r="Q86" s="366" t="n"/>
      <c r="R86" s="366" t="n"/>
      <c r="S86" s="366" t="n"/>
      <c r="T86" s="366" t="n"/>
      <c r="U86" s="366" t="n"/>
      <c r="V86" s="366" t="n"/>
      <c r="W86" s="366" t="n"/>
      <c r="X86" s="366" t="n"/>
      <c r="Y86" s="366" t="n"/>
      <c r="Z86" s="366" t="n"/>
    </row>
    <row r="87" hidden="1" ht="18.75" customHeight="1">
      <c r="A87" s="645" t="inlineStr">
        <is>
          <t>FEIRA BANANA</t>
        </is>
      </c>
      <c r="B87" s="625" t="n"/>
      <c r="C87" s="625" t="n"/>
      <c r="D87" s="641" t="n"/>
      <c r="F87" s="366" t="n"/>
      <c r="G87" s="366" t="n"/>
      <c r="H87" s="366" t="n"/>
      <c r="I87" s="366" t="n"/>
      <c r="J87" s="366" t="n"/>
      <c r="K87" s="366" t="n"/>
      <c r="L87" s="366" t="n"/>
      <c r="M87" s="366" t="n"/>
      <c r="N87" s="366" t="n"/>
      <c r="O87" s="366" t="n"/>
      <c r="P87" s="366" t="n"/>
      <c r="Q87" s="366" t="n"/>
      <c r="R87" s="366" t="n"/>
      <c r="S87" s="366" t="n"/>
      <c r="T87" s="366" t="n"/>
      <c r="U87" s="366" t="n"/>
      <c r="V87" s="366" t="n"/>
      <c r="W87" s="366" t="n"/>
      <c r="X87" s="366" t="n"/>
      <c r="Y87" s="366" t="n"/>
      <c r="Z87" s="366" t="n"/>
    </row>
    <row r="88" hidden="1" ht="18.75" customHeight="1">
      <c r="A88" s="645" t="inlineStr">
        <is>
          <t>BOTICA 214 AFICAN FEMININO</t>
        </is>
      </c>
      <c r="B88" s="625" t="n"/>
      <c r="C88" s="625" t="n"/>
      <c r="D88" s="641" t="n"/>
      <c r="F88" s="366" t="n"/>
      <c r="G88" s="366" t="n"/>
      <c r="H88" s="366" t="n"/>
      <c r="I88" s="366" t="n"/>
      <c r="J88" s="366" t="n"/>
      <c r="K88" s="366" t="n"/>
      <c r="L88" s="366" t="n"/>
      <c r="M88" s="366" t="n"/>
      <c r="N88" s="366" t="n"/>
      <c r="O88" s="366" t="n"/>
      <c r="P88" s="366" t="n"/>
      <c r="Q88" s="366" t="n"/>
      <c r="R88" s="366" t="n"/>
      <c r="S88" s="366" t="n"/>
      <c r="T88" s="366" t="n"/>
      <c r="U88" s="366" t="n"/>
      <c r="V88" s="366" t="n"/>
      <c r="W88" s="366" t="n"/>
      <c r="X88" s="366" t="n"/>
      <c r="Y88" s="366" t="n"/>
      <c r="Z88" s="366" t="n"/>
    </row>
    <row r="89" hidden="1" ht="18.75" customHeight="1">
      <c r="A89" s="645" t="inlineStr">
        <is>
          <t>BOTICA 214 AFICAN MASCULINO</t>
        </is>
      </c>
      <c r="B89" s="625" t="n"/>
      <c r="C89" s="625" t="n"/>
      <c r="D89" s="641" t="n"/>
      <c r="F89" s="366" t="n"/>
      <c r="G89" s="366" t="n"/>
      <c r="H89" s="366" t="n"/>
      <c r="I89" s="366" t="n"/>
      <c r="J89" s="366" t="n"/>
      <c r="K89" s="366" t="n"/>
      <c r="L89" s="366" t="n"/>
      <c r="M89" s="366" t="n"/>
      <c r="N89" s="366" t="n"/>
      <c r="O89" s="366" t="n"/>
      <c r="P89" s="366" t="n"/>
      <c r="Q89" s="366" t="n"/>
      <c r="R89" s="366" t="n"/>
      <c r="S89" s="366" t="n"/>
      <c r="T89" s="366" t="n"/>
      <c r="U89" s="366" t="n"/>
      <c r="V89" s="366" t="n"/>
      <c r="W89" s="366" t="n"/>
      <c r="X89" s="366" t="n"/>
      <c r="Y89" s="366" t="n"/>
      <c r="Z89" s="366" t="n"/>
    </row>
    <row r="90" hidden="1" ht="18.75" customHeight="1">
      <c r="A90" s="645" t="inlineStr">
        <is>
          <t>COFFEE ADDICTIVE</t>
        </is>
      </c>
      <c r="B90" s="625" t="n"/>
      <c r="C90" s="625" t="n"/>
      <c r="D90" s="641" t="n"/>
      <c r="F90" s="366" t="n"/>
      <c r="G90" s="366" t="n"/>
      <c r="H90" s="366" t="n"/>
      <c r="I90" s="366" t="n"/>
      <c r="J90" s="366" t="n"/>
      <c r="K90" s="366" t="n"/>
      <c r="L90" s="366" t="n"/>
      <c r="M90" s="366" t="n"/>
      <c r="N90" s="366" t="n"/>
      <c r="O90" s="366" t="n"/>
      <c r="P90" s="366" t="n"/>
      <c r="Q90" s="366" t="n"/>
      <c r="R90" s="366" t="n"/>
      <c r="S90" s="366" t="n"/>
      <c r="T90" s="366" t="n"/>
      <c r="U90" s="366" t="n"/>
      <c r="V90" s="366" t="n"/>
      <c r="W90" s="366" t="n"/>
      <c r="X90" s="366" t="n"/>
      <c r="Y90" s="366" t="n"/>
      <c r="Z90" s="366" t="n"/>
    </row>
    <row r="91" hidden="1" ht="18.75" customHeight="1">
      <c r="A91" s="645" t="inlineStr">
        <is>
          <t>PROTETOR SOLAR</t>
        </is>
      </c>
      <c r="B91" s="625" t="n"/>
      <c r="C91" s="625" t="n"/>
      <c r="D91" s="641" t="n"/>
      <c r="F91" s="366" t="n"/>
      <c r="G91" s="366" t="n"/>
      <c r="H91" s="366" t="n"/>
      <c r="I91" s="366" t="n"/>
      <c r="J91" s="366" t="n"/>
      <c r="K91" s="366" t="n"/>
      <c r="L91" s="366" t="n"/>
      <c r="M91" s="366" t="n"/>
      <c r="N91" s="366" t="n"/>
      <c r="O91" s="366" t="n"/>
      <c r="P91" s="366" t="n"/>
      <c r="Q91" s="366" t="n"/>
      <c r="R91" s="366" t="n"/>
      <c r="S91" s="366" t="n"/>
      <c r="T91" s="366" t="n"/>
      <c r="U91" s="366" t="n"/>
      <c r="V91" s="366" t="n"/>
      <c r="W91" s="366" t="n"/>
      <c r="X91" s="366" t="n"/>
      <c r="Y91" s="366" t="n"/>
      <c r="Z91" s="366" t="n"/>
    </row>
    <row r="92" hidden="1" ht="18.75" customHeight="1">
      <c r="A92" s="645" t="inlineStr">
        <is>
          <t>DR BOTICA CRIATIVIDADE</t>
        </is>
      </c>
      <c r="B92" s="625" t="n"/>
      <c r="C92" s="625" t="n"/>
      <c r="D92" s="641" t="n"/>
      <c r="F92" s="366" t="n"/>
      <c r="G92" s="366" t="n"/>
      <c r="H92" s="366" t="n"/>
      <c r="I92" s="366" t="n"/>
      <c r="J92" s="366" t="n"/>
      <c r="K92" s="366" t="n"/>
      <c r="L92" s="366" t="n"/>
      <c r="M92" s="366" t="n"/>
      <c r="N92" s="366" t="n"/>
      <c r="O92" s="366" t="n"/>
      <c r="P92" s="366" t="n"/>
      <c r="Q92" s="366" t="n"/>
      <c r="R92" s="366" t="n"/>
      <c r="S92" s="366" t="n"/>
      <c r="T92" s="366" t="n"/>
      <c r="U92" s="366" t="n"/>
      <c r="V92" s="366" t="n"/>
      <c r="W92" s="366" t="n"/>
      <c r="X92" s="366" t="n"/>
      <c r="Y92" s="366" t="n"/>
      <c r="Z92" s="366" t="n"/>
    </row>
    <row r="93" hidden="1" ht="18.75" customHeight="1">
      <c r="A93" s="645" t="inlineStr">
        <is>
          <t>SCIENCE RECONSTRUÇÃO</t>
        </is>
      </c>
      <c r="B93" s="625" t="n"/>
      <c r="C93" s="625" t="n"/>
      <c r="D93" s="641" t="n"/>
      <c r="F93" s="366" t="n"/>
      <c r="G93" s="366" t="n"/>
      <c r="H93" s="366" t="n"/>
      <c r="I93" s="366" t="n"/>
      <c r="J93" s="366" t="n"/>
      <c r="K93" s="366" t="n"/>
      <c r="L93" s="366" t="n"/>
      <c r="M93" s="366" t="n"/>
      <c r="N93" s="366" t="n"/>
      <c r="O93" s="366" t="n"/>
      <c r="P93" s="366" t="n"/>
      <c r="Q93" s="366" t="n"/>
      <c r="R93" s="366" t="n"/>
      <c r="S93" s="366" t="n"/>
      <c r="T93" s="366" t="n"/>
      <c r="U93" s="366" t="n"/>
      <c r="V93" s="366" t="n"/>
      <c r="W93" s="366" t="n"/>
      <c r="X93" s="366" t="n"/>
      <c r="Y93" s="366" t="n"/>
      <c r="Z93" s="366" t="n"/>
    </row>
    <row r="94" hidden="1" ht="18.75" customHeight="1">
      <c r="A94" s="645" t="inlineStr">
        <is>
          <t>MEN 2 EM 1</t>
        </is>
      </c>
      <c r="B94" s="625" t="n"/>
      <c r="C94" s="625" t="n"/>
      <c r="D94" s="641" t="n"/>
      <c r="F94" s="366" t="n"/>
      <c r="G94" s="366" t="n"/>
      <c r="H94" s="366" t="n"/>
      <c r="I94" s="366" t="n"/>
      <c r="J94" s="366" t="n"/>
      <c r="K94" s="366" t="n"/>
      <c r="L94" s="366" t="n"/>
      <c r="M94" s="366" t="n"/>
      <c r="N94" s="366" t="n"/>
      <c r="O94" s="366" t="n"/>
      <c r="P94" s="366" t="n"/>
      <c r="Q94" s="366" t="n"/>
      <c r="R94" s="366" t="n"/>
      <c r="S94" s="366" t="n"/>
      <c r="T94" s="366" t="n"/>
      <c r="U94" s="366" t="n"/>
      <c r="V94" s="366" t="n"/>
      <c r="W94" s="366" t="n"/>
      <c r="X94" s="366" t="n"/>
      <c r="Y94" s="366" t="n"/>
      <c r="Z94" s="366" t="n"/>
    </row>
    <row r="95" hidden="1" ht="18.75" customHeight="1">
      <c r="A95" s="645" t="inlineStr">
        <is>
          <t>MALBEC</t>
        </is>
      </c>
      <c r="B95" s="625" t="n"/>
      <c r="C95" s="625" t="n"/>
      <c r="D95" s="641" t="n"/>
      <c r="F95" s="366" t="n"/>
      <c r="G95" s="366" t="n"/>
      <c r="H95" s="366" t="n"/>
      <c r="I95" s="366" t="n"/>
      <c r="J95" s="366" t="n"/>
      <c r="K95" s="366" t="n"/>
      <c r="L95" s="366" t="n"/>
      <c r="M95" s="366" t="n"/>
      <c r="N95" s="366" t="n"/>
      <c r="O95" s="366" t="n"/>
      <c r="P95" s="366" t="n"/>
      <c r="Q95" s="366" t="n"/>
      <c r="R95" s="366" t="n"/>
      <c r="S95" s="366" t="n"/>
      <c r="T95" s="366" t="n"/>
      <c r="U95" s="366" t="n"/>
      <c r="V95" s="366" t="n"/>
      <c r="W95" s="366" t="n"/>
      <c r="X95" s="366" t="n"/>
      <c r="Y95" s="366" t="n"/>
      <c r="Z95" s="366" t="n"/>
    </row>
    <row r="96" hidden="1" ht="18.75" customHeight="1">
      <c r="A96" s="645" t="inlineStr">
        <is>
          <t>DIVERTIDAMENTE</t>
        </is>
      </c>
      <c r="B96" s="625" t="n"/>
      <c r="C96" s="625" t="n"/>
      <c r="D96" s="641" t="n"/>
      <c r="F96" s="366" t="n"/>
      <c r="G96" s="366" t="n"/>
      <c r="H96" s="366" t="n"/>
      <c r="I96" s="366" t="n"/>
      <c r="J96" s="366" t="n"/>
      <c r="K96" s="366" t="n"/>
      <c r="L96" s="366" t="n"/>
      <c r="M96" s="366" t="n"/>
      <c r="N96" s="366" t="n"/>
      <c r="O96" s="366" t="n"/>
      <c r="P96" s="366" t="n"/>
      <c r="Q96" s="366" t="n"/>
      <c r="R96" s="366" t="n"/>
      <c r="S96" s="366" t="n"/>
      <c r="T96" s="366" t="n"/>
      <c r="U96" s="366" t="n"/>
      <c r="V96" s="366" t="n"/>
      <c r="W96" s="366" t="n"/>
      <c r="X96" s="366" t="n"/>
      <c r="Y96" s="366" t="n"/>
      <c r="Z96" s="366" t="n"/>
    </row>
    <row r="97" hidden="1" ht="18.75" customHeight="1">
      <c r="A97" s="645" t="inlineStr">
        <is>
          <t>HER CODE TOUCH</t>
        </is>
      </c>
      <c r="B97" s="625" t="n"/>
      <c r="C97" s="625" t="n"/>
      <c r="D97" s="641" t="n"/>
      <c r="F97" s="366" t="n"/>
      <c r="G97" s="366" t="n"/>
      <c r="H97" s="366" t="n"/>
      <c r="I97" s="366" t="n"/>
      <c r="J97" s="366" t="n"/>
      <c r="K97" s="366" t="n"/>
      <c r="L97" s="366" t="n"/>
      <c r="M97" s="366" t="n"/>
      <c r="N97" s="366" t="n"/>
      <c r="O97" s="366" t="n"/>
      <c r="P97" s="366" t="n"/>
      <c r="Q97" s="366" t="n"/>
      <c r="R97" s="366" t="n"/>
      <c r="S97" s="366" t="n"/>
      <c r="T97" s="366" t="n"/>
      <c r="U97" s="366" t="n"/>
      <c r="V97" s="366" t="n"/>
      <c r="W97" s="366" t="n"/>
      <c r="X97" s="366" t="n"/>
      <c r="Y97" s="366" t="n"/>
      <c r="Z97" s="366" t="n"/>
    </row>
    <row r="98" hidden="1" ht="18.75" customHeight="1">
      <c r="A98" s="645" t="inlineStr">
        <is>
          <t>ZAAD VENTURE</t>
        </is>
      </c>
      <c r="B98" s="625" t="n"/>
      <c r="C98" s="625" t="n"/>
      <c r="D98" s="641" t="n"/>
      <c r="F98" s="366" t="n"/>
      <c r="G98" s="366" t="n"/>
      <c r="H98" s="366" t="n"/>
      <c r="I98" s="366" t="n"/>
      <c r="J98" s="366" t="n"/>
      <c r="K98" s="366" t="n"/>
      <c r="L98" s="366" t="n"/>
      <c r="M98" s="366" t="n"/>
      <c r="N98" s="366" t="n"/>
      <c r="O98" s="366" t="n"/>
      <c r="P98" s="366" t="n"/>
      <c r="Q98" s="366" t="n"/>
      <c r="R98" s="366" t="n"/>
      <c r="S98" s="366" t="n"/>
      <c r="T98" s="366" t="n"/>
      <c r="U98" s="366" t="n"/>
      <c r="V98" s="366" t="n"/>
      <c r="W98" s="366" t="n"/>
      <c r="X98" s="366" t="n"/>
      <c r="Y98" s="366" t="n"/>
      <c r="Z98" s="366" t="n"/>
    </row>
    <row r="99" hidden="1" ht="18.75" customHeight="1">
      <c r="A99" s="645" t="inlineStr">
        <is>
          <t>LIZ INTENSO</t>
        </is>
      </c>
      <c r="B99" s="625" t="n"/>
      <c r="C99" s="625" t="n"/>
      <c r="D99" s="641" t="n"/>
      <c r="F99" s="366" t="n"/>
      <c r="G99" s="366" t="n"/>
      <c r="H99" s="366" t="n"/>
      <c r="I99" s="366" t="n"/>
      <c r="J99" s="366" t="n"/>
      <c r="K99" s="366" t="n"/>
      <c r="L99" s="366" t="n"/>
      <c r="M99" s="366" t="n"/>
      <c r="N99" s="366" t="n"/>
      <c r="O99" s="366" t="n"/>
      <c r="P99" s="366" t="n"/>
      <c r="Q99" s="366" t="n"/>
      <c r="R99" s="366" t="n"/>
      <c r="S99" s="366" t="n"/>
      <c r="T99" s="366" t="n"/>
      <c r="U99" s="366" t="n"/>
      <c r="V99" s="366" t="n"/>
      <c r="W99" s="366" t="n"/>
      <c r="X99" s="366" t="n"/>
      <c r="Y99" s="366" t="n"/>
      <c r="Z99" s="366" t="n"/>
    </row>
    <row r="100" hidden="1" ht="18.75" customHeight="1">
      <c r="A100" s="645" t="inlineStr">
        <is>
          <t>GLAMOUR SECRETS BLACK INTENSO</t>
        </is>
      </c>
      <c r="B100" s="625" t="n"/>
      <c r="C100" s="625" t="n"/>
      <c r="D100" s="641" t="n"/>
      <c r="F100" s="366" t="n"/>
      <c r="G100" s="366" t="n"/>
      <c r="H100" s="366" t="n"/>
      <c r="I100" s="366" t="n"/>
      <c r="J100" s="366" t="n"/>
      <c r="K100" s="366" t="n"/>
      <c r="L100" s="366" t="n"/>
      <c r="M100" s="366" t="n"/>
      <c r="N100" s="366" t="n"/>
      <c r="O100" s="366" t="n"/>
      <c r="P100" s="366" t="n"/>
      <c r="Q100" s="366" t="n"/>
      <c r="R100" s="366" t="n"/>
      <c r="S100" s="366" t="n"/>
      <c r="T100" s="366" t="n"/>
      <c r="U100" s="366" t="n"/>
      <c r="V100" s="366" t="n"/>
      <c r="W100" s="366" t="n"/>
      <c r="X100" s="366" t="n"/>
      <c r="Y100" s="366" t="n"/>
      <c r="Z100" s="366" t="n"/>
    </row>
    <row r="101" hidden="1" ht="18.75" customHeight="1">
      <c r="A101" s="645" t="inlineStr">
        <is>
          <t>UOMINI SPIRIT</t>
        </is>
      </c>
      <c r="B101" s="625" t="n"/>
      <c r="C101" s="625" t="n"/>
      <c r="D101" s="641" t="n"/>
      <c r="F101" s="366" t="n"/>
      <c r="G101" s="366" t="n"/>
      <c r="H101" s="366" t="n"/>
      <c r="I101" s="366" t="n"/>
      <c r="J101" s="366" t="n"/>
      <c r="K101" s="366" t="n"/>
      <c r="L101" s="366" t="n"/>
      <c r="M101" s="366" t="n"/>
      <c r="N101" s="366" t="n"/>
      <c r="O101" s="366" t="n"/>
      <c r="P101" s="366" t="n"/>
      <c r="Q101" s="366" t="n"/>
      <c r="R101" s="366" t="n"/>
      <c r="S101" s="366" t="n"/>
      <c r="T101" s="366" t="n"/>
      <c r="U101" s="366" t="n"/>
      <c r="V101" s="366" t="n"/>
      <c r="W101" s="366" t="n"/>
      <c r="X101" s="366" t="n"/>
      <c r="Y101" s="366" t="n"/>
      <c r="Z101" s="366" t="n"/>
    </row>
    <row r="102" hidden="1" ht="18.75" customHeight="1">
      <c r="A102" s="645" t="inlineStr">
        <is>
          <t>QUASAR</t>
        </is>
      </c>
      <c r="B102" s="625" t="n"/>
      <c r="C102" s="625" t="n"/>
      <c r="D102" s="641" t="n"/>
      <c r="F102" s="366" t="n"/>
      <c r="G102" s="366" t="n"/>
      <c r="H102" s="366" t="n"/>
      <c r="I102" s="366" t="n"/>
      <c r="J102" s="366" t="n"/>
      <c r="K102" s="366" t="n"/>
      <c r="L102" s="366" t="n"/>
      <c r="M102" s="366" t="n"/>
      <c r="N102" s="366" t="n"/>
      <c r="O102" s="366" t="n"/>
      <c r="P102" s="366" t="n"/>
      <c r="Q102" s="366" t="n"/>
      <c r="R102" s="366" t="n"/>
      <c r="S102" s="366" t="n"/>
      <c r="T102" s="366" t="n"/>
      <c r="U102" s="366" t="n"/>
      <c r="V102" s="366" t="n"/>
      <c r="W102" s="366" t="n"/>
      <c r="X102" s="366" t="n"/>
      <c r="Y102" s="366" t="n"/>
      <c r="Z102" s="366" t="n"/>
    </row>
    <row r="103" hidden="1" ht="18.75" customHeight="1">
      <c r="A103" s="645" t="inlineStr">
        <is>
          <t>RESVERETROL</t>
        </is>
      </c>
      <c r="B103" s="625" t="n"/>
      <c r="C103" s="625" t="n"/>
      <c r="D103" s="641" t="n"/>
      <c r="F103" s="366" t="n"/>
      <c r="G103" s="366" t="n"/>
      <c r="H103" s="366" t="n"/>
      <c r="I103" s="366" t="n"/>
      <c r="J103" s="366" t="n"/>
      <c r="K103" s="366" t="n"/>
      <c r="L103" s="366" t="n"/>
      <c r="M103" s="366" t="n"/>
      <c r="N103" s="366" t="n"/>
      <c r="O103" s="366" t="n"/>
      <c r="P103" s="366" t="n"/>
      <c r="Q103" s="366" t="n"/>
      <c r="R103" s="366" t="n"/>
      <c r="S103" s="366" t="n"/>
      <c r="T103" s="366" t="n"/>
      <c r="U103" s="366" t="n"/>
      <c r="V103" s="366" t="n"/>
      <c r="W103" s="366" t="n"/>
      <c r="X103" s="366" t="n"/>
      <c r="Y103" s="366" t="n"/>
      <c r="Z103" s="366" t="n"/>
    </row>
    <row r="104" hidden="1" ht="18.75" customHeight="1">
      <c r="A104" s="645" t="inlineStr">
        <is>
          <t>NATIVA SPA CEREJA ROUGE</t>
        </is>
      </c>
      <c r="B104" s="625" t="n"/>
      <c r="C104" s="625" t="n"/>
      <c r="D104" s="641" t="n"/>
      <c r="F104" s="366" t="n"/>
      <c r="G104" s="366" t="n"/>
      <c r="H104" s="366" t="n"/>
      <c r="I104" s="366" t="n"/>
      <c r="J104" s="366" t="n"/>
      <c r="K104" s="366" t="n"/>
      <c r="L104" s="366" t="n"/>
      <c r="M104" s="366" t="n"/>
      <c r="N104" s="366" t="n"/>
      <c r="O104" s="366" t="n"/>
      <c r="P104" s="366" t="n"/>
      <c r="Q104" s="366" t="n"/>
      <c r="R104" s="366" t="n"/>
      <c r="S104" s="366" t="n"/>
      <c r="T104" s="366" t="n"/>
      <c r="U104" s="366" t="n"/>
      <c r="V104" s="366" t="n"/>
      <c r="W104" s="366" t="n"/>
      <c r="X104" s="366" t="n"/>
      <c r="Y104" s="366" t="n"/>
      <c r="Z104" s="366" t="n"/>
    </row>
    <row r="105" hidden="1" ht="18.75" customHeight="1">
      <c r="A105" s="645" t="inlineStr">
        <is>
          <t>DR BOTICA CRIATIVIDADE</t>
        </is>
      </c>
      <c r="B105" s="625" t="n"/>
      <c r="C105" s="625" t="n"/>
      <c r="D105" s="641" t="n"/>
      <c r="F105" s="366" t="n"/>
      <c r="G105" s="366" t="n"/>
      <c r="H105" s="366" t="n"/>
      <c r="I105" s="366" t="n"/>
      <c r="J105" s="366" t="n"/>
      <c r="K105" s="366" t="n"/>
      <c r="L105" s="366" t="n"/>
      <c r="M105" s="366" t="n"/>
      <c r="N105" s="366" t="n"/>
      <c r="O105" s="366" t="n"/>
      <c r="P105" s="366" t="n"/>
      <c r="Q105" s="366" t="n"/>
      <c r="R105" s="366" t="n"/>
      <c r="S105" s="366" t="n"/>
      <c r="T105" s="366" t="n"/>
      <c r="U105" s="366" t="n"/>
      <c r="V105" s="366" t="n"/>
      <c r="W105" s="366" t="n"/>
      <c r="X105" s="366" t="n"/>
      <c r="Y105" s="366" t="n"/>
      <c r="Z105" s="366" t="n"/>
    </row>
    <row r="106" hidden="1" ht="18.75" customHeight="1">
      <c r="A106" s="645" t="inlineStr">
        <is>
          <t>MEN 2 EM 1</t>
        </is>
      </c>
      <c r="B106" s="625" t="n"/>
      <c r="C106" s="625" t="n"/>
      <c r="D106" s="641" t="n"/>
      <c r="F106" s="366" t="n"/>
      <c r="G106" s="366" t="n"/>
      <c r="H106" s="366" t="n"/>
      <c r="I106" s="366" t="n"/>
      <c r="J106" s="366" t="n"/>
      <c r="K106" s="366" t="n"/>
      <c r="L106" s="366" t="n"/>
      <c r="M106" s="366" t="n"/>
      <c r="N106" s="366" t="n"/>
      <c r="O106" s="366" t="n"/>
      <c r="P106" s="366" t="n"/>
      <c r="Q106" s="366" t="n"/>
      <c r="R106" s="366" t="n"/>
      <c r="S106" s="366" t="n"/>
      <c r="T106" s="366" t="n"/>
      <c r="U106" s="366" t="n"/>
      <c r="V106" s="366" t="n"/>
      <c r="W106" s="366" t="n"/>
      <c r="X106" s="366" t="n"/>
      <c r="Y106" s="366" t="n"/>
      <c r="Z106" s="366" t="n"/>
    </row>
    <row r="107" hidden="1" ht="18.75" customHeight="1">
      <c r="A107" s="645" t="inlineStr">
        <is>
          <t>EGEO CHOC HIGH</t>
        </is>
      </c>
      <c r="B107" s="625" t="n"/>
      <c r="C107" s="625" t="n"/>
      <c r="D107" s="641" t="n"/>
      <c r="F107" s="366" t="n"/>
      <c r="G107" s="366" t="n"/>
      <c r="H107" s="366" t="n"/>
      <c r="I107" s="366" t="n"/>
      <c r="J107" s="366" t="n"/>
      <c r="K107" s="366" t="n"/>
      <c r="L107" s="366" t="n"/>
      <c r="M107" s="366" t="n"/>
      <c r="N107" s="366" t="n"/>
      <c r="O107" s="366" t="n"/>
      <c r="P107" s="366" t="n"/>
      <c r="Q107" s="366" t="n"/>
      <c r="R107" s="366" t="n"/>
      <c r="S107" s="366" t="n"/>
      <c r="T107" s="366" t="n"/>
      <c r="U107" s="366" t="n"/>
      <c r="V107" s="366" t="n"/>
      <c r="W107" s="366" t="n"/>
      <c r="X107" s="366" t="n"/>
      <c r="Y107" s="366" t="n"/>
      <c r="Z107" s="366" t="n"/>
    </row>
    <row r="108" hidden="1" ht="18.75" customHeight="1">
      <c r="A108" s="645" t="inlineStr">
        <is>
          <t>FLORATTA RED BLOSSOM</t>
        </is>
      </c>
      <c r="B108" s="625" t="n"/>
      <c r="C108" s="625" t="n"/>
      <c r="D108" s="641" t="n"/>
      <c r="F108" s="366" t="n"/>
      <c r="G108" s="366" t="n"/>
      <c r="H108" s="366" t="n"/>
      <c r="I108" s="366" t="n"/>
      <c r="J108" s="366" t="n"/>
      <c r="K108" s="366" t="n"/>
      <c r="L108" s="366" t="n"/>
      <c r="M108" s="366" t="n"/>
      <c r="N108" s="366" t="n"/>
      <c r="O108" s="366" t="n"/>
      <c r="P108" s="366" t="n"/>
      <c r="Q108" s="366" t="n"/>
      <c r="R108" s="366" t="n"/>
      <c r="S108" s="366" t="n"/>
      <c r="T108" s="366" t="n"/>
      <c r="U108" s="366" t="n"/>
      <c r="V108" s="366" t="n"/>
      <c r="W108" s="366" t="n"/>
      <c r="X108" s="366" t="n"/>
      <c r="Y108" s="366" t="n"/>
      <c r="Z108" s="366" t="n"/>
    </row>
    <row r="109" hidden="1" ht="18.75" customHeight="1">
      <c r="A109" s="645" t="inlineStr">
        <is>
          <t>MALBEC ICON</t>
        </is>
      </c>
      <c r="B109" s="625" t="n"/>
      <c r="C109" s="625" t="n"/>
      <c r="D109" s="641" t="n"/>
      <c r="F109" s="366" t="n"/>
      <c r="G109" s="366" t="n"/>
      <c r="H109" s="366" t="n"/>
      <c r="I109" s="366" t="n"/>
      <c r="J109" s="366" t="n"/>
      <c r="K109" s="366" t="n"/>
      <c r="L109" s="366" t="n"/>
      <c r="M109" s="366" t="n"/>
      <c r="N109" s="366" t="n"/>
      <c r="O109" s="366" t="n"/>
      <c r="P109" s="366" t="n"/>
      <c r="Q109" s="366" t="n"/>
      <c r="R109" s="366" t="n"/>
      <c r="S109" s="366" t="n"/>
      <c r="T109" s="366" t="n"/>
      <c r="U109" s="366" t="n"/>
      <c r="V109" s="366" t="n"/>
      <c r="W109" s="366" t="n"/>
      <c r="X109" s="366" t="n"/>
      <c r="Y109" s="366" t="n"/>
      <c r="Z109" s="366" t="n"/>
    </row>
    <row r="110" hidden="1" ht="18.75" customHeight="1">
      <c r="A110" s="645" t="inlineStr">
        <is>
          <t>CLASH</t>
        </is>
      </c>
      <c r="B110" s="625" t="n"/>
      <c r="C110" s="625" t="n"/>
      <c r="D110" s="641" t="n"/>
      <c r="F110" s="366" t="n"/>
      <c r="G110" s="366" t="n"/>
      <c r="H110" s="366" t="n"/>
      <c r="I110" s="366" t="n"/>
      <c r="J110" s="366" t="n"/>
      <c r="K110" s="366" t="n"/>
      <c r="L110" s="366" t="n"/>
      <c r="M110" s="366" t="n"/>
      <c r="N110" s="366" t="n"/>
      <c r="O110" s="366" t="n"/>
      <c r="P110" s="366" t="n"/>
      <c r="Q110" s="366" t="n"/>
      <c r="R110" s="366" t="n"/>
      <c r="S110" s="366" t="n"/>
      <c r="T110" s="366" t="n"/>
      <c r="U110" s="366" t="n"/>
      <c r="V110" s="366" t="n"/>
      <c r="W110" s="366" t="n"/>
      <c r="X110" s="366" t="n"/>
      <c r="Y110" s="366" t="n"/>
      <c r="Z110" s="366" t="n"/>
    </row>
    <row r="111" hidden="1" ht="18.75" customHeight="1">
      <c r="A111" s="645" t="inlineStr">
        <is>
          <t>CBEM HIDR. DOCURA NA PESSEGURA</t>
        </is>
      </c>
      <c r="B111" s="625" t="n"/>
      <c r="C111" s="625" t="n"/>
      <c r="D111" s="641" t="n"/>
      <c r="F111" s="366" t="n"/>
      <c r="G111" s="366" t="n"/>
      <c r="H111" s="366" t="n"/>
      <c r="I111" s="366" t="n"/>
      <c r="J111" s="366" t="n"/>
      <c r="K111" s="366" t="n"/>
      <c r="L111" s="366" t="n"/>
      <c r="M111" s="366" t="n"/>
      <c r="N111" s="366" t="n"/>
      <c r="O111" s="366" t="n"/>
      <c r="P111" s="366" t="n"/>
      <c r="Q111" s="366" t="n"/>
      <c r="R111" s="366" t="n"/>
      <c r="S111" s="366" t="n"/>
      <c r="T111" s="366" t="n"/>
      <c r="U111" s="366" t="n"/>
      <c r="V111" s="366" t="n"/>
      <c r="W111" s="366" t="n"/>
      <c r="X111" s="366" t="n"/>
      <c r="Y111" s="366" t="n"/>
      <c r="Z111" s="366" t="n"/>
    </row>
    <row r="112" hidden="1" ht="18.75" customHeight="1">
      <c r="A112" s="645" t="inlineStr">
        <is>
          <t>LILY BLANCHE</t>
        </is>
      </c>
      <c r="B112" s="625" t="n"/>
      <c r="C112" s="625" t="n"/>
      <c r="D112" s="641" t="n"/>
      <c r="F112" s="366" t="n"/>
      <c r="G112" s="366" t="n"/>
      <c r="H112" s="366" t="n"/>
      <c r="I112" s="366" t="n"/>
      <c r="J112" s="366" t="n"/>
      <c r="K112" s="366" t="n"/>
      <c r="L112" s="366" t="n"/>
      <c r="M112" s="366" t="n"/>
      <c r="N112" s="366" t="n"/>
      <c r="O112" s="366" t="n"/>
      <c r="P112" s="366" t="n"/>
      <c r="Q112" s="366" t="n"/>
      <c r="R112" s="366" t="n"/>
      <c r="S112" s="366" t="n"/>
      <c r="T112" s="366" t="n"/>
      <c r="U112" s="366" t="n"/>
      <c r="V112" s="366" t="n"/>
      <c r="W112" s="366" t="n"/>
      <c r="X112" s="366" t="n"/>
      <c r="Y112" s="366" t="n"/>
      <c r="Z112" s="366" t="n"/>
    </row>
    <row r="113" hidden="1" ht="18.75" customHeight="1">
      <c r="A113" s="645" t="inlineStr">
        <is>
          <t>MEN CUIDADOS</t>
        </is>
      </c>
      <c r="B113" s="625" t="n"/>
      <c r="C113" s="625" t="n"/>
      <c r="D113" s="641" t="n"/>
      <c r="F113" s="366" t="n"/>
      <c r="G113" s="366" t="n"/>
      <c r="H113" s="366" t="n"/>
      <c r="I113" s="366" t="n"/>
      <c r="J113" s="366" t="n"/>
      <c r="K113" s="366" t="n"/>
      <c r="L113" s="366" t="n"/>
      <c r="M113" s="366" t="n"/>
      <c r="N113" s="366" t="n"/>
      <c r="O113" s="366" t="n"/>
      <c r="P113" s="366" t="n"/>
      <c r="Q113" s="366" t="n"/>
      <c r="R113" s="366" t="n"/>
      <c r="S113" s="366" t="n"/>
      <c r="T113" s="366" t="n"/>
      <c r="U113" s="366" t="n"/>
      <c r="V113" s="366" t="n"/>
      <c r="W113" s="366" t="n"/>
      <c r="X113" s="366" t="n"/>
      <c r="Y113" s="366" t="n"/>
      <c r="Z113" s="366" t="n"/>
    </row>
    <row r="114">
      <c r="A114" s="645" t="inlineStr">
        <is>
          <t>MEN NBA</t>
        </is>
      </c>
      <c r="B114" s="625" t="n"/>
      <c r="C114" s="625" t="n"/>
      <c r="D114" s="641" t="n"/>
      <c r="F114" s="366" t="n">
        <v>0</v>
      </c>
      <c r="G114" s="366" t="n">
        <v>0</v>
      </c>
      <c r="H114" s="366" t="n">
        <v>0</v>
      </c>
      <c r="I114" s="366" t="n">
        <v>0</v>
      </c>
      <c r="J114" s="366" t="n">
        <v>0</v>
      </c>
      <c r="K114" s="366" t="n">
        <v>0</v>
      </c>
      <c r="L114" s="366" t="n">
        <v>0</v>
      </c>
      <c r="M114" s="366" t="n">
        <v>0</v>
      </c>
      <c r="N114" s="366" t="n">
        <v>0</v>
      </c>
      <c r="O114" s="366" t="n">
        <v>0</v>
      </c>
      <c r="P114" s="366" t="n">
        <v>0</v>
      </c>
      <c r="Q114" s="366" t="n">
        <v>0</v>
      </c>
      <c r="R114" s="366" t="n">
        <v>0</v>
      </c>
      <c r="S114" s="366" t="n">
        <v>0</v>
      </c>
      <c r="T114" s="366" t="n">
        <v>0</v>
      </c>
      <c r="U114" s="366" t="n">
        <v>0</v>
      </c>
      <c r="V114" s="366" t="n">
        <v>0</v>
      </c>
      <c r="W114" s="366" t="n">
        <v>0</v>
      </c>
      <c r="X114" s="366" t="n">
        <v>0</v>
      </c>
      <c r="Y114" s="366" t="n">
        <v>0</v>
      </c>
      <c r="Z114" s="366" t="n">
        <v>0</v>
      </c>
    </row>
    <row r="115">
      <c r="A115" s="645" t="inlineStr">
        <is>
          <t>ARBO ATLANTICA</t>
        </is>
      </c>
      <c r="B115" s="625" t="n"/>
      <c r="C115" s="625" t="n"/>
      <c r="D115" s="641" t="n"/>
      <c r="F115" s="366" t="n">
        <v>0</v>
      </c>
      <c r="G115" s="366" t="n">
        <v>0</v>
      </c>
      <c r="H115" s="366" t="n">
        <v>0</v>
      </c>
      <c r="I115" s="366" t="n">
        <v>0</v>
      </c>
      <c r="J115" s="366" t="n">
        <v>0</v>
      </c>
      <c r="K115" s="366" t="n">
        <v>0</v>
      </c>
      <c r="L115" s="366" t="n">
        <v>0</v>
      </c>
      <c r="M115" s="366" t="n">
        <v>0</v>
      </c>
      <c r="N115" s="366" t="n">
        <v>0</v>
      </c>
      <c r="O115" s="366" t="n">
        <v>0</v>
      </c>
      <c r="P115" s="366" t="n">
        <v>0</v>
      </c>
      <c r="Q115" s="366" t="n">
        <v>0</v>
      </c>
      <c r="R115" s="366" t="n">
        <v>0</v>
      </c>
      <c r="S115" s="366" t="n">
        <v>0</v>
      </c>
      <c r="T115" s="366" t="n">
        <v>0</v>
      </c>
      <c r="U115" s="366" t="n">
        <v>0</v>
      </c>
      <c r="V115" s="366" t="n">
        <v>0</v>
      </c>
      <c r="W115" s="366" t="n">
        <v>0</v>
      </c>
      <c r="X115" s="366" t="n">
        <v>0</v>
      </c>
      <c r="Y115" s="366" t="n">
        <v>0</v>
      </c>
      <c r="Z115" s="366" t="n">
        <v>0</v>
      </c>
    </row>
    <row r="116">
      <c r="A116" s="645" t="inlineStr">
        <is>
          <t>QUASAR DEEP BLUE</t>
        </is>
      </c>
      <c r="B116" s="625" t="n"/>
      <c r="C116" s="625" t="n"/>
      <c r="D116" s="641" t="n"/>
      <c r="F116" s="366" t="n">
        <v>0</v>
      </c>
      <c r="G116" s="366" t="n">
        <v>0</v>
      </c>
      <c r="H116" s="366" t="n">
        <v>0</v>
      </c>
      <c r="I116" s="366" t="n">
        <v>0</v>
      </c>
      <c r="J116" s="366" t="n">
        <v>0</v>
      </c>
      <c r="K116" s="366" t="n">
        <v>0</v>
      </c>
      <c r="L116" s="366" t="n">
        <v>0</v>
      </c>
      <c r="M116" s="366" t="n">
        <v>0</v>
      </c>
      <c r="N116" s="366" t="n">
        <v>0</v>
      </c>
      <c r="O116" s="366" t="n">
        <v>0</v>
      </c>
      <c r="P116" s="366" t="n">
        <v>0</v>
      </c>
      <c r="Q116" s="366" t="n">
        <v>0</v>
      </c>
      <c r="R116" s="366" t="n">
        <v>0</v>
      </c>
      <c r="S116" s="366" t="n">
        <v>0</v>
      </c>
      <c r="T116" s="366" t="n">
        <v>0</v>
      </c>
      <c r="U116" s="366" t="n">
        <v>0</v>
      </c>
      <c r="V116" s="366" t="n">
        <v>0</v>
      </c>
      <c r="W116" s="366" t="n">
        <v>0</v>
      </c>
      <c r="X116" s="366" t="n">
        <v>0</v>
      </c>
      <c r="Y116" s="366" t="n">
        <v>0</v>
      </c>
      <c r="Z116" s="366" t="n">
        <v>0</v>
      </c>
    </row>
    <row r="117">
      <c r="A117" s="645" t="inlineStr">
        <is>
          <t>BOTI SUN</t>
        </is>
      </c>
      <c r="B117" s="625" t="n"/>
      <c r="C117" s="625" t="n"/>
      <c r="D117" s="641" t="n"/>
      <c r="F117" s="366" t="n">
        <v>0</v>
      </c>
      <c r="G117" s="366" t="n">
        <v>0</v>
      </c>
      <c r="H117" s="366" t="n">
        <v>0</v>
      </c>
      <c r="I117" s="366" t="n">
        <v>0</v>
      </c>
      <c r="J117" s="366" t="n">
        <v>0</v>
      </c>
      <c r="K117" s="366" t="n">
        <v>0</v>
      </c>
      <c r="L117" s="366" t="n">
        <v>0</v>
      </c>
      <c r="M117" s="366" t="n">
        <v>0</v>
      </c>
      <c r="N117" s="366" t="n">
        <v>0</v>
      </c>
      <c r="O117" s="366" t="n">
        <v>0</v>
      </c>
      <c r="P117" s="366" t="n">
        <v>0</v>
      </c>
      <c r="Q117" s="366" t="n">
        <v>0</v>
      </c>
      <c r="R117" s="366" t="n">
        <v>0</v>
      </c>
      <c r="S117" s="366" t="n">
        <v>0</v>
      </c>
      <c r="T117" s="366" t="n">
        <v>0</v>
      </c>
      <c r="U117" s="366" t="n">
        <v>0</v>
      </c>
      <c r="V117" s="366" t="n">
        <v>0</v>
      </c>
      <c r="W117" s="366" t="n">
        <v>0</v>
      </c>
      <c r="X117" s="366" t="n">
        <v>0</v>
      </c>
      <c r="Y117" s="366" t="n">
        <v>0</v>
      </c>
      <c r="Z117" s="366" t="n">
        <v>0</v>
      </c>
    </row>
    <row r="118">
      <c r="A118" s="645" t="inlineStr">
        <is>
          <t>LIZ AURA</t>
        </is>
      </c>
      <c r="B118" s="625" t="n"/>
      <c r="C118" s="625" t="n"/>
      <c r="D118" s="641" t="n"/>
      <c r="F118" s="366" t="n">
        <v>0</v>
      </c>
      <c r="G118" s="366" t="n">
        <v>0</v>
      </c>
      <c r="H118" s="366" t="n">
        <v>0</v>
      </c>
      <c r="I118" s="366" t="n">
        <v>0</v>
      </c>
      <c r="J118" s="366" t="n">
        <v>0</v>
      </c>
      <c r="K118" s="366" t="n">
        <v>0</v>
      </c>
      <c r="L118" s="366" t="n">
        <v>0</v>
      </c>
      <c r="M118" s="366" t="n">
        <v>0</v>
      </c>
      <c r="N118" s="366" t="n">
        <v>0</v>
      </c>
      <c r="O118" s="366" t="n">
        <v>0</v>
      </c>
      <c r="P118" s="366" t="n">
        <v>0</v>
      </c>
      <c r="Q118" s="366" t="n">
        <v>0</v>
      </c>
      <c r="R118" s="366" t="n">
        <v>0</v>
      </c>
      <c r="S118" s="366" t="n">
        <v>0</v>
      </c>
      <c r="T118" s="366" t="n">
        <v>0</v>
      </c>
      <c r="U118" s="366" t="n">
        <v>0</v>
      </c>
      <c r="V118" s="366" t="n">
        <v>0</v>
      </c>
      <c r="W118" s="366" t="n">
        <v>0</v>
      </c>
      <c r="X118" s="366" t="n">
        <v>0</v>
      </c>
      <c r="Y118" s="366" t="n">
        <v>0</v>
      </c>
      <c r="Z118" s="366" t="n">
        <v>0</v>
      </c>
    </row>
    <row r="119">
      <c r="A119" s="645" t="inlineStr">
        <is>
          <t>FLORATTA BOUQUET</t>
        </is>
      </c>
      <c r="B119" s="625" t="n"/>
      <c r="C119" s="625" t="n"/>
      <c r="D119" s="641" t="n"/>
      <c r="F119" s="366" t="n">
        <v>0</v>
      </c>
      <c r="G119" s="366" t="n">
        <v>0</v>
      </c>
      <c r="H119" s="366" t="n">
        <v>0</v>
      </c>
      <c r="I119" s="366" t="n">
        <v>0</v>
      </c>
      <c r="J119" s="366" t="n">
        <v>0</v>
      </c>
      <c r="K119" s="366" t="n">
        <v>0</v>
      </c>
      <c r="L119" s="366" t="n">
        <v>0</v>
      </c>
      <c r="M119" s="366" t="n">
        <v>0</v>
      </c>
      <c r="N119" s="366" t="n">
        <v>0</v>
      </c>
      <c r="O119" s="366" t="n">
        <v>0</v>
      </c>
      <c r="P119" s="366" t="n">
        <v>0</v>
      </c>
      <c r="Q119" s="366" t="n">
        <v>0</v>
      </c>
      <c r="R119" s="366" t="n">
        <v>0</v>
      </c>
      <c r="S119" s="366" t="n">
        <v>0</v>
      </c>
      <c r="T119" s="366" t="n">
        <v>0</v>
      </c>
      <c r="U119" s="366" t="n">
        <v>0</v>
      </c>
      <c r="V119" s="366" t="n">
        <v>0</v>
      </c>
      <c r="W119" s="366" t="n">
        <v>0</v>
      </c>
      <c r="X119" s="366" t="n">
        <v>0</v>
      </c>
      <c r="Y119" s="366" t="n">
        <v>0</v>
      </c>
      <c r="Z119" s="366" t="n">
        <v>0</v>
      </c>
    </row>
    <row r="120">
      <c r="A120" s="645" t="inlineStr">
        <is>
          <t>EGEO DOLCE ILUSION</t>
        </is>
      </c>
      <c r="B120" s="625" t="n"/>
      <c r="C120" s="625" t="n"/>
      <c r="D120" s="641" t="n"/>
      <c r="F120" s="366" t="n"/>
      <c r="G120" s="366" t="n"/>
      <c r="H120" s="366" t="n"/>
      <c r="I120" s="366" t="n"/>
      <c r="J120" s="366" t="n"/>
      <c r="K120" s="366" t="n">
        <v>0</v>
      </c>
      <c r="L120" s="366" t="n">
        <v>50</v>
      </c>
      <c r="M120" s="366" t="n">
        <v>40</v>
      </c>
      <c r="N120" s="366" t="n">
        <v>40</v>
      </c>
      <c r="O120" s="366" t="n">
        <v>40</v>
      </c>
      <c r="P120" s="366" t="n">
        <v>15</v>
      </c>
      <c r="Q120" s="366" t="n">
        <v>15</v>
      </c>
      <c r="R120" s="366" t="n">
        <v>15</v>
      </c>
      <c r="S120" s="366" t="n">
        <v>15</v>
      </c>
      <c r="T120" s="366" t="n">
        <v>0</v>
      </c>
      <c r="U120" s="366" t="n">
        <v>0</v>
      </c>
      <c r="V120" s="366" t="n">
        <v>0</v>
      </c>
      <c r="W120" s="366" t="n">
        <v>0</v>
      </c>
      <c r="X120" s="366" t="n">
        <v>0</v>
      </c>
      <c r="Y120" s="366" t="n">
        <v>0</v>
      </c>
      <c r="Z120" s="366" t="n">
        <v>0</v>
      </c>
    </row>
    <row r="121">
      <c r="A121" s="645" t="inlineStr">
        <is>
          <t>HADYA</t>
        </is>
      </c>
      <c r="B121" s="625" t="n"/>
      <c r="C121" s="625" t="n"/>
      <c r="D121" s="641" t="n"/>
      <c r="F121" s="366" t="n"/>
      <c r="G121" s="366" t="n"/>
      <c r="H121" s="366" t="n"/>
      <c r="I121" s="366" t="n"/>
      <c r="J121" s="366" t="n"/>
      <c r="K121" s="366" t="n">
        <v>0</v>
      </c>
      <c r="L121" s="366" t="n">
        <v>5</v>
      </c>
      <c r="M121" s="366" t="n">
        <v>0</v>
      </c>
      <c r="N121" s="366" t="n">
        <v>0</v>
      </c>
      <c r="O121" s="366" t="n">
        <v>0</v>
      </c>
      <c r="P121" s="366" t="n">
        <v>0</v>
      </c>
      <c r="Q121" s="366" t="n">
        <v>0</v>
      </c>
      <c r="R121" s="366" t="n">
        <v>0</v>
      </c>
      <c r="S121" s="366" t="n">
        <v>0</v>
      </c>
      <c r="T121" s="366" t="n">
        <v>0</v>
      </c>
      <c r="U121" s="366" t="n">
        <v>0</v>
      </c>
      <c r="V121" s="366" t="n">
        <v>0</v>
      </c>
      <c r="W121" s="366" t="n">
        <v>0</v>
      </c>
      <c r="X121" s="366" t="n">
        <v>0</v>
      </c>
      <c r="Y121" s="366" t="n">
        <v>0</v>
      </c>
      <c r="Z121" s="366" t="n">
        <v>0</v>
      </c>
    </row>
  </sheetData>
  <mergeCells count="73">
    <mergeCell ref="A116:D116"/>
    <mergeCell ref="A106:D106"/>
    <mergeCell ref="A91:D91"/>
    <mergeCell ref="A97:D97"/>
    <mergeCell ref="A62:D62"/>
    <mergeCell ref="A100:D100"/>
    <mergeCell ref="A96:D96"/>
    <mergeCell ref="A72:D72"/>
    <mergeCell ref="A109:D109"/>
    <mergeCell ref="A81:D81"/>
    <mergeCell ref="A112:D112"/>
    <mergeCell ref="A63:D63"/>
    <mergeCell ref="A121:D121"/>
    <mergeCell ref="A117:D117"/>
    <mergeCell ref="A115:D115"/>
    <mergeCell ref="A93:D93"/>
    <mergeCell ref="A111:D111"/>
    <mergeCell ref="A68:D68"/>
    <mergeCell ref="A102:D102"/>
    <mergeCell ref="A67:D67"/>
    <mergeCell ref="A58:D58"/>
    <mergeCell ref="A77:D77"/>
    <mergeCell ref="A83:D83"/>
    <mergeCell ref="A114:D114"/>
    <mergeCell ref="A92:D92"/>
    <mergeCell ref="A64:D64"/>
    <mergeCell ref="A59:D59"/>
    <mergeCell ref="A82:D82"/>
    <mergeCell ref="A73:D73"/>
    <mergeCell ref="A107:D107"/>
    <mergeCell ref="A60:D60"/>
    <mergeCell ref="A98:D98"/>
    <mergeCell ref="A5:A6"/>
    <mergeCell ref="A94:D94"/>
    <mergeCell ref="A103:D103"/>
    <mergeCell ref="A70:D70"/>
    <mergeCell ref="A79:D79"/>
    <mergeCell ref="AY7:BG7"/>
    <mergeCell ref="A61:D61"/>
    <mergeCell ref="A110:D110"/>
    <mergeCell ref="A88:D88"/>
    <mergeCell ref="A69:D69"/>
    <mergeCell ref="A119:D119"/>
    <mergeCell ref="A78:D78"/>
    <mergeCell ref="A87:D87"/>
    <mergeCell ref="A65:D65"/>
    <mergeCell ref="A99:D99"/>
    <mergeCell ref="B5:B6"/>
    <mergeCell ref="A90:D90"/>
    <mergeCell ref="A66:D66"/>
    <mergeCell ref="D5:D6"/>
    <mergeCell ref="A84:D84"/>
    <mergeCell ref="A80:D80"/>
    <mergeCell ref="A75:D75"/>
    <mergeCell ref="B3:D3"/>
    <mergeCell ref="A56:D56"/>
    <mergeCell ref="A89:D89"/>
    <mergeCell ref="A108:D108"/>
    <mergeCell ref="A118:D118"/>
    <mergeCell ref="A74:D74"/>
    <mergeCell ref="A105:D105"/>
    <mergeCell ref="A120:D120"/>
    <mergeCell ref="A101:D101"/>
    <mergeCell ref="A86:D86"/>
    <mergeCell ref="A104:D104"/>
    <mergeCell ref="A57:D57"/>
    <mergeCell ref="A95:D95"/>
    <mergeCell ref="A71:D71"/>
    <mergeCell ref="A113:D113"/>
    <mergeCell ref="A85:D85"/>
    <mergeCell ref="A76:D76"/>
    <mergeCell ref="B2:D2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61" fitToHeight="0"/>
</worksheet>
</file>

<file path=xl/worksheets/sheet20.xml><?xml version="1.0" encoding="utf-8"?>
<worksheet xmlns="http://schemas.openxmlformats.org/spreadsheetml/2006/main">
  <sheetPr codeName="Planilha48">
    <tabColor theme="9"/>
    <outlinePr summaryBelow="1" summaryRight="1"/>
    <pageSetUpPr/>
  </sheetPr>
  <dimension ref="A1:BK62"/>
  <sheetViews>
    <sheetView showGridLines="0" topLeftCell="A7" zoomScale="80" zoomScaleNormal="80" zoomScaleSheetLayoutView="70" workbookViewId="0">
      <selection activeCell="AA28" sqref="AA28"/>
    </sheetView>
  </sheetViews>
  <sheetFormatPr baseColWidth="8" defaultColWidth="9.140625" defaultRowHeight="18.75"/>
  <cols>
    <col width="27.85546875" customWidth="1" min="1" max="1"/>
    <col width="9.140625" customWidth="1" min="2" max="2"/>
    <col hidden="1" width="14.28515625" customWidth="1" min="3" max="3"/>
    <col width="14.28515625" customWidth="1" min="4" max="4"/>
    <col width="2.28515625" customWidth="1" min="5" max="5"/>
    <col hidden="1" width="8.28515625" customWidth="1" min="6" max="6"/>
    <col hidden="1" width="13" customWidth="1" min="7" max="7"/>
    <col hidden="1" width="13" customWidth="1" min="8" max="8"/>
    <col hidden="1" width="13" customWidth="1" min="9" max="9"/>
    <col hidden="1" width="13" customWidth="1" min="10" max="10"/>
    <col hidden="1" width="13" customWidth="1" min="11" max="11"/>
    <col hidden="1" width="13" customWidth="1" min="12" max="12"/>
    <col hidden="1" width="13" customWidth="1" min="13" max="13"/>
    <col hidden="1" width="9.28515625" customWidth="1" min="14" max="14"/>
    <col hidden="1" width="1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9.28515625" customWidth="1" min="26" max="26"/>
    <col hidden="1" width="13" customWidth="1" min="27" max="27"/>
    <col hidden="1" width="13" customWidth="1" min="28" max="28"/>
    <col width="13" customWidth="1" min="29" max="29"/>
    <col width="13" customWidth="1" min="30" max="30"/>
    <col width="8.28515625" customWidth="1" min="31" max="31"/>
    <col width="1.140625" customWidth="1" min="32" max="32"/>
    <col width="26" customWidth="1" min="33" max="33"/>
    <col width="1.28515625" customWidth="1" min="34" max="34"/>
    <col width="15.85546875" customWidth="1" min="35" max="35"/>
    <col width="2.140625" customWidth="1" min="36" max="36"/>
    <col width="8.7109375" customWidth="1" min="37" max="37"/>
    <col width="13" customWidth="1" min="38" max="38"/>
    <col width="11.7109375" customWidth="1" min="39" max="39"/>
    <col hidden="1" width="8.7109375" customWidth="1" min="40" max="40"/>
    <col hidden="1" width="8.7109375" customWidth="1" min="41" max="41"/>
    <col hidden="1" width="13" customWidth="1" min="42" max="42"/>
    <col hidden="1" width="13" customWidth="1" min="43" max="43"/>
    <col hidden="1" width="13.85546875" customWidth="1" min="44" max="44"/>
    <col hidden="1" width="8.7109375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width="9.140625" customWidth="1" min="50" max="50"/>
    <col width="21.85546875" customWidth="1" min="51" max="51"/>
    <col width="9.140625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  <col hidden="1" width="9.140625" customWidth="1" min="58" max="58"/>
    <col hidden="1" width="13" customWidth="1" min="59" max="59"/>
    <col hidden="1" width="13" customWidth="1" min="60" max="60"/>
    <col width="13" customWidth="1" min="61" max="61"/>
    <col width="13" customWidth="1" min="62" max="62"/>
  </cols>
  <sheetData>
    <row r="1" ht="23.25" customHeight="1">
      <c r="A1" s="477" t="inlineStr">
        <is>
          <t>Controle de Contagem Semanal - Antilhas</t>
        </is>
      </c>
      <c r="AE1" s="477" t="n"/>
      <c r="AF1" s="362" t="n"/>
      <c r="AG1" s="362" t="n"/>
      <c r="AH1" s="362" t="n"/>
      <c r="AI1" s="362" t="n"/>
      <c r="AJ1" s="361" t="n"/>
      <c r="AK1" s="361" t="n"/>
      <c r="AL1" s="361" t="n"/>
      <c r="AM1" s="361" t="n"/>
      <c r="AN1" s="361" t="n"/>
      <c r="AO1" s="361" t="n"/>
      <c r="AP1" s="361" t="n"/>
      <c r="AQ1" s="361" t="n"/>
      <c r="AR1" s="361" t="n"/>
      <c r="AS1" s="361" t="n"/>
      <c r="AT1" s="361" t="n"/>
      <c r="AU1" s="361" t="n"/>
      <c r="AV1" s="361" t="n"/>
      <c r="AW1" s="361" t="n"/>
    </row>
    <row r="2">
      <c r="A2" s="63" t="inlineStr">
        <is>
          <t>LOJA:</t>
        </is>
      </c>
      <c r="B2" s="604" t="inlineStr">
        <is>
          <t>ITIRAPINA</t>
        </is>
      </c>
      <c r="C2" s="605" t="n"/>
      <c r="D2" s="606" t="n"/>
      <c r="AF2" s="11" t="n"/>
      <c r="AG2" s="41" t="n"/>
      <c r="AI2" s="70" t="n"/>
    </row>
    <row r="3">
      <c r="A3" s="63" t="inlineStr">
        <is>
          <t>Responsável:</t>
        </is>
      </c>
      <c r="B3" s="607" t="inlineStr">
        <is>
          <t>SABRINA</t>
        </is>
      </c>
      <c r="C3" s="605" t="n"/>
      <c r="D3" s="606" t="n"/>
      <c r="E3" s="608" t="n"/>
      <c r="F3" s="608" t="n"/>
      <c r="G3" s="608" t="n"/>
      <c r="H3" s="608" t="n"/>
      <c r="I3" s="608" t="n"/>
      <c r="J3" s="608" t="n"/>
      <c r="K3" s="608" t="n"/>
      <c r="L3" s="608" t="n"/>
      <c r="M3" s="608" t="n"/>
      <c r="N3" s="608" t="n"/>
      <c r="O3" s="608" t="n"/>
      <c r="P3" s="608" t="n"/>
      <c r="Q3" s="608" t="n"/>
      <c r="R3" s="608" t="n"/>
      <c r="S3" s="608" t="n"/>
      <c r="T3" s="608" t="n"/>
      <c r="U3" s="608" t="n"/>
      <c r="V3" s="608" t="n"/>
      <c r="W3" s="608" t="n"/>
      <c r="X3" s="608" t="n"/>
      <c r="Y3" s="608" t="n"/>
      <c r="Z3" s="608" t="n"/>
      <c r="AA3" s="608" t="n"/>
      <c r="AB3" s="609" t="n"/>
      <c r="AC3" s="609" t="n"/>
      <c r="AD3" s="609" t="n"/>
      <c r="AE3" s="608" t="n"/>
      <c r="AF3" s="608" t="n"/>
      <c r="AG3" s="41" t="n"/>
      <c r="AH3" s="608" t="n"/>
    </row>
    <row r="4">
      <c r="AF4" s="74" t="n"/>
      <c r="AG4" s="41" t="n"/>
      <c r="AI4" s="70" t="n"/>
      <c r="AJ4" s="158" t="n"/>
      <c r="AK4" s="395" t="n"/>
      <c r="AL4" s="395" t="n"/>
      <c r="AM4" s="395" t="n"/>
      <c r="AN4" s="395" t="n"/>
      <c r="AO4" s="395" t="n"/>
      <c r="AP4" s="395" t="n"/>
      <c r="AQ4" s="395" t="n"/>
      <c r="AR4" s="395" t="n"/>
      <c r="AS4" s="395" t="n"/>
      <c r="AT4" s="395" t="n"/>
      <c r="AU4" s="395" t="n"/>
      <c r="AV4" s="395" t="n"/>
      <c r="AW4" s="395" t="n"/>
    </row>
    <row r="5" ht="18.75" customHeight="1">
      <c r="A5" s="610" t="inlineStr">
        <is>
          <t>Descrição</t>
        </is>
      </c>
      <c r="B5" s="611" t="inlineStr">
        <is>
          <t>PCT</t>
        </is>
      </c>
      <c r="C5" s="611" t="inlineStr">
        <is>
          <t xml:space="preserve">R$ </t>
        </is>
      </c>
      <c r="D5" s="612" t="inlineStr">
        <is>
          <t>Estoque Ideal</t>
        </is>
      </c>
      <c r="F5" s="40" t="n"/>
      <c r="G5" s="40" t="n"/>
      <c r="H5" s="40" t="n"/>
      <c r="I5" s="40" t="n"/>
      <c r="J5" s="40" t="n"/>
      <c r="K5" s="40" t="n"/>
      <c r="L5" s="40" t="n"/>
      <c r="M5" s="40" t="n"/>
      <c r="N5" s="40" t="n"/>
      <c r="O5" s="40" t="n"/>
      <c r="P5" s="40" t="n"/>
      <c r="Q5" s="40" t="n"/>
      <c r="R5" s="40" t="n"/>
      <c r="S5" s="40" t="n"/>
      <c r="T5" s="40" t="n"/>
      <c r="U5" s="40" t="n"/>
      <c r="V5" s="40" t="n"/>
      <c r="W5" s="40" t="n"/>
      <c r="X5" s="40" t="n"/>
      <c r="Y5" s="40" t="n"/>
      <c r="Z5" s="40" t="n"/>
      <c r="AA5" s="40" t="n"/>
      <c r="AB5" s="40" t="n"/>
      <c r="AC5" s="40" t="n"/>
      <c r="AD5" s="40" t="n"/>
      <c r="AE5" s="40" t="n"/>
      <c r="AF5" s="648" t="n"/>
      <c r="AG5" s="29" t="inlineStr">
        <is>
          <t>Pendências</t>
        </is>
      </c>
      <c r="AI5" s="9" t="inlineStr">
        <is>
          <t>Novo Pedido</t>
        </is>
      </c>
      <c r="AJ5" s="613" t="n">
        <v>46161.4829616752</v>
      </c>
      <c r="AK5" s="614" t="n"/>
      <c r="AL5" s="614" t="n">
        <v>46142</v>
      </c>
      <c r="AM5" s="615" t="inlineStr">
        <is>
          <t>TRANSF.</t>
        </is>
      </c>
      <c r="AN5" s="616" t="n">
        <v>46065</v>
      </c>
      <c r="AO5" s="614" t="n">
        <v>46092</v>
      </c>
      <c r="AP5" s="614" t="n">
        <v>46048</v>
      </c>
      <c r="AQ5" s="614" t="n">
        <v>46035</v>
      </c>
      <c r="AR5" s="617" t="inlineStr">
        <is>
          <t>TRANSF.</t>
        </is>
      </c>
      <c r="AS5" s="614" t="n">
        <v>46024</v>
      </c>
      <c r="AT5" s="614" t="n">
        <v>46007</v>
      </c>
      <c r="AU5" s="614" t="n">
        <v>46001</v>
      </c>
      <c r="AV5" s="614" t="n">
        <v>45994</v>
      </c>
      <c r="AW5" s="614" t="n">
        <v>45960</v>
      </c>
    </row>
    <row r="6" customFormat="1" s="3">
      <c r="A6" s="618" t="n"/>
      <c r="B6" s="618" t="n"/>
      <c r="C6" s="618" t="n"/>
      <c r="D6" s="618" t="n"/>
      <c r="E6" s="30" t="n"/>
      <c r="F6" s="619" t="n">
        <v>46013</v>
      </c>
      <c r="G6" s="619" t="n">
        <v>46020</v>
      </c>
      <c r="H6" s="619" t="n">
        <v>46027</v>
      </c>
      <c r="I6" s="619" t="n">
        <v>46034</v>
      </c>
      <c r="J6" s="619" t="n">
        <v>46041</v>
      </c>
      <c r="K6" s="619" t="n">
        <v>46048</v>
      </c>
      <c r="L6" s="619" t="n">
        <v>46055</v>
      </c>
      <c r="M6" s="619" t="n">
        <v>46062</v>
      </c>
      <c r="N6" s="619" t="n">
        <v>46069</v>
      </c>
      <c r="O6" s="619" t="n">
        <v>46076</v>
      </c>
      <c r="P6" s="619" t="n">
        <v>46083</v>
      </c>
      <c r="Q6" s="619" t="n">
        <v>46090</v>
      </c>
      <c r="R6" s="619" t="n">
        <v>46097</v>
      </c>
      <c r="S6" s="619" t="n">
        <v>46104</v>
      </c>
      <c r="T6" s="619" t="n">
        <v>46111</v>
      </c>
      <c r="U6" s="619" t="n">
        <v>46118</v>
      </c>
      <c r="V6" s="619" t="n">
        <v>46125</v>
      </c>
      <c r="W6" s="619" t="n">
        <v>46132</v>
      </c>
      <c r="X6" s="619" t="n">
        <v>46139</v>
      </c>
      <c r="Y6" s="619" t="n">
        <v>46146</v>
      </c>
      <c r="Z6" s="619" t="n">
        <v>46154</v>
      </c>
      <c r="AA6" s="619" t="n">
        <v>46160</v>
      </c>
      <c r="AB6" s="620" t="n">
        <v>46161.48013128472</v>
      </c>
      <c r="AC6" s="620" t="n">
        <v>46161.48080494213</v>
      </c>
      <c r="AD6" s="620" t="n">
        <v>46161.48296210303</v>
      </c>
      <c r="AE6" s="621" t="inlineStr">
        <is>
          <t>USOU</t>
        </is>
      </c>
      <c r="AF6" s="648" t="n"/>
      <c r="AG6" s="29" t="inlineStr">
        <is>
          <t>Pendências</t>
        </is>
      </c>
      <c r="AH6" s="623" t="n"/>
      <c r="AI6" s="624" t="n"/>
      <c r="AJ6" s="613" t="n">
        <v>46161.48296167547</v>
      </c>
      <c r="AK6" s="614" t="n"/>
      <c r="AL6" s="614" t="n">
        <v>46156</v>
      </c>
      <c r="AM6" s="615" t="n">
        <v>46148</v>
      </c>
      <c r="AN6" s="616" t="n">
        <v>46104</v>
      </c>
      <c r="AO6" s="614" t="n">
        <v>46101</v>
      </c>
      <c r="AP6" s="614" t="n">
        <v>46052</v>
      </c>
      <c r="AQ6" s="614" t="n">
        <v>46038</v>
      </c>
      <c r="AR6" s="617" t="n">
        <v>46037</v>
      </c>
      <c r="AS6" s="614" t="n">
        <v>46030</v>
      </c>
      <c r="AT6" s="614" t="n">
        <v>46014</v>
      </c>
      <c r="AU6" s="614" t="n">
        <v>46010</v>
      </c>
      <c r="AV6" s="614" t="n">
        <v>46003</v>
      </c>
      <c r="AW6" s="614" t="n">
        <v>45967</v>
      </c>
      <c r="AY6" s="11" t="n"/>
      <c r="AZ6" s="11" t="n"/>
      <c r="BA6" s="11" t="n"/>
      <c r="BB6" s="11" t="n"/>
      <c r="BC6" s="11" t="n"/>
      <c r="BD6" s="11" t="n"/>
      <c r="BE6" s="11" t="n"/>
      <c r="BF6" s="11" t="n"/>
      <c r="BG6" s="11" t="n"/>
      <c r="BH6" s="11" t="n"/>
      <c r="BI6" s="11" t="n"/>
      <c r="BJ6" s="11" t="n"/>
      <c r="BK6" s="11" t="n"/>
    </row>
    <row r="7" ht="21.75" customFormat="1" customHeight="1" s="3">
      <c r="A7" s="68" t="inlineStr">
        <is>
          <t xml:space="preserve">SACOLAS </t>
        </is>
      </c>
      <c r="B7" s="5" t="n"/>
      <c r="C7" s="5" t="n"/>
      <c r="D7" s="239" t="n"/>
      <c r="E7" s="11" t="n"/>
      <c r="F7" s="14" t="n"/>
      <c r="G7" s="14" t="n"/>
      <c r="H7" s="14" t="n"/>
      <c r="I7" s="14" t="n"/>
      <c r="J7" s="14" t="n"/>
      <c r="K7" s="14" t="n"/>
      <c r="L7" s="14" t="n"/>
      <c r="M7" s="14" t="n"/>
      <c r="N7" s="14" t="n"/>
      <c r="O7" s="14" t="n"/>
      <c r="P7" s="14" t="n"/>
      <c r="Q7" s="14" t="n"/>
      <c r="R7" s="14" t="n"/>
      <c r="S7" s="14" t="n"/>
      <c r="T7" s="14" t="n"/>
      <c r="U7" s="14" t="n"/>
      <c r="V7" s="14" t="n"/>
      <c r="W7" s="14" t="n"/>
      <c r="X7" s="14" t="n"/>
      <c r="Y7" s="14" t="n"/>
      <c r="Z7" s="14" t="n"/>
      <c r="AA7" s="14" t="n"/>
      <c r="AB7" s="14" t="n"/>
      <c r="AC7" s="14" t="n"/>
      <c r="AD7" s="14" t="n"/>
      <c r="AE7" s="14" t="n"/>
      <c r="AF7" s="124" t="n"/>
      <c r="AG7" s="12" t="n"/>
      <c r="AH7" s="11" t="n"/>
      <c r="AI7" s="127" t="n"/>
      <c r="AJ7" s="12" t="n"/>
      <c r="AK7" s="12" t="n"/>
      <c r="AL7" s="12" t="n"/>
      <c r="AM7" s="12" t="n"/>
      <c r="AN7" s="12" t="inlineStr">
        <is>
          <t>MÃES</t>
        </is>
      </c>
      <c r="AO7" s="12" t="n"/>
      <c r="AP7" s="12" t="n"/>
      <c r="AQ7" s="12" t="n"/>
      <c r="AR7" s="12" t="n"/>
      <c r="AS7" s="12" t="n"/>
      <c r="AT7" s="12" t="n"/>
      <c r="AU7" s="12" t="n"/>
      <c r="AV7" s="12" t="n"/>
      <c r="AW7" s="12" t="n"/>
      <c r="AX7" s="625" t="n"/>
      <c r="AY7" s="625" t="n"/>
      <c r="AZ7" s="625" t="n"/>
      <c r="BA7" s="625" t="n"/>
      <c r="BB7" s="625" t="n"/>
      <c r="BC7" s="625" t="n"/>
      <c r="BD7" s="625" t="n"/>
      <c r="BE7" s="641" t="n"/>
      <c r="BF7" s="652" t="n"/>
      <c r="BG7" s="625" t="n"/>
      <c r="BH7" s="626" t="n"/>
      <c r="BI7" s="626" t="n"/>
      <c r="BJ7" s="626" t="n"/>
      <c r="BK7" s="476" t="n"/>
    </row>
    <row r="8" customFormat="1" s="3">
      <c r="A8" s="21" t="inlineStr">
        <is>
          <t>SACOLA PP VERDE</t>
        </is>
      </c>
      <c r="B8" s="6" t="n">
        <v>300</v>
      </c>
      <c r="C8" s="627" t="n">
        <v>187.12</v>
      </c>
      <c r="D8" s="240" t="n">
        <v>200</v>
      </c>
      <c r="E8" s="11" t="n"/>
      <c r="F8" s="39">
        <f>600+AQ8</f>
        <v/>
      </c>
      <c r="G8" s="211" t="n">
        <v>1200</v>
      </c>
      <c r="H8" s="39" t="n">
        <v>1200</v>
      </c>
      <c r="I8" s="39">
        <f>1200-600</f>
        <v/>
      </c>
      <c r="J8" s="39" t="n">
        <v>600</v>
      </c>
      <c r="K8" s="39" t="n">
        <v>600</v>
      </c>
      <c r="L8" s="39" t="n">
        <v>600</v>
      </c>
      <c r="M8" s="39" t="n">
        <v>670</v>
      </c>
      <c r="N8" s="39" t="n">
        <v>670</v>
      </c>
      <c r="O8" s="39" t="n">
        <v>600</v>
      </c>
      <c r="P8" s="39" t="n">
        <v>600</v>
      </c>
      <c r="Q8" s="39" t="n">
        <v>570</v>
      </c>
      <c r="R8" s="39" t="n">
        <v>570</v>
      </c>
      <c r="S8" s="39" t="n">
        <v>500</v>
      </c>
      <c r="T8" s="39" t="n">
        <v>500</v>
      </c>
      <c r="U8" s="39" t="n">
        <v>500</v>
      </c>
      <c r="V8" s="39" t="n">
        <v>500</v>
      </c>
      <c r="W8" s="39" t="n">
        <v>500</v>
      </c>
      <c r="X8" s="39" t="n">
        <v>500</v>
      </c>
      <c r="Y8" s="39" t="n">
        <v>450</v>
      </c>
      <c r="Z8" s="39" t="n">
        <v>424</v>
      </c>
      <c r="AA8" s="39" t="n"/>
      <c r="AB8" s="6" t="n"/>
      <c r="AC8" s="6" t="n"/>
      <c r="AD8" s="6" t="n"/>
      <c r="AE8" s="380">
        <f>AC8+IF(NOT(ISBLANK(OFFSET(AE8,0,6))),N(OFFSET(AE8,0,6)),N(OFFSET(AE8,0,7)))-AD8</f>
        <v/>
      </c>
      <c r="AF8" s="363" t="n"/>
      <c r="AG8" s="78" t="n"/>
      <c r="AH8" s="11" t="n"/>
      <c r="AI8" s="353" t="n"/>
      <c r="AJ8" s="628" t="n">
        <v>0</v>
      </c>
      <c r="AK8" s="19" t="n">
        <v>0</v>
      </c>
      <c r="AL8" s="19" t="n">
        <v>0</v>
      </c>
      <c r="AM8" s="304" t="n"/>
      <c r="AN8" s="19" t="n"/>
      <c r="AO8" s="19" t="n"/>
      <c r="AP8" s="19" t="n"/>
      <c r="AQ8" s="19" t="n"/>
      <c r="AR8" s="260" t="inlineStr">
        <is>
          <t>600 P/ JSH</t>
        </is>
      </c>
      <c r="AS8" s="19" t="n"/>
      <c r="AT8" s="19" t="n">
        <v>600</v>
      </c>
      <c r="AU8" s="19" t="n">
        <v>300</v>
      </c>
      <c r="AV8" s="19" t="n">
        <v>300</v>
      </c>
      <c r="AW8" s="19" t="n"/>
      <c r="AY8" s="397" t="inlineStr">
        <is>
          <t xml:space="preserve">SACOLAS </t>
        </is>
      </c>
      <c r="AZ8" s="384" t="inlineStr">
        <is>
          <t>PCT</t>
        </is>
      </c>
      <c r="BA8" s="619" t="n">
        <v>46118</v>
      </c>
      <c r="BB8" s="619" t="n">
        <v>46125</v>
      </c>
      <c r="BC8" s="619" t="n">
        <v>46132</v>
      </c>
      <c r="BD8" s="619" t="n">
        <v>46139</v>
      </c>
      <c r="BE8" s="619" t="n">
        <v>46146</v>
      </c>
      <c r="BF8" s="619" t="n">
        <v>46154</v>
      </c>
      <c r="BG8" s="619" t="n">
        <v>46160</v>
      </c>
      <c r="BH8" s="620" t="n">
        <v>46161.48013097222</v>
      </c>
      <c r="BI8" s="620" t="n">
        <v>46161.48080466435</v>
      </c>
      <c r="BJ8" s="620" t="n">
        <v>46161.48296179212</v>
      </c>
      <c r="BK8" s="621" t="inlineStr">
        <is>
          <t>USOU</t>
        </is>
      </c>
    </row>
    <row r="9" ht="18" customFormat="1" customHeight="1" s="3">
      <c r="A9" s="21" t="inlineStr">
        <is>
          <t xml:space="preserve">SACOLA P VERDE </t>
        </is>
      </c>
      <c r="B9" s="6" t="n">
        <v>200</v>
      </c>
      <c r="C9" s="627" t="n">
        <v>193.08</v>
      </c>
      <c r="D9" s="240" t="n">
        <v>300</v>
      </c>
      <c r="E9" s="11" t="n"/>
      <c r="F9" s="39">
        <f>513+AQ9</f>
        <v/>
      </c>
      <c r="G9" s="39" t="n">
        <v>492</v>
      </c>
      <c r="H9" s="39" t="n">
        <v>420</v>
      </c>
      <c r="I9" s="39" t="n">
        <v>550</v>
      </c>
      <c r="J9" s="39" t="n">
        <v>730</v>
      </c>
      <c r="K9" s="39" t="n">
        <v>665</v>
      </c>
      <c r="L9" s="39" t="n">
        <v>600</v>
      </c>
      <c r="M9" s="39" t="n">
        <v>540</v>
      </c>
      <c r="N9" s="39" t="n">
        <v>455</v>
      </c>
      <c r="O9" s="39" t="n">
        <v>400</v>
      </c>
      <c r="P9" s="39" t="n">
        <v>340</v>
      </c>
      <c r="Q9" s="39" t="n">
        <v>280</v>
      </c>
      <c r="R9" s="39">
        <f>235+AL9</f>
        <v/>
      </c>
      <c r="S9" s="39" t="n">
        <v>400</v>
      </c>
      <c r="T9" s="39" t="n">
        <v>350</v>
      </c>
      <c r="U9" s="39" t="n">
        <v>300</v>
      </c>
      <c r="V9" s="39" t="n">
        <v>270</v>
      </c>
      <c r="W9" s="39" t="n">
        <v>200</v>
      </c>
      <c r="X9" s="39" t="n">
        <v>200</v>
      </c>
      <c r="Y9" s="39" t="n">
        <v>140</v>
      </c>
      <c r="Z9" s="39">
        <f>0+AI9</f>
        <v/>
      </c>
      <c r="AA9" s="39" t="n"/>
      <c r="AB9" s="6" t="n"/>
      <c r="AC9" s="6" t="n"/>
      <c r="AD9" s="6" t="n"/>
      <c r="AE9" s="380">
        <f>AC9+IF(NOT(ISBLANK(OFFSET(AE9,0,6))),N(OFFSET(AE9,0,6)),N(OFFSET(AE9,0,7)))-AD9</f>
        <v/>
      </c>
      <c r="AF9" s="111" t="n"/>
      <c r="AG9" s="78" t="n"/>
      <c r="AH9" s="11" t="n"/>
      <c r="AI9" s="353" t="n"/>
      <c r="AJ9" s="628" t="n">
        <v>0</v>
      </c>
      <c r="AK9" s="19" t="n">
        <v>0</v>
      </c>
      <c r="AL9" s="19" t="n">
        <v>200</v>
      </c>
      <c r="AM9" s="304" t="n"/>
      <c r="AN9" s="119" t="n">
        <v>200</v>
      </c>
      <c r="AO9" s="19" t="n">
        <v>200</v>
      </c>
      <c r="AP9" s="19" t="n"/>
      <c r="AQ9" s="19" t="n">
        <v>200</v>
      </c>
      <c r="AR9" s="19" t="n"/>
      <c r="AS9" s="19" t="n">
        <v>200</v>
      </c>
      <c r="AT9" s="19" t="n">
        <v>400</v>
      </c>
      <c r="AU9" s="19" t="n">
        <v>200</v>
      </c>
      <c r="AV9" s="19" t="n"/>
      <c r="AW9" s="19" t="n">
        <v>200</v>
      </c>
      <c r="AY9" s="372" t="inlineStr">
        <is>
          <t xml:space="preserve">SACOLA P </t>
        </is>
      </c>
      <c r="AZ9" s="139" t="n">
        <v>200</v>
      </c>
      <c r="BA9" s="39">
        <f>AK9</f>
        <v/>
      </c>
      <c r="BB9" s="39" t="n">
        <v>200</v>
      </c>
      <c r="BC9" s="39" t="n">
        <v>200</v>
      </c>
      <c r="BD9" s="39" t="n">
        <v>200</v>
      </c>
      <c r="BE9" s="39" t="n">
        <v>80</v>
      </c>
      <c r="BF9" s="39" t="n">
        <v>0</v>
      </c>
      <c r="BG9" s="39" t="n"/>
      <c r="BH9" s="6" t="n"/>
      <c r="BI9" s="6" t="n"/>
      <c r="BJ9" s="6" t="n"/>
      <c r="BK9" s="26">
        <f>BI9+IF(NOT(ISBLANK(OFFSET(BK9,0,6))),N(OFFSET(BK9,0,6)),N(OFFSET(BK9,0,7)))-BJ9</f>
        <v/>
      </c>
    </row>
    <row r="10" customFormat="1" s="3">
      <c r="A10" s="21" t="inlineStr">
        <is>
          <t>SACOLA M VERDE</t>
        </is>
      </c>
      <c r="B10" s="6" t="n">
        <v>200</v>
      </c>
      <c r="C10" s="627" t="n">
        <v>253.83</v>
      </c>
      <c r="D10" s="240" t="n">
        <v>250</v>
      </c>
      <c r="E10" s="11" t="n"/>
      <c r="F10" s="39">
        <f>400+AQ10</f>
        <v/>
      </c>
      <c r="G10" s="39" t="n">
        <v>287</v>
      </c>
      <c r="H10" s="39" t="n">
        <v>267</v>
      </c>
      <c r="I10" s="39" t="n">
        <v>440</v>
      </c>
      <c r="J10" s="39" t="n">
        <v>400</v>
      </c>
      <c r="K10" s="39" t="n">
        <v>380</v>
      </c>
      <c r="L10" s="39" t="n">
        <v>345</v>
      </c>
      <c r="M10" s="39" t="n">
        <v>315</v>
      </c>
      <c r="N10" s="39" t="n">
        <v>280</v>
      </c>
      <c r="O10" s="39" t="n">
        <v>200</v>
      </c>
      <c r="P10" s="39" t="n">
        <v>200</v>
      </c>
      <c r="Q10" s="39" t="n">
        <v>170</v>
      </c>
      <c r="R10" s="39">
        <f>140+AL10</f>
        <v/>
      </c>
      <c r="S10" s="39" t="n">
        <v>300</v>
      </c>
      <c r="T10" s="39" t="n">
        <v>275</v>
      </c>
      <c r="U10" s="39" t="n">
        <v>225</v>
      </c>
      <c r="V10" s="39" t="n">
        <v>225</v>
      </c>
      <c r="W10" s="39" t="n">
        <v>225</v>
      </c>
      <c r="X10" s="39" t="n">
        <v>225</v>
      </c>
      <c r="Y10" s="39" t="n">
        <v>150</v>
      </c>
      <c r="Z10" s="39" t="n">
        <v>150</v>
      </c>
      <c r="AA10" s="39" t="n"/>
      <c r="AB10" s="6" t="n"/>
      <c r="AC10" s="6" t="n"/>
      <c r="AD10" s="6" t="n"/>
      <c r="AE10" s="380">
        <f>AC10+IF(NOT(ISBLANK(OFFSET(AE10,0,6))),N(OFFSET(AE10,0,6)),N(OFFSET(AE10,0,7)))-AD10</f>
        <v/>
      </c>
      <c r="AF10" s="111" t="n"/>
      <c r="AG10" s="78" t="n"/>
      <c r="AH10" s="11" t="n"/>
      <c r="AI10" s="353" t="n"/>
      <c r="AJ10" s="628" t="n">
        <v>0</v>
      </c>
      <c r="AK10" s="19" t="n">
        <v>0</v>
      </c>
      <c r="AL10" s="19" t="n">
        <v>0</v>
      </c>
      <c r="AM10" s="304" t="n"/>
      <c r="AN10" s="119" t="n">
        <v>200</v>
      </c>
      <c r="AO10" s="19" t="n">
        <v>200</v>
      </c>
      <c r="AP10" s="19" t="n"/>
      <c r="AQ10" s="19" t="n"/>
      <c r="AR10" s="19" t="n"/>
      <c r="AS10" s="19" t="n">
        <v>200</v>
      </c>
      <c r="AT10" s="19" t="n">
        <v>200</v>
      </c>
      <c r="AU10" s="19" t="n">
        <v>200</v>
      </c>
      <c r="AV10" s="19" t="n"/>
      <c r="AW10" s="19" t="n"/>
      <c r="AY10" s="21" t="inlineStr">
        <is>
          <t xml:space="preserve">SACOLA M </t>
        </is>
      </c>
      <c r="AZ10" s="6" t="n">
        <v>200</v>
      </c>
      <c r="BA10" s="39">
        <f>AK10</f>
        <v/>
      </c>
      <c r="BB10" s="39" t="n">
        <v>200</v>
      </c>
      <c r="BC10" s="39" t="n">
        <v>200</v>
      </c>
      <c r="BD10" s="39" t="n">
        <v>200</v>
      </c>
      <c r="BE10" s="39" t="n">
        <v>50</v>
      </c>
      <c r="BF10" s="39" t="n">
        <v>0</v>
      </c>
      <c r="BG10" s="39" t="n"/>
      <c r="BH10" s="6" t="n"/>
      <c r="BI10" s="6" t="n"/>
      <c r="BJ10" s="6" t="n"/>
      <c r="BK10" s="26">
        <f>BI10+IF(NOT(ISBLANK(OFFSET(BK10,0,6))),N(OFFSET(BK10,0,6)),N(OFFSET(BK10,0,7)))-BJ10</f>
        <v/>
      </c>
    </row>
    <row r="11" customFormat="1" s="3">
      <c r="A11" s="22" t="inlineStr">
        <is>
          <t xml:space="preserve">SACOLA G VERDE </t>
        </is>
      </c>
      <c r="B11" s="6" t="n">
        <v>100</v>
      </c>
      <c r="C11" s="627" t="n">
        <v>184.57</v>
      </c>
      <c r="D11" s="240" t="n">
        <v>30</v>
      </c>
      <c r="E11" s="11" t="n"/>
      <c r="F11" s="39" t="n">
        <v>37</v>
      </c>
      <c r="G11" s="39" t="n">
        <v>0</v>
      </c>
      <c r="H11" s="39" t="n">
        <v>0</v>
      </c>
      <c r="I11" s="39" t="n">
        <v>100</v>
      </c>
      <c r="J11" s="39" t="n">
        <v>100</v>
      </c>
      <c r="K11" s="39" t="n">
        <v>100</v>
      </c>
      <c r="L11" s="39" t="n">
        <v>100</v>
      </c>
      <c r="M11" s="39" t="n">
        <v>100</v>
      </c>
      <c r="N11" s="39" t="n">
        <v>100</v>
      </c>
      <c r="O11" s="39" t="n">
        <v>100</v>
      </c>
      <c r="P11" s="39" t="n">
        <v>100</v>
      </c>
      <c r="Q11" s="39" t="n">
        <v>100</v>
      </c>
      <c r="R11" s="39" t="n">
        <v>100</v>
      </c>
      <c r="S11" s="39" t="n">
        <v>100</v>
      </c>
      <c r="T11" s="39" t="n">
        <v>100</v>
      </c>
      <c r="U11" s="39" t="n">
        <v>100</v>
      </c>
      <c r="V11" s="39" t="n">
        <v>100</v>
      </c>
      <c r="W11" s="39" t="n">
        <v>100</v>
      </c>
      <c r="X11" s="39" t="n">
        <v>100</v>
      </c>
      <c r="Y11" s="39" t="n">
        <v>100</v>
      </c>
      <c r="Z11" s="39">
        <f>100+AI11</f>
        <v/>
      </c>
      <c r="AA11" s="39" t="n"/>
      <c r="AB11" s="6" t="n"/>
      <c r="AC11" s="6" t="n"/>
      <c r="AD11" s="6" t="n"/>
      <c r="AE11" s="380">
        <f>AC11+IF(NOT(ISBLANK(OFFSET(AE11,0,6))),N(OFFSET(AE11,0,6)),N(OFFSET(AE11,0,7)))-AD11</f>
        <v/>
      </c>
      <c r="AF11" s="111" t="n"/>
      <c r="AG11" s="419" t="inlineStr">
        <is>
          <t>50 P/ JDM</t>
        </is>
      </c>
      <c r="AH11" s="11" t="n"/>
      <c r="AI11" s="353" t="n"/>
      <c r="AJ11" s="628" t="n">
        <v>0</v>
      </c>
      <c r="AK11" s="19" t="n">
        <v>0</v>
      </c>
      <c r="AL11" s="19" t="n">
        <v>100</v>
      </c>
      <c r="AM11" s="304" t="n"/>
      <c r="AN11" s="119" t="n"/>
      <c r="AO11" s="19" t="n"/>
      <c r="AP11" s="19" t="n"/>
      <c r="AQ11" s="19" t="n"/>
      <c r="AR11" s="19" t="n"/>
      <c r="AS11" s="19" t="n">
        <v>100</v>
      </c>
      <c r="AT11" s="19" t="n"/>
      <c r="AU11" s="19" t="n"/>
      <c r="AV11" s="19" t="n"/>
      <c r="AW11" s="19" t="n"/>
      <c r="AY11" s="22" t="inlineStr">
        <is>
          <t xml:space="preserve">SACOLA G </t>
        </is>
      </c>
      <c r="AZ11" s="6" t="n">
        <v>100</v>
      </c>
      <c r="BA11" s="39" t="n">
        <v>0</v>
      </c>
      <c r="BB11" s="39" t="n">
        <v>0</v>
      </c>
      <c r="BC11" s="39" t="n">
        <v>0</v>
      </c>
      <c r="BD11" s="39" t="n">
        <v>0</v>
      </c>
      <c r="BE11" s="39" t="n">
        <v>100</v>
      </c>
      <c r="BF11" s="39" t="n">
        <v>0</v>
      </c>
      <c r="BG11" s="39" t="n"/>
      <c r="BH11" s="6" t="n"/>
      <c r="BI11" s="6" t="n"/>
      <c r="BJ11" s="6" t="n"/>
      <c r="BK11" s="26">
        <f>BI11+IF(NOT(ISBLANK(OFFSET(BK11,0,6))),N(OFFSET(BK11,0,6)),N(OFFSET(BK11,0,7)))-BJ11</f>
        <v/>
      </c>
    </row>
    <row r="12" ht="16.5" customFormat="1" customHeight="1" s="3">
      <c r="A12" s="23" t="n"/>
      <c r="B12" s="1" t="n"/>
      <c r="C12" s="630" t="n"/>
      <c r="D12" s="277" t="n"/>
      <c r="E12" s="11" t="n"/>
      <c r="F12" s="2" t="n"/>
      <c r="G12" s="2" t="n"/>
      <c r="H12" s="2" t="n"/>
      <c r="I12" s="2" t="n"/>
      <c r="J12" s="2" t="n"/>
      <c r="K12" s="2" t="n"/>
      <c r="L12" s="2" t="n"/>
      <c r="M12" s="2" t="n"/>
      <c r="N12" s="2" t="n"/>
      <c r="O12" s="2" t="n"/>
      <c r="P12" s="2" t="n"/>
      <c r="Q12" s="2" t="n"/>
      <c r="R12" s="2" t="n"/>
      <c r="S12" s="2" t="n"/>
      <c r="T12" s="2" t="n"/>
      <c r="U12" s="2" t="n"/>
      <c r="V12" s="2" t="n"/>
      <c r="W12" s="2" t="n"/>
      <c r="X12" s="2" t="n"/>
      <c r="Y12" s="2" t="n"/>
      <c r="Z12" s="2" t="n"/>
      <c r="AA12" s="2" t="n"/>
      <c r="AB12" s="1" t="n"/>
      <c r="AC12" s="1" t="n"/>
      <c r="AD12" s="1" t="n"/>
      <c r="AE12" s="2" t="n"/>
      <c r="AG12" s="350" t="n"/>
      <c r="AH12" s="11" t="n"/>
      <c r="AI12" s="359" t="n"/>
      <c r="AJ12" s="396" t="n"/>
      <c r="AK12" s="75" t="n"/>
      <c r="AL12" s="75" t="n"/>
      <c r="AM12" s="75" t="n"/>
      <c r="AN12" s="75" t="n"/>
      <c r="AO12" s="75" t="n"/>
      <c r="AP12" s="75" t="n"/>
      <c r="AQ12" s="75" t="n"/>
      <c r="AR12" s="75" t="n"/>
      <c r="AS12" s="75" t="n"/>
      <c r="AT12" s="75" t="n"/>
      <c r="AU12" s="75" t="n"/>
      <c r="AV12" s="75" t="n"/>
      <c r="AW12" s="75" t="n"/>
      <c r="AY12" s="23" t="n"/>
      <c r="AZ12" s="1" t="n"/>
      <c r="BA12" s="2" t="n"/>
      <c r="BB12" s="2" t="n"/>
      <c r="BC12" s="2" t="n"/>
      <c r="BD12" s="2" t="n"/>
      <c r="BE12" s="2" t="n"/>
      <c r="BF12" s="2" t="n"/>
      <c r="BG12" s="2" t="n"/>
      <c r="BH12" s="1" t="n"/>
      <c r="BI12" s="1" t="n"/>
      <c r="BJ12" s="1" t="n"/>
    </row>
    <row r="13" customFormat="1" s="3">
      <c r="A13" s="548" t="inlineStr">
        <is>
          <t>DIVERSOS</t>
        </is>
      </c>
      <c r="B13" s="12" t="n"/>
      <c r="C13" s="631" t="n"/>
      <c r="D13" s="403" t="n"/>
      <c r="E13" s="608" t="n"/>
      <c r="F13" s="619" t="n">
        <v>46013</v>
      </c>
      <c r="G13" s="619" t="n">
        <v>46020</v>
      </c>
      <c r="H13" s="619" t="n">
        <v>46027</v>
      </c>
      <c r="I13" s="619" t="n">
        <v>46034</v>
      </c>
      <c r="J13" s="619" t="n">
        <v>46041</v>
      </c>
      <c r="K13" s="619" t="n">
        <v>46048</v>
      </c>
      <c r="L13" s="619" t="n">
        <v>46055</v>
      </c>
      <c r="M13" s="619" t="n">
        <v>46062</v>
      </c>
      <c r="N13" s="619" t="n">
        <v>46069</v>
      </c>
      <c r="O13" s="619" t="n">
        <v>46076</v>
      </c>
      <c r="P13" s="619" t="n">
        <v>46083</v>
      </c>
      <c r="Q13" s="619" t="n">
        <v>46090</v>
      </c>
      <c r="R13" s="619" t="n">
        <v>46097</v>
      </c>
      <c r="S13" s="619" t="n">
        <v>46104</v>
      </c>
      <c r="T13" s="619" t="n">
        <v>46111</v>
      </c>
      <c r="U13" s="619" t="n">
        <v>46118</v>
      </c>
      <c r="V13" s="619" t="n">
        <v>46125</v>
      </c>
      <c r="W13" s="619" t="n">
        <v>46132</v>
      </c>
      <c r="X13" s="619" t="n">
        <v>46139</v>
      </c>
      <c r="Y13" s="619" t="n">
        <v>46146</v>
      </c>
      <c r="Z13" s="619" t="n">
        <v>46154</v>
      </c>
      <c r="AA13" s="619" t="n">
        <v>46160</v>
      </c>
      <c r="AB13" s="620" t="n">
        <v>46161.48013128472</v>
      </c>
      <c r="AC13" s="620" t="n">
        <v>46161.48080494213</v>
      </c>
      <c r="AD13" s="620" t="n">
        <v>46161.48296210336</v>
      </c>
      <c r="AE13" s="621" t="inlineStr">
        <is>
          <t>USOU</t>
        </is>
      </c>
      <c r="AG13" s="29" t="inlineStr">
        <is>
          <t>Pendências</t>
        </is>
      </c>
      <c r="AH13" s="11" t="n"/>
      <c r="AI13" s="9" t="inlineStr">
        <is>
          <t>Novo Pedido</t>
        </is>
      </c>
      <c r="AJ13" s="649" t="n">
        <v>46161.4829616759</v>
      </c>
      <c r="AK13" s="614" t="n"/>
      <c r="AL13" s="614" t="n">
        <v>46142</v>
      </c>
      <c r="AM13" s="615" t="n">
        <v>46148</v>
      </c>
      <c r="AN13" s="616" t="n">
        <v>46065</v>
      </c>
      <c r="AO13" s="614" t="n">
        <v>46092</v>
      </c>
      <c r="AP13" s="614" t="n">
        <v>46048</v>
      </c>
      <c r="AQ13" s="614" t="n">
        <v>46035</v>
      </c>
      <c r="AR13" s="617" t="n">
        <v>46037</v>
      </c>
      <c r="AS13" s="614" t="n">
        <v>46024</v>
      </c>
      <c r="AT13" s="614" t="n">
        <v>46007</v>
      </c>
      <c r="AU13" s="614" t="n">
        <v>46001</v>
      </c>
      <c r="AV13" s="614" t="n">
        <v>45994</v>
      </c>
      <c r="AW13" s="614" t="n">
        <v>45960</v>
      </c>
      <c r="AY13" s="397" t="inlineStr">
        <is>
          <t>DIVERSOS</t>
        </is>
      </c>
      <c r="AZ13" s="384" t="inlineStr">
        <is>
          <t>PCT</t>
        </is>
      </c>
      <c r="BA13" s="619" t="n">
        <v>46118</v>
      </c>
      <c r="BB13" s="619" t="n">
        <v>46125</v>
      </c>
      <c r="BC13" s="619" t="n">
        <v>46132</v>
      </c>
      <c r="BD13" s="619" t="n">
        <v>46139</v>
      </c>
      <c r="BE13" s="619" t="n">
        <v>46146</v>
      </c>
      <c r="BF13" s="619" t="n">
        <v>46154</v>
      </c>
      <c r="BG13" s="619" t="n">
        <v>46160</v>
      </c>
      <c r="BH13" s="620" t="n">
        <v>46161.48013097222</v>
      </c>
      <c r="BI13" s="620" t="n">
        <v>46161.48080466435</v>
      </c>
      <c r="BJ13" s="620" t="n">
        <v>46161.48296179246</v>
      </c>
      <c r="BK13" s="621" t="inlineStr">
        <is>
          <t>USOU</t>
        </is>
      </c>
    </row>
    <row r="14" customFormat="1" s="3">
      <c r="A14" s="25" t="inlineStr">
        <is>
          <t xml:space="preserve">PAPEL DE SEDA </t>
        </is>
      </c>
      <c r="B14" s="6" t="n">
        <v>500</v>
      </c>
      <c r="C14" s="632" t="n">
        <v>99.26000000000001</v>
      </c>
      <c r="D14" s="240" t="n">
        <v>2</v>
      </c>
      <c r="E14" s="608" t="n"/>
      <c r="F14" s="39" t="n">
        <v>3</v>
      </c>
      <c r="G14" s="39" t="n">
        <v>2</v>
      </c>
      <c r="H14" s="39" t="n">
        <v>2</v>
      </c>
      <c r="I14" s="39" t="n">
        <v>5</v>
      </c>
      <c r="J14" s="39" t="n">
        <v>7</v>
      </c>
      <c r="K14" s="39" t="n">
        <v>7</v>
      </c>
      <c r="L14" s="39" t="n">
        <v>7</v>
      </c>
      <c r="M14" s="39" t="n">
        <v>7</v>
      </c>
      <c r="N14" s="365" t="n">
        <v>7</v>
      </c>
      <c r="O14" s="365" t="n">
        <v>7</v>
      </c>
      <c r="P14" s="365" t="n">
        <v>7</v>
      </c>
      <c r="Q14" s="365" t="n">
        <v>7</v>
      </c>
      <c r="R14" s="365" t="n">
        <v>6</v>
      </c>
      <c r="S14" s="365" t="n">
        <v>6</v>
      </c>
      <c r="T14" s="365" t="n">
        <v>5</v>
      </c>
      <c r="U14" s="365" t="n">
        <v>5</v>
      </c>
      <c r="V14" s="365" t="n">
        <v>5</v>
      </c>
      <c r="W14" s="365" t="n">
        <v>5</v>
      </c>
      <c r="X14" s="365" t="n">
        <v>5</v>
      </c>
      <c r="Y14" s="365" t="n">
        <v>5</v>
      </c>
      <c r="Z14" s="365" t="n">
        <v>4</v>
      </c>
      <c r="AA14" s="365" t="n"/>
      <c r="AB14" s="658" t="n"/>
      <c r="AC14" s="658" t="n"/>
      <c r="AD14" s="658" t="n"/>
      <c r="AE14" s="380">
        <f>AC14+IF(NOT(ISBLANK(OFFSET(AE14,0,6))),N(OFFSET(AE14,0,6)),N(OFFSET(AE14,0,7)))-AD14</f>
        <v/>
      </c>
      <c r="AG14" s="78" t="n"/>
      <c r="AH14" s="608" t="n"/>
      <c r="AI14" s="353" t="n"/>
      <c r="AJ14" s="114" t="n">
        <v>0</v>
      </c>
      <c r="AK14" s="19" t="n">
        <v>0</v>
      </c>
      <c r="AL14" s="19" t="n">
        <v>0</v>
      </c>
      <c r="AM14" s="304" t="n"/>
      <c r="AN14" s="119" t="n">
        <v>4</v>
      </c>
      <c r="AO14" s="19" t="n"/>
      <c r="AP14" s="19" t="n"/>
      <c r="AQ14" s="19" t="n">
        <v>2</v>
      </c>
      <c r="AR14" s="19" t="n"/>
      <c r="AS14" s="19" t="n">
        <v>4</v>
      </c>
      <c r="AT14" s="19" t="n"/>
      <c r="AU14" s="19" t="n"/>
      <c r="AV14" s="19" t="n"/>
      <c r="AW14" s="19" t="n">
        <v>2</v>
      </c>
      <c r="AY14" s="372" t="inlineStr">
        <is>
          <t>PAPEL DE SEDA</t>
        </is>
      </c>
      <c r="AZ14" s="139" t="n">
        <v>200</v>
      </c>
      <c r="BA14" s="39">
        <f>AK14</f>
        <v/>
      </c>
      <c r="BB14" s="39" t="n">
        <v>3</v>
      </c>
      <c r="BC14" s="39" t="n">
        <v>3</v>
      </c>
      <c r="BD14" s="39" t="n">
        <v>3</v>
      </c>
      <c r="BE14" s="39" t="n">
        <v>2</v>
      </c>
      <c r="BF14" s="39" t="n">
        <v>0</v>
      </c>
      <c r="BG14" s="39" t="n"/>
      <c r="BH14" s="6" t="n"/>
      <c r="BI14" s="6" t="n"/>
      <c r="BJ14" s="6" t="n"/>
      <c r="BK14" s="26">
        <f>BI14+IF(NOT(ISBLANK(OFFSET(BK14,0,6))),N(OFFSET(BK14,0,6)),N(OFFSET(BK14,0,7)))-BJ14</f>
        <v/>
      </c>
    </row>
    <row r="15" customFormat="1" s="3">
      <c r="A15" s="25" t="inlineStr">
        <is>
          <t>ETIQUETAS</t>
        </is>
      </c>
      <c r="B15" s="6" t="n">
        <v>2000</v>
      </c>
      <c r="C15" s="632" t="n">
        <v>55.36</v>
      </c>
      <c r="D15" s="240" t="n">
        <v>1</v>
      </c>
      <c r="E15" s="608" t="n"/>
      <c r="F15" s="39" t="n">
        <v>3</v>
      </c>
      <c r="G15" s="39" t="n">
        <v>2</v>
      </c>
      <c r="H15" s="39" t="n">
        <v>2</v>
      </c>
      <c r="I15" s="39" t="n">
        <v>1</v>
      </c>
      <c r="J15" s="39" t="n">
        <v>4</v>
      </c>
      <c r="K15" s="39" t="n">
        <v>4</v>
      </c>
      <c r="L15" s="39" t="n">
        <v>4</v>
      </c>
      <c r="M15" s="39" t="n">
        <v>4</v>
      </c>
      <c r="N15" s="365" t="n">
        <v>4</v>
      </c>
      <c r="O15" s="365" t="n">
        <v>4</v>
      </c>
      <c r="P15" s="365" t="n">
        <v>4</v>
      </c>
      <c r="Q15" s="365" t="n">
        <v>4</v>
      </c>
      <c r="R15" s="365" t="n">
        <v>4</v>
      </c>
      <c r="S15" s="365" t="n">
        <v>4</v>
      </c>
      <c r="T15" s="365" t="n">
        <v>4</v>
      </c>
      <c r="U15" s="365" t="n">
        <v>4</v>
      </c>
      <c r="V15" s="365" t="n">
        <v>4</v>
      </c>
      <c r="W15" s="365" t="n">
        <v>4</v>
      </c>
      <c r="X15" s="365" t="n">
        <v>4</v>
      </c>
      <c r="Y15" s="365" t="n">
        <v>4</v>
      </c>
      <c r="Z15" s="365" t="n">
        <v>4</v>
      </c>
      <c r="AA15" s="365" t="n"/>
      <c r="AB15" s="658" t="n"/>
      <c r="AC15" s="658" t="n"/>
      <c r="AD15" s="658" t="n"/>
      <c r="AE15" s="380">
        <f>AC15+IF(NOT(ISBLANK(OFFSET(AE15,0,6))),N(OFFSET(AE15,0,6)),N(OFFSET(AE15,0,7)))-AD15</f>
        <v/>
      </c>
      <c r="AG15" s="78" t="n"/>
      <c r="AH15" s="608" t="n"/>
      <c r="AI15" s="353" t="n"/>
      <c r="AJ15" s="114" t="n">
        <v>0</v>
      </c>
      <c r="AK15" s="19" t="n">
        <v>0</v>
      </c>
      <c r="AL15" s="19" t="n">
        <v>0</v>
      </c>
      <c r="AM15" s="304" t="n"/>
      <c r="AN15" s="119" t="n">
        <v>1</v>
      </c>
      <c r="AO15" s="19" t="n"/>
      <c r="AP15" s="19" t="n"/>
      <c r="AQ15" s="19" t="n">
        <v>3</v>
      </c>
      <c r="AR15" s="19" t="n"/>
      <c r="AS15" s="19" t="n"/>
      <c r="AT15" s="19" t="n"/>
      <c r="AU15" s="19" t="n">
        <v>1</v>
      </c>
      <c r="AV15" s="19" t="n"/>
      <c r="AW15" s="19" t="n"/>
      <c r="AY15" s="21" t="inlineStr">
        <is>
          <t>ADESIVOS</t>
        </is>
      </c>
      <c r="AZ15" s="6" t="n">
        <v>200</v>
      </c>
      <c r="BA15" s="39">
        <f>AK15</f>
        <v/>
      </c>
      <c r="BB15" s="39" t="n">
        <v>1</v>
      </c>
      <c r="BC15" s="39" t="n">
        <v>1</v>
      </c>
      <c r="BD15" s="39" t="n">
        <v>1</v>
      </c>
      <c r="BE15" s="39" t="n">
        <v>1</v>
      </c>
      <c r="BF15" s="39" t="n">
        <v>0</v>
      </c>
      <c r="BG15" s="39" t="n"/>
      <c r="BH15" s="6" t="n"/>
      <c r="BI15" s="6" t="n"/>
      <c r="BJ15" s="6" t="n"/>
      <c r="BK15" s="26">
        <f>BI15+IF(NOT(ISBLANK(OFFSET(BK15,0,6))),N(OFFSET(BK15,0,6)),N(OFFSET(BK15,0,7)))-BJ15</f>
        <v/>
      </c>
    </row>
    <row r="16" customFormat="1" s="3">
      <c r="A16" s="25" t="inlineStr">
        <is>
          <t xml:space="preserve">TAGS </t>
        </is>
      </c>
      <c r="B16" s="6" t="n">
        <v>200</v>
      </c>
      <c r="C16" s="632" t="n">
        <v>10.28</v>
      </c>
      <c r="D16" s="240" t="n">
        <v>2</v>
      </c>
      <c r="E16" s="1" t="n"/>
      <c r="F16" s="39">
        <f>4+AQ16</f>
        <v/>
      </c>
      <c r="G16" s="39" t="n">
        <v>8</v>
      </c>
      <c r="H16" s="39" t="n">
        <v>8</v>
      </c>
      <c r="I16" s="39" t="n">
        <v>8</v>
      </c>
      <c r="J16" s="39" t="n">
        <v>8</v>
      </c>
      <c r="K16" s="39" t="n">
        <v>8</v>
      </c>
      <c r="L16" s="39" t="n">
        <v>7</v>
      </c>
      <c r="M16" s="39" t="n">
        <v>7</v>
      </c>
      <c r="N16" s="365" t="n">
        <v>7</v>
      </c>
      <c r="O16" s="365" t="n">
        <v>7</v>
      </c>
      <c r="P16" s="365" t="n">
        <v>7</v>
      </c>
      <c r="Q16" s="365" t="n">
        <v>7</v>
      </c>
      <c r="R16" s="365" t="n">
        <v>7</v>
      </c>
      <c r="S16" s="365" t="n">
        <v>7</v>
      </c>
      <c r="T16" s="365" t="n">
        <v>7</v>
      </c>
      <c r="U16" s="365" t="n">
        <v>7</v>
      </c>
      <c r="V16" s="365" t="n">
        <v>7</v>
      </c>
      <c r="W16" s="365" t="n">
        <v>7</v>
      </c>
      <c r="X16" s="365" t="n">
        <v>7</v>
      </c>
      <c r="Y16" s="365">
        <f>7-5</f>
        <v/>
      </c>
      <c r="Z16" s="365" t="n">
        <v>2</v>
      </c>
      <c r="AA16" s="365" t="n"/>
      <c r="AB16" s="658" t="n"/>
      <c r="AC16" s="658" t="n"/>
      <c r="AD16" s="658" t="n"/>
      <c r="AE16" s="380">
        <f>AC16+IF(NOT(ISBLANK(OFFSET(AE16,0,6))),N(OFFSET(AE16,0,6)),N(OFFSET(AE16,0,7)))-AD16</f>
        <v/>
      </c>
      <c r="AG16" s="78" t="n"/>
      <c r="AH16" s="1" t="n"/>
      <c r="AI16" s="353" t="n"/>
      <c r="AJ16" s="628" t="n">
        <v>0</v>
      </c>
      <c r="AK16" s="19" t="n">
        <v>0</v>
      </c>
      <c r="AL16" s="19" t="n">
        <v>0</v>
      </c>
      <c r="AM16" s="260" t="inlineStr">
        <is>
          <t>05 P/ JSH</t>
        </is>
      </c>
      <c r="AN16" s="19" t="n"/>
      <c r="AO16" s="19" t="n"/>
      <c r="AP16" s="19" t="n"/>
      <c r="AQ16" s="19" t="n"/>
      <c r="AR16" s="19" t="n"/>
      <c r="AS16" s="19" t="n"/>
      <c r="AT16" s="19" t="n">
        <v>6</v>
      </c>
      <c r="AU16" s="19" t="n"/>
      <c r="AV16" s="19" t="n">
        <v>4</v>
      </c>
      <c r="AW16" s="19" t="n"/>
    </row>
    <row r="17" customFormat="1" s="3">
      <c r="A17" s="25" t="inlineStr">
        <is>
          <t>LÂMINA OLFATIVA</t>
        </is>
      </c>
      <c r="B17" s="6" t="n">
        <v>3000</v>
      </c>
      <c r="C17" s="632" t="n">
        <v>71.8</v>
      </c>
      <c r="D17" s="240" t="n">
        <v>1</v>
      </c>
      <c r="E17" s="1" t="n"/>
      <c r="F17" s="39">
        <f>2+AQ17</f>
        <v/>
      </c>
      <c r="G17" s="39" t="n">
        <v>3</v>
      </c>
      <c r="H17" s="39" t="n">
        <v>3</v>
      </c>
      <c r="I17" s="39" t="n">
        <v>6</v>
      </c>
      <c r="J17" s="39" t="n">
        <v>6</v>
      </c>
      <c r="K17" s="39" t="n">
        <v>6</v>
      </c>
      <c r="L17" s="39" t="n">
        <v>6</v>
      </c>
      <c r="M17" s="39" t="n">
        <v>6</v>
      </c>
      <c r="N17" s="365" t="n">
        <v>5</v>
      </c>
      <c r="O17" s="365" t="n">
        <v>5</v>
      </c>
      <c r="P17" s="365" t="n">
        <v>5</v>
      </c>
      <c r="Q17" s="365" t="n">
        <v>5</v>
      </c>
      <c r="R17" s="365" t="n">
        <v>5</v>
      </c>
      <c r="S17" s="365" t="n">
        <v>5</v>
      </c>
      <c r="T17" s="365" t="n">
        <v>5</v>
      </c>
      <c r="U17" s="365" t="n">
        <v>5</v>
      </c>
      <c r="V17" s="365" t="n">
        <v>5</v>
      </c>
      <c r="W17" s="365" t="n">
        <v>5</v>
      </c>
      <c r="X17" s="365" t="n">
        <v>5</v>
      </c>
      <c r="Y17" s="365" t="n">
        <v>5</v>
      </c>
      <c r="Z17" s="365" t="n">
        <v>4</v>
      </c>
      <c r="AA17" s="365" t="n"/>
      <c r="AB17" s="658" t="n"/>
      <c r="AC17" s="658" t="n"/>
      <c r="AD17" s="658" t="n"/>
      <c r="AE17" s="380">
        <f>AC17+IF(NOT(ISBLANK(OFFSET(AE17,0,6))),N(OFFSET(AE17,0,6)),N(OFFSET(AE17,0,7)))-AD17</f>
        <v/>
      </c>
      <c r="AG17" s="419" t="inlineStr">
        <is>
          <t>01 P/ BR + 01 P / JDM</t>
        </is>
      </c>
      <c r="AH17" s="1" t="n"/>
      <c r="AI17" s="353" t="n"/>
      <c r="AJ17" s="628" t="n">
        <v>0</v>
      </c>
      <c r="AK17" s="19" t="n">
        <v>0</v>
      </c>
      <c r="AL17" s="19" t="n">
        <v>0</v>
      </c>
      <c r="AM17" s="19" t="n"/>
      <c r="AN17" s="19" t="n"/>
      <c r="AO17" s="19" t="n"/>
      <c r="AP17" s="19" t="n"/>
      <c r="AQ17" s="19" t="n"/>
      <c r="AR17" s="19" t="n"/>
      <c r="AS17" s="19" t="n">
        <v>1</v>
      </c>
      <c r="AT17" s="19" t="n">
        <v>3</v>
      </c>
      <c r="AU17" s="19" t="n"/>
      <c r="AV17" s="19" t="n">
        <v>1</v>
      </c>
      <c r="AW17" s="19" t="n">
        <v>1</v>
      </c>
    </row>
    <row r="18" ht="14.25" customFormat="1" customHeight="1" s="3">
      <c r="A18" s="23" t="n"/>
      <c r="D18" s="277" t="n"/>
      <c r="N18" s="2" t="n"/>
      <c r="O18" s="2" t="n"/>
      <c r="P18" s="2" t="n"/>
      <c r="Q18" s="2" t="n"/>
      <c r="R18" s="2" t="n"/>
      <c r="S18" s="2" t="n"/>
      <c r="T18" s="2" t="n"/>
      <c r="U18" s="2" t="n"/>
      <c r="V18" s="2" t="n"/>
      <c r="W18" s="2" t="n"/>
      <c r="X18" s="2" t="n"/>
      <c r="Y18" s="2" t="n"/>
      <c r="Z18" s="2" t="n"/>
      <c r="AA18" s="2" t="n"/>
      <c r="AB18" s="1" t="n"/>
      <c r="AC18" s="1" t="n"/>
      <c r="AD18" s="1" t="n"/>
      <c r="AG18" s="349" t="n"/>
      <c r="AI18" s="360" t="n"/>
      <c r="AJ18" s="396" t="n"/>
      <c r="AK18" s="396" t="n"/>
      <c r="AL18" s="396" t="n"/>
      <c r="AM18" s="396" t="n"/>
      <c r="AN18" s="396" t="n"/>
      <c r="AO18" s="396" t="n"/>
      <c r="AP18" s="396" t="n"/>
      <c r="AQ18" s="396" t="n"/>
      <c r="AR18" s="396" t="n"/>
      <c r="AS18" s="396" t="n"/>
      <c r="AT18" s="396" t="n"/>
      <c r="AU18" s="396" t="n"/>
      <c r="AV18" s="396" t="n"/>
      <c r="AW18" s="396" t="n"/>
    </row>
    <row r="19" customFormat="1" s="3">
      <c r="A19" s="548" t="inlineStr">
        <is>
          <t>CAIXAS</t>
        </is>
      </c>
      <c r="B19" s="12" t="n"/>
      <c r="C19" s="654" t="n"/>
      <c r="D19" s="403" t="n"/>
      <c r="E19" s="1" t="n"/>
      <c r="F19" s="619" t="n">
        <v>46013</v>
      </c>
      <c r="G19" s="619" t="n">
        <v>46020</v>
      </c>
      <c r="H19" s="619" t="n">
        <v>46027</v>
      </c>
      <c r="I19" s="619" t="n">
        <v>46034</v>
      </c>
      <c r="J19" s="619" t="n">
        <v>46041</v>
      </c>
      <c r="K19" s="619" t="n">
        <v>46048</v>
      </c>
      <c r="L19" s="619" t="n">
        <v>46055</v>
      </c>
      <c r="M19" s="619" t="n">
        <v>46062</v>
      </c>
      <c r="N19" s="619" t="n">
        <v>46069</v>
      </c>
      <c r="O19" s="619" t="n">
        <v>46076</v>
      </c>
      <c r="P19" s="619" t="n">
        <v>46083</v>
      </c>
      <c r="Q19" s="619" t="n">
        <v>46090</v>
      </c>
      <c r="R19" s="619" t="n">
        <v>46097</v>
      </c>
      <c r="S19" s="619" t="n">
        <v>46104</v>
      </c>
      <c r="T19" s="619" t="n">
        <v>46111</v>
      </c>
      <c r="U19" s="619" t="n">
        <v>46118</v>
      </c>
      <c r="V19" s="619" t="n">
        <v>46125</v>
      </c>
      <c r="W19" s="619" t="n">
        <v>46132</v>
      </c>
      <c r="X19" s="619" t="n">
        <v>46139</v>
      </c>
      <c r="Y19" s="619" t="n">
        <v>46146</v>
      </c>
      <c r="Z19" s="619" t="n">
        <v>46154</v>
      </c>
      <c r="AA19" s="619" t="n">
        <v>46160</v>
      </c>
      <c r="AB19" s="620" t="n">
        <v>46161.48013128472</v>
      </c>
      <c r="AC19" s="620" t="n">
        <v>46161.48080494213</v>
      </c>
      <c r="AD19" s="620" t="n">
        <v>46161.48296210352</v>
      </c>
      <c r="AE19" s="621" t="inlineStr">
        <is>
          <t>USOU</t>
        </is>
      </c>
      <c r="AG19" s="29" t="inlineStr">
        <is>
          <t>Pendências</t>
        </is>
      </c>
      <c r="AH19" s="11" t="n"/>
      <c r="AI19" s="9" t="inlineStr">
        <is>
          <t>Novo Pedido</t>
        </is>
      </c>
      <c r="AJ19" s="613" t="n">
        <v>46161.48296167629</v>
      </c>
      <c r="AK19" s="614" t="n"/>
      <c r="AL19" s="614" t="n">
        <v>46142</v>
      </c>
      <c r="AM19" s="615" t="n">
        <v>46148</v>
      </c>
      <c r="AN19" s="616" t="n">
        <v>46065</v>
      </c>
      <c r="AO19" s="614" t="n">
        <v>46092</v>
      </c>
      <c r="AP19" s="614" t="n">
        <v>46048</v>
      </c>
      <c r="AQ19" s="614" t="n">
        <v>46035</v>
      </c>
      <c r="AR19" s="617" t="n">
        <v>46037</v>
      </c>
      <c r="AS19" s="614" t="n">
        <v>46024</v>
      </c>
      <c r="AT19" s="614" t="n">
        <v>46007</v>
      </c>
      <c r="AU19" s="614" t="n">
        <v>46001</v>
      </c>
      <c r="AV19" s="614" t="n">
        <v>45994</v>
      </c>
      <c r="AW19" s="614" t="n">
        <v>45960</v>
      </c>
      <c r="AY19" s="397" t="inlineStr">
        <is>
          <t>CAIXAS</t>
        </is>
      </c>
      <c r="AZ19" s="384" t="inlineStr">
        <is>
          <t>PCT</t>
        </is>
      </c>
      <c r="BA19" s="619" t="n">
        <v>46118</v>
      </c>
      <c r="BB19" s="619" t="n">
        <v>46125</v>
      </c>
      <c r="BC19" s="619" t="n">
        <v>46132</v>
      </c>
      <c r="BD19" s="619" t="n">
        <v>46139</v>
      </c>
      <c r="BE19" s="619" t="n">
        <v>46146</v>
      </c>
      <c r="BF19" s="619" t="n">
        <v>46154</v>
      </c>
      <c r="BG19" s="619" t="n">
        <v>46160</v>
      </c>
      <c r="BH19" s="620" t="n">
        <v>46161.48013097222</v>
      </c>
      <c r="BI19" s="620" t="n">
        <v>46161.48080466435</v>
      </c>
      <c r="BJ19" s="620" t="n">
        <v>46161.48296179259</v>
      </c>
      <c r="BK19" s="621" t="inlineStr">
        <is>
          <t>USOU</t>
        </is>
      </c>
    </row>
    <row r="20" customFormat="1" s="3">
      <c r="A20" s="25" t="inlineStr">
        <is>
          <t>CAIXA P VERDE</t>
        </is>
      </c>
      <c r="B20" s="6" t="n">
        <v>150</v>
      </c>
      <c r="C20" s="627" t="n">
        <v>334.31</v>
      </c>
      <c r="D20" s="240" t="n">
        <v>60</v>
      </c>
      <c r="E20" s="1" t="n"/>
      <c r="F20" s="27" t="n">
        <v>13</v>
      </c>
      <c r="G20" s="27" t="n">
        <v>9</v>
      </c>
      <c r="H20" s="27" t="n">
        <v>7</v>
      </c>
      <c r="I20" s="27" t="n">
        <v>14</v>
      </c>
      <c r="J20" s="27" t="n">
        <v>11</v>
      </c>
      <c r="K20" s="27" t="n">
        <v>6</v>
      </c>
      <c r="L20" s="27" t="n">
        <v>184</v>
      </c>
      <c r="M20" s="27" t="n">
        <v>168</v>
      </c>
      <c r="N20" s="27" t="n">
        <v>165</v>
      </c>
      <c r="O20" s="27" t="n">
        <v>155</v>
      </c>
      <c r="P20" s="27" t="n">
        <v>143</v>
      </c>
      <c r="Q20" s="27" t="n">
        <v>132</v>
      </c>
      <c r="R20" s="27" t="n">
        <v>128</v>
      </c>
      <c r="S20" s="27" t="n">
        <v>120</v>
      </c>
      <c r="T20" s="27" t="n">
        <v>117</v>
      </c>
      <c r="U20" s="27" t="n"/>
      <c r="V20" s="27" t="n"/>
      <c r="W20" s="27" t="n"/>
      <c r="X20" s="27" t="n">
        <v>107</v>
      </c>
      <c r="Y20" s="27" t="n">
        <v>107</v>
      </c>
      <c r="Z20" s="27" t="n">
        <v>106</v>
      </c>
      <c r="AA20" s="27" t="n">
        <v>100</v>
      </c>
      <c r="AB20" s="651" t="n">
        <v>100</v>
      </c>
      <c r="AC20" s="651" t="n">
        <v>100</v>
      </c>
      <c r="AD20" s="651" t="n">
        <v>100</v>
      </c>
      <c r="AE20" s="380">
        <f>AC20+IF(NOT(ISBLANK(OFFSET(AE20,0,6))),N(OFFSET(AE20,0,6)),N(OFFSET(AE20,0,7)))-AD20</f>
        <v/>
      </c>
      <c r="AF20" s="370" t="n"/>
      <c r="AG20" s="78" t="n"/>
      <c r="AH20" s="1" t="n"/>
      <c r="AI20" s="353" t="n"/>
      <c r="AJ20" s="628" t="n">
        <v>0</v>
      </c>
      <c r="AK20" s="19" t="n">
        <v>0</v>
      </c>
      <c r="AL20" s="19" t="n">
        <v>0</v>
      </c>
      <c r="AM20" s="19" t="n"/>
      <c r="AN20" s="119" t="n"/>
      <c r="AO20" s="19" t="n"/>
      <c r="AP20" s="19" t="n">
        <v>150</v>
      </c>
      <c r="AQ20" s="19" t="n"/>
      <c r="AR20" s="19" t="n"/>
      <c r="AS20" s="19" t="n"/>
      <c r="AT20" s="19" t="n"/>
      <c r="AU20" s="19" t="n"/>
      <c r="AV20" s="19" t="n"/>
      <c r="AW20" s="19" t="n"/>
      <c r="AY20" s="372" t="inlineStr">
        <is>
          <t>CAIXA P</t>
        </is>
      </c>
      <c r="AZ20" s="139" t="n">
        <v>150</v>
      </c>
      <c r="BA20" s="39" t="n">
        <v>0</v>
      </c>
      <c r="BB20" s="39" t="n"/>
      <c r="BC20" s="39" t="n"/>
      <c r="BD20" s="39" t="n">
        <v>36</v>
      </c>
      <c r="BE20" s="39" t="n">
        <v>34</v>
      </c>
      <c r="BF20" s="39" t="n">
        <v>2</v>
      </c>
      <c r="BG20" s="39" t="n">
        <v>1</v>
      </c>
      <c r="BH20" s="6" t="n"/>
      <c r="BI20" s="6" t="n"/>
      <c r="BJ20" s="6" t="n"/>
      <c r="BK20" s="26">
        <f>BI20+IF(NOT(ISBLANK(OFFSET(BK20,0,6))),N(OFFSET(BK20,0,6)),N(OFFSET(BK20,0,7)))-BJ20</f>
        <v/>
      </c>
    </row>
    <row r="21" customFormat="1" s="3">
      <c r="A21" s="25" t="inlineStr">
        <is>
          <t>CAIXA M VERDE</t>
        </is>
      </c>
      <c r="B21" s="6" t="n">
        <v>100</v>
      </c>
      <c r="C21" s="634" t="n">
        <v>292.25</v>
      </c>
      <c r="D21" s="243" t="n">
        <v>60</v>
      </c>
      <c r="E21" s="1" t="n"/>
      <c r="F21" s="27" t="n">
        <v>44</v>
      </c>
      <c r="G21" s="27" t="n">
        <v>38</v>
      </c>
      <c r="H21" s="27" t="n">
        <v>38</v>
      </c>
      <c r="I21" s="27" t="n">
        <v>28</v>
      </c>
      <c r="J21" s="27" t="n">
        <v>27</v>
      </c>
      <c r="K21" s="27" t="n">
        <v>19</v>
      </c>
      <c r="L21" s="27" t="n">
        <v>146</v>
      </c>
      <c r="M21" s="27" t="n">
        <v>124</v>
      </c>
      <c r="N21" s="27" t="n">
        <v>129</v>
      </c>
      <c r="O21" s="27" t="n">
        <v>109</v>
      </c>
      <c r="P21" s="27" t="n">
        <v>95</v>
      </c>
      <c r="Q21" s="27" t="n">
        <v>81</v>
      </c>
      <c r="R21" s="27" t="n">
        <v>73</v>
      </c>
      <c r="S21" s="27" t="n">
        <v>68</v>
      </c>
      <c r="T21" s="27" t="n">
        <v>57</v>
      </c>
      <c r="U21" s="27" t="n"/>
      <c r="V21" s="27" t="n"/>
      <c r="W21" s="27" t="n"/>
      <c r="X21" s="27" t="n">
        <v>31</v>
      </c>
      <c r="Y21" s="27" t="n">
        <v>26</v>
      </c>
      <c r="Z21" s="27" t="n">
        <v>72</v>
      </c>
      <c r="AA21" s="27" t="n">
        <v>65</v>
      </c>
      <c r="AB21" s="651" t="n">
        <v>65</v>
      </c>
      <c r="AC21" s="651" t="n">
        <v>65</v>
      </c>
      <c r="AD21" s="651" t="n">
        <v>65</v>
      </c>
      <c r="AE21" s="380">
        <f>AC21+IF(NOT(ISBLANK(OFFSET(AE21,0,6))),N(OFFSET(AE21,0,6)),N(OFFSET(AE21,0,7)))-AD21</f>
        <v/>
      </c>
      <c r="AF21" s="370" t="n"/>
      <c r="AG21" s="78" t="n"/>
      <c r="AH21" s="1" t="n"/>
      <c r="AI21" s="353" t="n"/>
      <c r="AJ21" s="628" t="n">
        <v>0</v>
      </c>
      <c r="AK21" s="19" t="n">
        <v>0</v>
      </c>
      <c r="AL21" s="19" t="n">
        <v>0</v>
      </c>
      <c r="AM21" s="19" t="n"/>
      <c r="AN21" s="119" t="n"/>
      <c r="AO21" s="19" t="n"/>
      <c r="AP21" s="19" t="n">
        <v>100</v>
      </c>
      <c r="AQ21" s="19" t="n"/>
      <c r="AR21" s="19" t="n"/>
      <c r="AS21" s="19" t="n"/>
      <c r="AT21" s="19" t="n"/>
      <c r="AU21" s="19" t="n"/>
      <c r="AV21" s="19" t="n"/>
      <c r="AW21" s="19" t="n"/>
      <c r="AY21" s="21" t="inlineStr">
        <is>
          <t>CAIXA M</t>
        </is>
      </c>
      <c r="AZ21" s="6" t="n">
        <v>100</v>
      </c>
      <c r="BA21" s="39" t="n">
        <v>0</v>
      </c>
      <c r="BB21" s="39" t="n"/>
      <c r="BC21" s="39" t="n"/>
      <c r="BD21" s="39" t="n">
        <v>29</v>
      </c>
      <c r="BE21" s="39" t="n">
        <v>27</v>
      </c>
      <c r="BF21" s="39" t="n">
        <v>1</v>
      </c>
      <c r="BG21" s="39" t="n">
        <v>1</v>
      </c>
      <c r="BH21" s="6" t="n"/>
      <c r="BI21" s="6" t="n"/>
      <c r="BJ21" s="6" t="n"/>
      <c r="BK21" s="26">
        <f>BI21+IF(NOT(ISBLANK(OFFSET(BK21,0,6))),N(OFFSET(BK21,0,6)),N(OFFSET(BK21,0,7)))-BJ21</f>
        <v/>
      </c>
    </row>
    <row r="22" customFormat="1" s="3">
      <c r="A22" s="25" t="inlineStr">
        <is>
          <t>CAIXA G VERDE</t>
        </is>
      </c>
      <c r="B22" s="6" t="n">
        <v>75</v>
      </c>
      <c r="C22" s="632" t="n">
        <v>425.38</v>
      </c>
      <c r="D22" s="240" t="n">
        <v>10</v>
      </c>
      <c r="E22" s="608" t="n"/>
      <c r="F22" s="27" t="n">
        <v>0</v>
      </c>
      <c r="G22" s="27" t="n">
        <v>0</v>
      </c>
      <c r="H22" s="27" t="n">
        <v>0</v>
      </c>
      <c r="I22" s="27" t="n">
        <v>0</v>
      </c>
      <c r="J22" s="27" t="n">
        <v>0</v>
      </c>
      <c r="K22" s="27" t="n">
        <v>0</v>
      </c>
      <c r="L22" s="27" t="n">
        <v>0</v>
      </c>
      <c r="M22" s="27" t="n">
        <v>0</v>
      </c>
      <c r="N22" s="27" t="n">
        <v>0</v>
      </c>
      <c r="O22" s="27" t="n">
        <v>0</v>
      </c>
      <c r="P22" s="27" t="n">
        <v>0</v>
      </c>
      <c r="Q22" s="27" t="n">
        <v>0</v>
      </c>
      <c r="R22" s="27" t="n">
        <v>0</v>
      </c>
      <c r="S22" s="27" t="n">
        <v>0</v>
      </c>
      <c r="T22" s="27" t="n">
        <v>0</v>
      </c>
      <c r="U22" s="27" t="n">
        <v>0</v>
      </c>
      <c r="V22" s="27" t="n">
        <v>0</v>
      </c>
      <c r="W22" s="27" t="n">
        <v>0</v>
      </c>
      <c r="X22" s="27" t="n">
        <v>0</v>
      </c>
      <c r="Y22" s="27" t="n">
        <v>0</v>
      </c>
      <c r="Z22" s="27" t="n">
        <v>4</v>
      </c>
      <c r="AA22" s="27" t="n">
        <v>4</v>
      </c>
      <c r="AB22" s="651" t="n">
        <v>4</v>
      </c>
      <c r="AC22" s="651" t="n">
        <v>4</v>
      </c>
      <c r="AD22" s="651" t="n">
        <v>4</v>
      </c>
      <c r="AE22" s="380">
        <f>AC22+IF(NOT(ISBLANK(OFFSET(AE22,0,6))),N(OFFSET(AE22,0,6)),N(OFFSET(AE22,0,7)))-AD22</f>
        <v/>
      </c>
      <c r="AF22" s="370" t="n"/>
      <c r="AG22" s="78" t="n"/>
      <c r="AH22" s="608" t="n"/>
      <c r="AI22" s="353" t="n"/>
      <c r="AJ22" s="114" t="n">
        <v>0</v>
      </c>
      <c r="AK22" s="19" t="n">
        <v>0</v>
      </c>
      <c r="AL22" s="19" t="n">
        <v>0</v>
      </c>
      <c r="AM22" s="19" t="n"/>
      <c r="AN22" s="1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Y22" s="22" t="inlineStr">
        <is>
          <t>CARTUCHO P</t>
        </is>
      </c>
      <c r="AZ22" s="6" t="n">
        <v>200</v>
      </c>
      <c r="BA22" s="39" t="n">
        <v>0</v>
      </c>
      <c r="BB22" s="39" t="n"/>
      <c r="BC22" s="39" t="n"/>
      <c r="BD22" s="39" t="n">
        <v>16</v>
      </c>
      <c r="BE22" s="211" t="n">
        <v>20</v>
      </c>
      <c r="BF22" s="39" t="n">
        <v>0</v>
      </c>
      <c r="BG22" s="39" t="n">
        <v>0</v>
      </c>
      <c r="BH22" s="6" t="n"/>
      <c r="BI22" s="6" t="n"/>
      <c r="BJ22" s="6" t="n"/>
      <c r="BK22" s="26">
        <f>BI22+IF(NOT(ISBLANK(OFFSET(BK22,0,6))),N(OFFSET(BK22,0,6)),N(OFFSET(BK22,0,7)))-BJ22</f>
        <v/>
      </c>
    </row>
    <row r="23" customFormat="1" s="3">
      <c r="A23" s="25" t="inlineStr">
        <is>
          <t>CARTUCHO M VERDE</t>
        </is>
      </c>
      <c r="B23" s="6" t="n">
        <v>150</v>
      </c>
      <c r="C23" s="632" t="n">
        <v>427.5</v>
      </c>
      <c r="D23" s="240" t="n"/>
      <c r="E23" s="608" t="n"/>
      <c r="F23" s="2" t="n"/>
      <c r="G23" s="2" t="n"/>
      <c r="H23" s="2" t="n"/>
      <c r="I23" s="2" t="n"/>
      <c r="J23" s="2" t="n"/>
      <c r="K23" s="2" t="n"/>
      <c r="L23" s="2" t="n"/>
      <c r="M23" s="2" t="n"/>
      <c r="N23" s="27" t="n">
        <v>0</v>
      </c>
      <c r="O23" s="27" t="n">
        <v>0</v>
      </c>
      <c r="P23" s="27" t="n">
        <v>0</v>
      </c>
      <c r="Q23" s="298" t="n">
        <v>20</v>
      </c>
      <c r="R23" s="27" t="n">
        <v>13</v>
      </c>
      <c r="S23" s="27" t="n">
        <v>3</v>
      </c>
      <c r="T23" s="27" t="n">
        <v>0</v>
      </c>
      <c r="U23" s="27" t="n">
        <v>0</v>
      </c>
      <c r="V23" s="27" t="n">
        <v>0</v>
      </c>
      <c r="W23" s="27" t="n">
        <v>0</v>
      </c>
      <c r="X23" s="27" t="n">
        <v>0</v>
      </c>
      <c r="Y23" s="27" t="n">
        <v>0</v>
      </c>
      <c r="Z23" s="27" t="n">
        <v>0</v>
      </c>
      <c r="AA23" s="27" t="n">
        <v>0</v>
      </c>
      <c r="AB23" s="651" t="n">
        <v>0</v>
      </c>
      <c r="AC23" s="651" t="n">
        <v>0</v>
      </c>
      <c r="AD23" s="651" t="n">
        <v>0</v>
      </c>
      <c r="AE23" s="380">
        <f>AC23+IF(NOT(ISBLANK(OFFSET(AE23,0,6))),N(OFFSET(AE23,0,6)),N(OFFSET(AE23,0,7)))-AD23</f>
        <v/>
      </c>
      <c r="AF23" s="370" t="n"/>
      <c r="AG23" s="78" t="n"/>
      <c r="AH23" s="608" t="n"/>
      <c r="AI23" s="353" t="n"/>
      <c r="AJ23" s="114" t="n">
        <v>0</v>
      </c>
      <c r="AK23" s="19" t="n">
        <v>0</v>
      </c>
      <c r="AL23" s="19" t="n">
        <v>0</v>
      </c>
      <c r="AM23" s="19" t="n"/>
      <c r="AN23" s="119" t="n"/>
      <c r="AO23" s="19" t="n"/>
      <c r="AP23" s="19" t="n"/>
      <c r="AQ23" s="19" t="n"/>
      <c r="AR23" s="19" t="n"/>
      <c r="AS23" s="19" t="n"/>
      <c r="AT23" s="19" t="n"/>
      <c r="AU23" s="75" t="n"/>
      <c r="AV23" s="75" t="n"/>
      <c r="AW23" s="75" t="n"/>
      <c r="AY23" s="22" t="inlineStr">
        <is>
          <t>CARTUCHO M</t>
        </is>
      </c>
      <c r="AZ23" s="6" t="n">
        <v>150</v>
      </c>
      <c r="BA23" s="39" t="n">
        <v>0</v>
      </c>
      <c r="BB23" s="39" t="n"/>
      <c r="BC23" s="39" t="n"/>
      <c r="BD23" s="39" t="n">
        <v>23</v>
      </c>
      <c r="BE23" s="39" t="n">
        <v>17</v>
      </c>
      <c r="BF23" s="39" t="n">
        <v>3</v>
      </c>
      <c r="BG23" s="39" t="n">
        <v>3</v>
      </c>
      <c r="BH23" s="6" t="n"/>
      <c r="BI23" s="6" t="n"/>
      <c r="BJ23" s="6" t="n"/>
      <c r="BK23" s="26">
        <f>BI23+IF(NOT(ISBLANK(OFFSET(BK23,0,6))),N(OFFSET(BK23,0,6)),N(OFFSET(BK23,0,7)))-BJ23</f>
        <v/>
      </c>
    </row>
    <row r="24">
      <c r="AF24" s="370" t="n"/>
      <c r="AG24" s="11" t="n"/>
      <c r="AI24" s="34" t="n"/>
      <c r="AJ24" s="11" t="n"/>
      <c r="AL24" s="11" t="n"/>
      <c r="AM24" s="11" t="n"/>
      <c r="AN24" s="11" t="n"/>
      <c r="AO24" s="11" t="n"/>
      <c r="AP24" s="11" t="n"/>
      <c r="AQ24" s="11" t="n"/>
      <c r="AS24" s="11" t="n"/>
      <c r="AT24" s="11" t="n"/>
      <c r="AU24" s="11" t="n"/>
      <c r="AV24" s="11" t="n"/>
      <c r="AW24" s="11" t="n"/>
    </row>
    <row r="25">
      <c r="A25" s="386" t="inlineStr">
        <is>
          <t>SOBRAS CAIXAS</t>
        </is>
      </c>
      <c r="B25" s="387" t="inlineStr">
        <is>
          <t>PCT</t>
        </is>
      </c>
      <c r="C25" s="387" t="inlineStr">
        <is>
          <t xml:space="preserve">R$ </t>
        </is>
      </c>
      <c r="D25" s="387" t="n"/>
      <c r="F25" s="619" t="n">
        <v>46013</v>
      </c>
      <c r="G25" s="619" t="n">
        <v>46020</v>
      </c>
      <c r="H25" s="619" t="n">
        <v>46027</v>
      </c>
      <c r="I25" s="619" t="n">
        <v>46034</v>
      </c>
      <c r="J25" s="619" t="n">
        <v>46041</v>
      </c>
      <c r="K25" s="619" t="n">
        <v>46048</v>
      </c>
      <c r="L25" s="619" t="n">
        <v>46055</v>
      </c>
      <c r="M25" s="619" t="n">
        <v>46062</v>
      </c>
      <c r="N25" s="619" t="n">
        <v>46069</v>
      </c>
      <c r="O25" s="619" t="n">
        <v>46076</v>
      </c>
      <c r="P25" s="619" t="n">
        <v>46083</v>
      </c>
      <c r="Q25" s="619" t="n">
        <v>46090</v>
      </c>
      <c r="R25" s="619" t="n">
        <v>46097</v>
      </c>
      <c r="S25" s="619" t="n">
        <v>46104</v>
      </c>
      <c r="T25" s="619" t="n">
        <v>46111</v>
      </c>
      <c r="U25" s="619" t="n">
        <v>46118</v>
      </c>
      <c r="V25" s="619" t="n">
        <v>46125</v>
      </c>
      <c r="W25" s="619" t="n">
        <v>46132</v>
      </c>
      <c r="X25" s="619" t="n">
        <v>46139</v>
      </c>
      <c r="Y25" s="619" t="n">
        <v>46146</v>
      </c>
      <c r="Z25" s="619" t="n">
        <v>46154</v>
      </c>
      <c r="AA25" s="619" t="n">
        <v>46160</v>
      </c>
      <c r="AB25" s="620" t="n">
        <v>46161.48013128472</v>
      </c>
      <c r="AC25" s="620" t="n">
        <v>46161.48080494213</v>
      </c>
      <c r="AD25" s="620" t="n">
        <v>46161.48296210376</v>
      </c>
      <c r="AE25" s="621" t="inlineStr">
        <is>
          <t>USOU</t>
        </is>
      </c>
      <c r="AF25" s="370" t="n"/>
      <c r="AG25" s="11" t="n"/>
      <c r="AI25" s="34" t="n"/>
      <c r="AJ25" s="11" t="n"/>
      <c r="AK25" s="11" t="n"/>
      <c r="AL25" s="11" t="n"/>
      <c r="AM25" s="11" t="n"/>
      <c r="AN25" s="11" t="n"/>
      <c r="AO25" s="11" t="n"/>
      <c r="AP25" s="11" t="n"/>
      <c r="AQ25" s="11" t="n"/>
      <c r="AR25" s="11" t="n"/>
      <c r="AS25" s="11" t="n"/>
      <c r="AT25" s="11" t="n"/>
      <c r="AU25" s="11" t="n"/>
      <c r="AV25" s="11" t="n"/>
      <c r="AW25" s="11" t="n"/>
    </row>
    <row r="26">
      <c r="A26" s="392" t="inlineStr">
        <is>
          <t>CAIXA M DIVERT./24</t>
        </is>
      </c>
      <c r="B26" s="393" t="n">
        <v>100</v>
      </c>
      <c r="C26" s="635" t="n">
        <v>790</v>
      </c>
      <c r="D26" s="404" t="n"/>
      <c r="F26" s="39" t="n">
        <v>128</v>
      </c>
      <c r="G26" s="39" t="n">
        <v>119</v>
      </c>
      <c r="H26" s="39" t="n">
        <v>119</v>
      </c>
      <c r="I26" s="39" t="n">
        <v>119</v>
      </c>
      <c r="J26" s="39" t="n">
        <v>119</v>
      </c>
      <c r="K26" s="39" t="n">
        <v>119</v>
      </c>
      <c r="L26" s="39" t="n">
        <v>119</v>
      </c>
      <c r="M26" s="39" t="n">
        <v>119</v>
      </c>
      <c r="N26" s="39" t="n">
        <v>119</v>
      </c>
      <c r="O26" s="39" t="n">
        <v>119</v>
      </c>
      <c r="P26" s="39" t="n">
        <v>119</v>
      </c>
      <c r="Q26" s="39" t="n">
        <v>119</v>
      </c>
      <c r="R26" s="39" t="n">
        <v>119</v>
      </c>
      <c r="S26" s="39" t="n">
        <v>119</v>
      </c>
      <c r="T26" s="39" t="n">
        <v>119</v>
      </c>
      <c r="U26" s="39" t="n">
        <v>119</v>
      </c>
      <c r="V26" s="39" t="n">
        <v>119</v>
      </c>
      <c r="W26" s="39" t="n">
        <v>119</v>
      </c>
      <c r="X26" s="39" t="n">
        <v>119</v>
      </c>
      <c r="Y26" s="39" t="n">
        <v>119</v>
      </c>
      <c r="Z26" s="39" t="n">
        <v>124</v>
      </c>
      <c r="AA26" s="39" t="n">
        <v>124</v>
      </c>
      <c r="AB26" s="6" t="n">
        <v>124</v>
      </c>
      <c r="AC26" s="6" t="n">
        <v>124</v>
      </c>
      <c r="AD26" s="6" t="n">
        <v>124</v>
      </c>
      <c r="AE26" s="380">
        <f>AC26+IF(NOT(ISBLANK(OFFSET(AE26,0,6))),N(OFFSET(AE26,0,6)),N(OFFSET(AE26,0,7)))-AD26</f>
        <v/>
      </c>
      <c r="AF26" s="370" t="n"/>
      <c r="AG26" s="11" t="n"/>
      <c r="AI26" s="34" t="n"/>
      <c r="AJ26" s="11" t="n"/>
      <c r="AK26" s="11" t="n"/>
      <c r="AL26" s="11" t="n"/>
      <c r="AM26" s="11" t="n"/>
      <c r="AN26" s="11" t="n"/>
      <c r="AO26" s="11" t="n"/>
      <c r="AP26" s="11" t="n"/>
      <c r="AQ26" s="11" t="n"/>
      <c r="AR26" s="11" t="n"/>
      <c r="AS26" s="11" t="n"/>
      <c r="AT26" s="11" t="n"/>
      <c r="AU26" s="11" t="n"/>
      <c r="AV26" s="11" t="n"/>
      <c r="AW26" s="11" t="n"/>
    </row>
    <row r="27">
      <c r="A27" s="394" t="inlineStr">
        <is>
          <t>BOLA</t>
        </is>
      </c>
      <c r="B27" s="163" t="n">
        <v>100</v>
      </c>
      <c r="C27" s="636" t="n">
        <v>283</v>
      </c>
      <c r="D27" s="404" t="n"/>
      <c r="F27" s="39" t="n">
        <v>2</v>
      </c>
      <c r="G27" s="39" t="n">
        <v>2</v>
      </c>
      <c r="H27" s="39" t="n">
        <v>2</v>
      </c>
      <c r="I27" s="39" t="n">
        <v>2</v>
      </c>
      <c r="J27" s="39" t="n">
        <v>0</v>
      </c>
      <c r="K27" s="39" t="n">
        <v>0</v>
      </c>
      <c r="L27" s="39" t="n"/>
      <c r="M27" s="39" t="n"/>
      <c r="N27" s="39" t="n"/>
      <c r="O27" s="39" t="n"/>
      <c r="P27" s="39" t="n"/>
      <c r="Q27" s="39" t="n"/>
      <c r="R27" s="39" t="n">
        <v>2</v>
      </c>
      <c r="S27" s="39" t="n">
        <v>2</v>
      </c>
      <c r="T27" s="39" t="n">
        <v>2</v>
      </c>
      <c r="U27" s="39" t="n">
        <v>2</v>
      </c>
      <c r="V27" s="39" t="n">
        <v>2</v>
      </c>
      <c r="W27" s="39" t="n">
        <v>2</v>
      </c>
      <c r="X27" s="39" t="n">
        <v>2</v>
      </c>
      <c r="Y27" s="39" t="n">
        <v>2</v>
      </c>
      <c r="Z27" s="39" t="n">
        <v>2</v>
      </c>
      <c r="AA27" s="39" t="n">
        <v>2</v>
      </c>
      <c r="AB27" s="6" t="n">
        <v>2</v>
      </c>
      <c r="AC27" s="6" t="n">
        <v>2</v>
      </c>
      <c r="AD27" s="6" t="n">
        <v>2</v>
      </c>
      <c r="AE27" s="380">
        <f>AC27+IF(NOT(ISBLANK(OFFSET(AE27,0,6))),N(OFFSET(AE27,0,6)),N(OFFSET(AE27,0,7)))-AD27</f>
        <v/>
      </c>
      <c r="AF27" s="370" t="n"/>
      <c r="AG27" s="11" t="n"/>
      <c r="AI27" s="34" t="n"/>
      <c r="AJ27" s="11" t="n"/>
      <c r="AK27" s="11" t="n"/>
      <c r="AL27" s="11" t="n"/>
      <c r="AM27" s="11" t="n"/>
      <c r="AN27" s="11" t="n"/>
      <c r="AO27" s="11" t="n"/>
      <c r="AP27" s="11" t="n"/>
      <c r="AQ27" s="11" t="n"/>
      <c r="AR27" s="11" t="n"/>
      <c r="AS27" s="11" t="n"/>
      <c r="AT27" s="11" t="n"/>
      <c r="AU27" s="11" t="n"/>
      <c r="AV27" s="11" t="n"/>
      <c r="AW27" s="11" t="n"/>
    </row>
    <row r="28">
      <c r="A28" s="412" t="inlineStr">
        <is>
          <t>CAIXA DORAMA/25</t>
        </is>
      </c>
      <c r="B28" s="413" t="n">
        <v>100</v>
      </c>
      <c r="C28" s="655" t="n">
        <v>841.1</v>
      </c>
      <c r="D28" s="404" t="n"/>
      <c r="F28" s="6" t="n">
        <v>8</v>
      </c>
      <c r="G28" s="6" t="n">
        <v>8</v>
      </c>
      <c r="H28" s="6" t="n">
        <v>8</v>
      </c>
      <c r="I28" s="6" t="n">
        <v>8</v>
      </c>
      <c r="J28" s="6" t="n">
        <v>8</v>
      </c>
      <c r="K28" s="6" t="n">
        <v>8</v>
      </c>
      <c r="L28" s="6" t="n">
        <v>8</v>
      </c>
      <c r="M28" s="6" t="n">
        <v>8</v>
      </c>
      <c r="N28" s="39" t="n">
        <v>8</v>
      </c>
      <c r="O28" s="39" t="n">
        <v>8</v>
      </c>
      <c r="P28" s="39" t="n">
        <v>8</v>
      </c>
      <c r="Q28" s="39" t="n">
        <v>8</v>
      </c>
      <c r="R28" s="39" t="n">
        <v>8</v>
      </c>
      <c r="S28" s="39" t="n">
        <v>8</v>
      </c>
      <c r="T28" s="39" t="n">
        <v>8</v>
      </c>
      <c r="U28" s="39" t="n">
        <v>8</v>
      </c>
      <c r="V28" s="39" t="n">
        <v>8</v>
      </c>
      <c r="W28" s="39" t="n">
        <v>8</v>
      </c>
      <c r="X28" s="39" t="n">
        <v>8</v>
      </c>
      <c r="Y28" s="39" t="n">
        <v>8</v>
      </c>
      <c r="Z28" s="39" t="n">
        <v>8</v>
      </c>
      <c r="AA28" s="39" t="n">
        <v>8</v>
      </c>
      <c r="AB28" s="6" t="n">
        <v>8</v>
      </c>
      <c r="AC28" s="6" t="n">
        <v>8</v>
      </c>
      <c r="AD28" s="6" t="n">
        <v>8</v>
      </c>
      <c r="AE28" s="380">
        <f>AC28+IF(NOT(ISBLANK(OFFSET(AE28,0,6))),N(OFFSET(AE28,0,6)),N(OFFSET(AE28,0,7)))-AD28</f>
        <v/>
      </c>
      <c r="AF28" s="370" t="n"/>
      <c r="AG28" s="11" t="n"/>
      <c r="AI28" s="34" t="n"/>
      <c r="AJ28" s="11" t="n"/>
      <c r="AK28" s="11" t="n"/>
      <c r="AL28" s="11" t="n"/>
      <c r="AM28" s="11" t="n"/>
      <c r="AN28" s="11" t="n"/>
      <c r="AO28" s="11" t="n"/>
      <c r="AP28" s="409" t="n"/>
      <c r="AQ28" s="409" t="n"/>
      <c r="AR28" s="41" t="n"/>
      <c r="AS28" s="409" t="n"/>
      <c r="AT28" s="409" t="n"/>
      <c r="AU28" s="409" t="n"/>
      <c r="AV28" s="409" t="n"/>
      <c r="AW28" s="409" t="n"/>
    </row>
    <row r="29">
      <c r="A29" s="25" t="inlineStr">
        <is>
          <t>CAIXA P NATAL/25</t>
        </is>
      </c>
      <c r="B29" s="6" t="n">
        <v>150</v>
      </c>
      <c r="C29" s="639" t="n">
        <v>805.35</v>
      </c>
      <c r="D29" s="404" t="n"/>
      <c r="F29" s="6" t="n">
        <v>80</v>
      </c>
      <c r="G29" s="6" t="n">
        <v>56</v>
      </c>
      <c r="H29" s="6" t="n">
        <v>53</v>
      </c>
      <c r="I29" s="6" t="n">
        <v>46</v>
      </c>
      <c r="J29" s="6" t="n">
        <v>42</v>
      </c>
      <c r="K29" s="6" t="n">
        <v>12</v>
      </c>
      <c r="L29" s="6" t="n">
        <v>15</v>
      </c>
      <c r="M29" s="6" t="n">
        <v>15</v>
      </c>
      <c r="N29" s="6" t="n">
        <v>15</v>
      </c>
      <c r="O29" s="6" t="n">
        <v>15</v>
      </c>
      <c r="P29" s="6" t="n">
        <v>15</v>
      </c>
      <c r="Q29" s="6" t="n">
        <v>15</v>
      </c>
      <c r="R29" s="6" t="n">
        <v>15</v>
      </c>
      <c r="S29" s="6" t="n">
        <v>15</v>
      </c>
      <c r="T29" s="6" t="n">
        <v>15</v>
      </c>
      <c r="U29" s="6" t="n">
        <v>15</v>
      </c>
      <c r="V29" s="6" t="n">
        <v>15</v>
      </c>
      <c r="W29" s="6" t="n">
        <v>15</v>
      </c>
      <c r="X29" s="6" t="n">
        <v>15</v>
      </c>
      <c r="Y29" s="6" t="n">
        <v>15</v>
      </c>
      <c r="Z29" s="6" t="n">
        <v>15</v>
      </c>
      <c r="AA29" s="6" t="n">
        <v>15</v>
      </c>
      <c r="AB29" s="6" t="n">
        <v>15</v>
      </c>
      <c r="AC29" s="6" t="n">
        <v>15</v>
      </c>
      <c r="AD29" s="6" t="n">
        <v>15</v>
      </c>
      <c r="AE29" s="380">
        <f>AC29+IF(NOT(ISBLANK(OFFSET(AE29,0,6))),N(OFFSET(AE29,0,6)),N(OFFSET(AE29,0,7)))-AD29</f>
        <v/>
      </c>
      <c r="AF29" s="370" t="n"/>
      <c r="AG29" s="409" t="n"/>
      <c r="AI29" s="34" t="n"/>
      <c r="AJ29" s="11" t="n"/>
      <c r="AK29" s="11" t="n"/>
      <c r="AL29" s="11" t="n"/>
      <c r="AM29" s="11" t="n"/>
      <c r="AN29" s="11" t="n"/>
      <c r="AO29" s="11" t="n"/>
      <c r="AP29" s="41" t="n"/>
      <c r="AQ29" s="41" t="n"/>
      <c r="AR29" s="41" t="n"/>
      <c r="AS29" s="41" t="n"/>
      <c r="AT29" s="41" t="n"/>
      <c r="AU29" s="41" t="n"/>
      <c r="AV29" s="41" t="n"/>
      <c r="AW29" s="41" t="n"/>
    </row>
    <row r="30">
      <c r="A30" s="25" t="inlineStr">
        <is>
          <t>CAIXA M NATAL/25</t>
        </is>
      </c>
      <c r="B30" s="6" t="n">
        <v>100</v>
      </c>
      <c r="C30" s="639" t="n">
        <v>792.2</v>
      </c>
      <c r="D30" s="404" t="n"/>
      <c r="F30" s="6" t="n">
        <v>15</v>
      </c>
      <c r="G30" s="6" t="n">
        <v>25</v>
      </c>
      <c r="H30" s="6" t="n">
        <v>24</v>
      </c>
      <c r="I30" s="6" t="n">
        <v>42</v>
      </c>
      <c r="J30" s="6" t="n">
        <v>42</v>
      </c>
      <c r="K30" s="6" t="n">
        <v>42</v>
      </c>
      <c r="L30" s="6" t="n">
        <v>42</v>
      </c>
      <c r="M30" s="6" t="n">
        <v>41</v>
      </c>
      <c r="N30" s="6" t="n">
        <v>41</v>
      </c>
      <c r="O30" s="6" t="n">
        <v>41</v>
      </c>
      <c r="P30" s="6" t="n">
        <v>41</v>
      </c>
      <c r="Q30" s="6" t="n">
        <v>41</v>
      </c>
      <c r="R30" s="6" t="n">
        <v>41</v>
      </c>
      <c r="S30" s="6" t="n">
        <v>41</v>
      </c>
      <c r="T30" s="6" t="n">
        <v>41</v>
      </c>
      <c r="U30" s="6" t="n">
        <v>41</v>
      </c>
      <c r="V30" s="6" t="n">
        <v>41</v>
      </c>
      <c r="W30" s="6" t="n">
        <v>41</v>
      </c>
      <c r="X30" s="6" t="n">
        <v>41</v>
      </c>
      <c r="Y30" s="6" t="n">
        <v>41</v>
      </c>
      <c r="Z30" s="6" t="n">
        <v>41</v>
      </c>
      <c r="AA30" s="6" t="n">
        <v>41</v>
      </c>
      <c r="AB30" s="6" t="n">
        <v>41</v>
      </c>
      <c r="AC30" s="6" t="n">
        <v>41</v>
      </c>
      <c r="AD30" s="6" t="n">
        <v>41</v>
      </c>
      <c r="AE30" s="380">
        <f>AC30+IF(NOT(ISBLANK(OFFSET(AE30,0,6))),N(OFFSET(AE30,0,6)),N(OFFSET(AE30,0,7)))-AD30</f>
        <v/>
      </c>
      <c r="AF30" s="370" t="n"/>
      <c r="AG30" s="409" t="n"/>
      <c r="AI30" s="34" t="n"/>
      <c r="AJ30" s="11" t="n"/>
      <c r="AK30" s="11" t="n"/>
      <c r="AL30" s="11" t="n"/>
      <c r="AM30" s="11" t="n"/>
      <c r="AN30" s="11" t="n"/>
      <c r="AO30" s="11" t="n"/>
      <c r="AP30" s="41" t="n"/>
      <c r="AQ30" s="41" t="n"/>
      <c r="AR30" s="41" t="n"/>
      <c r="AS30" s="41" t="n"/>
      <c r="AT30" s="41" t="n"/>
      <c r="AU30" s="41" t="n"/>
      <c r="AV30" s="41" t="n"/>
      <c r="AW30" s="41" t="n"/>
    </row>
    <row r="31" hidden="1">
      <c r="A31" s="25" t="inlineStr">
        <is>
          <t>CARTUCHO P NATAL/25</t>
        </is>
      </c>
      <c r="B31" s="6" t="n">
        <v>200</v>
      </c>
      <c r="C31" s="639" t="n">
        <v>487.2</v>
      </c>
      <c r="D31" s="404" t="n"/>
      <c r="F31" s="6" t="n">
        <v>71</v>
      </c>
      <c r="G31" s="6" t="n">
        <v>57</v>
      </c>
      <c r="H31" s="6" t="n">
        <v>37</v>
      </c>
      <c r="I31" s="6" t="n">
        <v>3</v>
      </c>
      <c r="J31" s="6" t="n">
        <v>0</v>
      </c>
      <c r="K31" s="6" t="n">
        <v>0</v>
      </c>
      <c r="L31" s="6" t="n">
        <v>0</v>
      </c>
      <c r="M31" s="6" t="n">
        <v>0</v>
      </c>
      <c r="N31" s="6" t="n">
        <v>0</v>
      </c>
      <c r="O31" s="6" t="n">
        <v>0</v>
      </c>
      <c r="P31" s="6" t="n">
        <v>0</v>
      </c>
      <c r="Q31" s="6" t="n">
        <v>0</v>
      </c>
      <c r="R31" s="6" t="n">
        <v>0</v>
      </c>
      <c r="S31" s="6" t="n"/>
      <c r="T31" s="6" t="n"/>
      <c r="U31" s="6" t="n"/>
      <c r="V31" s="6" t="n"/>
      <c r="W31" s="6" t="n"/>
      <c r="X31" s="6" t="n"/>
      <c r="Y31" s="6" t="n"/>
      <c r="Z31" s="6" t="n"/>
      <c r="AA31" s="6" t="n"/>
      <c r="AB31" s="6" t="n"/>
      <c r="AC31" s="6" t="n"/>
      <c r="AD31" s="6" t="n"/>
      <c r="AE31" s="380">
        <f>AC31+IF(NOT(ISBLANK(OFFSET(AE31,0,6))),N(OFFSET(AE31,0,6)),N(OFFSET(AE31,0,7)))-AD31</f>
        <v/>
      </c>
      <c r="AF31" s="370" t="n"/>
      <c r="AG31" s="409" t="n"/>
      <c r="AI31" s="34" t="n"/>
      <c r="AJ31" s="11" t="n"/>
      <c r="AK31" s="11" t="n"/>
      <c r="AL31" s="11" t="n"/>
      <c r="AM31" s="11" t="n"/>
      <c r="AN31" s="11" t="n"/>
      <c r="AO31" s="11" t="n"/>
      <c r="AP31" s="41" t="n"/>
      <c r="AQ31" s="41" t="n"/>
      <c r="AR31" s="41" t="n"/>
      <c r="AS31" s="41" t="n"/>
      <c r="AT31" s="41" t="n"/>
      <c r="AU31" s="41" t="n"/>
      <c r="AV31" s="41" t="n"/>
      <c r="AW31" s="41" t="n"/>
    </row>
    <row r="32" hidden="1">
      <c r="A32" s="25" t="inlineStr">
        <is>
          <t>CARTUCHO M NATAL/25</t>
        </is>
      </c>
      <c r="B32" s="6" t="n">
        <v>150</v>
      </c>
      <c r="C32" s="639" t="n">
        <v>460.35</v>
      </c>
      <c r="D32" s="404" t="n"/>
      <c r="F32" s="6" t="n">
        <v>154</v>
      </c>
      <c r="G32" s="6" t="n">
        <v>122</v>
      </c>
      <c r="H32" s="6" t="n">
        <v>114</v>
      </c>
      <c r="I32" s="6" t="n">
        <v>5</v>
      </c>
      <c r="J32" s="6" t="n">
        <v>3</v>
      </c>
      <c r="K32" s="6" t="n">
        <v>1</v>
      </c>
      <c r="L32" s="6" t="n">
        <v>0</v>
      </c>
      <c r="M32" s="6" t="n">
        <v>0</v>
      </c>
      <c r="N32" s="6" t="n">
        <v>0</v>
      </c>
      <c r="O32" s="6" t="n">
        <v>0</v>
      </c>
      <c r="P32" s="6" t="n">
        <v>0</v>
      </c>
      <c r="Q32" s="6" t="n">
        <v>0</v>
      </c>
      <c r="R32" s="6" t="n">
        <v>0</v>
      </c>
      <c r="S32" s="6" t="n"/>
      <c r="T32" s="6" t="n"/>
      <c r="U32" s="6" t="n"/>
      <c r="V32" s="6" t="n"/>
      <c r="W32" s="6" t="n"/>
      <c r="X32" s="6" t="n"/>
      <c r="Y32" s="6" t="n"/>
      <c r="Z32" s="6" t="n"/>
      <c r="AA32" s="6" t="n"/>
      <c r="AB32" s="6" t="n"/>
      <c r="AC32" s="6" t="n"/>
      <c r="AD32" s="6" t="n"/>
      <c r="AE32" s="380">
        <f>AC32+IF(NOT(ISBLANK(OFFSET(AE32,0,6))),N(OFFSET(AE32,0,6)),N(OFFSET(AE32,0,7)))-AD32</f>
        <v/>
      </c>
      <c r="AF32" s="370" t="n"/>
      <c r="AG32" s="409" t="n"/>
      <c r="AI32" s="34" t="n"/>
      <c r="AJ32" s="11" t="n"/>
      <c r="AK32" s="11" t="n"/>
      <c r="AL32" s="11" t="n"/>
      <c r="AM32" s="11" t="n"/>
      <c r="AN32" s="11" t="n"/>
      <c r="AO32" s="11" t="n"/>
      <c r="AP32" s="41" t="n"/>
      <c r="AQ32" s="41" t="n"/>
      <c r="AR32" s="41" t="n"/>
      <c r="AS32" s="41" t="n"/>
      <c r="AT32" s="41" t="n"/>
      <c r="AU32" s="41" t="n"/>
      <c r="AV32" s="41" t="n"/>
      <c r="AW32" s="41" t="n"/>
    </row>
    <row r="33" hidden="1">
      <c r="A33" s="25" t="inlineStr">
        <is>
          <t>PIN NATAL/25</t>
        </is>
      </c>
      <c r="B33" s="6" t="n">
        <v>10</v>
      </c>
      <c r="C33" s="639" t="n">
        <v>120</v>
      </c>
      <c r="D33" s="404" t="n"/>
      <c r="F33" s="6" t="n">
        <v>0</v>
      </c>
      <c r="G33" s="6" t="n">
        <v>0</v>
      </c>
      <c r="H33" s="6" t="n">
        <v>0</v>
      </c>
      <c r="I33" s="6" t="n">
        <v>0</v>
      </c>
      <c r="J33" s="6" t="n">
        <v>0</v>
      </c>
      <c r="K33" s="6" t="n">
        <v>0</v>
      </c>
      <c r="L33" s="6" t="n">
        <v>0</v>
      </c>
      <c r="M33" s="6" t="n">
        <v>0</v>
      </c>
      <c r="N33" s="39" t="n">
        <v>0</v>
      </c>
      <c r="O33" s="39" t="n">
        <v>0</v>
      </c>
      <c r="P33" s="39" t="n">
        <v>0</v>
      </c>
      <c r="Q33" s="39" t="n">
        <v>0</v>
      </c>
      <c r="R33" s="39" t="n">
        <v>0</v>
      </c>
      <c r="S33" s="39" t="n"/>
      <c r="T33" s="39" t="n"/>
      <c r="U33" s="39" t="n"/>
      <c r="V33" s="39" t="n"/>
      <c r="W33" s="39" t="n"/>
      <c r="X33" s="39" t="n"/>
      <c r="Y33" s="39" t="n"/>
      <c r="Z33" s="39" t="n"/>
      <c r="AA33" s="39" t="n"/>
      <c r="AB33" s="6" t="n"/>
      <c r="AC33" s="6" t="n"/>
      <c r="AD33" s="6" t="n"/>
      <c r="AE33" s="380">
        <f>AC33+IF(NOT(ISBLANK(OFFSET(AE33,0,6))),N(OFFSET(AE33,0,6)),N(OFFSET(AE33,0,7)))-AD33</f>
        <v/>
      </c>
      <c r="AF33" s="370" t="n"/>
      <c r="AG33" s="409" t="n"/>
      <c r="AI33" s="34" t="n"/>
      <c r="AJ33" s="11" t="n"/>
      <c r="AK33" s="11" t="n"/>
      <c r="AL33" s="11" t="n"/>
      <c r="AM33" s="11" t="n"/>
      <c r="AN33" s="11" t="n"/>
      <c r="AO33" s="11" t="n"/>
      <c r="AP33" s="41" t="n"/>
      <c r="AQ33" s="41" t="n"/>
      <c r="AR33" s="41" t="n"/>
      <c r="AS33" s="41" t="n"/>
      <c r="AT33" s="41" t="n"/>
      <c r="AU33" s="41" t="n"/>
      <c r="AV33" s="41" t="n"/>
      <c r="AW33" s="41" t="n"/>
    </row>
    <row r="34">
      <c r="A34" s="291" t="inlineStr">
        <is>
          <t>CAIXA M HOMEM ARANHA</t>
        </is>
      </c>
      <c r="B34" s="292" t="n">
        <v>100</v>
      </c>
      <c r="C34" s="638" t="n">
        <v>1490</v>
      </c>
      <c r="D34" s="404" t="n"/>
      <c r="R34" s="39" t="n">
        <v>4</v>
      </c>
      <c r="S34" s="39" t="n">
        <v>4</v>
      </c>
      <c r="T34" s="39" t="n">
        <v>4</v>
      </c>
      <c r="U34" s="39" t="n">
        <v>4</v>
      </c>
      <c r="V34" s="39" t="n">
        <v>4</v>
      </c>
      <c r="W34" s="39" t="n">
        <v>4</v>
      </c>
      <c r="X34" s="39" t="n">
        <v>4</v>
      </c>
      <c r="Y34" s="39" t="n">
        <v>4</v>
      </c>
      <c r="Z34" s="39" t="n">
        <v>4</v>
      </c>
      <c r="AA34" s="39" t="n">
        <v>4</v>
      </c>
      <c r="AB34" s="6" t="n">
        <v>4</v>
      </c>
      <c r="AC34" s="6" t="n">
        <v>4</v>
      </c>
      <c r="AD34" s="6" t="n">
        <v>4</v>
      </c>
      <c r="AE34" s="380">
        <f>AC34+IF(NOT(ISBLANK(OFFSET(AE34,0,6))),N(OFFSET(AE34,0,6)),N(OFFSET(AE34,0,7)))-AD34</f>
        <v/>
      </c>
      <c r="AF34" s="370" t="n"/>
      <c r="AG34" s="409" t="n"/>
      <c r="AI34" s="34" t="n"/>
      <c r="AJ34" s="11" t="n"/>
      <c r="AK34" s="11" t="n"/>
      <c r="AL34" s="11" t="n"/>
      <c r="AM34" s="11" t="n"/>
      <c r="AN34" s="11" t="n"/>
      <c r="AO34" s="11" t="n"/>
      <c r="AP34" s="41" t="n"/>
      <c r="AQ34" s="41" t="n"/>
      <c r="AR34" s="41" t="n"/>
      <c r="AS34" s="41" t="n"/>
      <c r="AT34" s="41" t="n"/>
      <c r="AU34" s="41" t="n"/>
      <c r="AV34" s="41" t="n"/>
      <c r="AW34" s="41" t="n"/>
    </row>
    <row r="35">
      <c r="Z35" s="2" t="n"/>
      <c r="AA35" s="2" t="n"/>
      <c r="AB35" s="1" t="n"/>
      <c r="AC35" s="1" t="n"/>
      <c r="AD35" s="1" t="n"/>
      <c r="AF35" s="370" t="n"/>
      <c r="AG35" s="409" t="n"/>
      <c r="AI35" s="34" t="n"/>
      <c r="AJ35" s="11" t="n"/>
      <c r="AK35" s="11" t="n"/>
      <c r="AL35" s="11" t="n"/>
      <c r="AM35" s="11" t="n"/>
      <c r="AN35" s="11" t="n"/>
      <c r="AO35" s="11" t="n"/>
      <c r="AP35" s="41" t="n"/>
      <c r="AQ35" s="41" t="n"/>
      <c r="AR35" s="41" t="n"/>
      <c r="AS35" s="41" t="n"/>
      <c r="AT35" s="41" t="n"/>
      <c r="AU35" s="41" t="n"/>
      <c r="AV35" s="41" t="n"/>
      <c r="AW35" s="41" t="n"/>
    </row>
    <row r="36" ht="21" customHeight="1">
      <c r="A36" s="402" t="inlineStr">
        <is>
          <t>SOBRAS DATAS COMEMORATIVAS</t>
        </is>
      </c>
      <c r="B36" s="402" t="n"/>
      <c r="C36" s="402" t="n"/>
      <c r="AF36" s="370" t="n"/>
      <c r="AG36" s="409" t="n"/>
      <c r="AI36" s="34" t="n"/>
      <c r="AJ36" s="11" t="n"/>
      <c r="AK36" s="11" t="n"/>
      <c r="AL36" s="11" t="n"/>
      <c r="AM36" s="11" t="n"/>
      <c r="AN36" s="11" t="n"/>
      <c r="AO36" s="11" t="n"/>
      <c r="AP36" s="41" t="n"/>
      <c r="AQ36" s="41" t="n"/>
      <c r="AR36" s="41" t="n"/>
      <c r="AS36" s="41" t="n"/>
      <c r="AT36" s="41" t="n"/>
      <c r="AU36" s="41" t="n"/>
      <c r="AV36" s="41" t="n"/>
      <c r="AW36" s="41" t="n"/>
    </row>
    <row r="37">
      <c r="A37" s="369" t="inlineStr">
        <is>
          <t>ITENS</t>
        </is>
      </c>
      <c r="B37" s="369" t="n"/>
      <c r="C37" s="369" t="inlineStr">
        <is>
          <t>ESTOQUE</t>
        </is>
      </c>
      <c r="E37" s="41" t="n"/>
      <c r="F37" s="41" t="n"/>
      <c r="G37" s="41" t="n"/>
      <c r="H37" s="41" t="n"/>
      <c r="I37" s="41" t="n"/>
      <c r="J37" s="41" t="n"/>
      <c r="K37" s="41" t="n"/>
      <c r="L37" s="41" t="n"/>
      <c r="M37" s="41" t="n"/>
      <c r="AE37" s="41" t="n"/>
      <c r="AF37" s="370" t="n"/>
      <c r="AG37" s="409" t="n"/>
      <c r="AH37" s="41" t="n"/>
      <c r="AI37" s="34" t="n"/>
      <c r="AJ37" s="11" t="n"/>
      <c r="AK37" s="11" t="n"/>
      <c r="AL37" s="11" t="n"/>
      <c r="AM37" s="11" t="n"/>
      <c r="AN37" s="11" t="n"/>
      <c r="AO37" s="11" t="n"/>
      <c r="AP37" s="41" t="n"/>
      <c r="AQ37" s="41" t="n"/>
      <c r="AR37" s="41" t="n"/>
      <c r="AS37" s="41" t="n"/>
      <c r="AT37" s="41" t="n"/>
      <c r="AU37" s="41" t="n"/>
      <c r="AV37" s="41" t="n"/>
      <c r="AW37" s="41" t="n"/>
    </row>
    <row r="38">
      <c r="A38" s="410" t="inlineStr">
        <is>
          <t>SEDA NATAL/25</t>
        </is>
      </c>
      <c r="B38" s="378" t="n"/>
      <c r="C38" s="365" t="n">
        <v>2</v>
      </c>
      <c r="AG38" s="11" t="n"/>
      <c r="AI38" s="34" t="n"/>
      <c r="AJ38" s="11" t="n"/>
      <c r="AK38" s="11" t="n"/>
      <c r="AL38" s="11" t="n"/>
      <c r="AM38" s="11" t="n"/>
      <c r="AN38" s="11" t="n"/>
      <c r="AO38" s="11" t="n"/>
      <c r="AP38" s="41" t="n"/>
      <c r="AQ38" s="41" t="n"/>
      <c r="AR38" s="41" t="n"/>
      <c r="AS38" s="41" t="n"/>
      <c r="AT38" s="41" t="n"/>
      <c r="AU38" s="41" t="n"/>
      <c r="AV38" s="41" t="n"/>
      <c r="AW38" s="41" t="n"/>
    </row>
    <row r="39">
      <c r="A39" s="157" t="n"/>
      <c r="B39" s="157" t="n"/>
      <c r="C39" s="157" t="n"/>
      <c r="AG39" s="11" t="n"/>
      <c r="AI39" s="34" t="n"/>
      <c r="AJ39" s="11" t="n"/>
      <c r="AK39" s="11" t="n"/>
      <c r="AL39" s="11" t="n"/>
      <c r="AM39" s="409" t="n"/>
      <c r="AN39" s="11" t="n"/>
      <c r="AO39" s="11" t="n"/>
      <c r="AP39" s="41" t="n"/>
      <c r="AQ39" s="41" t="n"/>
      <c r="AR39" s="11" t="n"/>
      <c r="AS39" s="41" t="n"/>
      <c r="AT39" s="41" t="n"/>
      <c r="AU39" s="41" t="n"/>
      <c r="AV39" s="41" t="n"/>
      <c r="AW39" s="41" t="n"/>
    </row>
    <row r="40">
      <c r="A40" s="156" t="inlineStr">
        <is>
          <t>TAGS NAMORADOS/23</t>
        </is>
      </c>
      <c r="B40" s="378" t="n"/>
      <c r="C40" s="365" t="n">
        <v>65</v>
      </c>
      <c r="AJ40" s="409" t="n"/>
      <c r="AK40" s="11" t="n"/>
      <c r="AL40" s="409" t="n"/>
      <c r="AM40" s="409" t="n"/>
      <c r="AN40" s="409" t="n"/>
      <c r="AO40" s="409" t="n"/>
      <c r="AP40" s="11" t="n"/>
      <c r="AQ40" s="11" t="n"/>
      <c r="AR40" s="357" t="n"/>
      <c r="AS40" s="11" t="n"/>
      <c r="AT40" s="11" t="n"/>
      <c r="AU40" s="11" t="n"/>
      <c r="AV40" s="11" t="n"/>
      <c r="AW40" s="11" t="n"/>
    </row>
    <row r="41">
      <c r="A41" s="157" t="n"/>
      <c r="B41" s="157" t="n"/>
      <c r="C41" s="157" t="n"/>
      <c r="AJ41" s="409" t="n"/>
      <c r="AK41" s="409" t="n"/>
      <c r="AL41" s="409" t="n"/>
      <c r="AM41" s="41" t="n"/>
      <c r="AN41" s="409" t="n"/>
      <c r="AO41" s="409" t="n"/>
      <c r="AP41" s="357" t="n"/>
      <c r="AQ41" s="357" t="n"/>
      <c r="AR41" s="357" t="n"/>
      <c r="AS41" s="357" t="n"/>
      <c r="AT41" s="357" t="n"/>
      <c r="AU41" s="357" t="n"/>
      <c r="AV41" s="357" t="n"/>
      <c r="AW41" s="357" t="n"/>
      <c r="BF41" s="41" t="n"/>
      <c r="BG41" s="41" t="n"/>
      <c r="BH41" s="41" t="n"/>
      <c r="BI41" s="41" t="n"/>
      <c r="BJ41" s="41" t="n"/>
    </row>
    <row r="42">
      <c r="A42" s="383" t="inlineStr">
        <is>
          <t>TAG MÃES/24</t>
        </is>
      </c>
      <c r="B42" s="378" t="n"/>
      <c r="C42" s="365" t="n">
        <v>90</v>
      </c>
      <c r="AJ42" s="41" t="n"/>
      <c r="AK42" s="409" t="n"/>
      <c r="AL42" s="41" t="n"/>
      <c r="AM42" s="41" t="n"/>
      <c r="AN42" s="41" t="n"/>
      <c r="AO42" s="41" t="n"/>
      <c r="AP42" s="357" t="n"/>
      <c r="AQ42" s="357" t="n"/>
      <c r="AS42" s="357" t="n"/>
      <c r="AT42" s="357" t="n"/>
      <c r="AU42" s="357" t="n"/>
      <c r="AV42" s="357" t="n"/>
      <c r="AW42" s="357" t="n"/>
      <c r="AY42" s="41" t="n"/>
      <c r="AZ42" s="41" t="n"/>
      <c r="BA42" s="41" t="n"/>
      <c r="BB42" s="41" t="n"/>
      <c r="BC42" s="41" t="n"/>
      <c r="BD42" s="41" t="n"/>
      <c r="BE42" s="41" t="n"/>
      <c r="BF42" s="41" t="n"/>
      <c r="BG42" s="41" t="n"/>
      <c r="BH42" s="41" t="n"/>
      <c r="BI42" s="41" t="n"/>
      <c r="BJ42" s="41" t="n"/>
      <c r="BK42" s="41" t="n"/>
    </row>
    <row r="43">
      <c r="A43" s="157" t="n"/>
      <c r="B43" s="157" t="n"/>
      <c r="C43" s="157" t="n"/>
      <c r="AJ43" s="41" t="n"/>
      <c r="AK43" s="41" t="n"/>
      <c r="AL43" s="41" t="n"/>
      <c r="AM43" s="41" t="n"/>
      <c r="AN43" s="41" t="n"/>
      <c r="AO43" s="41" t="n"/>
      <c r="AY43" s="41" t="n"/>
      <c r="AZ43" s="41" t="n"/>
      <c r="BA43" s="41" t="n"/>
      <c r="BB43" s="41" t="n"/>
      <c r="BC43" s="41" t="n"/>
      <c r="BD43" s="41" t="n"/>
      <c r="BE43" s="41" t="n"/>
      <c r="BF43" s="41" t="n"/>
      <c r="BG43" s="41" t="n"/>
      <c r="BH43" s="41" t="n"/>
      <c r="BI43" s="41" t="n"/>
      <c r="BJ43" s="41" t="n"/>
      <c r="BK43" s="41" t="n"/>
    </row>
    <row r="44">
      <c r="A44" s="232" t="inlineStr">
        <is>
          <t>TAG MÃES/25</t>
        </is>
      </c>
      <c r="B44" s="378" t="n"/>
      <c r="C44" s="365" t="n">
        <v>190</v>
      </c>
      <c r="AJ44" s="41" t="n"/>
      <c r="AK44" s="41" t="n"/>
      <c r="AL44" s="41" t="n"/>
      <c r="AM44" s="41" t="n"/>
      <c r="AN44" s="41" t="n"/>
      <c r="AO44" s="41" t="n"/>
      <c r="AY44" s="41" t="n"/>
      <c r="AZ44" s="41" t="n"/>
      <c r="BA44" s="41" t="n"/>
      <c r="BB44" s="41" t="n"/>
      <c r="BC44" s="41" t="n"/>
      <c r="BD44" s="41" t="n"/>
      <c r="BE44" s="41" t="n"/>
      <c r="BF44" s="41" t="n"/>
      <c r="BG44" s="41" t="n"/>
      <c r="BH44" s="41" t="n"/>
      <c r="BI44" s="41" t="n"/>
      <c r="BJ44" s="41" t="n"/>
      <c r="BK44" s="41" t="n"/>
    </row>
    <row r="45">
      <c r="A45" s="157" t="n"/>
      <c r="B45" s="157" t="n"/>
      <c r="C45" s="157" t="n"/>
      <c r="AJ45" s="41" t="n"/>
      <c r="AK45" s="41" t="n"/>
      <c r="AL45" s="41" t="n"/>
      <c r="AN45" s="41" t="n"/>
      <c r="AO45" s="41" t="n"/>
      <c r="AY45" s="41" t="n"/>
      <c r="AZ45" s="41" t="n"/>
      <c r="BA45" s="41" t="n"/>
      <c r="BB45" s="41" t="n"/>
      <c r="BC45" s="41" t="n"/>
      <c r="BD45" s="41" t="n"/>
      <c r="BE45" s="41" t="n"/>
      <c r="BK45" s="41" t="n"/>
    </row>
    <row r="46">
      <c r="A46" s="186" t="inlineStr">
        <is>
          <t>TAG PAIS/24</t>
        </is>
      </c>
      <c r="B46" s="378" t="n"/>
      <c r="C46" s="365" t="n">
        <v>145</v>
      </c>
      <c r="N46" s="41" t="n"/>
      <c r="O46" s="41" t="n"/>
      <c r="P46" s="41" t="n"/>
      <c r="Q46" s="41" t="n"/>
      <c r="R46" s="41" t="n"/>
      <c r="S46" s="41" t="n"/>
      <c r="T46" s="41" t="n"/>
      <c r="U46" s="41" t="n"/>
      <c r="V46" s="41" t="n"/>
      <c r="W46" s="41" t="n"/>
      <c r="X46" s="41" t="n"/>
      <c r="Y46" s="41" t="n"/>
      <c r="AK46" s="41" t="n"/>
      <c r="AR46" s="11" t="n"/>
    </row>
    <row r="47">
      <c r="A47" s="157" t="n"/>
      <c r="B47" s="157" t="n"/>
      <c r="C47" s="157" t="n"/>
      <c r="N47" s="41" t="n"/>
      <c r="O47" s="41" t="n"/>
      <c r="P47" s="41" t="n"/>
      <c r="Q47" s="41" t="n"/>
      <c r="R47" s="41" t="n"/>
      <c r="S47" s="41" t="n"/>
      <c r="T47" s="41" t="n"/>
      <c r="U47" s="41" t="n"/>
      <c r="V47" s="41" t="n"/>
      <c r="W47" s="41" t="n"/>
      <c r="X47" s="41" t="n"/>
      <c r="Y47" s="41" t="n"/>
      <c r="Z47" s="41" t="n"/>
      <c r="AA47" s="41" t="n"/>
      <c r="AB47" s="41" t="n"/>
      <c r="AC47" s="41" t="n"/>
      <c r="AD47" s="41" t="n"/>
      <c r="AM47" s="11" t="n"/>
      <c r="AP47" s="11" t="n"/>
      <c r="AQ47" s="11" t="n"/>
      <c r="AR47" s="11" t="n"/>
      <c r="AS47" s="11" t="n"/>
      <c r="AT47" s="11" t="n"/>
      <c r="AU47" s="11" t="n"/>
      <c r="AV47" s="11" t="n"/>
      <c r="AW47" s="11" t="n"/>
    </row>
    <row r="48">
      <c r="A48" s="254" t="inlineStr">
        <is>
          <t>TAG NAMO/25</t>
        </is>
      </c>
      <c r="B48" s="378" t="n"/>
      <c r="C48" s="365" t="n">
        <v>190</v>
      </c>
      <c r="N48" s="41" t="n"/>
      <c r="O48" s="41" t="n"/>
      <c r="P48" s="41" t="n"/>
      <c r="Q48" s="41" t="n"/>
      <c r="R48" s="41" t="n"/>
      <c r="S48" s="41" t="n"/>
      <c r="T48" s="41" t="n"/>
      <c r="U48" s="41" t="n"/>
      <c r="V48" s="41" t="n"/>
      <c r="W48" s="41" t="n"/>
      <c r="X48" s="41" t="n"/>
      <c r="Y48" s="41" t="n"/>
      <c r="Z48" s="41" t="n"/>
      <c r="AA48" s="41" t="n"/>
      <c r="AB48" s="41" t="n"/>
      <c r="AC48" s="41" t="n"/>
      <c r="AD48" s="41" t="n"/>
      <c r="AJ48" s="11" t="n"/>
      <c r="AL48" s="11" t="n"/>
      <c r="AN48" s="11" t="n"/>
      <c r="AO48" s="11" t="n"/>
      <c r="AP48" s="11" t="n"/>
      <c r="AQ48" s="11" t="n"/>
      <c r="AR48" s="11" t="n"/>
      <c r="AS48" s="11" t="n"/>
      <c r="AT48" s="11" t="n"/>
      <c r="AU48" s="11" t="n"/>
      <c r="AV48" s="11" t="n"/>
      <c r="AW48" s="11" t="n"/>
    </row>
    <row r="49">
      <c r="N49" s="41" t="n"/>
      <c r="O49" s="41" t="n"/>
      <c r="P49" s="41" t="n"/>
      <c r="Q49" s="41" t="n"/>
      <c r="R49" s="41" t="n"/>
      <c r="S49" s="41" t="n"/>
      <c r="T49" s="41" t="n"/>
      <c r="U49" s="41" t="n"/>
      <c r="V49" s="41" t="n"/>
      <c r="W49" s="41" t="n"/>
      <c r="X49" s="41" t="n"/>
      <c r="Y49" s="41" t="n"/>
      <c r="Z49" s="41" t="n"/>
      <c r="AA49" s="41" t="n"/>
      <c r="AB49" s="41" t="n"/>
      <c r="AC49" s="41" t="n"/>
      <c r="AD49" s="41" t="n"/>
      <c r="AK49" s="11" t="n"/>
      <c r="AP49" s="11" t="n"/>
      <c r="AQ49" s="11" t="n"/>
      <c r="AS49" s="11" t="n"/>
      <c r="AT49" s="11" t="n"/>
      <c r="AU49" s="11" t="n"/>
      <c r="AV49" s="11" t="n"/>
      <c r="AW49" s="11" t="n"/>
    </row>
    <row r="50">
      <c r="A50" s="642" t="inlineStr">
        <is>
          <t>FLACONETES</t>
        </is>
      </c>
      <c r="B50" s="625" t="n"/>
      <c r="C50" s="625" t="n"/>
      <c r="D50" s="641" t="n"/>
      <c r="F50" s="643" t="n">
        <v>46013</v>
      </c>
      <c r="G50" s="643" t="n">
        <v>46020</v>
      </c>
      <c r="H50" s="643" t="n">
        <v>46027</v>
      </c>
      <c r="I50" s="643" t="n">
        <v>46034</v>
      </c>
      <c r="J50" s="643" t="n">
        <v>46041</v>
      </c>
      <c r="K50" s="643" t="n">
        <v>46048</v>
      </c>
      <c r="L50" s="643" t="n">
        <v>46055</v>
      </c>
      <c r="M50" s="643" t="n">
        <v>46062</v>
      </c>
      <c r="N50" s="643" t="n">
        <v>46069</v>
      </c>
      <c r="O50" s="643" t="n">
        <v>46076</v>
      </c>
      <c r="P50" s="643" t="n">
        <v>46083</v>
      </c>
      <c r="Q50" s="643" t="n">
        <v>46090</v>
      </c>
      <c r="R50" s="643" t="n">
        <v>46097</v>
      </c>
      <c r="S50" s="643" t="n">
        <v>46104</v>
      </c>
      <c r="T50" s="643" t="n">
        <v>46111</v>
      </c>
      <c r="U50" s="643" t="n">
        <v>46118</v>
      </c>
      <c r="V50" s="643" t="n">
        <v>46125</v>
      </c>
      <c r="W50" s="643" t="n">
        <v>46132</v>
      </c>
      <c r="X50" s="643" t="n">
        <v>46139</v>
      </c>
      <c r="Y50" s="643" t="n">
        <v>46146</v>
      </c>
      <c r="Z50" s="643" t="n">
        <v>46154</v>
      </c>
      <c r="AA50" s="643" t="n">
        <v>46160</v>
      </c>
      <c r="AB50" s="644" t="n">
        <v>46161.48013128472</v>
      </c>
      <c r="AC50" s="644" t="n">
        <v>46161.48080494213</v>
      </c>
      <c r="AD50" s="644" t="n">
        <v>46161.48296210418</v>
      </c>
    </row>
    <row r="51">
      <c r="A51" s="645" t="inlineStr">
        <is>
          <t>QUASAR DEEP BLUE</t>
        </is>
      </c>
      <c r="B51" s="625" t="n"/>
      <c r="C51" s="625" t="n"/>
      <c r="D51" s="641" t="n"/>
      <c r="F51" s="366" t="n">
        <v>5</v>
      </c>
      <c r="G51" s="366" t="n">
        <v>0</v>
      </c>
      <c r="H51" s="366" t="n">
        <v>0</v>
      </c>
      <c r="I51" s="366" t="n">
        <v>0</v>
      </c>
      <c r="J51" s="366" t="n">
        <v>0</v>
      </c>
      <c r="K51" s="366" t="n">
        <v>0</v>
      </c>
      <c r="L51" s="366" t="n">
        <v>0</v>
      </c>
      <c r="M51" s="366" t="n">
        <v>0</v>
      </c>
      <c r="N51" s="366" t="n">
        <v>0</v>
      </c>
      <c r="O51" s="366" t="n">
        <v>0</v>
      </c>
      <c r="P51" s="366" t="n">
        <v>0</v>
      </c>
      <c r="Q51" s="366" t="n">
        <v>0</v>
      </c>
      <c r="R51" s="366" t="n">
        <v>0</v>
      </c>
      <c r="S51" s="366" t="n">
        <v>0</v>
      </c>
      <c r="T51" s="366" t="n">
        <v>0</v>
      </c>
      <c r="U51" s="366" t="n">
        <v>0</v>
      </c>
      <c r="V51" s="366" t="n">
        <v>0</v>
      </c>
      <c r="W51" s="366" t="n">
        <v>0</v>
      </c>
      <c r="X51" s="366" t="n">
        <v>0</v>
      </c>
      <c r="Y51" s="366" t="n">
        <v>0</v>
      </c>
      <c r="Z51" s="366" t="n">
        <v>0</v>
      </c>
      <c r="AA51" s="366" t="n"/>
      <c r="AB51" s="646" t="n"/>
      <c r="AC51" s="646" t="n"/>
      <c r="AD51" s="646" t="n"/>
    </row>
    <row r="52">
      <c r="A52" s="645" t="inlineStr">
        <is>
          <t>ARBO ATLANTICA</t>
        </is>
      </c>
      <c r="B52" s="625" t="n"/>
      <c r="C52" s="625" t="n"/>
      <c r="D52" s="641" t="n"/>
      <c r="F52" s="366" t="n">
        <v>6</v>
      </c>
      <c r="G52" s="366" t="n">
        <v>3</v>
      </c>
      <c r="H52" s="366" t="n">
        <v>3</v>
      </c>
      <c r="I52" s="366" t="n">
        <v>3</v>
      </c>
      <c r="J52" s="366" t="n">
        <v>0</v>
      </c>
      <c r="K52" s="366" t="n">
        <v>0</v>
      </c>
      <c r="L52" s="366" t="n">
        <v>0</v>
      </c>
      <c r="M52" s="366" t="n">
        <v>0</v>
      </c>
      <c r="N52" s="366" t="n">
        <v>0</v>
      </c>
      <c r="O52" s="366" t="n">
        <v>0</v>
      </c>
      <c r="P52" s="366" t="n">
        <v>0</v>
      </c>
      <c r="Q52" s="366" t="n">
        <v>0</v>
      </c>
      <c r="R52" s="366" t="n">
        <v>0</v>
      </c>
      <c r="S52" s="366" t="n">
        <v>0</v>
      </c>
      <c r="T52" s="366" t="n">
        <v>0</v>
      </c>
      <c r="U52" s="366" t="n">
        <v>0</v>
      </c>
      <c r="V52" s="366" t="n">
        <v>0</v>
      </c>
      <c r="W52" s="366" t="n">
        <v>0</v>
      </c>
      <c r="X52" s="366" t="n">
        <v>0</v>
      </c>
      <c r="Y52" s="366" t="n">
        <v>0</v>
      </c>
      <c r="Z52" s="366" t="n">
        <v>0</v>
      </c>
      <c r="AA52" s="366" t="n"/>
      <c r="AB52" s="646" t="n"/>
      <c r="AC52" s="646" t="n"/>
      <c r="AD52" s="646" t="n"/>
    </row>
    <row r="53">
      <c r="A53" s="645" t="inlineStr">
        <is>
          <t>FLORATTA ROSE BOUQUET</t>
        </is>
      </c>
      <c r="B53" s="625" t="n"/>
      <c r="C53" s="625" t="n"/>
      <c r="D53" s="641" t="n"/>
      <c r="F53" s="366" t="n">
        <v>0</v>
      </c>
      <c r="G53" s="366" t="n">
        <v>0</v>
      </c>
      <c r="H53" s="366" t="n">
        <v>0</v>
      </c>
      <c r="I53" s="366" t="n">
        <v>0</v>
      </c>
      <c r="J53" s="366" t="n">
        <v>0</v>
      </c>
      <c r="K53" s="366" t="n">
        <v>0</v>
      </c>
      <c r="L53" s="366" t="n">
        <v>0</v>
      </c>
      <c r="M53" s="366" t="n">
        <v>0</v>
      </c>
      <c r="N53" s="366" t="n">
        <v>0</v>
      </c>
      <c r="O53" s="366" t="n">
        <v>0</v>
      </c>
      <c r="P53" s="366" t="n">
        <v>0</v>
      </c>
      <c r="Q53" s="366" t="n">
        <v>0</v>
      </c>
      <c r="R53" s="366" t="n">
        <v>0</v>
      </c>
      <c r="S53" s="366" t="n">
        <v>0</v>
      </c>
      <c r="T53" s="366" t="n">
        <v>0</v>
      </c>
      <c r="U53" s="366" t="n">
        <v>0</v>
      </c>
      <c r="V53" s="366" t="n">
        <v>0</v>
      </c>
      <c r="W53" s="366" t="n">
        <v>0</v>
      </c>
      <c r="X53" s="366" t="n">
        <v>0</v>
      </c>
      <c r="Y53" s="366" t="n">
        <v>0</v>
      </c>
      <c r="Z53" s="366" t="n">
        <v>0</v>
      </c>
      <c r="AA53" s="366" t="n"/>
      <c r="AB53" s="646" t="n"/>
      <c r="AC53" s="646" t="n"/>
      <c r="AD53" s="646" t="n"/>
    </row>
    <row r="54">
      <c r="A54" s="645" t="inlineStr">
        <is>
          <t>EGEO DOLCE ILUSION</t>
        </is>
      </c>
      <c r="B54" s="625" t="n"/>
      <c r="C54" s="625" t="n"/>
      <c r="D54" s="641" t="n"/>
      <c r="F54" s="366" t="n">
        <v>70</v>
      </c>
      <c r="G54" s="366" t="n">
        <v>56</v>
      </c>
      <c r="H54" s="366" t="n">
        <v>56</v>
      </c>
      <c r="I54" s="366" t="n">
        <v>56</v>
      </c>
      <c r="J54" s="366" t="n">
        <v>40</v>
      </c>
      <c r="K54" s="366" t="n">
        <v>40</v>
      </c>
      <c r="L54" s="366" t="n">
        <v>36</v>
      </c>
      <c r="M54" s="366" t="n">
        <v>36</v>
      </c>
      <c r="N54" s="366" t="n">
        <v>36</v>
      </c>
      <c r="O54" s="366" t="n">
        <v>36</v>
      </c>
      <c r="P54" s="366" t="n">
        <v>36</v>
      </c>
      <c r="Q54" s="366" t="n">
        <v>36</v>
      </c>
      <c r="R54" s="366" t="n">
        <v>35</v>
      </c>
      <c r="S54" s="366" t="n">
        <v>35</v>
      </c>
      <c r="T54" s="366" t="n">
        <v>35</v>
      </c>
      <c r="U54" s="366" t="n">
        <v>33</v>
      </c>
      <c r="V54" s="366" t="n">
        <v>33</v>
      </c>
      <c r="W54" s="366" t="n">
        <v>33</v>
      </c>
      <c r="X54" s="366" t="n">
        <v>33</v>
      </c>
      <c r="Y54" s="366" t="n">
        <v>0</v>
      </c>
      <c r="Z54" s="366" t="n">
        <v>28</v>
      </c>
      <c r="AA54" s="366" t="n"/>
      <c r="AB54" s="646" t="n"/>
      <c r="AC54" s="646" t="n"/>
      <c r="AD54" s="646" t="n"/>
    </row>
    <row r="55">
      <c r="A55" s="645" t="inlineStr">
        <is>
          <t>HADYA</t>
        </is>
      </c>
      <c r="B55" s="625" t="n"/>
      <c r="C55" s="625" t="n"/>
      <c r="D55" s="641" t="n"/>
      <c r="F55" s="366" t="n">
        <v>12</v>
      </c>
      <c r="G55" s="366" t="n">
        <v>5</v>
      </c>
      <c r="H55" s="366" t="n">
        <v>5</v>
      </c>
      <c r="I55" s="366" t="n">
        <v>5</v>
      </c>
      <c r="J55" s="366" t="n">
        <v>4</v>
      </c>
      <c r="K55" s="366" t="n">
        <v>4</v>
      </c>
      <c r="L55" s="366" t="n">
        <v>4</v>
      </c>
      <c r="M55" s="366" t="n">
        <v>4</v>
      </c>
      <c r="N55" s="366" t="n">
        <v>4</v>
      </c>
      <c r="O55" s="366" t="n">
        <v>4</v>
      </c>
      <c r="P55" s="366" t="n">
        <v>4</v>
      </c>
      <c r="Q55" s="366" t="n">
        <v>4</v>
      </c>
      <c r="R55" s="366" t="n">
        <v>15</v>
      </c>
      <c r="S55" s="366" t="n">
        <v>15</v>
      </c>
      <c r="T55" s="366" t="n">
        <v>15</v>
      </c>
      <c r="U55" s="366" t="n">
        <v>14</v>
      </c>
      <c r="V55" s="366" t="n">
        <v>14</v>
      </c>
      <c r="W55" s="366" t="n">
        <v>14</v>
      </c>
      <c r="X55" s="366" t="n">
        <v>14</v>
      </c>
      <c r="Y55" s="366" t="n">
        <v>0</v>
      </c>
      <c r="Z55" s="366" t="n">
        <v>13</v>
      </c>
      <c r="AA55" s="366" t="n"/>
      <c r="AB55" s="646" t="n"/>
      <c r="AC55" s="646" t="n"/>
      <c r="AD55" s="646" t="n"/>
    </row>
    <row r="56">
      <c r="A56" s="645" t="inlineStr">
        <is>
          <t>Boti Sun FPS 70</t>
        </is>
      </c>
      <c r="B56" s="625" t="n"/>
      <c r="C56" s="625" t="n"/>
      <c r="D56" s="641" t="n"/>
      <c r="F56" s="366" t="n"/>
      <c r="G56" s="366" t="n"/>
      <c r="H56" s="366" t="n"/>
      <c r="I56" s="366" t="n"/>
      <c r="J56" s="366" t="n"/>
      <c r="K56" s="366" t="n"/>
      <c r="L56" s="366" t="n"/>
      <c r="M56" s="366" t="n"/>
      <c r="N56" s="366" t="n">
        <v>0</v>
      </c>
      <c r="O56" s="366" t="n">
        <v>0</v>
      </c>
      <c r="P56" s="366" t="n">
        <v>0</v>
      </c>
      <c r="Q56" s="366" t="n">
        <v>0</v>
      </c>
      <c r="R56" s="366" t="n">
        <v>0</v>
      </c>
      <c r="S56" s="366" t="n">
        <v>4</v>
      </c>
      <c r="T56" s="366" t="n">
        <v>4</v>
      </c>
      <c r="U56" s="366" t="n">
        <v>3</v>
      </c>
      <c r="V56" s="366" t="n">
        <v>3</v>
      </c>
      <c r="W56" s="366" t="n">
        <v>3</v>
      </c>
      <c r="X56" s="366" t="n">
        <v>3</v>
      </c>
      <c r="Y56" s="366" t="n">
        <v>0</v>
      </c>
      <c r="Z56" s="366" t="n">
        <v>3</v>
      </c>
      <c r="AA56" s="366" t="n"/>
      <c r="AB56" s="646" t="n"/>
      <c r="AC56" s="646" t="n"/>
      <c r="AD56" s="646" t="n"/>
    </row>
    <row r="57">
      <c r="A57" s="645" t="inlineStr">
        <is>
          <t>Botik</t>
        </is>
      </c>
      <c r="B57" s="625" t="n"/>
      <c r="C57" s="625" t="n"/>
      <c r="D57" s="641" t="n"/>
      <c r="F57" s="366" t="n"/>
      <c r="G57" s="366" t="n"/>
      <c r="H57" s="366" t="n"/>
      <c r="I57" s="366" t="n"/>
      <c r="J57" s="366" t="n"/>
      <c r="K57" s="366" t="n"/>
      <c r="L57" s="366" t="n"/>
      <c r="M57" s="366" t="n"/>
      <c r="N57" s="366" t="n">
        <v>0</v>
      </c>
      <c r="O57" s="366" t="n">
        <v>0</v>
      </c>
      <c r="P57" s="366" t="n">
        <v>0</v>
      </c>
      <c r="Q57" s="366" t="n">
        <v>0</v>
      </c>
      <c r="R57" s="366" t="n">
        <v>0</v>
      </c>
      <c r="S57" s="366" t="n">
        <v>10</v>
      </c>
      <c r="T57" s="366" t="n">
        <v>10</v>
      </c>
      <c r="U57" s="366" t="n">
        <v>10</v>
      </c>
      <c r="V57" s="366" t="n">
        <v>10</v>
      </c>
      <c r="W57" s="366" t="n">
        <v>10</v>
      </c>
      <c r="X57" s="366" t="n">
        <v>10</v>
      </c>
      <c r="Y57" s="366" t="n">
        <v>0</v>
      </c>
      <c r="Z57" s="366" t="n">
        <v>0</v>
      </c>
      <c r="AA57" s="366" t="n"/>
      <c r="AB57" s="646" t="n"/>
      <c r="AC57" s="646" t="n"/>
      <c r="AD57" s="646" t="n"/>
    </row>
    <row r="58">
      <c r="A58" s="450" t="inlineStr">
        <is>
          <t>botika serum</t>
        </is>
      </c>
      <c r="B58" s="451" t="n"/>
      <c r="C58" s="451" t="n"/>
      <c r="D58" s="452" t="n"/>
      <c r="F58" s="366" t="n"/>
      <c r="G58" s="366" t="n"/>
      <c r="H58" s="366" t="n"/>
      <c r="I58" s="366" t="n"/>
      <c r="J58" s="366" t="n"/>
      <c r="K58" s="366" t="n"/>
      <c r="L58" s="366" t="n"/>
      <c r="M58" s="366" t="n"/>
      <c r="N58" s="366" t="n"/>
      <c r="O58" s="366" t="n"/>
      <c r="P58" s="366" t="n"/>
      <c r="Q58" s="366" t="n"/>
      <c r="R58" s="366" t="n">
        <v>0</v>
      </c>
      <c r="S58" s="366" t="n">
        <v>0</v>
      </c>
      <c r="T58" s="366" t="n">
        <v>0</v>
      </c>
      <c r="U58" s="366" t="n">
        <v>0</v>
      </c>
      <c r="V58" s="366" t="n">
        <v>3</v>
      </c>
      <c r="W58" s="366" t="n">
        <v>3</v>
      </c>
      <c r="X58" s="366" t="n">
        <v>2</v>
      </c>
      <c r="Y58" s="366" t="n">
        <v>0</v>
      </c>
      <c r="Z58" s="366" t="n">
        <v>2</v>
      </c>
      <c r="AA58" s="366" t="n"/>
      <c r="AB58" s="646" t="n"/>
      <c r="AC58" s="646" t="n"/>
      <c r="AD58" s="646" t="n"/>
    </row>
    <row r="59">
      <c r="A59" s="450" t="inlineStr">
        <is>
          <t>botica 214  fougere</t>
        </is>
      </c>
      <c r="B59" s="451" t="n"/>
      <c r="C59" s="451" t="n"/>
      <c r="D59" s="452" t="n"/>
      <c r="R59" s="366" t="n">
        <v>0</v>
      </c>
      <c r="S59" s="366" t="n">
        <v>0</v>
      </c>
      <c r="T59" s="366" t="n">
        <v>0</v>
      </c>
      <c r="U59" s="366" t="n">
        <v>0</v>
      </c>
      <c r="V59" s="366" t="n">
        <v>0</v>
      </c>
      <c r="W59" s="366" t="n">
        <v>39</v>
      </c>
      <c r="X59" s="366" t="n">
        <v>38</v>
      </c>
      <c r="Y59" s="366" t="n">
        <v>0</v>
      </c>
      <c r="Z59" s="366" t="n">
        <v>41</v>
      </c>
      <c r="AA59" s="366" t="n"/>
      <c r="AB59" s="646" t="n"/>
      <c r="AC59" s="646" t="n"/>
      <c r="AD59" s="646" t="n"/>
    </row>
    <row r="60">
      <c r="A60" s="450" t="inlineStr">
        <is>
          <t xml:space="preserve">botica  214  floral </t>
        </is>
      </c>
      <c r="B60" s="451" t="n"/>
      <c r="C60" s="451" t="n"/>
      <c r="D60" s="452" t="n"/>
      <c r="R60" s="366" t="n">
        <v>0</v>
      </c>
      <c r="S60" s="366" t="n">
        <v>0</v>
      </c>
      <c r="T60" s="366" t="n">
        <v>0</v>
      </c>
      <c r="U60" s="366" t="n">
        <v>0</v>
      </c>
      <c r="V60" s="366" t="n">
        <v>0</v>
      </c>
      <c r="W60" s="366" t="n">
        <v>39</v>
      </c>
      <c r="X60" s="366" t="n">
        <v>38</v>
      </c>
      <c r="Y60" s="366" t="n">
        <v>0</v>
      </c>
      <c r="Z60" s="366" t="n">
        <v>25</v>
      </c>
      <c r="AA60" s="366" t="n"/>
      <c r="AB60" s="646" t="n"/>
      <c r="AC60" s="646" t="n"/>
      <c r="AD60" s="646" t="n"/>
    </row>
    <row r="61">
      <c r="A61" s="450" t="inlineStr">
        <is>
          <t xml:space="preserve">cuide se bem c de fases 7ml </t>
        </is>
      </c>
      <c r="B61" s="451" t="n"/>
      <c r="C61" s="451" t="n"/>
      <c r="D61" s="452" t="n"/>
      <c r="R61" s="366" t="n"/>
      <c r="S61" s="366" t="n"/>
      <c r="T61" s="366" t="n"/>
      <c r="U61" s="366" t="n"/>
      <c r="V61" s="366" t="n"/>
      <c r="W61" s="366" t="n"/>
      <c r="X61" s="366" t="n"/>
      <c r="Y61" s="366" t="n">
        <v>0</v>
      </c>
      <c r="Z61" s="366" t="n">
        <v>103</v>
      </c>
      <c r="AA61" s="366" t="n"/>
      <c r="AB61" s="646" t="n"/>
      <c r="AC61" s="646" t="n"/>
      <c r="AD61" s="646" t="n"/>
    </row>
    <row r="62">
      <c r="A62" s="645" t="n"/>
      <c r="B62" s="625" t="n"/>
      <c r="C62" s="625" t="n"/>
      <c r="D62" s="641" t="n"/>
      <c r="R62" s="366" t="n"/>
      <c r="S62" s="366" t="n"/>
      <c r="T62" s="366" t="n"/>
      <c r="U62" s="366" t="n"/>
      <c r="V62" s="366" t="n"/>
      <c r="W62" s="366" t="n"/>
      <c r="X62" s="366" t="n"/>
      <c r="Y62" s="366" t="n"/>
      <c r="Z62" s="366" t="n"/>
      <c r="AA62" s="366" t="n"/>
      <c r="AB62" s="646" t="n"/>
      <c r="AC62" s="646" t="n"/>
      <c r="AD62" s="646" t="n"/>
    </row>
  </sheetData>
  <mergeCells count="17">
    <mergeCell ref="A5:A6"/>
    <mergeCell ref="AV7:BD7"/>
    <mergeCell ref="A56:D56"/>
    <mergeCell ref="B3:D3"/>
    <mergeCell ref="A53:D53"/>
    <mergeCell ref="A50:D50"/>
    <mergeCell ref="A62:D62"/>
    <mergeCell ref="A54:D54"/>
    <mergeCell ref="A55:D55"/>
    <mergeCell ref="A52:D52"/>
    <mergeCell ref="C5:C6"/>
    <mergeCell ref="A57:D57"/>
    <mergeCell ref="A51:D51"/>
    <mergeCell ref="A1:AA1"/>
    <mergeCell ref="B5:B6"/>
    <mergeCell ref="B2:D2"/>
    <mergeCell ref="D5:D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59" fitToHeight="0"/>
</worksheet>
</file>

<file path=xl/worksheets/sheet21.xml><?xml version="1.0" encoding="utf-8"?>
<worksheet xmlns="http://schemas.openxmlformats.org/spreadsheetml/2006/main">
  <sheetPr codeName="Planilha62">
    <tabColor theme="9"/>
    <outlinePr summaryBelow="1" summaryRight="1"/>
    <pageSetUpPr/>
  </sheetPr>
  <dimension ref="A1:BB62"/>
  <sheetViews>
    <sheetView showGridLines="0" zoomScale="80" zoomScaleNormal="80" zoomScaleSheetLayoutView="70" workbookViewId="0">
      <selection activeCell="AA14" activeCellId="1" sqref="AA8:AA11 AA14:AA17"/>
    </sheetView>
  </sheetViews>
  <sheetFormatPr baseColWidth="8" defaultColWidth="9.140625" defaultRowHeight="18.75"/>
  <cols>
    <col width="27.85546875" customWidth="1" style="62" min="1" max="1"/>
    <col width="9.140625" customWidth="1" style="11" min="2" max="2"/>
    <col width="14.28515625" customWidth="1" style="11" min="3" max="4"/>
    <col width="2.28515625" customWidth="1" style="11" min="5" max="5"/>
    <col hidden="1" width="8.28515625" customWidth="1" style="11" min="6" max="13"/>
    <col hidden="1" width="9.28515625" customWidth="1" style="11" min="14" max="24"/>
    <col width="9.28515625" customWidth="1" style="11" min="25" max="26"/>
    <col width="8.28515625" customWidth="1" style="11" min="27" max="27"/>
    <col width="1.140625" customWidth="1" style="34" min="28" max="28"/>
    <col width="26" customWidth="1" style="71" min="29" max="29"/>
    <col width="1.28515625" customWidth="1" style="11" min="30" max="30"/>
    <col width="15.85546875" bestFit="1" customWidth="1" style="374" min="31" max="31"/>
    <col width="2.140625" customWidth="1" style="11" min="32" max="32"/>
    <col width="8.7109375" customWidth="1" style="71" min="33" max="33"/>
    <col width="11.7109375" bestFit="1" customWidth="1" style="71" min="34" max="34"/>
    <col width="8.7109375" customWidth="1" style="71" min="35" max="38"/>
    <col hidden="1" width="13.85546875" customWidth="1" style="71" min="39" max="39"/>
    <col hidden="1" width="8.7109375" customWidth="1" style="71" min="40" max="44"/>
    <col width="9.140625" customWidth="1" style="11" min="45" max="45"/>
    <col width="21.85546875" bestFit="1" customWidth="1" style="11" min="46" max="46"/>
    <col width="9.140625" customWidth="1" style="11" min="47" max="47"/>
    <col hidden="1" width="13" customWidth="1" style="11" min="48" max="51"/>
    <col width="9.140625" customWidth="1" style="11" min="52" max="16384"/>
  </cols>
  <sheetData>
    <row r="1" ht="23.25" customHeight="1">
      <c r="A1" s="477" t="inlineStr">
        <is>
          <t>Controle de Contagem Semanal - Antilhas</t>
        </is>
      </c>
      <c r="AB1" s="362" t="n"/>
      <c r="AC1" s="362" t="n"/>
      <c r="AD1" s="362" t="n"/>
      <c r="AE1" s="362" t="n"/>
      <c r="AF1" s="362" t="n"/>
      <c r="AG1" s="361" t="n"/>
      <c r="AH1" s="361" t="n"/>
      <c r="AI1" s="361" t="n"/>
      <c r="AJ1" s="361" t="n"/>
      <c r="AK1" s="361" t="n"/>
      <c r="AL1" s="361" t="n"/>
      <c r="AM1" s="361" t="n"/>
      <c r="AN1" s="361" t="n"/>
      <c r="AO1" s="361" t="n"/>
      <c r="AP1" s="361" t="n"/>
      <c r="AQ1" s="361" t="n"/>
      <c r="AR1" s="361" t="n"/>
    </row>
    <row r="2">
      <c r="A2" s="63" t="inlineStr">
        <is>
          <t>LOJA:</t>
        </is>
      </c>
      <c r="B2" s="604" t="inlineStr">
        <is>
          <t>ITIRAPINA</t>
        </is>
      </c>
      <c r="C2" s="605" t="n"/>
      <c r="D2" s="606" t="n"/>
      <c r="AB2" s="11" t="n"/>
      <c r="AC2" s="41" t="n"/>
      <c r="AE2" s="70" t="n"/>
    </row>
    <row r="3">
      <c r="A3" s="63" t="inlineStr">
        <is>
          <t>Responsável:</t>
        </is>
      </c>
      <c r="B3" s="607" t="inlineStr">
        <is>
          <t>SABRINA</t>
        </is>
      </c>
      <c r="C3" s="605" t="n"/>
      <c r="D3" s="606" t="n"/>
      <c r="E3" s="608" t="n"/>
      <c r="F3" s="608" t="n"/>
      <c r="G3" s="608" t="n"/>
      <c r="H3" s="608" t="n"/>
      <c r="I3" s="608" t="n"/>
      <c r="J3" s="608" t="n"/>
      <c r="K3" s="608" t="n"/>
      <c r="L3" s="608" t="n"/>
      <c r="M3" s="608" t="n"/>
      <c r="N3" s="608" t="n"/>
      <c r="O3" s="608" t="n"/>
      <c r="P3" s="608" t="n"/>
      <c r="Q3" s="608" t="n"/>
      <c r="R3" s="608" t="n"/>
      <c r="S3" s="608" t="n"/>
      <c r="T3" s="608" t="n"/>
      <c r="U3" s="608" t="n"/>
      <c r="V3" s="608" t="n"/>
      <c r="W3" s="608" t="n"/>
      <c r="X3" s="608" t="n"/>
      <c r="Y3" s="608" t="n"/>
      <c r="Z3" s="608" t="n"/>
      <c r="AA3" s="608" t="n"/>
      <c r="AB3" s="608" t="n"/>
      <c r="AC3" s="41" t="n"/>
      <c r="AD3" s="608" t="n"/>
    </row>
    <row r="4">
      <c r="AB4" s="74" t="n"/>
      <c r="AC4" s="41" t="n"/>
      <c r="AE4" s="70" t="n"/>
      <c r="AG4" s="395" t="n"/>
      <c r="AH4" s="395" t="n"/>
      <c r="AI4" s="395" t="n"/>
      <c r="AJ4" s="395" t="n"/>
      <c r="AK4" s="395" t="n"/>
      <c r="AL4" s="395" t="n"/>
      <c r="AM4" s="395" t="n"/>
      <c r="AN4" s="395" t="n"/>
      <c r="AO4" s="395" t="n"/>
      <c r="AP4" s="395" t="n"/>
      <c r="AQ4" s="395" t="n"/>
      <c r="AR4" s="395" t="n"/>
    </row>
    <row r="5" ht="18.75" customHeight="1">
      <c r="A5" s="610" t="inlineStr">
        <is>
          <t>Descrição</t>
        </is>
      </c>
      <c r="B5" s="611" t="inlineStr">
        <is>
          <t>PCT</t>
        </is>
      </c>
      <c r="C5" s="611" t="inlineStr">
        <is>
          <t xml:space="preserve">R$ </t>
        </is>
      </c>
      <c r="D5" s="612" t="inlineStr">
        <is>
          <t>Estoque Ideal</t>
        </is>
      </c>
      <c r="F5" s="40" t="n"/>
      <c r="G5" s="40" t="n"/>
      <c r="H5" s="40" t="n"/>
      <c r="I5" s="40" t="n"/>
      <c r="J5" s="40" t="n"/>
      <c r="K5" s="40" t="n"/>
      <c r="L5" s="40" t="n"/>
      <c r="M5" s="40" t="n"/>
      <c r="N5" s="40" t="n"/>
      <c r="O5" s="40" t="n"/>
      <c r="P5" s="40" t="n"/>
      <c r="Q5" s="40" t="n"/>
      <c r="R5" s="40" t="n"/>
      <c r="S5" s="40" t="n"/>
      <c r="T5" s="40" t="n"/>
      <c r="U5" s="40" t="n"/>
      <c r="V5" s="40" t="n"/>
      <c r="W5" s="40" t="n"/>
      <c r="X5" s="40" t="n"/>
      <c r="Y5" s="40" t="n"/>
      <c r="Z5" s="40" t="n"/>
      <c r="AA5" s="40" t="n"/>
      <c r="AB5" s="648" t="n"/>
      <c r="AC5" s="29" t="inlineStr">
        <is>
          <t>Pendências</t>
        </is>
      </c>
      <c r="AE5" s="9" t="inlineStr">
        <is>
          <t>Novo Pedido</t>
        </is>
      </c>
      <c r="AG5" s="614" t="n">
        <v>46142</v>
      </c>
      <c r="AH5" s="615" t="inlineStr">
        <is>
          <t>TRANSF.</t>
        </is>
      </c>
      <c r="AI5" s="616" t="n">
        <v>46065</v>
      </c>
      <c r="AJ5" s="614" t="n">
        <v>46092</v>
      </c>
      <c r="AK5" s="614" t="n">
        <v>46048</v>
      </c>
      <c r="AL5" s="614" t="n">
        <v>46035</v>
      </c>
      <c r="AM5" s="617" t="inlineStr">
        <is>
          <t>TRANSF.</t>
        </is>
      </c>
      <c r="AN5" s="614" t="n">
        <v>46024</v>
      </c>
      <c r="AO5" s="614" t="n">
        <v>46007</v>
      </c>
      <c r="AP5" s="614" t="n">
        <v>46001</v>
      </c>
      <c r="AQ5" s="614" t="n">
        <v>45994</v>
      </c>
      <c r="AR5" s="614" t="n">
        <v>45960</v>
      </c>
    </row>
    <row r="6" customFormat="1" s="3">
      <c r="A6" s="618" t="n"/>
      <c r="B6" s="618" t="n"/>
      <c r="C6" s="618" t="n"/>
      <c r="D6" s="618" t="n"/>
      <c r="E6" s="30" t="n"/>
      <c r="F6" s="619" t="n">
        <v>46013</v>
      </c>
      <c r="G6" s="619" t="n">
        <v>46020</v>
      </c>
      <c r="H6" s="619" t="n">
        <v>46027</v>
      </c>
      <c r="I6" s="619" t="n">
        <v>46034</v>
      </c>
      <c r="J6" s="619" t="n">
        <v>46041</v>
      </c>
      <c r="K6" s="619" t="n">
        <v>46048</v>
      </c>
      <c r="L6" s="619" t="n">
        <v>46055</v>
      </c>
      <c r="M6" s="619" t="n">
        <v>46062</v>
      </c>
      <c r="N6" s="619" t="n">
        <v>46069</v>
      </c>
      <c r="O6" s="619" t="n">
        <v>46076</v>
      </c>
      <c r="P6" s="619" t="n">
        <v>46083</v>
      </c>
      <c r="Q6" s="619" t="n">
        <v>46090</v>
      </c>
      <c r="R6" s="619" t="n">
        <v>46097</v>
      </c>
      <c r="S6" s="619" t="n">
        <v>46104</v>
      </c>
      <c r="T6" s="619" t="n">
        <v>46111</v>
      </c>
      <c r="U6" s="619" t="n">
        <v>46118</v>
      </c>
      <c r="V6" s="619" t="n">
        <v>46125</v>
      </c>
      <c r="W6" s="619" t="n">
        <v>46132</v>
      </c>
      <c r="X6" s="619" t="n">
        <v>46139</v>
      </c>
      <c r="Y6" s="619" t="n">
        <v>46146</v>
      </c>
      <c r="Z6" s="619" t="n">
        <v>46154</v>
      </c>
      <c r="AA6" s="621" t="inlineStr">
        <is>
          <t>USOU</t>
        </is>
      </c>
      <c r="AB6" s="648" t="n"/>
      <c r="AC6" s="29" t="inlineStr">
        <is>
          <t>Pendências</t>
        </is>
      </c>
      <c r="AD6" s="623" t="n"/>
      <c r="AE6" s="624" t="n"/>
      <c r="AF6" s="623" t="n"/>
      <c r="AG6" s="614" t="n">
        <v>46156</v>
      </c>
      <c r="AH6" s="615" t="n">
        <v>46148</v>
      </c>
      <c r="AI6" s="616" t="n">
        <v>46104</v>
      </c>
      <c r="AJ6" s="614" t="n">
        <v>46101</v>
      </c>
      <c r="AK6" s="614" t="n">
        <v>46052</v>
      </c>
      <c r="AL6" s="614" t="n">
        <v>46038</v>
      </c>
      <c r="AM6" s="617" t="n">
        <v>46037</v>
      </c>
      <c r="AN6" s="614" t="n">
        <v>46030</v>
      </c>
      <c r="AO6" s="614" t="n">
        <v>46014</v>
      </c>
      <c r="AP6" s="614" t="n">
        <v>46010</v>
      </c>
      <c r="AQ6" s="614" t="n">
        <v>46003</v>
      </c>
      <c r="AR6" s="614" t="n">
        <v>45967</v>
      </c>
      <c r="AT6" s="11" t="n"/>
      <c r="AU6" s="11" t="n"/>
      <c r="AV6" s="11" t="n"/>
      <c r="AW6" s="11" t="n"/>
      <c r="AX6" s="11" t="n"/>
      <c r="AY6" s="11" t="n"/>
      <c r="AZ6" s="11" t="n"/>
      <c r="BA6" s="11" t="n"/>
      <c r="BB6" s="11" t="n"/>
    </row>
    <row r="7" ht="21.75" customFormat="1" customHeight="1" s="3">
      <c r="A7" s="68" t="inlineStr">
        <is>
          <t xml:space="preserve">SACOLAS </t>
        </is>
      </c>
      <c r="B7" s="5" t="n"/>
      <c r="C7" s="5" t="n"/>
      <c r="D7" s="239" t="n"/>
      <c r="E7" s="11" t="n"/>
      <c r="F7" s="14" t="n"/>
      <c r="G7" s="14" t="n"/>
      <c r="H7" s="14" t="n"/>
      <c r="I7" s="14" t="n"/>
      <c r="J7" s="14" t="n"/>
      <c r="K7" s="14" t="n"/>
      <c r="L7" s="14" t="n"/>
      <c r="M7" s="14" t="n"/>
      <c r="N7" s="14" t="n"/>
      <c r="O7" s="14" t="n"/>
      <c r="P7" s="14" t="n"/>
      <c r="Q7" s="14" t="n"/>
      <c r="R7" s="14" t="n"/>
      <c r="S7" s="14" t="n"/>
      <c r="T7" s="14" t="n"/>
      <c r="U7" s="14" t="n"/>
      <c r="V7" s="14" t="n"/>
      <c r="W7" s="14" t="n"/>
      <c r="X7" s="14" t="n"/>
      <c r="Y7" s="14" t="n"/>
      <c r="Z7" s="14" t="n"/>
      <c r="AA7" s="14" t="n"/>
      <c r="AB7" s="124" t="n"/>
      <c r="AC7" s="12" t="n"/>
      <c r="AD7" s="11" t="n"/>
      <c r="AE7" s="127" t="n"/>
      <c r="AF7" s="11" t="n"/>
      <c r="AG7" s="12" t="n"/>
      <c r="AH7" s="12" t="n"/>
      <c r="AI7" s="12" t="inlineStr">
        <is>
          <t>MÃES</t>
        </is>
      </c>
      <c r="AJ7" s="12" t="n"/>
      <c r="AK7" s="12" t="n"/>
      <c r="AL7" s="12" t="n"/>
      <c r="AM7" s="12" t="n"/>
      <c r="AN7" s="12" t="n"/>
      <c r="AO7" s="12" t="n"/>
      <c r="AP7" s="12" t="n"/>
      <c r="AQ7" s="12" t="n"/>
      <c r="AR7" s="12" t="n"/>
      <c r="AT7" s="384" t="inlineStr">
        <is>
          <t>MÃES 2026</t>
        </is>
      </c>
      <c r="AU7" s="625" t="n"/>
      <c r="AV7" s="625" t="n"/>
      <c r="AW7" s="625" t="n"/>
      <c r="AX7" s="625" t="n"/>
      <c r="AY7" s="625" t="n"/>
      <c r="AZ7" s="625" t="n"/>
      <c r="BA7" s="625" t="n"/>
      <c r="BB7" s="641" t="n"/>
    </row>
    <row r="8" customFormat="1" s="3">
      <c r="A8" s="21" t="inlineStr">
        <is>
          <t>SACOLA PP VERDE</t>
        </is>
      </c>
      <c r="B8" s="6" t="n">
        <v>300</v>
      </c>
      <c r="C8" s="627" t="n">
        <v>187.12</v>
      </c>
      <c r="D8" s="240" t="n">
        <v>200</v>
      </c>
      <c r="E8" s="11" t="n"/>
      <c r="F8" s="39">
        <f>600+AO8</f>
        <v/>
      </c>
      <c r="G8" s="211" t="n">
        <v>1200</v>
      </c>
      <c r="H8" s="39" t="n">
        <v>1200</v>
      </c>
      <c r="I8" s="39">
        <f>1200-600</f>
        <v/>
      </c>
      <c r="J8" s="39" t="n">
        <v>600</v>
      </c>
      <c r="K8" s="39" t="n">
        <v>600</v>
      </c>
      <c r="L8" s="39" t="n">
        <v>600</v>
      </c>
      <c r="M8" s="39" t="n">
        <v>670</v>
      </c>
      <c r="N8" s="39" t="n">
        <v>670</v>
      </c>
      <c r="O8" s="39" t="n">
        <v>600</v>
      </c>
      <c r="P8" s="39" t="n">
        <v>600</v>
      </c>
      <c r="Q8" s="39" t="n">
        <v>570</v>
      </c>
      <c r="R8" s="39" t="n">
        <v>570</v>
      </c>
      <c r="S8" s="39" t="n">
        <v>500</v>
      </c>
      <c r="T8" s="39" t="n">
        <v>500</v>
      </c>
      <c r="U8" s="39" t="n">
        <v>500</v>
      </c>
      <c r="V8" s="39" t="n">
        <v>500</v>
      </c>
      <c r="W8" s="39" t="n">
        <v>500</v>
      </c>
      <c r="X8" s="39" t="n">
        <v>500</v>
      </c>
      <c r="Y8" s="39" t="n">
        <v>450</v>
      </c>
      <c r="Z8" s="39" t="n">
        <v>424</v>
      </c>
      <c r="AA8" s="380">
        <f>Y8+IF(NOT(ISBLANK(OFFSET(AA8,0,6))),N(OFFSET(AA8,0,6)),N(OFFSET(AA8,0,7)))-Z8</f>
        <v/>
      </c>
      <c r="AB8" s="363" t="n"/>
      <c r="AC8" s="78" t="n"/>
      <c r="AD8" s="11" t="n"/>
      <c r="AE8" s="353" t="n"/>
      <c r="AF8" s="11" t="n"/>
      <c r="AG8" s="19" t="n">
        <v>0</v>
      </c>
      <c r="AH8" s="304" t="n"/>
      <c r="AI8" s="19" t="n"/>
      <c r="AJ8" s="19" t="n"/>
      <c r="AK8" s="19" t="n"/>
      <c r="AL8" s="19" t="n"/>
      <c r="AM8" s="260" t="inlineStr">
        <is>
          <t>600 P/ JSH</t>
        </is>
      </c>
      <c r="AN8" s="19" t="n"/>
      <c r="AO8" s="19" t="n">
        <v>600</v>
      </c>
      <c r="AP8" s="19" t="n">
        <v>300</v>
      </c>
      <c r="AQ8" s="19" t="n">
        <v>300</v>
      </c>
      <c r="AR8" s="19" t="n"/>
      <c r="AT8" s="397" t="inlineStr">
        <is>
          <t xml:space="preserve">SACOLAS </t>
        </is>
      </c>
      <c r="AU8" s="384" t="inlineStr">
        <is>
          <t>PCT</t>
        </is>
      </c>
      <c r="AV8" s="619" t="n">
        <v>46118</v>
      </c>
      <c r="AW8" s="619" t="n">
        <v>46125</v>
      </c>
      <c r="AX8" s="619" t="n">
        <v>46132</v>
      </c>
      <c r="AY8" s="619" t="n">
        <v>46139</v>
      </c>
      <c r="AZ8" s="619" t="n">
        <v>46146</v>
      </c>
      <c r="BA8" s="619" t="n">
        <v>46154</v>
      </c>
      <c r="BB8" s="621" t="inlineStr">
        <is>
          <t>USOU</t>
        </is>
      </c>
    </row>
    <row r="9" ht="18" customFormat="1" customHeight="1" s="3">
      <c r="A9" s="21" t="inlineStr">
        <is>
          <t xml:space="preserve">SACOLA P VERDE </t>
        </is>
      </c>
      <c r="B9" s="6" t="n">
        <v>200</v>
      </c>
      <c r="C9" s="627" t="n">
        <v>193.08</v>
      </c>
      <c r="D9" s="240" t="n">
        <v>300</v>
      </c>
      <c r="E9" s="11" t="n"/>
      <c r="F9" s="39">
        <f>513+AO9</f>
        <v/>
      </c>
      <c r="G9" s="39" t="n">
        <v>492</v>
      </c>
      <c r="H9" s="39" t="n">
        <v>420</v>
      </c>
      <c r="I9" s="39" t="n">
        <v>550</v>
      </c>
      <c r="J9" s="39" t="n">
        <v>730</v>
      </c>
      <c r="K9" s="39" t="n">
        <v>665</v>
      </c>
      <c r="L9" s="39" t="n">
        <v>600</v>
      </c>
      <c r="M9" s="39" t="n">
        <v>540</v>
      </c>
      <c r="N9" s="39" t="n">
        <v>455</v>
      </c>
      <c r="O9" s="39" t="n">
        <v>400</v>
      </c>
      <c r="P9" s="39" t="n">
        <v>340</v>
      </c>
      <c r="Q9" s="39" t="n">
        <v>280</v>
      </c>
      <c r="R9" s="39">
        <f>235+AJ9</f>
        <v/>
      </c>
      <c r="S9" s="39" t="n">
        <v>400</v>
      </c>
      <c r="T9" s="39" t="n">
        <v>350</v>
      </c>
      <c r="U9" s="39" t="n">
        <v>300</v>
      </c>
      <c r="V9" s="39" t="n">
        <v>270</v>
      </c>
      <c r="W9" s="39" t="n">
        <v>200</v>
      </c>
      <c r="X9" s="39" t="n">
        <v>200</v>
      </c>
      <c r="Y9" s="39" t="n">
        <v>140</v>
      </c>
      <c r="Z9" s="39">
        <f>0+AG9</f>
        <v/>
      </c>
      <c r="AA9" s="380">
        <f>Y9+IF(NOT(ISBLANK(OFFSET(AA9,0,6))),N(OFFSET(AA9,0,6)),N(OFFSET(AA9,0,7)))-Z9</f>
        <v/>
      </c>
      <c r="AB9" s="111" t="n"/>
      <c r="AC9" s="78" t="n"/>
      <c r="AD9" s="11" t="n"/>
      <c r="AE9" s="353" t="n"/>
      <c r="AF9" s="11" t="n"/>
      <c r="AG9" s="19" t="n">
        <v>200</v>
      </c>
      <c r="AH9" s="304" t="n"/>
      <c r="AI9" s="119" t="n">
        <v>200</v>
      </c>
      <c r="AJ9" s="19" t="n">
        <v>200</v>
      </c>
      <c r="AK9" s="19" t="n"/>
      <c r="AL9" s="19" t="n">
        <v>200</v>
      </c>
      <c r="AM9" s="19" t="n"/>
      <c r="AN9" s="19" t="n">
        <v>200</v>
      </c>
      <c r="AO9" s="19" t="n">
        <v>400</v>
      </c>
      <c r="AP9" s="19" t="n">
        <v>200</v>
      </c>
      <c r="AQ9" s="19" t="n"/>
      <c r="AR9" s="19" t="n">
        <v>200</v>
      </c>
      <c r="AT9" s="372" t="inlineStr">
        <is>
          <t xml:space="preserve">SACOLA P </t>
        </is>
      </c>
      <c r="AU9" s="139" t="n">
        <v>200</v>
      </c>
      <c r="AV9" s="39">
        <f>AI9</f>
        <v/>
      </c>
      <c r="AW9" s="39" t="n">
        <v>200</v>
      </c>
      <c r="AX9" s="39" t="n">
        <v>200</v>
      </c>
      <c r="AY9" s="39" t="n">
        <v>200</v>
      </c>
      <c r="AZ9" s="39" t="n">
        <v>80</v>
      </c>
      <c r="BA9" s="39" t="n">
        <v>0</v>
      </c>
      <c r="BB9" s="26">
        <f>AZ9+IF(NOT(ISBLANK(OFFSET(BB9,0,6))),N(OFFSET(BB9,0,6)),N(OFFSET(BB9,0,7)))-BA9</f>
        <v/>
      </c>
    </row>
    <row r="10" customFormat="1" s="3">
      <c r="A10" s="21" t="inlineStr">
        <is>
          <t>SACOLA M VERDE</t>
        </is>
      </c>
      <c r="B10" s="6" t="n">
        <v>200</v>
      </c>
      <c r="C10" s="627" t="n">
        <v>253.83</v>
      </c>
      <c r="D10" s="240" t="n">
        <v>250</v>
      </c>
      <c r="E10" s="11" t="n"/>
      <c r="F10" s="39">
        <f>400+AO10</f>
        <v/>
      </c>
      <c r="G10" s="39" t="n">
        <v>287</v>
      </c>
      <c r="H10" s="39" t="n">
        <v>267</v>
      </c>
      <c r="I10" s="39" t="n">
        <v>440</v>
      </c>
      <c r="J10" s="39" t="n">
        <v>400</v>
      </c>
      <c r="K10" s="39" t="n">
        <v>380</v>
      </c>
      <c r="L10" s="39" t="n">
        <v>345</v>
      </c>
      <c r="M10" s="39" t="n">
        <v>315</v>
      </c>
      <c r="N10" s="39" t="n">
        <v>280</v>
      </c>
      <c r="O10" s="39" t="n">
        <v>200</v>
      </c>
      <c r="P10" s="39" t="n">
        <v>200</v>
      </c>
      <c r="Q10" s="39" t="n">
        <v>170</v>
      </c>
      <c r="R10" s="39">
        <f>140+AJ10</f>
        <v/>
      </c>
      <c r="S10" s="39" t="n">
        <v>300</v>
      </c>
      <c r="T10" s="39" t="n">
        <v>275</v>
      </c>
      <c r="U10" s="39" t="n">
        <v>225</v>
      </c>
      <c r="V10" s="39" t="n">
        <v>225</v>
      </c>
      <c r="W10" s="39" t="n">
        <v>225</v>
      </c>
      <c r="X10" s="39" t="n">
        <v>225</v>
      </c>
      <c r="Y10" s="39" t="n">
        <v>150</v>
      </c>
      <c r="Z10" s="39" t="n">
        <v>150</v>
      </c>
      <c r="AA10" s="380">
        <f>Y10+IF(NOT(ISBLANK(OFFSET(AA10,0,6))),N(OFFSET(AA10,0,6)),N(OFFSET(AA10,0,7)))-Z10</f>
        <v/>
      </c>
      <c r="AB10" s="111" t="n"/>
      <c r="AC10" s="78" t="n"/>
      <c r="AD10" s="11" t="n"/>
      <c r="AE10" s="353" t="n"/>
      <c r="AF10" s="11" t="n"/>
      <c r="AG10" s="19" t="n">
        <v>0</v>
      </c>
      <c r="AH10" s="304" t="n"/>
      <c r="AI10" s="119" t="n">
        <v>200</v>
      </c>
      <c r="AJ10" s="19" t="n">
        <v>200</v>
      </c>
      <c r="AK10" s="19" t="n"/>
      <c r="AL10" s="19" t="n"/>
      <c r="AM10" s="19" t="n"/>
      <c r="AN10" s="19" t="n">
        <v>200</v>
      </c>
      <c r="AO10" s="19" t="n">
        <v>200</v>
      </c>
      <c r="AP10" s="19" t="n">
        <v>200</v>
      </c>
      <c r="AQ10" s="19" t="n"/>
      <c r="AR10" s="19" t="n"/>
      <c r="AT10" s="21" t="inlineStr">
        <is>
          <t xml:space="preserve">SACOLA M </t>
        </is>
      </c>
      <c r="AU10" s="6" t="n">
        <v>200</v>
      </c>
      <c r="AV10" s="39">
        <f>AI10</f>
        <v/>
      </c>
      <c r="AW10" s="39" t="n">
        <v>200</v>
      </c>
      <c r="AX10" s="39" t="n">
        <v>200</v>
      </c>
      <c r="AY10" s="39" t="n">
        <v>200</v>
      </c>
      <c r="AZ10" s="39" t="n">
        <v>50</v>
      </c>
      <c r="BA10" s="39" t="n">
        <v>0</v>
      </c>
      <c r="BB10" s="26">
        <f>AZ10+IF(NOT(ISBLANK(OFFSET(BB10,0,6))),N(OFFSET(BB10,0,6)),N(OFFSET(BB10,0,7)))-BA10</f>
        <v/>
      </c>
    </row>
    <row r="11" customFormat="1" s="3">
      <c r="A11" s="22" t="inlineStr">
        <is>
          <t xml:space="preserve">SACOLA G VERDE </t>
        </is>
      </c>
      <c r="B11" s="6" t="n">
        <v>100</v>
      </c>
      <c r="C11" s="627" t="n">
        <v>184.57</v>
      </c>
      <c r="D11" s="240" t="n">
        <v>30</v>
      </c>
      <c r="E11" s="11" t="n"/>
      <c r="F11" s="39" t="n">
        <v>37</v>
      </c>
      <c r="G11" s="39" t="n">
        <v>0</v>
      </c>
      <c r="H11" s="39" t="n">
        <v>0</v>
      </c>
      <c r="I11" s="39" t="n">
        <v>100</v>
      </c>
      <c r="J11" s="39" t="n">
        <v>100</v>
      </c>
      <c r="K11" s="39" t="n">
        <v>100</v>
      </c>
      <c r="L11" s="39" t="n">
        <v>100</v>
      </c>
      <c r="M11" s="39" t="n">
        <v>100</v>
      </c>
      <c r="N11" s="39" t="n">
        <v>100</v>
      </c>
      <c r="O11" s="39" t="n">
        <v>100</v>
      </c>
      <c r="P11" s="39" t="n">
        <v>100</v>
      </c>
      <c r="Q11" s="39" t="n">
        <v>100</v>
      </c>
      <c r="R11" s="39" t="n">
        <v>100</v>
      </c>
      <c r="S11" s="39" t="n">
        <v>100</v>
      </c>
      <c r="T11" s="39" t="n">
        <v>100</v>
      </c>
      <c r="U11" s="39" t="n">
        <v>100</v>
      </c>
      <c r="V11" s="39" t="n">
        <v>100</v>
      </c>
      <c r="W11" s="39" t="n">
        <v>100</v>
      </c>
      <c r="X11" s="39" t="n">
        <v>100</v>
      </c>
      <c r="Y11" s="39" t="n">
        <v>100</v>
      </c>
      <c r="Z11" s="39">
        <f>100+AG11</f>
        <v/>
      </c>
      <c r="AA11" s="380">
        <f>Y11+IF(NOT(ISBLANK(OFFSET(AA11,0,6))),N(OFFSET(AA11,0,6)),N(OFFSET(AA11,0,7)))-Z11</f>
        <v/>
      </c>
      <c r="AB11" s="111" t="n"/>
      <c r="AC11" s="419" t="inlineStr">
        <is>
          <t>50 P/ JDM</t>
        </is>
      </c>
      <c r="AD11" s="11" t="n"/>
      <c r="AE11" s="353" t="n"/>
      <c r="AF11" s="11" t="n"/>
      <c r="AG11" s="19" t="n">
        <v>100</v>
      </c>
      <c r="AH11" s="304" t="n"/>
      <c r="AI11" s="119" t="n"/>
      <c r="AJ11" s="19" t="n"/>
      <c r="AK11" s="19" t="n"/>
      <c r="AL11" s="19" t="n"/>
      <c r="AM11" s="19" t="n"/>
      <c r="AN11" s="19" t="n">
        <v>100</v>
      </c>
      <c r="AO11" s="19" t="n"/>
      <c r="AP11" s="19" t="n"/>
      <c r="AQ11" s="19" t="n"/>
      <c r="AR11" s="19" t="n"/>
      <c r="AT11" s="22" t="inlineStr">
        <is>
          <t xml:space="preserve">SACOLA G </t>
        </is>
      </c>
      <c r="AU11" s="6" t="n">
        <v>100</v>
      </c>
      <c r="AV11" s="39" t="n">
        <v>0</v>
      </c>
      <c r="AW11" s="39" t="n">
        <v>0</v>
      </c>
      <c r="AX11" s="39" t="n">
        <v>0</v>
      </c>
      <c r="AY11" s="39" t="n">
        <v>0</v>
      </c>
      <c r="AZ11" s="39" t="n">
        <v>100</v>
      </c>
      <c r="BA11" s="39" t="n">
        <v>0</v>
      </c>
      <c r="BB11" s="26">
        <f>AZ11+IF(NOT(ISBLANK(OFFSET(BB11,0,6))),N(OFFSET(BB11,0,6)),N(OFFSET(BB11,0,7)))-BA11</f>
        <v/>
      </c>
    </row>
    <row r="12" ht="16.5" customFormat="1" customHeight="1" s="3">
      <c r="A12" s="23" t="n"/>
      <c r="B12" s="1" t="n"/>
      <c r="C12" s="630" t="n"/>
      <c r="D12" s="277" t="n"/>
      <c r="E12" s="11" t="n"/>
      <c r="F12" s="2" t="n"/>
      <c r="G12" s="2" t="n"/>
      <c r="H12" s="2" t="n"/>
      <c r="I12" s="2" t="n"/>
      <c r="J12" s="2" t="n"/>
      <c r="K12" s="2" t="n"/>
      <c r="L12" s="2" t="n"/>
      <c r="M12" s="2" t="n"/>
      <c r="N12" s="2" t="n"/>
      <c r="O12" s="2" t="n"/>
      <c r="P12" s="2" t="n"/>
      <c r="Q12" s="2" t="n"/>
      <c r="R12" s="2" t="n"/>
      <c r="S12" s="2" t="n"/>
      <c r="T12" s="2" t="n"/>
      <c r="U12" s="2" t="n"/>
      <c r="V12" s="2" t="n"/>
      <c r="W12" s="2" t="n"/>
      <c r="X12" s="2" t="n"/>
      <c r="Y12" s="2" t="n"/>
      <c r="Z12" s="2" t="n"/>
      <c r="AA12" s="2" t="n"/>
      <c r="AC12" s="350" t="n"/>
      <c r="AD12" s="11" t="n"/>
      <c r="AE12" s="359" t="n"/>
      <c r="AF12" s="11" t="n"/>
      <c r="AG12" s="75" t="n"/>
      <c r="AH12" s="75" t="n"/>
      <c r="AI12" s="75" t="n"/>
      <c r="AJ12" s="75" t="n"/>
      <c r="AK12" s="75" t="n"/>
      <c r="AL12" s="75" t="n"/>
      <c r="AM12" s="75" t="n"/>
      <c r="AN12" s="75" t="n"/>
      <c r="AO12" s="75" t="n"/>
      <c r="AP12" s="75" t="n"/>
      <c r="AQ12" s="75" t="n"/>
      <c r="AR12" s="75" t="n"/>
      <c r="AT12" s="23" t="n"/>
      <c r="AU12" s="1" t="n"/>
      <c r="AV12" s="2" t="n"/>
      <c r="AW12" s="2" t="n"/>
      <c r="AX12" s="2" t="n"/>
      <c r="AY12" s="2" t="n"/>
      <c r="AZ12" s="2" t="n"/>
      <c r="BA12" s="2" t="n"/>
    </row>
    <row r="13" customFormat="1" s="3">
      <c r="A13" s="548" t="inlineStr">
        <is>
          <t>DIVERSOS</t>
        </is>
      </c>
      <c r="B13" s="12" t="n"/>
      <c r="C13" s="631" t="n"/>
      <c r="D13" s="403" t="n"/>
      <c r="E13" s="608" t="n"/>
      <c r="F13" s="619" t="n">
        <v>46013</v>
      </c>
      <c r="G13" s="619" t="n">
        <v>46020</v>
      </c>
      <c r="H13" s="619" t="n">
        <v>46027</v>
      </c>
      <c r="I13" s="619" t="n">
        <v>46034</v>
      </c>
      <c r="J13" s="619" t="n">
        <v>46041</v>
      </c>
      <c r="K13" s="619" t="n">
        <v>46048</v>
      </c>
      <c r="L13" s="619" t="n">
        <v>46055</v>
      </c>
      <c r="M13" s="619" t="n">
        <v>46062</v>
      </c>
      <c r="N13" s="619" t="n">
        <v>46069</v>
      </c>
      <c r="O13" s="619" t="n">
        <v>46076</v>
      </c>
      <c r="P13" s="619" t="n">
        <v>46083</v>
      </c>
      <c r="Q13" s="619" t="n">
        <v>46090</v>
      </c>
      <c r="R13" s="619" t="n">
        <v>46097</v>
      </c>
      <c r="S13" s="619" t="n">
        <v>46104</v>
      </c>
      <c r="T13" s="619" t="n">
        <v>46111</v>
      </c>
      <c r="U13" s="619" t="n">
        <v>46118</v>
      </c>
      <c r="V13" s="619" t="n">
        <v>46125</v>
      </c>
      <c r="W13" s="619" t="n">
        <v>46132</v>
      </c>
      <c r="X13" s="619" t="n">
        <v>46139</v>
      </c>
      <c r="Y13" s="619" t="n">
        <v>46146</v>
      </c>
      <c r="Z13" s="619" t="n">
        <v>46154</v>
      </c>
      <c r="AA13" s="621" t="inlineStr">
        <is>
          <t>USOU</t>
        </is>
      </c>
      <c r="AC13" s="29" t="inlineStr">
        <is>
          <t>Pendências</t>
        </is>
      </c>
      <c r="AD13" s="11" t="n"/>
      <c r="AE13" s="9" t="inlineStr">
        <is>
          <t>Novo Pedido</t>
        </is>
      </c>
      <c r="AF13" s="608" t="n"/>
      <c r="AG13" s="614" t="n">
        <v>46142</v>
      </c>
      <c r="AH13" s="615" t="n">
        <v>46148</v>
      </c>
      <c r="AI13" s="616" t="n">
        <v>46065</v>
      </c>
      <c r="AJ13" s="614" t="n">
        <v>46092</v>
      </c>
      <c r="AK13" s="614" t="n">
        <v>46048</v>
      </c>
      <c r="AL13" s="614" t="n">
        <v>46035</v>
      </c>
      <c r="AM13" s="617" t="n">
        <v>46037</v>
      </c>
      <c r="AN13" s="614" t="n">
        <v>46024</v>
      </c>
      <c r="AO13" s="614" t="n">
        <v>46007</v>
      </c>
      <c r="AP13" s="614" t="n">
        <v>46001</v>
      </c>
      <c r="AQ13" s="614" t="n">
        <v>45994</v>
      </c>
      <c r="AR13" s="614" t="n">
        <v>45960</v>
      </c>
      <c r="AT13" s="397" t="inlineStr">
        <is>
          <t>DIVERSOS</t>
        </is>
      </c>
      <c r="AU13" s="384" t="inlineStr">
        <is>
          <t>PCT</t>
        </is>
      </c>
      <c r="AV13" s="619" t="n">
        <v>46118</v>
      </c>
      <c r="AW13" s="619" t="n">
        <v>46125</v>
      </c>
      <c r="AX13" s="619" t="n">
        <v>46132</v>
      </c>
      <c r="AY13" s="619" t="n">
        <v>46139</v>
      </c>
      <c r="AZ13" s="619" t="n">
        <v>46146</v>
      </c>
      <c r="BA13" s="619" t="n">
        <v>46154</v>
      </c>
      <c r="BB13" s="621" t="inlineStr">
        <is>
          <t>USOU</t>
        </is>
      </c>
    </row>
    <row r="14" customFormat="1" s="3">
      <c r="A14" s="25" t="inlineStr">
        <is>
          <t xml:space="preserve">PAPEL DE SEDA </t>
        </is>
      </c>
      <c r="B14" s="6" t="n">
        <v>500</v>
      </c>
      <c r="C14" s="632" t="n">
        <v>99.26000000000001</v>
      </c>
      <c r="D14" s="240" t="n">
        <v>2</v>
      </c>
      <c r="E14" s="608" t="n"/>
      <c r="F14" s="39" t="n">
        <v>3</v>
      </c>
      <c r="G14" s="39" t="n">
        <v>2</v>
      </c>
      <c r="H14" s="39" t="n">
        <v>2</v>
      </c>
      <c r="I14" s="39" t="n">
        <v>5</v>
      </c>
      <c r="J14" s="39" t="n">
        <v>7</v>
      </c>
      <c r="K14" s="39" t="n">
        <v>7</v>
      </c>
      <c r="L14" s="39" t="n">
        <v>7</v>
      </c>
      <c r="M14" s="39" t="n">
        <v>7</v>
      </c>
      <c r="N14" s="365" t="n">
        <v>7</v>
      </c>
      <c r="O14" s="365" t="n">
        <v>7</v>
      </c>
      <c r="P14" s="365" t="n">
        <v>7</v>
      </c>
      <c r="Q14" s="365" t="n">
        <v>7</v>
      </c>
      <c r="R14" s="365" t="n">
        <v>6</v>
      </c>
      <c r="S14" s="365" t="n">
        <v>6</v>
      </c>
      <c r="T14" s="365" t="n">
        <v>5</v>
      </c>
      <c r="U14" s="365" t="n">
        <v>5</v>
      </c>
      <c r="V14" s="365" t="n">
        <v>5</v>
      </c>
      <c r="W14" s="365" t="n">
        <v>5</v>
      </c>
      <c r="X14" s="365" t="n">
        <v>5</v>
      </c>
      <c r="Y14" s="365" t="n">
        <v>5</v>
      </c>
      <c r="Z14" s="365" t="n">
        <v>4</v>
      </c>
      <c r="AA14" s="380">
        <f>Y14+IF(NOT(ISBLANK(OFFSET(AA14,0,6))),N(OFFSET(AA14,0,6)),N(OFFSET(AA14,0,7)))-Z14</f>
        <v/>
      </c>
      <c r="AC14" s="78" t="n"/>
      <c r="AD14" s="608" t="n"/>
      <c r="AE14" s="353" t="n"/>
      <c r="AF14" s="608" t="n"/>
      <c r="AG14" s="19" t="n">
        <v>0</v>
      </c>
      <c r="AH14" s="304" t="n"/>
      <c r="AI14" s="119" t="n">
        <v>4</v>
      </c>
      <c r="AJ14" s="19" t="n"/>
      <c r="AK14" s="19" t="n"/>
      <c r="AL14" s="19" t="n">
        <v>2</v>
      </c>
      <c r="AM14" s="19" t="n"/>
      <c r="AN14" s="19" t="n">
        <v>4</v>
      </c>
      <c r="AO14" s="19" t="n"/>
      <c r="AP14" s="19" t="n"/>
      <c r="AQ14" s="19" t="n"/>
      <c r="AR14" s="19" t="n">
        <v>2</v>
      </c>
      <c r="AT14" s="372" t="inlineStr">
        <is>
          <t>PAPEL DE SEDA</t>
        </is>
      </c>
      <c r="AU14" s="139" t="n">
        <v>200</v>
      </c>
      <c r="AV14" s="39">
        <f>AI14</f>
        <v/>
      </c>
      <c r="AW14" s="39" t="n">
        <v>3</v>
      </c>
      <c r="AX14" s="39" t="n">
        <v>3</v>
      </c>
      <c r="AY14" s="39" t="n">
        <v>3</v>
      </c>
      <c r="AZ14" s="39" t="n">
        <v>2</v>
      </c>
      <c r="BA14" s="39" t="n">
        <v>0</v>
      </c>
      <c r="BB14" s="26">
        <f>AZ14+IF(NOT(ISBLANK(OFFSET(BB14,0,6))),N(OFFSET(BB14,0,6)),N(OFFSET(BB14,0,7)))-BA14</f>
        <v/>
      </c>
    </row>
    <row r="15" customFormat="1" s="3">
      <c r="A15" s="25" t="inlineStr">
        <is>
          <t>ETIQUETAS</t>
        </is>
      </c>
      <c r="B15" s="6" t="n">
        <v>2000</v>
      </c>
      <c r="C15" s="632" t="n">
        <v>55.36</v>
      </c>
      <c r="D15" s="240" t="n">
        <v>1</v>
      </c>
      <c r="E15" s="608" t="n"/>
      <c r="F15" s="39" t="n">
        <v>3</v>
      </c>
      <c r="G15" s="39" t="n">
        <v>2</v>
      </c>
      <c r="H15" s="39" t="n">
        <v>2</v>
      </c>
      <c r="I15" s="39" t="n">
        <v>1</v>
      </c>
      <c r="J15" s="39" t="n">
        <v>4</v>
      </c>
      <c r="K15" s="39" t="n">
        <v>4</v>
      </c>
      <c r="L15" s="39" t="n">
        <v>4</v>
      </c>
      <c r="M15" s="39" t="n">
        <v>4</v>
      </c>
      <c r="N15" s="365" t="n">
        <v>4</v>
      </c>
      <c r="O15" s="365" t="n">
        <v>4</v>
      </c>
      <c r="P15" s="365" t="n">
        <v>4</v>
      </c>
      <c r="Q15" s="365" t="n">
        <v>4</v>
      </c>
      <c r="R15" s="365" t="n">
        <v>4</v>
      </c>
      <c r="S15" s="365" t="n">
        <v>4</v>
      </c>
      <c r="T15" s="365" t="n">
        <v>4</v>
      </c>
      <c r="U15" s="365" t="n">
        <v>4</v>
      </c>
      <c r="V15" s="365" t="n">
        <v>4</v>
      </c>
      <c r="W15" s="365" t="n">
        <v>4</v>
      </c>
      <c r="X15" s="365" t="n">
        <v>4</v>
      </c>
      <c r="Y15" s="365" t="n">
        <v>4</v>
      </c>
      <c r="Z15" s="365" t="n">
        <v>4</v>
      </c>
      <c r="AA15" s="380">
        <f>Y15+IF(NOT(ISBLANK(OFFSET(AA15,0,6))),N(OFFSET(AA15,0,6)),N(OFFSET(AA15,0,7)))-Z15</f>
        <v/>
      </c>
      <c r="AC15" s="78" t="n"/>
      <c r="AD15" s="608" t="n"/>
      <c r="AE15" s="353" t="n"/>
      <c r="AF15" s="608" t="n"/>
      <c r="AG15" s="19" t="n">
        <v>0</v>
      </c>
      <c r="AH15" s="304" t="n"/>
      <c r="AI15" s="119" t="n">
        <v>1</v>
      </c>
      <c r="AJ15" s="19" t="n"/>
      <c r="AK15" s="19" t="n"/>
      <c r="AL15" s="19" t="n">
        <v>3</v>
      </c>
      <c r="AM15" s="19" t="n"/>
      <c r="AN15" s="19" t="n"/>
      <c r="AO15" s="19" t="n"/>
      <c r="AP15" s="19" t="n">
        <v>1</v>
      </c>
      <c r="AQ15" s="19" t="n"/>
      <c r="AR15" s="19" t="n"/>
      <c r="AT15" s="21" t="inlineStr">
        <is>
          <t>ADESIVOS</t>
        </is>
      </c>
      <c r="AU15" s="6" t="n">
        <v>200</v>
      </c>
      <c r="AV15" s="39">
        <f>AI15</f>
        <v/>
      </c>
      <c r="AW15" s="39" t="n">
        <v>1</v>
      </c>
      <c r="AX15" s="39" t="n">
        <v>1</v>
      </c>
      <c r="AY15" s="39" t="n">
        <v>1</v>
      </c>
      <c r="AZ15" s="39" t="n">
        <v>1</v>
      </c>
      <c r="BA15" s="39" t="n">
        <v>0</v>
      </c>
      <c r="BB15" s="26">
        <f>AZ15+IF(NOT(ISBLANK(OFFSET(BB15,0,6))),N(OFFSET(BB15,0,6)),N(OFFSET(BB15,0,7)))-BA15</f>
        <v/>
      </c>
    </row>
    <row r="16" customFormat="1" s="3">
      <c r="A16" s="25" t="inlineStr">
        <is>
          <t xml:space="preserve">TAGS </t>
        </is>
      </c>
      <c r="B16" s="6" t="n">
        <v>200</v>
      </c>
      <c r="C16" s="632" t="n">
        <v>10.28</v>
      </c>
      <c r="D16" s="240" t="n">
        <v>2</v>
      </c>
      <c r="E16" s="1" t="n"/>
      <c r="F16" s="39">
        <f>4+AO16</f>
        <v/>
      </c>
      <c r="G16" s="39" t="n">
        <v>8</v>
      </c>
      <c r="H16" s="39" t="n">
        <v>8</v>
      </c>
      <c r="I16" s="39" t="n">
        <v>8</v>
      </c>
      <c r="J16" s="39" t="n">
        <v>8</v>
      </c>
      <c r="K16" s="39" t="n">
        <v>8</v>
      </c>
      <c r="L16" s="39" t="n">
        <v>7</v>
      </c>
      <c r="M16" s="39" t="n">
        <v>7</v>
      </c>
      <c r="N16" s="365" t="n">
        <v>7</v>
      </c>
      <c r="O16" s="365" t="n">
        <v>7</v>
      </c>
      <c r="P16" s="365" t="n">
        <v>7</v>
      </c>
      <c r="Q16" s="365" t="n">
        <v>7</v>
      </c>
      <c r="R16" s="365" t="n">
        <v>7</v>
      </c>
      <c r="S16" s="365" t="n">
        <v>7</v>
      </c>
      <c r="T16" s="365" t="n">
        <v>7</v>
      </c>
      <c r="U16" s="365" t="n">
        <v>7</v>
      </c>
      <c r="V16" s="365" t="n">
        <v>7</v>
      </c>
      <c r="W16" s="365" t="n">
        <v>7</v>
      </c>
      <c r="X16" s="365" t="n">
        <v>7</v>
      </c>
      <c r="Y16" s="365">
        <f>7-5</f>
        <v/>
      </c>
      <c r="Z16" s="365" t="n">
        <v>2</v>
      </c>
      <c r="AA16" s="380">
        <f>Y16+IF(NOT(ISBLANK(OFFSET(AA16,0,6))),N(OFFSET(AA16,0,6)),N(OFFSET(AA16,0,7)))-Z16</f>
        <v/>
      </c>
      <c r="AC16" s="78" t="n"/>
      <c r="AD16" s="1" t="n"/>
      <c r="AE16" s="353" t="n"/>
      <c r="AF16" s="1" t="n"/>
      <c r="AG16" s="19" t="n">
        <v>0</v>
      </c>
      <c r="AH16" s="260" t="inlineStr">
        <is>
          <t>05 P/ JSH</t>
        </is>
      </c>
      <c r="AI16" s="19" t="n"/>
      <c r="AJ16" s="19" t="n"/>
      <c r="AK16" s="19" t="n"/>
      <c r="AL16" s="19" t="n"/>
      <c r="AM16" s="19" t="n"/>
      <c r="AN16" s="19" t="n"/>
      <c r="AO16" s="19" t="n">
        <v>6</v>
      </c>
      <c r="AP16" s="19" t="n"/>
      <c r="AQ16" s="19" t="n">
        <v>4</v>
      </c>
      <c r="AR16" s="19" t="n"/>
    </row>
    <row r="17" customFormat="1" s="3">
      <c r="A17" s="25" t="inlineStr">
        <is>
          <t>LÂMINA OLFATIVA</t>
        </is>
      </c>
      <c r="B17" s="6" t="n">
        <v>3000</v>
      </c>
      <c r="C17" s="632" t="n">
        <v>71.8</v>
      </c>
      <c r="D17" s="240" t="n">
        <v>1</v>
      </c>
      <c r="E17" s="1" t="n"/>
      <c r="F17" s="39">
        <f>2+AO17</f>
        <v/>
      </c>
      <c r="G17" s="39" t="n">
        <v>3</v>
      </c>
      <c r="H17" s="39" t="n">
        <v>3</v>
      </c>
      <c r="I17" s="39" t="n">
        <v>6</v>
      </c>
      <c r="J17" s="39" t="n">
        <v>6</v>
      </c>
      <c r="K17" s="39" t="n">
        <v>6</v>
      </c>
      <c r="L17" s="39" t="n">
        <v>6</v>
      </c>
      <c r="M17" s="39" t="n">
        <v>6</v>
      </c>
      <c r="N17" s="365" t="n">
        <v>5</v>
      </c>
      <c r="O17" s="365" t="n">
        <v>5</v>
      </c>
      <c r="P17" s="365" t="n">
        <v>5</v>
      </c>
      <c r="Q17" s="365" t="n">
        <v>5</v>
      </c>
      <c r="R17" s="365" t="n">
        <v>5</v>
      </c>
      <c r="S17" s="365" t="n">
        <v>5</v>
      </c>
      <c r="T17" s="365" t="n">
        <v>5</v>
      </c>
      <c r="U17" s="365" t="n">
        <v>5</v>
      </c>
      <c r="V17" s="365" t="n">
        <v>5</v>
      </c>
      <c r="W17" s="365" t="n">
        <v>5</v>
      </c>
      <c r="X17" s="365" t="n">
        <v>5</v>
      </c>
      <c r="Y17" s="365" t="n">
        <v>5</v>
      </c>
      <c r="Z17" s="365" t="n">
        <v>4</v>
      </c>
      <c r="AA17" s="380">
        <f>Y17+IF(NOT(ISBLANK(OFFSET(AA17,0,6))),N(OFFSET(AA17,0,6)),N(OFFSET(AA17,0,7)))-Z17</f>
        <v/>
      </c>
      <c r="AC17" s="419" t="inlineStr">
        <is>
          <t>01 P/ BR + 01 P / JDM</t>
        </is>
      </c>
      <c r="AD17" s="1" t="n"/>
      <c r="AE17" s="353" t="n"/>
      <c r="AF17" s="1" t="n"/>
      <c r="AG17" s="19" t="n">
        <v>0</v>
      </c>
      <c r="AH17" s="19" t="n"/>
      <c r="AI17" s="19" t="n"/>
      <c r="AJ17" s="19" t="n"/>
      <c r="AK17" s="19" t="n"/>
      <c r="AL17" s="19" t="n"/>
      <c r="AM17" s="19" t="n"/>
      <c r="AN17" s="19" t="n">
        <v>1</v>
      </c>
      <c r="AO17" s="19" t="n">
        <v>3</v>
      </c>
      <c r="AP17" s="19" t="n"/>
      <c r="AQ17" s="19" t="n">
        <v>1</v>
      </c>
      <c r="AR17" s="19" t="n">
        <v>1</v>
      </c>
    </row>
    <row r="18" ht="14.25" customFormat="1" customHeight="1" s="3">
      <c r="A18" s="23" t="n"/>
      <c r="D18" s="277" t="n"/>
      <c r="N18" s="2" t="n"/>
      <c r="O18" s="2" t="n"/>
      <c r="P18" s="2" t="n"/>
      <c r="Q18" s="2" t="n"/>
      <c r="R18" s="2" t="n"/>
      <c r="S18" s="2" t="n"/>
      <c r="T18" s="2" t="n"/>
      <c r="U18" s="2" t="n"/>
      <c r="V18" s="2" t="n"/>
      <c r="W18" s="2" t="n"/>
      <c r="X18" s="2" t="n"/>
      <c r="Y18" s="2" t="n"/>
      <c r="Z18" s="2" t="n"/>
      <c r="AC18" s="349" t="n"/>
      <c r="AE18" s="360" t="n"/>
      <c r="AG18" s="396" t="n"/>
      <c r="AH18" s="396" t="n"/>
      <c r="AI18" s="396" t="n"/>
      <c r="AJ18" s="396" t="n"/>
      <c r="AK18" s="396" t="n"/>
      <c r="AL18" s="396" t="n"/>
      <c r="AM18" s="396" t="n"/>
      <c r="AN18" s="396" t="n"/>
      <c r="AO18" s="396" t="n"/>
      <c r="AP18" s="396" t="n"/>
      <c r="AQ18" s="396" t="n"/>
      <c r="AR18" s="396" t="n"/>
    </row>
    <row r="19" customFormat="1" s="3">
      <c r="A19" s="548" t="inlineStr">
        <is>
          <t>CAIXAS</t>
        </is>
      </c>
      <c r="B19" s="12" t="n"/>
      <c r="C19" s="654" t="n"/>
      <c r="D19" s="403" t="n"/>
      <c r="E19" s="1" t="n"/>
      <c r="F19" s="619" t="n">
        <v>46013</v>
      </c>
      <c r="G19" s="619" t="n">
        <v>46020</v>
      </c>
      <c r="H19" s="619" t="n">
        <v>46027</v>
      </c>
      <c r="I19" s="619" t="n">
        <v>46034</v>
      </c>
      <c r="J19" s="619" t="n">
        <v>46041</v>
      </c>
      <c r="K19" s="619" t="n">
        <v>46048</v>
      </c>
      <c r="L19" s="619" t="n">
        <v>46055</v>
      </c>
      <c r="M19" s="619" t="n">
        <v>46062</v>
      </c>
      <c r="N19" s="619" t="n">
        <v>46069</v>
      </c>
      <c r="O19" s="619" t="n">
        <v>46076</v>
      </c>
      <c r="P19" s="619" t="n">
        <v>46083</v>
      </c>
      <c r="Q19" s="619" t="n">
        <v>46090</v>
      </c>
      <c r="R19" s="619" t="n">
        <v>46097</v>
      </c>
      <c r="S19" s="619" t="n">
        <v>46104</v>
      </c>
      <c r="T19" s="619" t="n">
        <v>46111</v>
      </c>
      <c r="U19" s="619" t="n">
        <v>46118</v>
      </c>
      <c r="V19" s="619" t="n">
        <v>46125</v>
      </c>
      <c r="W19" s="619" t="n">
        <v>46132</v>
      </c>
      <c r="X19" s="619" t="n">
        <v>46139</v>
      </c>
      <c r="Y19" s="619" t="n">
        <v>46146</v>
      </c>
      <c r="Z19" s="619" t="n">
        <v>46154</v>
      </c>
      <c r="AA19" s="621" t="inlineStr">
        <is>
          <t>USOU</t>
        </is>
      </c>
      <c r="AC19" s="29" t="inlineStr">
        <is>
          <t>Pendências</t>
        </is>
      </c>
      <c r="AD19" s="11" t="n"/>
      <c r="AE19" s="9" t="inlineStr">
        <is>
          <t>Novo Pedido</t>
        </is>
      </c>
      <c r="AF19" s="1" t="n"/>
      <c r="AG19" s="614" t="n">
        <v>46142</v>
      </c>
      <c r="AH19" s="615" t="n">
        <v>46148</v>
      </c>
      <c r="AI19" s="616" t="n">
        <v>46065</v>
      </c>
      <c r="AJ19" s="614" t="n">
        <v>46092</v>
      </c>
      <c r="AK19" s="614" t="n">
        <v>46048</v>
      </c>
      <c r="AL19" s="614" t="n">
        <v>46035</v>
      </c>
      <c r="AM19" s="617" t="n">
        <v>46037</v>
      </c>
      <c r="AN19" s="614" t="n">
        <v>46024</v>
      </c>
      <c r="AO19" s="614" t="n">
        <v>46007</v>
      </c>
      <c r="AP19" s="614" t="n">
        <v>46001</v>
      </c>
      <c r="AQ19" s="614" t="n">
        <v>45994</v>
      </c>
      <c r="AR19" s="614" t="n">
        <v>45960</v>
      </c>
      <c r="AT19" s="397" t="inlineStr">
        <is>
          <t>CAIXAS</t>
        </is>
      </c>
      <c r="AU19" s="384" t="inlineStr">
        <is>
          <t>PCT</t>
        </is>
      </c>
      <c r="AV19" s="619" t="n">
        <v>46118</v>
      </c>
      <c r="AW19" s="619" t="n">
        <v>46125</v>
      </c>
      <c r="AX19" s="619" t="n">
        <v>46132</v>
      </c>
      <c r="AY19" s="619" t="n">
        <v>46139</v>
      </c>
      <c r="AZ19" s="619" t="n">
        <v>46146</v>
      </c>
      <c r="BA19" s="619" t="n">
        <v>46154</v>
      </c>
      <c r="BB19" s="621" t="inlineStr">
        <is>
          <t>USOU</t>
        </is>
      </c>
    </row>
    <row r="20" customFormat="1" s="3">
      <c r="A20" s="25" t="inlineStr">
        <is>
          <t>CAIXA P VERDE</t>
        </is>
      </c>
      <c r="B20" s="6" t="n">
        <v>150</v>
      </c>
      <c r="C20" s="627" t="n">
        <v>334.31</v>
      </c>
      <c r="D20" s="240" t="n">
        <v>60</v>
      </c>
      <c r="E20" s="1" t="n"/>
      <c r="F20" s="27" t="n">
        <v>13</v>
      </c>
      <c r="G20" s="27" t="n">
        <v>9</v>
      </c>
      <c r="H20" s="27" t="n">
        <v>7</v>
      </c>
      <c r="I20" s="27" t="n">
        <v>14</v>
      </c>
      <c r="J20" s="27" t="n">
        <v>11</v>
      </c>
      <c r="K20" s="27" t="n">
        <v>6</v>
      </c>
      <c r="L20" s="27" t="n">
        <v>184</v>
      </c>
      <c r="M20" s="27" t="n">
        <v>168</v>
      </c>
      <c r="N20" s="27" t="n">
        <v>165</v>
      </c>
      <c r="O20" s="27" t="n">
        <v>155</v>
      </c>
      <c r="P20" s="27" t="n">
        <v>143</v>
      </c>
      <c r="Q20" s="27" t="n">
        <v>132</v>
      </c>
      <c r="R20" s="27" t="n">
        <v>128</v>
      </c>
      <c r="S20" s="27" t="n">
        <v>120</v>
      </c>
      <c r="T20" s="27" t="n">
        <v>117</v>
      </c>
      <c r="U20" s="27" t="n"/>
      <c r="V20" s="27" t="n"/>
      <c r="W20" s="27" t="n"/>
      <c r="X20" s="27" t="n">
        <v>107</v>
      </c>
      <c r="Y20" s="27" t="n">
        <v>107</v>
      </c>
      <c r="Z20" s="27" t="n">
        <v>106</v>
      </c>
      <c r="AA20" s="380">
        <f>Y20+IF(NOT(ISBLANK(OFFSET(AA20,0,6))),N(OFFSET(AA20,0,6)),N(OFFSET(AA20,0,7)))-Z20</f>
        <v/>
      </c>
      <c r="AB20" s="370" t="n"/>
      <c r="AC20" s="78" t="n"/>
      <c r="AD20" s="1" t="n"/>
      <c r="AE20" s="353" t="n"/>
      <c r="AF20" s="1" t="n"/>
      <c r="AG20" s="19" t="n">
        <v>0</v>
      </c>
      <c r="AH20" s="19" t="n"/>
      <c r="AI20" s="119" t="n"/>
      <c r="AJ20" s="19" t="n"/>
      <c r="AK20" s="19" t="n">
        <v>150</v>
      </c>
      <c r="AL20" s="19" t="n"/>
      <c r="AM20" s="19" t="n"/>
      <c r="AN20" s="19" t="n"/>
      <c r="AO20" s="19" t="n"/>
      <c r="AP20" s="19" t="n"/>
      <c r="AQ20" s="19" t="n"/>
      <c r="AR20" s="19" t="n"/>
      <c r="AT20" s="372" t="inlineStr">
        <is>
          <t>CAIXA P</t>
        </is>
      </c>
      <c r="AU20" s="139" t="n">
        <v>150</v>
      </c>
      <c r="AV20" s="39" t="n">
        <v>0</v>
      </c>
      <c r="AW20" s="39" t="n"/>
      <c r="AX20" s="39" t="n"/>
      <c r="AY20" s="39" t="n">
        <v>36</v>
      </c>
      <c r="AZ20" s="39" t="n">
        <v>34</v>
      </c>
      <c r="BA20" s="39" t="n">
        <v>2</v>
      </c>
      <c r="BB20" s="26">
        <f>AZ20+IF(NOT(ISBLANK(OFFSET(BB20,0,6))),N(OFFSET(BB20,0,6)),N(OFFSET(BB20,0,7)))-BA20</f>
        <v/>
      </c>
    </row>
    <row r="21" customFormat="1" s="3">
      <c r="A21" s="25" t="inlineStr">
        <is>
          <t>CAIXA M VERDE</t>
        </is>
      </c>
      <c r="B21" s="6" t="n">
        <v>100</v>
      </c>
      <c r="C21" s="634" t="n">
        <v>292.25</v>
      </c>
      <c r="D21" s="243" t="n">
        <v>60</v>
      </c>
      <c r="E21" s="1" t="n"/>
      <c r="F21" s="27" t="n">
        <v>44</v>
      </c>
      <c r="G21" s="27" t="n">
        <v>38</v>
      </c>
      <c r="H21" s="27" t="n">
        <v>38</v>
      </c>
      <c r="I21" s="27" t="n">
        <v>28</v>
      </c>
      <c r="J21" s="27" t="n">
        <v>27</v>
      </c>
      <c r="K21" s="27" t="n">
        <v>19</v>
      </c>
      <c r="L21" s="27" t="n">
        <v>146</v>
      </c>
      <c r="M21" s="27" t="n">
        <v>124</v>
      </c>
      <c r="N21" s="27" t="n">
        <v>129</v>
      </c>
      <c r="O21" s="27" t="n">
        <v>109</v>
      </c>
      <c r="P21" s="27" t="n">
        <v>95</v>
      </c>
      <c r="Q21" s="27" t="n">
        <v>81</v>
      </c>
      <c r="R21" s="27" t="n">
        <v>73</v>
      </c>
      <c r="S21" s="27" t="n">
        <v>68</v>
      </c>
      <c r="T21" s="27" t="n">
        <v>57</v>
      </c>
      <c r="U21" s="27" t="n"/>
      <c r="V21" s="27" t="n"/>
      <c r="W21" s="27" t="n"/>
      <c r="X21" s="27" t="n">
        <v>31</v>
      </c>
      <c r="Y21" s="27" t="n">
        <v>26</v>
      </c>
      <c r="Z21" s="27" t="n">
        <v>72</v>
      </c>
      <c r="AA21" s="380">
        <f>Y21+IF(NOT(ISBLANK(OFFSET(AA21,0,6))),N(OFFSET(AA21,0,6)),N(OFFSET(AA21,0,7)))-Z21</f>
        <v/>
      </c>
      <c r="AB21" s="370" t="n"/>
      <c r="AC21" s="78" t="n"/>
      <c r="AD21" s="1" t="n"/>
      <c r="AE21" s="353" t="n"/>
      <c r="AF21" s="1" t="n"/>
      <c r="AG21" s="19" t="n">
        <v>0</v>
      </c>
      <c r="AH21" s="19" t="n"/>
      <c r="AI21" s="119" t="n"/>
      <c r="AJ21" s="19" t="n"/>
      <c r="AK21" s="19" t="n">
        <v>100</v>
      </c>
      <c r="AL21" s="19" t="n"/>
      <c r="AM21" s="19" t="n"/>
      <c r="AN21" s="19" t="n"/>
      <c r="AO21" s="19" t="n"/>
      <c r="AP21" s="19" t="n"/>
      <c r="AQ21" s="19" t="n"/>
      <c r="AR21" s="19" t="n"/>
      <c r="AT21" s="21" t="inlineStr">
        <is>
          <t>CAIXA M</t>
        </is>
      </c>
      <c r="AU21" s="6" t="n">
        <v>100</v>
      </c>
      <c r="AV21" s="39" t="n">
        <v>0</v>
      </c>
      <c r="AW21" s="39" t="n"/>
      <c r="AX21" s="39" t="n"/>
      <c r="AY21" s="39" t="n">
        <v>29</v>
      </c>
      <c r="AZ21" s="39" t="n">
        <v>27</v>
      </c>
      <c r="BA21" s="39" t="n">
        <v>1</v>
      </c>
      <c r="BB21" s="26">
        <f>AZ21+IF(NOT(ISBLANK(OFFSET(BB21,0,6))),N(OFFSET(BB21,0,6)),N(OFFSET(BB21,0,7)))-BA21</f>
        <v/>
      </c>
    </row>
    <row r="22" customFormat="1" s="3">
      <c r="A22" s="25" t="inlineStr">
        <is>
          <t>CAIXA G VERDE</t>
        </is>
      </c>
      <c r="B22" s="6" t="n">
        <v>75</v>
      </c>
      <c r="C22" s="632" t="n">
        <v>425.38</v>
      </c>
      <c r="D22" s="240" t="n">
        <v>10</v>
      </c>
      <c r="E22" s="608" t="n"/>
      <c r="F22" s="27" t="n">
        <v>0</v>
      </c>
      <c r="G22" s="27" t="n">
        <v>0</v>
      </c>
      <c r="H22" s="27" t="n">
        <v>0</v>
      </c>
      <c r="I22" s="27" t="n">
        <v>0</v>
      </c>
      <c r="J22" s="27" t="n">
        <v>0</v>
      </c>
      <c r="K22" s="27" t="n">
        <v>0</v>
      </c>
      <c r="L22" s="27" t="n">
        <v>0</v>
      </c>
      <c r="M22" s="27" t="n">
        <v>0</v>
      </c>
      <c r="N22" s="27" t="n">
        <v>0</v>
      </c>
      <c r="O22" s="27" t="n">
        <v>0</v>
      </c>
      <c r="P22" s="27" t="n">
        <v>0</v>
      </c>
      <c r="Q22" s="27" t="n">
        <v>0</v>
      </c>
      <c r="R22" s="27" t="n">
        <v>0</v>
      </c>
      <c r="S22" s="27" t="n">
        <v>0</v>
      </c>
      <c r="T22" s="27" t="n">
        <v>0</v>
      </c>
      <c r="U22" s="27" t="n">
        <v>0</v>
      </c>
      <c r="V22" s="27" t="n">
        <v>0</v>
      </c>
      <c r="W22" s="27" t="n">
        <v>0</v>
      </c>
      <c r="X22" s="27" t="n">
        <v>0</v>
      </c>
      <c r="Y22" s="27" t="n">
        <v>0</v>
      </c>
      <c r="Z22" s="27" t="n">
        <v>4</v>
      </c>
      <c r="AA22" s="380">
        <f>Y22+IF(NOT(ISBLANK(OFFSET(AA22,0,6))),N(OFFSET(AA22,0,6)),N(OFFSET(AA22,0,7)))-Z22</f>
        <v/>
      </c>
      <c r="AB22" s="370" t="n"/>
      <c r="AC22" s="78" t="n"/>
      <c r="AD22" s="608" t="n"/>
      <c r="AE22" s="353" t="n"/>
      <c r="AF22" s="608" t="n"/>
      <c r="AG22" s="19" t="n">
        <v>0</v>
      </c>
      <c r="AH22" s="19" t="n"/>
      <c r="AI22" s="1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T22" s="22" t="inlineStr">
        <is>
          <t>CARTUCHO P</t>
        </is>
      </c>
      <c r="AU22" s="6" t="n">
        <v>200</v>
      </c>
      <c r="AV22" s="39" t="n">
        <v>0</v>
      </c>
      <c r="AW22" s="39" t="n"/>
      <c r="AX22" s="39" t="n"/>
      <c r="AY22" s="39" t="n">
        <v>16</v>
      </c>
      <c r="AZ22" s="211" t="n">
        <v>20</v>
      </c>
      <c r="BA22" s="39" t="n">
        <v>0</v>
      </c>
      <c r="BB22" s="26">
        <f>AZ22+IF(NOT(ISBLANK(OFFSET(BB22,0,6))),N(OFFSET(BB22,0,6)),N(OFFSET(BB22,0,7)))-BA22</f>
        <v/>
      </c>
    </row>
    <row r="23" customFormat="1" s="3">
      <c r="A23" s="25" t="inlineStr">
        <is>
          <t>CARTUCHO M VERDE</t>
        </is>
      </c>
      <c r="B23" s="6" t="n">
        <v>150</v>
      </c>
      <c r="C23" s="632" t="n">
        <v>427.5</v>
      </c>
      <c r="D23" s="240" t="n"/>
      <c r="E23" s="608" t="n"/>
      <c r="F23" s="2" t="n"/>
      <c r="G23" s="2" t="n"/>
      <c r="H23" s="2" t="n"/>
      <c r="I23" s="2" t="n"/>
      <c r="J23" s="2" t="n"/>
      <c r="K23" s="2" t="n"/>
      <c r="L23" s="2" t="n"/>
      <c r="M23" s="2" t="n"/>
      <c r="N23" s="27" t="n">
        <v>0</v>
      </c>
      <c r="O23" s="27" t="n">
        <v>0</v>
      </c>
      <c r="P23" s="27" t="n">
        <v>0</v>
      </c>
      <c r="Q23" s="298" t="n">
        <v>20</v>
      </c>
      <c r="R23" s="27" t="n">
        <v>13</v>
      </c>
      <c r="S23" s="27" t="n">
        <v>3</v>
      </c>
      <c r="T23" s="27" t="n">
        <v>0</v>
      </c>
      <c r="U23" s="27" t="n">
        <v>0</v>
      </c>
      <c r="V23" s="27" t="n">
        <v>0</v>
      </c>
      <c r="W23" s="27" t="n">
        <v>0</v>
      </c>
      <c r="X23" s="27" t="n">
        <v>0</v>
      </c>
      <c r="Y23" s="27" t="n">
        <v>0</v>
      </c>
      <c r="Z23" s="27" t="n">
        <v>0</v>
      </c>
      <c r="AA23" s="380">
        <f>Y23+IF(NOT(ISBLANK(OFFSET(AA23,0,6))),N(OFFSET(AA23,0,6)),N(OFFSET(AA23,0,7)))-Z23</f>
        <v/>
      </c>
      <c r="AB23" s="370" t="n"/>
      <c r="AC23" s="78" t="n"/>
      <c r="AD23" s="608" t="n"/>
      <c r="AE23" s="353" t="n"/>
      <c r="AF23" s="608" t="n"/>
      <c r="AG23" s="19" t="n">
        <v>0</v>
      </c>
      <c r="AH23" s="19" t="n"/>
      <c r="AI23" s="119" t="n"/>
      <c r="AJ23" s="19" t="n"/>
      <c r="AK23" s="19" t="n"/>
      <c r="AL23" s="19" t="n"/>
      <c r="AM23" s="19" t="n"/>
      <c r="AN23" s="19" t="n"/>
      <c r="AO23" s="19" t="n"/>
      <c r="AP23" s="75" t="n"/>
      <c r="AQ23" s="75" t="n"/>
      <c r="AR23" s="75" t="n"/>
      <c r="AT23" s="22" t="inlineStr">
        <is>
          <t>CARTUCHO M</t>
        </is>
      </c>
      <c r="AU23" s="6" t="n">
        <v>150</v>
      </c>
      <c r="AV23" s="39" t="n">
        <v>0</v>
      </c>
      <c r="AW23" s="39" t="n"/>
      <c r="AX23" s="39" t="n"/>
      <c r="AY23" s="39" t="n">
        <v>23</v>
      </c>
      <c r="AZ23" s="39" t="n">
        <v>17</v>
      </c>
      <c r="BA23" s="39" t="n">
        <v>3</v>
      </c>
      <c r="BB23" s="26">
        <f>AZ23+IF(NOT(ISBLANK(OFFSET(BB23,0,6))),N(OFFSET(BB23,0,6)),N(OFFSET(BB23,0,7)))-BA23</f>
        <v/>
      </c>
    </row>
    <row r="24">
      <c r="AB24" s="370" t="n"/>
      <c r="AC24" s="11" t="n"/>
      <c r="AE24" s="34" t="n"/>
      <c r="AG24" s="11" t="n"/>
      <c r="AH24" s="11" t="n"/>
      <c r="AI24" s="11" t="n"/>
      <c r="AJ24" s="11" t="n"/>
      <c r="AK24" s="11" t="n"/>
      <c r="AL24" s="11" t="n"/>
      <c r="AN24" s="11" t="n"/>
      <c r="AO24" s="11" t="n"/>
      <c r="AP24" s="11" t="n"/>
      <c r="AQ24" s="11" t="n"/>
      <c r="AR24" s="11" t="n"/>
    </row>
    <row r="25">
      <c r="A25" s="386" t="inlineStr">
        <is>
          <t>SOBRAS CAIXAS</t>
        </is>
      </c>
      <c r="B25" s="387" t="inlineStr">
        <is>
          <t>PCT</t>
        </is>
      </c>
      <c r="C25" s="387" t="inlineStr">
        <is>
          <t xml:space="preserve">R$ </t>
        </is>
      </c>
      <c r="D25" s="387" t="n"/>
      <c r="F25" s="619" t="n">
        <v>46013</v>
      </c>
      <c r="G25" s="619" t="n">
        <v>46020</v>
      </c>
      <c r="H25" s="619" t="n">
        <v>46027</v>
      </c>
      <c r="I25" s="619" t="n">
        <v>46034</v>
      </c>
      <c r="J25" s="619" t="n">
        <v>46041</v>
      </c>
      <c r="K25" s="619" t="n">
        <v>46048</v>
      </c>
      <c r="L25" s="619" t="n">
        <v>46055</v>
      </c>
      <c r="M25" s="619" t="n">
        <v>46062</v>
      </c>
      <c r="N25" s="619" t="n">
        <v>46069</v>
      </c>
      <c r="O25" s="619" t="n">
        <v>46076</v>
      </c>
      <c r="P25" s="619" t="n">
        <v>46083</v>
      </c>
      <c r="Q25" s="619" t="n">
        <v>46090</v>
      </c>
      <c r="R25" s="619" t="n">
        <v>46097</v>
      </c>
      <c r="S25" s="619" t="n">
        <v>46104</v>
      </c>
      <c r="T25" s="619" t="n">
        <v>46111</v>
      </c>
      <c r="U25" s="619" t="n">
        <v>46118</v>
      </c>
      <c r="V25" s="619" t="n">
        <v>46125</v>
      </c>
      <c r="W25" s="619" t="n">
        <v>46132</v>
      </c>
      <c r="X25" s="619" t="n">
        <v>46139</v>
      </c>
      <c r="Y25" s="619" t="n">
        <v>46146</v>
      </c>
      <c r="Z25" s="619" t="n">
        <v>46154</v>
      </c>
      <c r="AA25" s="621" t="inlineStr">
        <is>
          <t>USOU</t>
        </is>
      </c>
      <c r="AB25" s="370" t="n"/>
      <c r="AC25" s="11" t="n"/>
      <c r="AE25" s="34" t="n"/>
      <c r="AG25" s="11" t="n"/>
      <c r="AH25" s="11" t="n"/>
      <c r="AI25" s="11" t="n"/>
      <c r="AJ25" s="11" t="n"/>
      <c r="AK25" s="11" t="n"/>
      <c r="AL25" s="11" t="n"/>
      <c r="AM25" s="11" t="n"/>
      <c r="AN25" s="11" t="n"/>
      <c r="AO25" s="11" t="n"/>
      <c r="AP25" s="11" t="n"/>
      <c r="AQ25" s="11" t="n"/>
      <c r="AR25" s="11" t="n"/>
    </row>
    <row r="26">
      <c r="A26" s="392" t="inlineStr">
        <is>
          <t>CAIXA M DIVERT./24</t>
        </is>
      </c>
      <c r="B26" s="393" t="n">
        <v>100</v>
      </c>
      <c r="C26" s="635" t="n">
        <v>790</v>
      </c>
      <c r="D26" s="404" t="n"/>
      <c r="F26" s="39" t="n">
        <v>128</v>
      </c>
      <c r="G26" s="39" t="n">
        <v>119</v>
      </c>
      <c r="H26" s="39" t="n">
        <v>119</v>
      </c>
      <c r="I26" s="39" t="n">
        <v>119</v>
      </c>
      <c r="J26" s="39" t="n">
        <v>119</v>
      </c>
      <c r="K26" s="39" t="n">
        <v>119</v>
      </c>
      <c r="L26" s="39" t="n">
        <v>119</v>
      </c>
      <c r="M26" s="39" t="n">
        <v>119</v>
      </c>
      <c r="N26" s="39" t="n">
        <v>119</v>
      </c>
      <c r="O26" s="39" t="n">
        <v>119</v>
      </c>
      <c r="P26" s="39" t="n">
        <v>119</v>
      </c>
      <c r="Q26" s="39" t="n">
        <v>119</v>
      </c>
      <c r="R26" s="39" t="n">
        <v>119</v>
      </c>
      <c r="S26" s="39" t="n">
        <v>119</v>
      </c>
      <c r="T26" s="39" t="n">
        <v>119</v>
      </c>
      <c r="U26" s="39" t="n">
        <v>119</v>
      </c>
      <c r="V26" s="39" t="n">
        <v>119</v>
      </c>
      <c r="W26" s="39" t="n">
        <v>119</v>
      </c>
      <c r="X26" s="39" t="n">
        <v>119</v>
      </c>
      <c r="Y26" s="39" t="n">
        <v>119</v>
      </c>
      <c r="Z26" s="39" t="n">
        <v>124</v>
      </c>
      <c r="AA26" s="380">
        <f>Y26+IF(NOT(ISBLANK(OFFSET(AA26,0,6))),N(OFFSET(AA26,0,6)),N(OFFSET(AA26,0,7)))-Z26</f>
        <v/>
      </c>
      <c r="AB26" s="370" t="n"/>
      <c r="AC26" s="11" t="n"/>
      <c r="AE26" s="34" t="n"/>
      <c r="AG26" s="11" t="n"/>
      <c r="AH26" s="11" t="n"/>
      <c r="AI26" s="11" t="n"/>
      <c r="AJ26" s="11" t="n"/>
      <c r="AK26" s="11" t="n"/>
      <c r="AL26" s="11" t="n"/>
      <c r="AM26" s="11" t="n"/>
      <c r="AN26" s="11" t="n"/>
      <c r="AO26" s="11" t="n"/>
      <c r="AP26" s="11" t="n"/>
      <c r="AQ26" s="11" t="n"/>
      <c r="AR26" s="11" t="n"/>
    </row>
    <row r="27">
      <c r="A27" s="394" t="inlineStr">
        <is>
          <t>BOLA</t>
        </is>
      </c>
      <c r="B27" s="163" t="n">
        <v>100</v>
      </c>
      <c r="C27" s="636" t="n">
        <v>283</v>
      </c>
      <c r="D27" s="404" t="n"/>
      <c r="F27" s="39" t="n">
        <v>2</v>
      </c>
      <c r="G27" s="39" t="n">
        <v>2</v>
      </c>
      <c r="H27" s="39" t="n">
        <v>2</v>
      </c>
      <c r="I27" s="39" t="n">
        <v>2</v>
      </c>
      <c r="J27" s="39" t="n">
        <v>0</v>
      </c>
      <c r="K27" s="39" t="n">
        <v>0</v>
      </c>
      <c r="L27" s="39" t="n"/>
      <c r="M27" s="39" t="n"/>
      <c r="N27" s="39" t="n"/>
      <c r="O27" s="39" t="n"/>
      <c r="P27" s="39" t="n"/>
      <c r="Q27" s="39" t="n"/>
      <c r="R27" s="39" t="n">
        <v>2</v>
      </c>
      <c r="S27" s="39" t="n">
        <v>2</v>
      </c>
      <c r="T27" s="39" t="n">
        <v>2</v>
      </c>
      <c r="U27" s="39" t="n">
        <v>2</v>
      </c>
      <c r="V27" s="39" t="n">
        <v>2</v>
      </c>
      <c r="W27" s="39" t="n">
        <v>2</v>
      </c>
      <c r="X27" s="39" t="n">
        <v>2</v>
      </c>
      <c r="Y27" s="39" t="n">
        <v>2</v>
      </c>
      <c r="Z27" s="39" t="n">
        <v>2</v>
      </c>
      <c r="AA27" s="380">
        <f>Y27+IF(NOT(ISBLANK(OFFSET(AA27,0,6))),N(OFFSET(AA27,0,6)),N(OFFSET(AA27,0,7)))-Z27</f>
        <v/>
      </c>
      <c r="AB27" s="370" t="n"/>
      <c r="AC27" s="11" t="n"/>
      <c r="AE27" s="34" t="n"/>
      <c r="AG27" s="11" t="n"/>
      <c r="AH27" s="11" t="n"/>
      <c r="AI27" s="11" t="n"/>
      <c r="AJ27" s="11" t="n"/>
      <c r="AK27" s="11" t="n"/>
      <c r="AL27" s="11" t="n"/>
      <c r="AM27" s="11" t="n"/>
      <c r="AN27" s="11" t="n"/>
      <c r="AO27" s="11" t="n"/>
      <c r="AP27" s="11" t="n"/>
      <c r="AQ27" s="11" t="n"/>
      <c r="AR27" s="11" t="n"/>
    </row>
    <row r="28">
      <c r="A28" s="412" t="inlineStr">
        <is>
          <t>CAIXA DORAMA/25</t>
        </is>
      </c>
      <c r="B28" s="413" t="n">
        <v>100</v>
      </c>
      <c r="C28" s="655" t="n">
        <v>841.1</v>
      </c>
      <c r="D28" s="404" t="n"/>
      <c r="F28" s="6" t="n">
        <v>8</v>
      </c>
      <c r="G28" s="6" t="n">
        <v>8</v>
      </c>
      <c r="H28" s="6" t="n">
        <v>8</v>
      </c>
      <c r="I28" s="6" t="n">
        <v>8</v>
      </c>
      <c r="J28" s="6" t="n">
        <v>8</v>
      </c>
      <c r="K28" s="6" t="n">
        <v>8</v>
      </c>
      <c r="L28" s="6" t="n">
        <v>8</v>
      </c>
      <c r="M28" s="6" t="n">
        <v>8</v>
      </c>
      <c r="N28" s="39" t="n">
        <v>8</v>
      </c>
      <c r="O28" s="39" t="n">
        <v>8</v>
      </c>
      <c r="P28" s="39" t="n">
        <v>8</v>
      </c>
      <c r="Q28" s="39" t="n">
        <v>8</v>
      </c>
      <c r="R28" s="39" t="n">
        <v>8</v>
      </c>
      <c r="S28" s="39" t="n">
        <v>8</v>
      </c>
      <c r="T28" s="39" t="n">
        <v>8</v>
      </c>
      <c r="U28" s="39" t="n">
        <v>8</v>
      </c>
      <c r="V28" s="39" t="n">
        <v>8</v>
      </c>
      <c r="W28" s="39" t="n">
        <v>8</v>
      </c>
      <c r="X28" s="39" t="n">
        <v>8</v>
      </c>
      <c r="Y28" s="39" t="n">
        <v>8</v>
      </c>
      <c r="Z28" s="39" t="n">
        <v>8</v>
      </c>
      <c r="AA28" s="380">
        <f>Y28+IF(NOT(ISBLANK(OFFSET(AA28,0,6))),N(OFFSET(AA28,0,6)),N(OFFSET(AA28,0,7)))-Z28</f>
        <v/>
      </c>
      <c r="AB28" s="370" t="n"/>
      <c r="AC28" s="11" t="n"/>
      <c r="AE28" s="34" t="n"/>
      <c r="AG28" s="11" t="n"/>
      <c r="AH28" s="11" t="n"/>
      <c r="AI28" s="11" t="n"/>
      <c r="AJ28" s="11" t="n"/>
      <c r="AK28" s="409" t="n"/>
      <c r="AL28" s="409" t="n"/>
      <c r="AM28" s="41" t="n"/>
      <c r="AN28" s="409" t="n"/>
      <c r="AO28" s="409" t="n"/>
      <c r="AP28" s="409" t="n"/>
      <c r="AQ28" s="409" t="n"/>
      <c r="AR28" s="409" t="n"/>
    </row>
    <row r="29">
      <c r="A29" s="25" t="inlineStr">
        <is>
          <t>CAIXA P NATAL/25</t>
        </is>
      </c>
      <c r="B29" s="6" t="n">
        <v>150</v>
      </c>
      <c r="C29" s="639" t="n">
        <v>805.35</v>
      </c>
      <c r="D29" s="404" t="n"/>
      <c r="F29" s="6" t="n">
        <v>80</v>
      </c>
      <c r="G29" s="6" t="n">
        <v>56</v>
      </c>
      <c r="H29" s="6" t="n">
        <v>53</v>
      </c>
      <c r="I29" s="6" t="n">
        <v>46</v>
      </c>
      <c r="J29" s="6" t="n">
        <v>42</v>
      </c>
      <c r="K29" s="6" t="n">
        <v>12</v>
      </c>
      <c r="L29" s="6" t="n">
        <v>15</v>
      </c>
      <c r="M29" s="6" t="n">
        <v>15</v>
      </c>
      <c r="N29" s="6" t="n">
        <v>15</v>
      </c>
      <c r="O29" s="6" t="n">
        <v>15</v>
      </c>
      <c r="P29" s="6" t="n">
        <v>15</v>
      </c>
      <c r="Q29" s="6" t="n">
        <v>15</v>
      </c>
      <c r="R29" s="6" t="n">
        <v>15</v>
      </c>
      <c r="S29" s="6" t="n">
        <v>15</v>
      </c>
      <c r="T29" s="6" t="n">
        <v>15</v>
      </c>
      <c r="U29" s="6" t="n">
        <v>15</v>
      </c>
      <c r="V29" s="6" t="n">
        <v>15</v>
      </c>
      <c r="W29" s="6" t="n">
        <v>15</v>
      </c>
      <c r="X29" s="6" t="n">
        <v>15</v>
      </c>
      <c r="Y29" s="6" t="n">
        <v>15</v>
      </c>
      <c r="Z29" s="6" t="n">
        <v>15</v>
      </c>
      <c r="AA29" s="380">
        <f>Y29+IF(NOT(ISBLANK(OFFSET(AA29,0,6))),N(OFFSET(AA29,0,6)),N(OFFSET(AA29,0,7)))-Z29</f>
        <v/>
      </c>
      <c r="AB29" s="370" t="n"/>
      <c r="AC29" s="409" t="n"/>
      <c r="AE29" s="34" t="n"/>
      <c r="AG29" s="11" t="n"/>
      <c r="AH29" s="11" t="n"/>
      <c r="AI29" s="11" t="n"/>
      <c r="AJ29" s="11" t="n"/>
      <c r="AK29" s="41" t="n"/>
      <c r="AL29" s="41" t="n"/>
      <c r="AM29" s="41" t="n"/>
      <c r="AN29" s="41" t="n"/>
      <c r="AO29" s="41" t="n"/>
      <c r="AP29" s="41" t="n"/>
      <c r="AQ29" s="41" t="n"/>
      <c r="AR29" s="41" t="n"/>
    </row>
    <row r="30">
      <c r="A30" s="25" t="inlineStr">
        <is>
          <t>CAIXA M NATAL/25</t>
        </is>
      </c>
      <c r="B30" s="6" t="n">
        <v>100</v>
      </c>
      <c r="C30" s="639" t="n">
        <v>792.2</v>
      </c>
      <c r="D30" s="404" t="n"/>
      <c r="F30" s="6" t="n">
        <v>15</v>
      </c>
      <c r="G30" s="6" t="n">
        <v>25</v>
      </c>
      <c r="H30" s="6" t="n">
        <v>24</v>
      </c>
      <c r="I30" s="6" t="n">
        <v>42</v>
      </c>
      <c r="J30" s="6" t="n">
        <v>42</v>
      </c>
      <c r="K30" s="6" t="n">
        <v>42</v>
      </c>
      <c r="L30" s="6" t="n">
        <v>42</v>
      </c>
      <c r="M30" s="6" t="n">
        <v>41</v>
      </c>
      <c r="N30" s="6" t="n">
        <v>41</v>
      </c>
      <c r="O30" s="6" t="n">
        <v>41</v>
      </c>
      <c r="P30" s="6" t="n">
        <v>41</v>
      </c>
      <c r="Q30" s="6" t="n">
        <v>41</v>
      </c>
      <c r="R30" s="6" t="n">
        <v>41</v>
      </c>
      <c r="S30" s="6" t="n">
        <v>41</v>
      </c>
      <c r="T30" s="6" t="n">
        <v>41</v>
      </c>
      <c r="U30" s="6" t="n">
        <v>41</v>
      </c>
      <c r="V30" s="6" t="n">
        <v>41</v>
      </c>
      <c r="W30" s="6" t="n">
        <v>41</v>
      </c>
      <c r="X30" s="6" t="n">
        <v>41</v>
      </c>
      <c r="Y30" s="6" t="n">
        <v>41</v>
      </c>
      <c r="Z30" s="6" t="n">
        <v>41</v>
      </c>
      <c r="AA30" s="380">
        <f>Y30+IF(NOT(ISBLANK(OFFSET(AA30,0,6))),N(OFFSET(AA30,0,6)),N(OFFSET(AA30,0,7)))-Z30</f>
        <v/>
      </c>
      <c r="AB30" s="370" t="n"/>
      <c r="AC30" s="409" t="n"/>
      <c r="AE30" s="34" t="n"/>
      <c r="AG30" s="11" t="n"/>
      <c r="AH30" s="11" t="n"/>
      <c r="AI30" s="11" t="n"/>
      <c r="AJ30" s="11" t="n"/>
      <c r="AK30" s="41" t="n"/>
      <c r="AL30" s="41" t="n"/>
      <c r="AM30" s="41" t="n"/>
      <c r="AN30" s="41" t="n"/>
      <c r="AO30" s="41" t="n"/>
      <c r="AP30" s="41" t="n"/>
      <c r="AQ30" s="41" t="n"/>
      <c r="AR30" s="41" t="n"/>
    </row>
    <row r="31" hidden="1">
      <c r="A31" s="25" t="inlineStr">
        <is>
          <t>CARTUCHO P NATAL/25</t>
        </is>
      </c>
      <c r="B31" s="6" t="n">
        <v>200</v>
      </c>
      <c r="C31" s="639" t="n">
        <v>487.2</v>
      </c>
      <c r="D31" s="404" t="n"/>
      <c r="F31" s="6" t="n">
        <v>71</v>
      </c>
      <c r="G31" s="6" t="n">
        <v>57</v>
      </c>
      <c r="H31" s="6" t="n">
        <v>37</v>
      </c>
      <c r="I31" s="6" t="n">
        <v>3</v>
      </c>
      <c r="J31" s="6" t="n">
        <v>0</v>
      </c>
      <c r="K31" s="6" t="n">
        <v>0</v>
      </c>
      <c r="L31" s="6" t="n">
        <v>0</v>
      </c>
      <c r="M31" s="6" t="n">
        <v>0</v>
      </c>
      <c r="N31" s="6" t="n">
        <v>0</v>
      </c>
      <c r="O31" s="6" t="n">
        <v>0</v>
      </c>
      <c r="P31" s="6" t="n">
        <v>0</v>
      </c>
      <c r="Q31" s="6" t="n">
        <v>0</v>
      </c>
      <c r="R31" s="6" t="n">
        <v>0</v>
      </c>
      <c r="S31" s="6" t="n"/>
      <c r="T31" s="6" t="n"/>
      <c r="U31" s="6" t="n"/>
      <c r="V31" s="6" t="n"/>
      <c r="W31" s="6" t="n"/>
      <c r="X31" s="6" t="n"/>
      <c r="Y31" s="6" t="n"/>
      <c r="Z31" s="6" t="n"/>
      <c r="AA31" s="380">
        <f>Y31+IF(NOT(ISBLANK(OFFSET(AA31,0,6))),N(OFFSET(AA31,0,6)),N(OFFSET(AA31,0,7)))-Z31</f>
        <v/>
      </c>
      <c r="AB31" s="370" t="n"/>
      <c r="AC31" s="409" t="n"/>
      <c r="AE31" s="34" t="n"/>
      <c r="AG31" s="11" t="n"/>
      <c r="AH31" s="11" t="n"/>
      <c r="AI31" s="11" t="n"/>
      <c r="AJ31" s="11" t="n"/>
      <c r="AK31" s="41" t="n"/>
      <c r="AL31" s="41" t="n"/>
      <c r="AM31" s="41" t="n"/>
      <c r="AN31" s="41" t="n"/>
      <c r="AO31" s="41" t="n"/>
      <c r="AP31" s="41" t="n"/>
      <c r="AQ31" s="41" t="n"/>
      <c r="AR31" s="41" t="n"/>
    </row>
    <row r="32" hidden="1">
      <c r="A32" s="25" t="inlineStr">
        <is>
          <t>CARTUCHO M NATAL/25</t>
        </is>
      </c>
      <c r="B32" s="6" t="n">
        <v>150</v>
      </c>
      <c r="C32" s="639" t="n">
        <v>460.35</v>
      </c>
      <c r="D32" s="404" t="n"/>
      <c r="F32" s="6" t="n">
        <v>154</v>
      </c>
      <c r="G32" s="6" t="n">
        <v>122</v>
      </c>
      <c r="H32" s="6" t="n">
        <v>114</v>
      </c>
      <c r="I32" s="6" t="n">
        <v>5</v>
      </c>
      <c r="J32" s="6" t="n">
        <v>3</v>
      </c>
      <c r="K32" s="6" t="n">
        <v>1</v>
      </c>
      <c r="L32" s="6" t="n">
        <v>0</v>
      </c>
      <c r="M32" s="6" t="n">
        <v>0</v>
      </c>
      <c r="N32" s="6" t="n">
        <v>0</v>
      </c>
      <c r="O32" s="6" t="n">
        <v>0</v>
      </c>
      <c r="P32" s="6" t="n">
        <v>0</v>
      </c>
      <c r="Q32" s="6" t="n">
        <v>0</v>
      </c>
      <c r="R32" s="6" t="n">
        <v>0</v>
      </c>
      <c r="S32" s="6" t="n"/>
      <c r="T32" s="6" t="n"/>
      <c r="U32" s="6" t="n"/>
      <c r="V32" s="6" t="n"/>
      <c r="W32" s="6" t="n"/>
      <c r="X32" s="6" t="n"/>
      <c r="Y32" s="6" t="n"/>
      <c r="Z32" s="6" t="n"/>
      <c r="AA32" s="380">
        <f>Y32+IF(NOT(ISBLANK(OFFSET(AA32,0,6))),N(OFFSET(AA32,0,6)),N(OFFSET(AA32,0,7)))-Z32</f>
        <v/>
      </c>
      <c r="AB32" s="370" t="n"/>
      <c r="AC32" s="409" t="n"/>
      <c r="AE32" s="34" t="n"/>
      <c r="AG32" s="11" t="n"/>
      <c r="AH32" s="11" t="n"/>
      <c r="AI32" s="11" t="n"/>
      <c r="AJ32" s="11" t="n"/>
      <c r="AK32" s="41" t="n"/>
      <c r="AL32" s="41" t="n"/>
      <c r="AM32" s="41" t="n"/>
      <c r="AN32" s="41" t="n"/>
      <c r="AO32" s="41" t="n"/>
      <c r="AP32" s="41" t="n"/>
      <c r="AQ32" s="41" t="n"/>
      <c r="AR32" s="41" t="n"/>
    </row>
    <row r="33" hidden="1">
      <c r="A33" s="25" t="inlineStr">
        <is>
          <t>PIN NATAL/25</t>
        </is>
      </c>
      <c r="B33" s="6" t="n">
        <v>10</v>
      </c>
      <c r="C33" s="639" t="n">
        <v>120</v>
      </c>
      <c r="D33" s="404" t="n"/>
      <c r="F33" s="6" t="n">
        <v>0</v>
      </c>
      <c r="G33" s="6" t="n">
        <v>0</v>
      </c>
      <c r="H33" s="6" t="n">
        <v>0</v>
      </c>
      <c r="I33" s="6" t="n">
        <v>0</v>
      </c>
      <c r="J33" s="6" t="n">
        <v>0</v>
      </c>
      <c r="K33" s="6" t="n">
        <v>0</v>
      </c>
      <c r="L33" s="6" t="n">
        <v>0</v>
      </c>
      <c r="M33" s="6" t="n">
        <v>0</v>
      </c>
      <c r="N33" s="39" t="n">
        <v>0</v>
      </c>
      <c r="O33" s="39" t="n">
        <v>0</v>
      </c>
      <c r="P33" s="39" t="n">
        <v>0</v>
      </c>
      <c r="Q33" s="39" t="n">
        <v>0</v>
      </c>
      <c r="R33" s="39" t="n">
        <v>0</v>
      </c>
      <c r="S33" s="39" t="n"/>
      <c r="T33" s="39" t="n"/>
      <c r="U33" s="39" t="n"/>
      <c r="V33" s="39" t="n"/>
      <c r="W33" s="39" t="n"/>
      <c r="X33" s="39" t="n"/>
      <c r="Y33" s="39" t="n"/>
      <c r="Z33" s="39" t="n"/>
      <c r="AA33" s="380">
        <f>Y33+IF(NOT(ISBLANK(OFFSET(AA33,0,6))),N(OFFSET(AA33,0,6)),N(OFFSET(AA33,0,7)))-Z33</f>
        <v/>
      </c>
      <c r="AB33" s="370" t="n"/>
      <c r="AC33" s="409" t="n"/>
      <c r="AE33" s="34" t="n"/>
      <c r="AG33" s="11" t="n"/>
      <c r="AH33" s="11" t="n"/>
      <c r="AI33" s="11" t="n"/>
      <c r="AJ33" s="11" t="n"/>
      <c r="AK33" s="41" t="n"/>
      <c r="AL33" s="41" t="n"/>
      <c r="AM33" s="41" t="n"/>
      <c r="AN33" s="41" t="n"/>
      <c r="AO33" s="41" t="n"/>
      <c r="AP33" s="41" t="n"/>
      <c r="AQ33" s="41" t="n"/>
      <c r="AR33" s="41" t="n"/>
    </row>
    <row r="34">
      <c r="A34" s="291" t="inlineStr">
        <is>
          <t>CAIXA M HOMEM ARANHA</t>
        </is>
      </c>
      <c r="B34" s="292" t="n">
        <v>100</v>
      </c>
      <c r="C34" s="638" t="n">
        <v>1490</v>
      </c>
      <c r="D34" s="404" t="n"/>
      <c r="R34" s="39" t="n">
        <v>4</v>
      </c>
      <c r="S34" s="39" t="n">
        <v>4</v>
      </c>
      <c r="T34" s="39" t="n">
        <v>4</v>
      </c>
      <c r="U34" s="39" t="n">
        <v>4</v>
      </c>
      <c r="V34" s="39" t="n">
        <v>4</v>
      </c>
      <c r="W34" s="39" t="n">
        <v>4</v>
      </c>
      <c r="X34" s="39" t="n">
        <v>4</v>
      </c>
      <c r="Y34" s="39" t="n">
        <v>4</v>
      </c>
      <c r="Z34" s="39" t="n">
        <v>4</v>
      </c>
      <c r="AA34" s="380">
        <f>Y34+IF(NOT(ISBLANK(OFFSET(AA34,0,6))),N(OFFSET(AA34,0,6)),N(OFFSET(AA34,0,7)))-Z34</f>
        <v/>
      </c>
      <c r="AB34" s="370" t="n"/>
      <c r="AC34" s="409" t="n"/>
      <c r="AE34" s="34" t="n"/>
      <c r="AG34" s="11" t="n"/>
      <c r="AH34" s="11" t="n"/>
      <c r="AI34" s="11" t="n"/>
      <c r="AJ34" s="11" t="n"/>
      <c r="AK34" s="41" t="n"/>
      <c r="AL34" s="41" t="n"/>
      <c r="AM34" s="41" t="n"/>
      <c r="AN34" s="41" t="n"/>
      <c r="AO34" s="41" t="n"/>
      <c r="AP34" s="41" t="n"/>
      <c r="AQ34" s="41" t="n"/>
      <c r="AR34" s="41" t="n"/>
    </row>
    <row r="35">
      <c r="Z35" s="2" t="n"/>
      <c r="AB35" s="370" t="n"/>
      <c r="AC35" s="409" t="n"/>
      <c r="AE35" s="34" t="n"/>
      <c r="AG35" s="11" t="n"/>
      <c r="AH35" s="11" t="n"/>
      <c r="AI35" s="11" t="n"/>
      <c r="AJ35" s="11" t="n"/>
      <c r="AK35" s="41" t="n"/>
      <c r="AL35" s="41" t="n"/>
      <c r="AM35" s="41" t="n"/>
      <c r="AN35" s="41" t="n"/>
      <c r="AO35" s="41" t="n"/>
      <c r="AP35" s="41" t="n"/>
      <c r="AQ35" s="41" t="n"/>
      <c r="AR35" s="41" t="n"/>
    </row>
    <row r="36" ht="21" customHeight="1">
      <c r="A36" s="402" t="inlineStr">
        <is>
          <t>SOBRAS DATAS COMEMORATIVAS</t>
        </is>
      </c>
      <c r="B36" s="402" t="n"/>
      <c r="C36" s="402" t="n"/>
      <c r="AB36" s="370" t="n"/>
      <c r="AC36" s="409" t="n"/>
      <c r="AE36" s="34" t="n"/>
      <c r="AG36" s="11" t="n"/>
      <c r="AH36" s="11" t="n"/>
      <c r="AI36" s="11" t="n"/>
      <c r="AJ36" s="11" t="n"/>
      <c r="AK36" s="41" t="n"/>
      <c r="AL36" s="41" t="n"/>
      <c r="AM36" s="41" t="n"/>
      <c r="AN36" s="41" t="n"/>
      <c r="AO36" s="41" t="n"/>
      <c r="AP36" s="41" t="n"/>
      <c r="AQ36" s="41" t="n"/>
      <c r="AR36" s="41" t="n"/>
    </row>
    <row r="37">
      <c r="A37" s="369" t="inlineStr">
        <is>
          <t>ITENS</t>
        </is>
      </c>
      <c r="B37" s="369" t="n"/>
      <c r="C37" s="369" t="inlineStr">
        <is>
          <t>ESTOQUE</t>
        </is>
      </c>
      <c r="E37" s="41" t="n"/>
      <c r="F37" s="41" t="n"/>
      <c r="G37" s="41" t="n"/>
      <c r="H37" s="41" t="n"/>
      <c r="I37" s="41" t="n"/>
      <c r="J37" s="41" t="n"/>
      <c r="K37" s="41" t="n"/>
      <c r="L37" s="41" t="n"/>
      <c r="M37" s="41" t="n"/>
      <c r="AA37" s="41" t="n"/>
      <c r="AB37" s="370" t="n"/>
      <c r="AC37" s="409" t="n"/>
      <c r="AD37" s="41" t="n"/>
      <c r="AE37" s="34" t="n"/>
      <c r="AF37" s="41" t="n"/>
      <c r="AG37" s="11" t="n"/>
      <c r="AH37" s="11" t="n"/>
      <c r="AI37" s="11" t="n"/>
      <c r="AJ37" s="11" t="n"/>
      <c r="AK37" s="41" t="n"/>
      <c r="AL37" s="41" t="n"/>
      <c r="AM37" s="41" t="n"/>
      <c r="AN37" s="41" t="n"/>
      <c r="AO37" s="41" t="n"/>
      <c r="AP37" s="41" t="n"/>
      <c r="AQ37" s="41" t="n"/>
      <c r="AR37" s="41" t="n"/>
    </row>
    <row r="38">
      <c r="A38" s="410" t="inlineStr">
        <is>
          <t>SEDA NATAL/25</t>
        </is>
      </c>
      <c r="B38" s="378" t="n"/>
      <c r="C38" s="365" t="n">
        <v>2</v>
      </c>
      <c r="AC38" s="11" t="n"/>
      <c r="AE38" s="34" t="n"/>
      <c r="AG38" s="11" t="n"/>
      <c r="AH38" s="11" t="n"/>
      <c r="AI38" s="11" t="n"/>
      <c r="AJ38" s="11" t="n"/>
      <c r="AK38" s="41" t="n"/>
      <c r="AL38" s="41" t="n"/>
      <c r="AM38" s="41" t="n"/>
      <c r="AN38" s="41" t="n"/>
      <c r="AO38" s="41" t="n"/>
      <c r="AP38" s="41" t="n"/>
      <c r="AQ38" s="41" t="n"/>
      <c r="AR38" s="41" t="n"/>
    </row>
    <row r="39">
      <c r="A39" s="157" t="n"/>
      <c r="B39" s="157" t="n"/>
      <c r="C39" s="157" t="n"/>
      <c r="AC39" s="11" t="n"/>
      <c r="AE39" s="34" t="n"/>
      <c r="AG39" s="11" t="n"/>
      <c r="AH39" s="409" t="n"/>
      <c r="AI39" s="11" t="n"/>
      <c r="AJ39" s="11" t="n"/>
      <c r="AK39" s="41" t="n"/>
      <c r="AL39" s="41" t="n"/>
      <c r="AM39" s="11" t="n"/>
      <c r="AN39" s="41" t="n"/>
      <c r="AO39" s="41" t="n"/>
      <c r="AP39" s="41" t="n"/>
      <c r="AQ39" s="41" t="n"/>
      <c r="AR39" s="41" t="n"/>
    </row>
    <row r="40">
      <c r="A40" s="156" t="inlineStr">
        <is>
          <t>TAGS NAMORADOS/23</t>
        </is>
      </c>
      <c r="B40" s="378" t="n"/>
      <c r="C40" s="365" t="n">
        <v>65</v>
      </c>
      <c r="AG40" s="409" t="n"/>
      <c r="AH40" s="409" t="n"/>
      <c r="AI40" s="409" t="n"/>
      <c r="AJ40" s="409" t="n"/>
      <c r="AK40" s="11" t="n"/>
      <c r="AL40" s="11" t="n"/>
      <c r="AM40" s="357" t="n"/>
      <c r="AN40" s="11" t="n"/>
      <c r="AO40" s="11" t="n"/>
      <c r="AP40" s="11" t="n"/>
      <c r="AQ40" s="11" t="n"/>
      <c r="AR40" s="11" t="n"/>
    </row>
    <row r="41">
      <c r="A41" s="157" t="n"/>
      <c r="B41" s="157" t="n"/>
      <c r="C41" s="157" t="n"/>
      <c r="AG41" s="409" t="n"/>
      <c r="AH41" s="41" t="n"/>
      <c r="AI41" s="409" t="n"/>
      <c r="AJ41" s="409" t="n"/>
      <c r="AK41" s="357" t="n"/>
      <c r="AL41" s="357" t="n"/>
      <c r="AM41" s="357" t="n"/>
      <c r="AN41" s="357" t="n"/>
      <c r="AO41" s="357" t="n"/>
      <c r="AP41" s="357" t="n"/>
      <c r="AQ41" s="357" t="n"/>
      <c r="AR41" s="357" t="n"/>
      <c r="BA41" s="41" t="n"/>
    </row>
    <row r="42">
      <c r="A42" s="383" t="inlineStr">
        <is>
          <t>TAG MÃES/24</t>
        </is>
      </c>
      <c r="B42" s="378" t="n"/>
      <c r="C42" s="365" t="n">
        <v>90</v>
      </c>
      <c r="AG42" s="41" t="n"/>
      <c r="AH42" s="41" t="n"/>
      <c r="AI42" s="41" t="n"/>
      <c r="AJ42" s="41" t="n"/>
      <c r="AK42" s="357" t="n"/>
      <c r="AL42" s="357" t="n"/>
      <c r="AN42" s="357" t="n"/>
      <c r="AO42" s="357" t="n"/>
      <c r="AP42" s="357" t="n"/>
      <c r="AQ42" s="357" t="n"/>
      <c r="AR42" s="357" t="n"/>
      <c r="AT42" s="41" t="n"/>
      <c r="AU42" s="41" t="n"/>
      <c r="AV42" s="41" t="n"/>
      <c r="AW42" s="41" t="n"/>
      <c r="AX42" s="41" t="n"/>
      <c r="AY42" s="41" t="n"/>
      <c r="AZ42" s="41" t="n"/>
      <c r="BA42" s="41" t="n"/>
      <c r="BB42" s="41" t="n"/>
    </row>
    <row r="43">
      <c r="A43" s="157" t="n"/>
      <c r="B43" s="157" t="n"/>
      <c r="C43" s="157" t="n"/>
      <c r="AG43" s="41" t="n"/>
      <c r="AH43" s="41" t="n"/>
      <c r="AI43" s="41" t="n"/>
      <c r="AJ43" s="41" t="n"/>
      <c r="AT43" s="41" t="n"/>
      <c r="AU43" s="41" t="n"/>
      <c r="AV43" s="41" t="n"/>
      <c r="AW43" s="41" t="n"/>
      <c r="AX43" s="41" t="n"/>
      <c r="AY43" s="41" t="n"/>
      <c r="AZ43" s="41" t="n"/>
      <c r="BA43" s="41" t="n"/>
      <c r="BB43" s="41" t="n"/>
    </row>
    <row r="44">
      <c r="A44" s="232" t="inlineStr">
        <is>
          <t>TAG MÃES/25</t>
        </is>
      </c>
      <c r="B44" s="378" t="n"/>
      <c r="C44" s="365" t="n">
        <v>190</v>
      </c>
      <c r="AG44" s="41" t="n"/>
      <c r="AH44" s="41" t="n"/>
      <c r="AI44" s="41" t="n"/>
      <c r="AJ44" s="41" t="n"/>
      <c r="AT44" s="41" t="n"/>
      <c r="AU44" s="41" t="n"/>
      <c r="AV44" s="41" t="n"/>
      <c r="AW44" s="41" t="n"/>
      <c r="AX44" s="41" t="n"/>
      <c r="AY44" s="41" t="n"/>
      <c r="AZ44" s="41" t="n"/>
      <c r="BA44" s="41" t="n"/>
      <c r="BB44" s="41" t="n"/>
    </row>
    <row r="45">
      <c r="A45" s="157" t="n"/>
      <c r="B45" s="157" t="n"/>
      <c r="C45" s="157" t="n"/>
      <c r="AG45" s="41" t="n"/>
      <c r="AI45" s="41" t="n"/>
      <c r="AJ45" s="41" t="n"/>
      <c r="AT45" s="41" t="n"/>
      <c r="AU45" s="41" t="n"/>
      <c r="AV45" s="41" t="n"/>
      <c r="AW45" s="41" t="n"/>
      <c r="AX45" s="41" t="n"/>
      <c r="AY45" s="41" t="n"/>
      <c r="AZ45" s="41" t="n"/>
      <c r="BB45" s="41" t="n"/>
    </row>
    <row r="46">
      <c r="A46" s="186" t="inlineStr">
        <is>
          <t>TAG PAIS/24</t>
        </is>
      </c>
      <c r="B46" s="378" t="n"/>
      <c r="C46" s="365" t="n">
        <v>145</v>
      </c>
      <c r="N46" s="41" t="n"/>
      <c r="O46" s="41" t="n"/>
      <c r="P46" s="41" t="n"/>
      <c r="Q46" s="41" t="n"/>
      <c r="R46" s="41" t="n"/>
      <c r="S46" s="41" t="n"/>
      <c r="T46" s="41" t="n"/>
      <c r="U46" s="41" t="n"/>
      <c r="V46" s="41" t="n"/>
      <c r="W46" s="41" t="n"/>
      <c r="X46" s="41" t="n"/>
      <c r="Y46" s="41" t="n"/>
      <c r="AM46" s="11" t="n"/>
    </row>
    <row r="47">
      <c r="A47" s="157" t="n"/>
      <c r="B47" s="157" t="n"/>
      <c r="C47" s="157" t="n"/>
      <c r="N47" s="41" t="n"/>
      <c r="O47" s="41" t="n"/>
      <c r="P47" s="41" t="n"/>
      <c r="Q47" s="41" t="n"/>
      <c r="R47" s="41" t="n"/>
      <c r="S47" s="41" t="n"/>
      <c r="T47" s="41" t="n"/>
      <c r="U47" s="41" t="n"/>
      <c r="V47" s="41" t="n"/>
      <c r="W47" s="41" t="n"/>
      <c r="X47" s="41" t="n"/>
      <c r="Y47" s="41" t="n"/>
      <c r="Z47" s="41" t="n"/>
      <c r="AH47" s="11" t="n"/>
      <c r="AK47" s="11" t="n"/>
      <c r="AL47" s="11" t="n"/>
      <c r="AM47" s="11" t="n"/>
      <c r="AN47" s="11" t="n"/>
      <c r="AO47" s="11" t="n"/>
      <c r="AP47" s="11" t="n"/>
      <c r="AQ47" s="11" t="n"/>
      <c r="AR47" s="11" t="n"/>
    </row>
    <row r="48">
      <c r="A48" s="254" t="inlineStr">
        <is>
          <t>TAG NAMO/25</t>
        </is>
      </c>
      <c r="B48" s="378" t="n"/>
      <c r="C48" s="365" t="n">
        <v>190</v>
      </c>
      <c r="N48" s="41" t="n"/>
      <c r="O48" s="41" t="n"/>
      <c r="P48" s="41" t="n"/>
      <c r="Q48" s="41" t="n"/>
      <c r="R48" s="41" t="n"/>
      <c r="S48" s="41" t="n"/>
      <c r="T48" s="41" t="n"/>
      <c r="U48" s="41" t="n"/>
      <c r="V48" s="41" t="n"/>
      <c r="W48" s="41" t="n"/>
      <c r="X48" s="41" t="n"/>
      <c r="Y48" s="41" t="n"/>
      <c r="Z48" s="41" t="n"/>
      <c r="AG48" s="11" t="n"/>
      <c r="AI48" s="11" t="n"/>
      <c r="AJ48" s="11" t="n"/>
      <c r="AK48" s="11" t="n"/>
      <c r="AL48" s="11" t="n"/>
      <c r="AM48" s="11" t="n"/>
      <c r="AN48" s="11" t="n"/>
      <c r="AO48" s="11" t="n"/>
      <c r="AP48" s="11" t="n"/>
      <c r="AQ48" s="11" t="n"/>
      <c r="AR48" s="11" t="n"/>
    </row>
    <row r="49">
      <c r="N49" s="41" t="n"/>
      <c r="O49" s="41" t="n"/>
      <c r="P49" s="41" t="n"/>
      <c r="Q49" s="41" t="n"/>
      <c r="R49" s="41" t="n"/>
      <c r="S49" s="41" t="n"/>
      <c r="T49" s="41" t="n"/>
      <c r="U49" s="41" t="n"/>
      <c r="V49" s="41" t="n"/>
      <c r="W49" s="41" t="n"/>
      <c r="X49" s="41" t="n"/>
      <c r="Y49" s="41" t="n"/>
      <c r="Z49" s="41" t="n"/>
      <c r="AK49" s="11" t="n"/>
      <c r="AL49" s="11" t="n"/>
      <c r="AN49" s="11" t="n"/>
      <c r="AO49" s="11" t="n"/>
      <c r="AP49" s="11" t="n"/>
      <c r="AQ49" s="11" t="n"/>
      <c r="AR49" s="11" t="n"/>
    </row>
    <row r="50">
      <c r="A50" s="642" t="inlineStr">
        <is>
          <t>FLACONETES</t>
        </is>
      </c>
      <c r="B50" s="625" t="n"/>
      <c r="C50" s="625" t="n"/>
      <c r="D50" s="641" t="n"/>
      <c r="F50" s="643" t="n">
        <v>46013</v>
      </c>
      <c r="G50" s="643" t="n">
        <v>46020</v>
      </c>
      <c r="H50" s="643" t="n">
        <v>46027</v>
      </c>
      <c r="I50" s="643" t="n">
        <v>46034</v>
      </c>
      <c r="J50" s="643" t="n">
        <v>46041</v>
      </c>
      <c r="K50" s="643" t="n">
        <v>46048</v>
      </c>
      <c r="L50" s="643" t="n">
        <v>46055</v>
      </c>
      <c r="M50" s="643" t="n">
        <v>46062</v>
      </c>
      <c r="N50" s="643" t="n">
        <v>46069</v>
      </c>
      <c r="O50" s="643" t="n">
        <v>46076</v>
      </c>
      <c r="P50" s="643" t="n">
        <v>46083</v>
      </c>
      <c r="Q50" s="643" t="n">
        <v>46090</v>
      </c>
      <c r="R50" s="643" t="n">
        <v>46097</v>
      </c>
      <c r="S50" s="643" t="n">
        <v>46104</v>
      </c>
      <c r="T50" s="643" t="n">
        <v>46111</v>
      </c>
      <c r="U50" s="643" t="n">
        <v>46118</v>
      </c>
      <c r="V50" s="643" t="n">
        <v>46125</v>
      </c>
      <c r="W50" s="643" t="n">
        <v>46132</v>
      </c>
      <c r="X50" s="643" t="n">
        <v>46139</v>
      </c>
      <c r="Y50" s="643" t="n">
        <v>46146</v>
      </c>
      <c r="Z50" s="643" t="n">
        <v>46154</v>
      </c>
    </row>
    <row r="51">
      <c r="A51" s="645" t="inlineStr">
        <is>
          <t>QUASAR DEEP BLUE</t>
        </is>
      </c>
      <c r="B51" s="625" t="n"/>
      <c r="C51" s="625" t="n"/>
      <c r="D51" s="641" t="n"/>
      <c r="F51" s="366" t="n">
        <v>5</v>
      </c>
      <c r="G51" s="366" t="n">
        <v>0</v>
      </c>
      <c r="H51" s="366" t="n">
        <v>0</v>
      </c>
      <c r="I51" s="366" t="n">
        <v>0</v>
      </c>
      <c r="J51" s="366" t="n">
        <v>0</v>
      </c>
      <c r="K51" s="366" t="n">
        <v>0</v>
      </c>
      <c r="L51" s="366" t="n">
        <v>0</v>
      </c>
      <c r="M51" s="366" t="n">
        <v>0</v>
      </c>
      <c r="N51" s="366" t="n">
        <v>0</v>
      </c>
      <c r="O51" s="366" t="n">
        <v>0</v>
      </c>
      <c r="P51" s="366" t="n">
        <v>0</v>
      </c>
      <c r="Q51" s="366" t="n">
        <v>0</v>
      </c>
      <c r="R51" s="366" t="n">
        <v>0</v>
      </c>
      <c r="S51" s="366" t="n">
        <v>0</v>
      </c>
      <c r="T51" s="366" t="n">
        <v>0</v>
      </c>
      <c r="U51" s="366" t="n">
        <v>0</v>
      </c>
      <c r="V51" s="366" t="n">
        <v>0</v>
      </c>
      <c r="W51" s="366" t="n">
        <v>0</v>
      </c>
      <c r="X51" s="366" t="n">
        <v>0</v>
      </c>
      <c r="Y51" s="366" t="n">
        <v>0</v>
      </c>
      <c r="Z51" s="366" t="n">
        <v>0</v>
      </c>
    </row>
    <row r="52">
      <c r="A52" s="645" t="inlineStr">
        <is>
          <t>ARBO ATLANTICA</t>
        </is>
      </c>
      <c r="B52" s="625" t="n"/>
      <c r="C52" s="625" t="n"/>
      <c r="D52" s="641" t="n"/>
      <c r="F52" s="366" t="n">
        <v>6</v>
      </c>
      <c r="G52" s="366" t="n">
        <v>3</v>
      </c>
      <c r="H52" s="366" t="n">
        <v>3</v>
      </c>
      <c r="I52" s="366" t="n">
        <v>3</v>
      </c>
      <c r="J52" s="366" t="n">
        <v>0</v>
      </c>
      <c r="K52" s="366" t="n">
        <v>0</v>
      </c>
      <c r="L52" s="366" t="n">
        <v>0</v>
      </c>
      <c r="M52" s="366" t="n">
        <v>0</v>
      </c>
      <c r="N52" s="366" t="n">
        <v>0</v>
      </c>
      <c r="O52" s="366" t="n">
        <v>0</v>
      </c>
      <c r="P52" s="366" t="n">
        <v>0</v>
      </c>
      <c r="Q52" s="366" t="n">
        <v>0</v>
      </c>
      <c r="R52" s="366" t="n">
        <v>0</v>
      </c>
      <c r="S52" s="366" t="n">
        <v>0</v>
      </c>
      <c r="T52" s="366" t="n">
        <v>0</v>
      </c>
      <c r="U52" s="366" t="n">
        <v>0</v>
      </c>
      <c r="V52" s="366" t="n">
        <v>0</v>
      </c>
      <c r="W52" s="366" t="n">
        <v>0</v>
      </c>
      <c r="X52" s="366" t="n">
        <v>0</v>
      </c>
      <c r="Y52" s="366" t="n">
        <v>0</v>
      </c>
      <c r="Z52" s="366" t="n">
        <v>0</v>
      </c>
    </row>
    <row r="53">
      <c r="A53" s="645" t="inlineStr">
        <is>
          <t>FLORATTA ROSE BOUQUET</t>
        </is>
      </c>
      <c r="B53" s="625" t="n"/>
      <c r="C53" s="625" t="n"/>
      <c r="D53" s="641" t="n"/>
      <c r="F53" s="366" t="n">
        <v>0</v>
      </c>
      <c r="G53" s="366" t="n">
        <v>0</v>
      </c>
      <c r="H53" s="366" t="n">
        <v>0</v>
      </c>
      <c r="I53" s="366" t="n">
        <v>0</v>
      </c>
      <c r="J53" s="366" t="n">
        <v>0</v>
      </c>
      <c r="K53" s="366" t="n">
        <v>0</v>
      </c>
      <c r="L53" s="366" t="n">
        <v>0</v>
      </c>
      <c r="M53" s="366" t="n">
        <v>0</v>
      </c>
      <c r="N53" s="366" t="n">
        <v>0</v>
      </c>
      <c r="O53" s="366" t="n">
        <v>0</v>
      </c>
      <c r="P53" s="366" t="n">
        <v>0</v>
      </c>
      <c r="Q53" s="366" t="n">
        <v>0</v>
      </c>
      <c r="R53" s="366" t="n">
        <v>0</v>
      </c>
      <c r="S53" s="366" t="n">
        <v>0</v>
      </c>
      <c r="T53" s="366" t="n">
        <v>0</v>
      </c>
      <c r="U53" s="366" t="n">
        <v>0</v>
      </c>
      <c r="V53" s="366" t="n">
        <v>0</v>
      </c>
      <c r="W53" s="366" t="n">
        <v>0</v>
      </c>
      <c r="X53" s="366" t="n">
        <v>0</v>
      </c>
      <c r="Y53" s="366" t="n">
        <v>0</v>
      </c>
      <c r="Z53" s="366" t="n">
        <v>0</v>
      </c>
    </row>
    <row r="54">
      <c r="A54" s="645" t="inlineStr">
        <is>
          <t>EGEO DOLCE ILUSION</t>
        </is>
      </c>
      <c r="B54" s="625" t="n"/>
      <c r="C54" s="625" t="n"/>
      <c r="D54" s="641" t="n"/>
      <c r="F54" s="366" t="n">
        <v>70</v>
      </c>
      <c r="G54" s="366" t="n">
        <v>56</v>
      </c>
      <c r="H54" s="366" t="n">
        <v>56</v>
      </c>
      <c r="I54" s="366" t="n">
        <v>56</v>
      </c>
      <c r="J54" s="366" t="n">
        <v>40</v>
      </c>
      <c r="K54" s="366" t="n">
        <v>40</v>
      </c>
      <c r="L54" s="366" t="n">
        <v>36</v>
      </c>
      <c r="M54" s="366" t="n">
        <v>36</v>
      </c>
      <c r="N54" s="366" t="n">
        <v>36</v>
      </c>
      <c r="O54" s="366" t="n">
        <v>36</v>
      </c>
      <c r="P54" s="366" t="n">
        <v>36</v>
      </c>
      <c r="Q54" s="366" t="n">
        <v>36</v>
      </c>
      <c r="R54" s="366" t="n">
        <v>35</v>
      </c>
      <c r="S54" s="366" t="n">
        <v>35</v>
      </c>
      <c r="T54" s="366" t="n">
        <v>35</v>
      </c>
      <c r="U54" s="366" t="n">
        <v>33</v>
      </c>
      <c r="V54" s="366" t="n">
        <v>33</v>
      </c>
      <c r="W54" s="366" t="n">
        <v>33</v>
      </c>
      <c r="X54" s="366" t="n">
        <v>33</v>
      </c>
      <c r="Y54" s="366" t="n">
        <v>0</v>
      </c>
      <c r="Z54" s="366" t="n">
        <v>28</v>
      </c>
    </row>
    <row r="55">
      <c r="A55" s="645" t="inlineStr">
        <is>
          <t>HADYA</t>
        </is>
      </c>
      <c r="B55" s="625" t="n"/>
      <c r="C55" s="625" t="n"/>
      <c r="D55" s="641" t="n"/>
      <c r="F55" s="366" t="n">
        <v>12</v>
      </c>
      <c r="G55" s="366" t="n">
        <v>5</v>
      </c>
      <c r="H55" s="366" t="n">
        <v>5</v>
      </c>
      <c r="I55" s="366" t="n">
        <v>5</v>
      </c>
      <c r="J55" s="366" t="n">
        <v>4</v>
      </c>
      <c r="K55" s="366" t="n">
        <v>4</v>
      </c>
      <c r="L55" s="366" t="n">
        <v>4</v>
      </c>
      <c r="M55" s="366" t="n">
        <v>4</v>
      </c>
      <c r="N55" s="366" t="n">
        <v>4</v>
      </c>
      <c r="O55" s="366" t="n">
        <v>4</v>
      </c>
      <c r="P55" s="366" t="n">
        <v>4</v>
      </c>
      <c r="Q55" s="366" t="n">
        <v>4</v>
      </c>
      <c r="R55" s="366" t="n">
        <v>15</v>
      </c>
      <c r="S55" s="366" t="n">
        <v>15</v>
      </c>
      <c r="T55" s="366" t="n">
        <v>15</v>
      </c>
      <c r="U55" s="366" t="n">
        <v>14</v>
      </c>
      <c r="V55" s="366" t="n">
        <v>14</v>
      </c>
      <c r="W55" s="366" t="n">
        <v>14</v>
      </c>
      <c r="X55" s="366" t="n">
        <v>14</v>
      </c>
      <c r="Y55" s="366" t="n">
        <v>0</v>
      </c>
      <c r="Z55" s="366" t="n">
        <v>13</v>
      </c>
    </row>
    <row r="56">
      <c r="A56" s="645" t="inlineStr">
        <is>
          <t>Boti Sun FPS 70</t>
        </is>
      </c>
      <c r="B56" s="625" t="n"/>
      <c r="C56" s="625" t="n"/>
      <c r="D56" s="641" t="n"/>
      <c r="F56" s="366" t="n"/>
      <c r="G56" s="366" t="n"/>
      <c r="H56" s="366" t="n"/>
      <c r="I56" s="366" t="n"/>
      <c r="J56" s="366" t="n"/>
      <c r="K56" s="366" t="n"/>
      <c r="L56" s="366" t="n"/>
      <c r="M56" s="366" t="n"/>
      <c r="N56" s="366" t="n">
        <v>0</v>
      </c>
      <c r="O56" s="366" t="n">
        <v>0</v>
      </c>
      <c r="P56" s="366" t="n">
        <v>0</v>
      </c>
      <c r="Q56" s="366" t="n">
        <v>0</v>
      </c>
      <c r="R56" s="366" t="n">
        <v>0</v>
      </c>
      <c r="S56" s="366" t="n">
        <v>4</v>
      </c>
      <c r="T56" s="366" t="n">
        <v>4</v>
      </c>
      <c r="U56" s="366" t="n">
        <v>3</v>
      </c>
      <c r="V56" s="366" t="n">
        <v>3</v>
      </c>
      <c r="W56" s="366" t="n">
        <v>3</v>
      </c>
      <c r="X56" s="366" t="n">
        <v>3</v>
      </c>
      <c r="Y56" s="366" t="n">
        <v>0</v>
      </c>
      <c r="Z56" s="366" t="n">
        <v>3</v>
      </c>
    </row>
    <row r="57">
      <c r="A57" s="645" t="inlineStr">
        <is>
          <t>Botik</t>
        </is>
      </c>
      <c r="B57" s="625" t="n"/>
      <c r="C57" s="625" t="n"/>
      <c r="D57" s="641" t="n"/>
      <c r="F57" s="366" t="n"/>
      <c r="G57" s="366" t="n"/>
      <c r="H57" s="366" t="n"/>
      <c r="I57" s="366" t="n"/>
      <c r="J57" s="366" t="n"/>
      <c r="K57" s="366" t="n"/>
      <c r="L57" s="366" t="n"/>
      <c r="M57" s="366" t="n"/>
      <c r="N57" s="366" t="n">
        <v>0</v>
      </c>
      <c r="O57" s="366" t="n">
        <v>0</v>
      </c>
      <c r="P57" s="366" t="n">
        <v>0</v>
      </c>
      <c r="Q57" s="366" t="n">
        <v>0</v>
      </c>
      <c r="R57" s="366" t="n">
        <v>0</v>
      </c>
      <c r="S57" s="366" t="n">
        <v>10</v>
      </c>
      <c r="T57" s="366" t="n">
        <v>10</v>
      </c>
      <c r="U57" s="366" t="n">
        <v>10</v>
      </c>
      <c r="V57" s="366" t="n">
        <v>10</v>
      </c>
      <c r="W57" s="366" t="n">
        <v>10</v>
      </c>
      <c r="X57" s="366" t="n">
        <v>10</v>
      </c>
      <c r="Y57" s="366" t="n">
        <v>0</v>
      </c>
      <c r="Z57" s="366" t="n">
        <v>0</v>
      </c>
    </row>
    <row r="58">
      <c r="A58" s="450" t="inlineStr">
        <is>
          <t>botika serum</t>
        </is>
      </c>
      <c r="B58" s="451" t="n"/>
      <c r="C58" s="451" t="n"/>
      <c r="D58" s="452" t="n"/>
      <c r="F58" s="366" t="n"/>
      <c r="G58" s="366" t="n"/>
      <c r="H58" s="366" t="n"/>
      <c r="I58" s="366" t="n"/>
      <c r="J58" s="366" t="n"/>
      <c r="K58" s="366" t="n"/>
      <c r="L58" s="366" t="n"/>
      <c r="M58" s="366" t="n"/>
      <c r="N58" s="366" t="n"/>
      <c r="O58" s="366" t="n"/>
      <c r="P58" s="366" t="n"/>
      <c r="Q58" s="366" t="n"/>
      <c r="R58" s="366" t="n">
        <v>0</v>
      </c>
      <c r="S58" s="366" t="n">
        <v>0</v>
      </c>
      <c r="T58" s="366" t="n">
        <v>0</v>
      </c>
      <c r="U58" s="366" t="n">
        <v>0</v>
      </c>
      <c r="V58" s="366" t="n">
        <v>3</v>
      </c>
      <c r="W58" s="366" t="n">
        <v>3</v>
      </c>
      <c r="X58" s="366" t="n">
        <v>2</v>
      </c>
      <c r="Y58" s="366" t="n">
        <v>0</v>
      </c>
      <c r="Z58" s="366" t="n">
        <v>2</v>
      </c>
    </row>
    <row r="59">
      <c r="A59" s="450" t="inlineStr">
        <is>
          <t>botica 214  fougere</t>
        </is>
      </c>
      <c r="B59" s="451" t="n"/>
      <c r="C59" s="451" t="n"/>
      <c r="D59" s="452" t="n"/>
      <c r="R59" s="366" t="n">
        <v>0</v>
      </c>
      <c r="S59" s="366" t="n">
        <v>0</v>
      </c>
      <c r="T59" s="366" t="n">
        <v>0</v>
      </c>
      <c r="U59" s="366" t="n">
        <v>0</v>
      </c>
      <c r="V59" s="366" t="n">
        <v>0</v>
      </c>
      <c r="W59" s="366" t="n">
        <v>39</v>
      </c>
      <c r="X59" s="366" t="n">
        <v>38</v>
      </c>
      <c r="Y59" s="366" t="n">
        <v>0</v>
      </c>
      <c r="Z59" s="366" t="n">
        <v>41</v>
      </c>
    </row>
    <row r="60">
      <c r="A60" s="450" t="inlineStr">
        <is>
          <t xml:space="preserve">botica  214  floral </t>
        </is>
      </c>
      <c r="B60" s="451" t="n"/>
      <c r="C60" s="451" t="n"/>
      <c r="D60" s="452" t="n"/>
      <c r="R60" s="366" t="n">
        <v>0</v>
      </c>
      <c r="S60" s="366" t="n">
        <v>0</v>
      </c>
      <c r="T60" s="366" t="n">
        <v>0</v>
      </c>
      <c r="U60" s="366" t="n">
        <v>0</v>
      </c>
      <c r="V60" s="366" t="n">
        <v>0</v>
      </c>
      <c r="W60" s="366" t="n">
        <v>39</v>
      </c>
      <c r="X60" s="366" t="n">
        <v>38</v>
      </c>
      <c r="Y60" s="366" t="n">
        <v>0</v>
      </c>
      <c r="Z60" s="366" t="n">
        <v>25</v>
      </c>
    </row>
    <row r="61">
      <c r="A61" s="450" t="inlineStr">
        <is>
          <t xml:space="preserve">cuide se bem c de fases 7ml </t>
        </is>
      </c>
      <c r="B61" s="451" t="n"/>
      <c r="C61" s="451" t="n"/>
      <c r="D61" s="452" t="n"/>
      <c r="R61" s="366" t="n"/>
      <c r="S61" s="366" t="n"/>
      <c r="T61" s="366" t="n"/>
      <c r="U61" s="366" t="n"/>
      <c r="V61" s="366" t="n"/>
      <c r="W61" s="366" t="n"/>
      <c r="X61" s="366" t="n"/>
      <c r="Y61" s="366" t="n">
        <v>0</v>
      </c>
      <c r="Z61" s="366" t="n">
        <v>103</v>
      </c>
    </row>
    <row r="62">
      <c r="A62" s="645" t="n"/>
      <c r="B62" s="625" t="n"/>
      <c r="C62" s="625" t="n"/>
      <c r="D62" s="641" t="n"/>
      <c r="R62" s="366" t="n"/>
      <c r="S62" s="366" t="n"/>
      <c r="T62" s="366" t="n"/>
      <c r="U62" s="366" t="n"/>
      <c r="V62" s="366" t="n"/>
      <c r="W62" s="366" t="n"/>
      <c r="X62" s="366" t="n"/>
      <c r="Y62" s="366" t="n"/>
      <c r="Z62" s="366" t="n"/>
    </row>
  </sheetData>
  <mergeCells count="17">
    <mergeCell ref="A5:A6"/>
    <mergeCell ref="AT7:BB7"/>
    <mergeCell ref="B3:D3"/>
    <mergeCell ref="A56:D56"/>
    <mergeCell ref="A53:D53"/>
    <mergeCell ref="A50:D50"/>
    <mergeCell ref="A62:D62"/>
    <mergeCell ref="A54:D54"/>
    <mergeCell ref="A55:D55"/>
    <mergeCell ref="A52:D52"/>
    <mergeCell ref="C5:C6"/>
    <mergeCell ref="A57:D57"/>
    <mergeCell ref="A51:D51"/>
    <mergeCell ref="A1:AA1"/>
    <mergeCell ref="B5:B6"/>
    <mergeCell ref="B2:D2"/>
    <mergeCell ref="D5:D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59" fitToHeight="0"/>
</worksheet>
</file>

<file path=xl/worksheets/sheet22.xml><?xml version="1.0" encoding="utf-8"?>
<worksheet xmlns="http://schemas.openxmlformats.org/spreadsheetml/2006/main">
  <sheetPr codeName="Planilha49">
    <tabColor theme="9"/>
    <outlinePr summaryBelow="1" summaryRight="1"/>
    <pageSetUpPr/>
  </sheetPr>
  <dimension ref="A1:BL117"/>
  <sheetViews>
    <sheetView showGridLines="0" topLeftCell="A4" zoomScale="80" zoomScaleNormal="80" workbookViewId="0">
      <selection activeCell="AL55" sqref="AL55"/>
    </sheetView>
  </sheetViews>
  <sheetFormatPr baseColWidth="8" defaultColWidth="9.140625" defaultRowHeight="18.75"/>
  <cols>
    <col width="24.7109375" customWidth="1" min="1" max="1"/>
    <col width="8.7109375" customWidth="1" min="2" max="2"/>
    <col width="15.28515625" customWidth="1" min="3" max="3"/>
    <col width="1.7109375" customWidth="1" min="5" max="5"/>
    <col hidden="1" width="8.28515625" customWidth="1" min="6" max="6"/>
    <col hidden="1" width="13" customWidth="1" min="7" max="7"/>
    <col hidden="1" width="13" customWidth="1" min="8" max="8"/>
    <col hidden="1" width="13" customWidth="1" min="9" max="9"/>
    <col hidden="1" width="13" customWidth="1" min="10" max="10"/>
    <col hidden="1" width="13" customWidth="1" min="11" max="11"/>
    <col hidden="1" width="13" customWidth="1" min="12" max="12"/>
    <col hidden="1" width="13" customWidth="1" min="13" max="13"/>
    <col hidden="1" width="13" customWidth="1" min="14" max="14"/>
    <col hidden="1" width="1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8.28515625" customWidth="1" min="26" max="26"/>
    <col hidden="1" width="13" customWidth="1" min="27" max="27"/>
    <col hidden="1" width="13" customWidth="1" min="28" max="28"/>
    <col width="13" customWidth="1" min="29" max="29"/>
    <col width="13" customWidth="1" min="30" max="30"/>
    <col width="9.7109375" customWidth="1" min="31" max="31"/>
    <col width="1.42578125" customWidth="1" min="32" max="32"/>
    <col width="14.28515625" customWidth="1" min="33" max="33"/>
    <col width="1.28515625" customWidth="1" min="35" max="35"/>
    <col width="15.85546875" customWidth="1" min="36" max="36"/>
    <col width="2.140625" customWidth="1" min="37" max="37"/>
    <col width="8.7109375" customWidth="1" min="38" max="38"/>
    <col width="13" customWidth="1" min="39" max="39"/>
    <col width="13" customWidth="1" min="40" max="40"/>
    <col hidden="1" width="13" customWidth="1" min="41" max="41"/>
    <col hidden="1" width="13" customWidth="1" min="42" max="42"/>
    <col hidden="1" width="8.7109375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13" customWidth="1" min="50" max="50"/>
    <col width="9.140625" customWidth="1" min="51" max="51"/>
    <col width="21.85546875" customWidth="1" min="52" max="52"/>
    <col width="9.140625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9.140625" customWidth="1" min="59" max="59"/>
    <col hidden="1" width="13" customWidth="1" min="60" max="60"/>
    <col hidden="1" width="13" customWidth="1" min="61" max="61"/>
    <col width="13" customWidth="1" min="62" max="62"/>
    <col width="13" customWidth="1" min="63" max="63"/>
  </cols>
  <sheetData>
    <row r="1" ht="23.25" customHeight="1">
      <c r="A1" s="501" t="inlineStr">
        <is>
          <t>Controle de Contagem Semanal - Antilhas</t>
        </is>
      </c>
      <c r="B1" s="477" t="n"/>
      <c r="C1" s="477" t="n"/>
      <c r="D1" s="477" t="n"/>
      <c r="E1" s="477" t="n"/>
      <c r="F1" s="477" t="n"/>
      <c r="G1" s="477" t="n"/>
      <c r="H1" s="477" t="n"/>
      <c r="I1" s="477" t="n"/>
      <c r="J1" s="477" t="n"/>
      <c r="K1" s="477" t="n"/>
      <c r="L1" s="477" t="n"/>
      <c r="M1" s="477" t="n"/>
      <c r="N1" s="477" t="n"/>
      <c r="O1" s="477" t="n"/>
      <c r="P1" s="477" t="n"/>
      <c r="Q1" s="477" t="n"/>
      <c r="R1" s="477" t="n"/>
      <c r="S1" s="477" t="n"/>
      <c r="T1" s="477" t="n"/>
      <c r="U1" s="477" t="n"/>
      <c r="V1" s="477" t="n"/>
      <c r="W1" s="477" t="n"/>
      <c r="X1" s="477" t="n"/>
      <c r="Y1" s="477" t="n"/>
      <c r="Z1" s="477" t="n"/>
      <c r="AA1" s="477" t="n"/>
      <c r="AB1" s="477" t="n"/>
      <c r="AC1" s="477" t="n"/>
      <c r="AD1" s="477" t="n"/>
      <c r="AE1" s="477" t="n"/>
      <c r="AF1" s="477" t="n"/>
      <c r="AG1" s="362" t="n"/>
      <c r="AH1" s="362" t="n"/>
      <c r="AI1" s="477" t="n"/>
      <c r="AJ1" s="477" t="n"/>
      <c r="AK1" s="361" t="n"/>
      <c r="AL1" s="361" t="n"/>
      <c r="AM1" s="361" t="n"/>
      <c r="AN1" s="361" t="n"/>
      <c r="AO1" s="361" t="n"/>
      <c r="AP1" s="361" t="n"/>
      <c r="AQ1" s="361" t="n"/>
      <c r="AR1" s="361" t="n"/>
      <c r="AS1" s="361" t="n"/>
      <c r="AT1" s="361" t="n"/>
      <c r="AU1" s="361" t="n"/>
      <c r="AV1" s="361" t="n"/>
      <c r="AW1" s="361" t="n"/>
      <c r="AX1" s="361" t="n"/>
    </row>
    <row r="2">
      <c r="A2" s="63" t="inlineStr">
        <is>
          <t>LOJA:</t>
        </is>
      </c>
      <c r="B2" s="604" t="inlineStr">
        <is>
          <t>BROTAS</t>
        </is>
      </c>
      <c r="C2" s="605" t="n"/>
      <c r="D2" s="606" t="n"/>
      <c r="AG2" s="41" t="n"/>
      <c r="AH2" s="41" t="n"/>
      <c r="AJ2" s="11" t="n"/>
    </row>
    <row r="3">
      <c r="A3" s="63" t="inlineStr">
        <is>
          <t>Responsável:</t>
        </is>
      </c>
      <c r="B3" s="607" t="inlineStr">
        <is>
          <t>JULIANA</t>
        </is>
      </c>
      <c r="C3" s="605" t="n"/>
      <c r="D3" s="606" t="n"/>
      <c r="E3" s="608" t="n"/>
      <c r="F3" s="608" t="n"/>
      <c r="G3" s="608" t="n"/>
      <c r="H3" s="608" t="n"/>
      <c r="I3" s="608" t="n"/>
      <c r="J3" s="608" t="n"/>
      <c r="K3" s="608" t="n"/>
      <c r="L3" s="608" t="n"/>
      <c r="M3" s="608" t="n"/>
      <c r="N3" s="608" t="n"/>
      <c r="O3" s="608" t="n"/>
      <c r="P3" s="608" t="n"/>
      <c r="Q3" s="608" t="n"/>
      <c r="R3" s="608" t="n"/>
      <c r="S3" s="608" t="n"/>
      <c r="T3" s="608" t="n"/>
      <c r="U3" s="608" t="n"/>
      <c r="V3" s="608" t="n"/>
      <c r="W3" s="608" t="n"/>
      <c r="X3" s="608" t="n"/>
      <c r="Y3" s="608" t="n"/>
      <c r="Z3" s="608" t="n"/>
      <c r="AA3" s="608" t="n"/>
      <c r="AB3" s="609" t="n"/>
      <c r="AC3" s="609" t="n"/>
      <c r="AD3" s="609" t="n"/>
      <c r="AE3" s="608" t="n"/>
      <c r="AF3" s="608" t="n"/>
      <c r="AG3" s="41" t="n"/>
      <c r="AH3" s="41" t="n"/>
      <c r="AI3" s="608" t="n"/>
    </row>
    <row r="4">
      <c r="AG4" s="41" t="n"/>
      <c r="AH4" s="41" t="n"/>
      <c r="AJ4" s="11" t="n"/>
      <c r="AK4" s="158" t="n"/>
      <c r="AL4" s="395" t="n"/>
      <c r="AM4" s="395" t="n"/>
      <c r="AN4" s="395" t="n"/>
      <c r="AO4" s="395" t="n"/>
      <c r="AP4" s="395" t="n"/>
      <c r="AQ4" s="395" t="n"/>
      <c r="AR4" s="395" t="n"/>
      <c r="AS4" s="395" t="n"/>
      <c r="AT4" s="395" t="n"/>
      <c r="AU4" s="395" t="n"/>
      <c r="AV4" s="395" t="n"/>
      <c r="AW4" s="395" t="n"/>
      <c r="AX4" s="395" t="n"/>
    </row>
    <row r="5" ht="18.75" customHeight="1">
      <c r="A5" s="610" t="inlineStr">
        <is>
          <t>Descrição</t>
        </is>
      </c>
      <c r="B5" s="611" t="inlineStr">
        <is>
          <t>PCT</t>
        </is>
      </c>
      <c r="C5" s="611" t="inlineStr">
        <is>
          <t xml:space="preserve">R$ </t>
        </is>
      </c>
      <c r="D5" s="612" t="inlineStr">
        <is>
          <t>Estoque Ideal</t>
        </is>
      </c>
      <c r="F5" s="40" t="n"/>
      <c r="G5" s="40" t="n"/>
      <c r="H5" s="40" t="n"/>
      <c r="I5" s="40" t="n"/>
      <c r="J5" s="40" t="n"/>
      <c r="K5" s="40" t="n"/>
      <c r="L5" s="40" t="n"/>
      <c r="M5" s="40" t="n"/>
      <c r="N5" s="40" t="n"/>
      <c r="O5" s="40" t="n"/>
      <c r="P5" s="40" t="n"/>
      <c r="Q5" s="40" t="n"/>
      <c r="R5" s="40" t="n"/>
      <c r="S5" s="40" t="n"/>
      <c r="T5" s="40" t="n"/>
      <c r="U5" s="40" t="n"/>
      <c r="V5" s="40" t="n"/>
      <c r="W5" s="40" t="n"/>
      <c r="X5" s="40" t="n"/>
      <c r="Y5" s="40" t="n"/>
      <c r="Z5" s="40" t="n"/>
      <c r="AA5" s="40" t="n"/>
      <c r="AB5" s="40" t="n"/>
      <c r="AC5" s="40" t="n"/>
      <c r="AD5" s="40" t="n"/>
      <c r="AE5" s="40" t="n"/>
      <c r="AG5" s="29" t="inlineStr">
        <is>
          <t>Pendências</t>
        </is>
      </c>
      <c r="AH5" s="29" t="inlineStr">
        <is>
          <t>Pendências</t>
        </is>
      </c>
      <c r="AJ5" s="9" t="inlineStr">
        <is>
          <t>Novo Pedido</t>
        </is>
      </c>
      <c r="AK5" s="613" t="n">
        <v>46161.48296245003</v>
      </c>
      <c r="AL5" s="614" t="n"/>
      <c r="AM5" s="614" t="n">
        <v>46142</v>
      </c>
      <c r="AN5" s="614" t="n">
        <v>46114</v>
      </c>
      <c r="AO5" s="616" t="n">
        <v>46065</v>
      </c>
      <c r="AP5" s="614" t="n">
        <v>46099</v>
      </c>
      <c r="AQ5" s="614" t="n">
        <v>46084</v>
      </c>
      <c r="AR5" s="614" t="n">
        <v>46048</v>
      </c>
      <c r="AS5" s="614" t="n">
        <v>46035</v>
      </c>
      <c r="AT5" s="614" t="n">
        <v>46029</v>
      </c>
      <c r="AU5" s="614" t="n">
        <v>46017</v>
      </c>
      <c r="AV5" s="614" t="n">
        <v>46007</v>
      </c>
      <c r="AW5" s="614" t="n">
        <v>46001</v>
      </c>
      <c r="AX5" s="614" t="n">
        <v>45951</v>
      </c>
    </row>
    <row r="6" customFormat="1" s="3">
      <c r="A6" s="618" t="n"/>
      <c r="B6" s="618" t="n"/>
      <c r="C6" s="618" t="n"/>
      <c r="D6" s="618" t="n"/>
      <c r="E6" s="30" t="n"/>
      <c r="F6" s="619" t="n">
        <v>46013</v>
      </c>
      <c r="G6" s="619" t="n">
        <v>46020</v>
      </c>
      <c r="H6" s="619" t="n">
        <v>46027</v>
      </c>
      <c r="I6" s="619" t="n">
        <v>46034</v>
      </c>
      <c r="J6" s="619" t="n">
        <v>46041</v>
      </c>
      <c r="K6" s="619" t="n">
        <v>46048</v>
      </c>
      <c r="L6" s="619" t="n">
        <v>46055</v>
      </c>
      <c r="M6" s="619" t="n">
        <v>46062</v>
      </c>
      <c r="N6" s="619" t="n">
        <v>46069</v>
      </c>
      <c r="O6" s="619" t="n">
        <v>46076</v>
      </c>
      <c r="P6" s="619" t="n">
        <v>46083</v>
      </c>
      <c r="Q6" s="619" t="n">
        <v>46090</v>
      </c>
      <c r="R6" s="619" t="n">
        <v>46097</v>
      </c>
      <c r="S6" s="619" t="n">
        <v>46104</v>
      </c>
      <c r="T6" s="619" t="n">
        <v>46111</v>
      </c>
      <c r="U6" s="619" t="n">
        <v>46118</v>
      </c>
      <c r="V6" s="619" t="n">
        <v>46125</v>
      </c>
      <c r="W6" s="619" t="n">
        <v>46132</v>
      </c>
      <c r="X6" s="619" t="n">
        <v>46139</v>
      </c>
      <c r="Y6" s="619" t="n">
        <v>46146</v>
      </c>
      <c r="Z6" s="619" t="n">
        <v>46154</v>
      </c>
      <c r="AA6" s="619" t="n">
        <v>46160</v>
      </c>
      <c r="AB6" s="620" t="n">
        <v>46161.4801324537</v>
      </c>
      <c r="AC6" s="620" t="n">
        <v>46161.48080611111</v>
      </c>
      <c r="AD6" s="620" t="n">
        <v>46161.48296317979</v>
      </c>
      <c r="AE6" s="621" t="inlineStr">
        <is>
          <t>USOU</t>
        </is>
      </c>
      <c r="AF6" s="623" t="n"/>
      <c r="AG6" s="664" t="n"/>
      <c r="AH6" s="664" t="n"/>
      <c r="AI6" s="623" t="n"/>
      <c r="AJ6" s="624" t="n"/>
      <c r="AK6" s="613" t="n">
        <v>46161.48296245031</v>
      </c>
      <c r="AL6" s="614" t="n"/>
      <c r="AM6" s="614" t="n">
        <v>46149</v>
      </c>
      <c r="AN6" s="614" t="n">
        <v>46126</v>
      </c>
      <c r="AO6" s="616" t="n">
        <v>46107</v>
      </c>
      <c r="AP6" s="614" t="n">
        <v>46106</v>
      </c>
      <c r="AQ6" s="614" t="n">
        <v>46091</v>
      </c>
      <c r="AR6" s="614" t="n">
        <v>46056</v>
      </c>
      <c r="AS6" s="614" t="n">
        <v>46042</v>
      </c>
      <c r="AT6" s="614" t="n">
        <v>46037</v>
      </c>
      <c r="AU6" s="614" t="n">
        <v>46028</v>
      </c>
      <c r="AV6" s="614" t="n">
        <v>46386</v>
      </c>
      <c r="AW6" s="614" t="n">
        <v>46009</v>
      </c>
      <c r="AX6" s="614" t="n">
        <v>45960</v>
      </c>
      <c r="AZ6" s="11" t="n"/>
      <c r="BA6" s="11" t="n"/>
      <c r="BB6" s="11" t="n"/>
      <c r="BC6" s="11" t="n"/>
      <c r="BD6" s="11" t="n"/>
      <c r="BE6" s="11" t="n"/>
      <c r="BF6" s="11" t="n"/>
      <c r="BG6" s="11" t="n"/>
      <c r="BH6" s="11" t="n"/>
      <c r="BI6" s="11" t="n"/>
      <c r="BJ6" s="11" t="n"/>
      <c r="BK6" s="11" t="n"/>
      <c r="BL6" s="11" t="n"/>
    </row>
    <row r="7" ht="21.75" customFormat="1" customHeight="1" s="3">
      <c r="A7" s="20" t="inlineStr">
        <is>
          <t xml:space="preserve">SACOLAS </t>
        </is>
      </c>
      <c r="B7" s="4" t="n"/>
      <c r="C7" s="5" t="n"/>
      <c r="D7" s="239" t="n"/>
      <c r="E7" s="11" t="n"/>
      <c r="F7" s="12" t="n"/>
      <c r="G7" s="12" t="n"/>
      <c r="H7" s="12" t="n"/>
      <c r="I7" s="12" t="n"/>
      <c r="J7" s="12" t="n"/>
      <c r="K7" s="12" t="n"/>
      <c r="L7" s="12" t="n"/>
      <c r="M7" s="12" t="n"/>
      <c r="N7" s="12" t="n"/>
      <c r="O7" s="12" t="n"/>
      <c r="P7" s="12" t="n"/>
      <c r="Q7" s="12" t="n"/>
      <c r="R7" s="12" t="n"/>
      <c r="S7" s="12" t="n"/>
      <c r="T7" s="12" t="n"/>
      <c r="U7" s="12" t="n"/>
      <c r="V7" s="12" t="n"/>
      <c r="W7" s="12" t="n"/>
      <c r="X7" s="12" t="n"/>
      <c r="Y7" s="12" t="n"/>
      <c r="Z7" s="12" t="n"/>
      <c r="AA7" s="12" t="n"/>
      <c r="AB7" s="12" t="n"/>
      <c r="AC7" s="12" t="n"/>
      <c r="AD7" s="12" t="n"/>
      <c r="AE7" s="12" t="n"/>
      <c r="AF7" s="11" t="n"/>
      <c r="AG7" s="12" t="n"/>
      <c r="AH7" s="12" t="n"/>
      <c r="AI7" s="11" t="n"/>
      <c r="AJ7" s="12" t="n"/>
      <c r="AK7" s="12" t="n"/>
      <c r="AL7" s="12" t="n"/>
      <c r="AM7" s="12" t="n"/>
      <c r="AN7" s="12" t="n"/>
      <c r="AO7" s="12" t="inlineStr">
        <is>
          <t>MÃES</t>
        </is>
      </c>
      <c r="AP7" s="12" t="n"/>
      <c r="AQ7" s="12" t="n"/>
      <c r="AR7" s="12" t="n"/>
      <c r="AS7" s="12" t="n"/>
      <c r="AT7" s="12" t="n"/>
      <c r="AU7" s="12" t="n"/>
      <c r="AV7" s="12" t="n"/>
      <c r="AW7" s="12" t="n"/>
      <c r="AX7" s="12" t="n"/>
      <c r="AY7" s="625" t="n"/>
      <c r="AZ7" s="625" t="n"/>
      <c r="BA7" s="625" t="n"/>
      <c r="BB7" s="625" t="n"/>
      <c r="BC7" s="625" t="n"/>
      <c r="BD7" s="625" t="n"/>
      <c r="BE7" s="625" t="n"/>
      <c r="BF7" s="641" t="n"/>
      <c r="BG7" s="652" t="n"/>
      <c r="BH7" s="625" t="n"/>
      <c r="BI7" s="626" t="n"/>
      <c r="BJ7" s="626" t="n"/>
      <c r="BK7" s="626" t="n"/>
      <c r="BL7" s="476" t="n"/>
    </row>
    <row r="8" customFormat="1" s="3">
      <c r="A8" s="21" t="inlineStr">
        <is>
          <t>SACOLA PP VERDE</t>
        </is>
      </c>
      <c r="B8" s="6" t="n">
        <v>300</v>
      </c>
      <c r="C8" s="627" t="n">
        <v>187.12</v>
      </c>
      <c r="D8" s="240" t="n">
        <v>150</v>
      </c>
      <c r="E8" s="11" t="n"/>
      <c r="F8" s="39" t="n">
        <v>300</v>
      </c>
      <c r="G8" s="39" t="n">
        <v>0</v>
      </c>
      <c r="H8" s="39" t="n">
        <v>300</v>
      </c>
      <c r="I8" s="39" t="n">
        <v>180</v>
      </c>
      <c r="J8" s="39">
        <f>180+AP8</f>
        <v/>
      </c>
      <c r="K8" s="39" t="n">
        <v>480</v>
      </c>
      <c r="L8" s="39" t="n">
        <v>480</v>
      </c>
      <c r="M8" s="39" t="n">
        <v>480</v>
      </c>
      <c r="N8" s="39" t="n">
        <v>480</v>
      </c>
      <c r="O8" s="39" t="n">
        <v>360</v>
      </c>
      <c r="P8" s="39" t="n">
        <v>320</v>
      </c>
      <c r="Q8" s="39" t="n">
        <v>280</v>
      </c>
      <c r="R8" s="39" t="n">
        <v>280</v>
      </c>
      <c r="S8" s="39" t="n">
        <v>280</v>
      </c>
      <c r="T8" s="39" t="n">
        <v>280</v>
      </c>
      <c r="U8" s="39" t="n">
        <v>200</v>
      </c>
      <c r="V8" s="39" t="n">
        <v>160</v>
      </c>
      <c r="W8" s="39" t="n">
        <v>160</v>
      </c>
      <c r="X8" s="39" t="n">
        <v>120</v>
      </c>
      <c r="Y8" s="39">
        <f>120+AJ8</f>
        <v/>
      </c>
      <c r="Z8" s="39" t="n">
        <v>360</v>
      </c>
      <c r="AA8" s="39" t="n"/>
      <c r="AB8" s="6" t="n"/>
      <c r="AC8" s="6" t="n"/>
      <c r="AD8" s="6" t="n"/>
      <c r="AE8" s="380">
        <f>AC8+IF(NOT(ISBLANK(OFFSET(AE8,0,6))),N(OFFSET(AE8,0,6)),N(OFFSET(AE8,0,7)))-AD8</f>
        <v/>
      </c>
      <c r="AF8" s="11" t="n"/>
      <c r="AG8" s="78" t="n"/>
      <c r="AH8" s="78" t="n"/>
      <c r="AI8" s="11" t="n"/>
      <c r="AJ8" s="32" t="n"/>
      <c r="AK8" s="628" t="n">
        <v>0</v>
      </c>
      <c r="AL8" s="19" t="n">
        <v>0</v>
      </c>
      <c r="AM8" s="19" t="n">
        <v>300</v>
      </c>
      <c r="AN8" s="19" t="n"/>
      <c r="AO8" s="19" t="n"/>
      <c r="AP8" s="19" t="n"/>
      <c r="AQ8" s="19" t="n"/>
      <c r="AR8" s="19" t="n"/>
      <c r="AS8" s="19" t="n">
        <v>300</v>
      </c>
      <c r="AT8" s="19" t="n"/>
      <c r="AU8" s="19" t="n"/>
      <c r="AV8" s="19" t="n">
        <v>300</v>
      </c>
      <c r="AW8" s="19" t="n">
        <v>300</v>
      </c>
      <c r="AX8" s="19" t="n"/>
      <c r="AZ8" s="397" t="inlineStr">
        <is>
          <t xml:space="preserve">SACOLAS </t>
        </is>
      </c>
      <c r="BA8" s="384" t="inlineStr">
        <is>
          <t>PCT</t>
        </is>
      </c>
      <c r="BB8" s="619" t="n">
        <v>46118</v>
      </c>
      <c r="BC8" s="619" t="n">
        <v>46125</v>
      </c>
      <c r="BD8" s="619" t="n">
        <v>46132</v>
      </c>
      <c r="BE8" s="619" t="n">
        <v>46139</v>
      </c>
      <c r="BF8" s="619" t="n">
        <v>46146</v>
      </c>
      <c r="BG8" s="619" t="n">
        <v>46154</v>
      </c>
      <c r="BH8" s="619" t="n">
        <v>46160</v>
      </c>
      <c r="BI8" s="620" t="n">
        <v>46161.48013189815</v>
      </c>
      <c r="BJ8" s="620" t="n">
        <v>46161.48080552083</v>
      </c>
      <c r="BK8" s="620" t="n">
        <v>46161.48296260287</v>
      </c>
      <c r="BL8" s="621" t="inlineStr">
        <is>
          <t>USOU</t>
        </is>
      </c>
    </row>
    <row r="9" ht="20.25" customFormat="1" customHeight="1" s="3">
      <c r="A9" s="21" t="inlineStr">
        <is>
          <t xml:space="preserve">SACOLA P VERDE </t>
        </is>
      </c>
      <c r="B9" s="6" t="n">
        <v>200</v>
      </c>
      <c r="C9" s="627" t="n">
        <v>193.08</v>
      </c>
      <c r="D9" s="240" t="n">
        <v>400</v>
      </c>
      <c r="E9" s="11" t="n"/>
      <c r="F9" s="39" t="n">
        <v>80</v>
      </c>
      <c r="G9" s="39" t="n">
        <v>0</v>
      </c>
      <c r="H9" s="39" t="n">
        <v>240</v>
      </c>
      <c r="I9" s="39" t="n">
        <v>320</v>
      </c>
      <c r="J9" s="39">
        <f>360+AP9</f>
        <v/>
      </c>
      <c r="K9" s="39" t="n">
        <v>480</v>
      </c>
      <c r="L9" s="39">
        <f>400+AO9</f>
        <v/>
      </c>
      <c r="M9" s="39" t="n">
        <v>480</v>
      </c>
      <c r="N9" s="39" t="n">
        <v>580</v>
      </c>
      <c r="O9" s="39" t="n">
        <v>520</v>
      </c>
      <c r="P9" s="39" t="n">
        <v>160</v>
      </c>
      <c r="Q9" s="39">
        <f>0+AN9</f>
        <v/>
      </c>
      <c r="R9" s="39" t="n">
        <v>220</v>
      </c>
      <c r="S9" s="39">
        <f>120+AM9</f>
        <v/>
      </c>
      <c r="T9" s="39" t="n">
        <v>220</v>
      </c>
      <c r="U9" s="39" t="n">
        <v>100</v>
      </c>
      <c r="V9" s="39">
        <f>40+AJ9</f>
        <v/>
      </c>
      <c r="W9" s="39" t="n">
        <v>240</v>
      </c>
      <c r="X9" s="39" t="n">
        <v>240</v>
      </c>
      <c r="Y9" s="39">
        <f>240+AJ9</f>
        <v/>
      </c>
      <c r="Z9" s="39" t="n">
        <v>440</v>
      </c>
      <c r="AA9" s="39" t="n"/>
      <c r="AB9" s="6" t="n"/>
      <c r="AC9" s="6" t="n"/>
      <c r="AD9" s="6" t="n"/>
      <c r="AE9" s="380">
        <f>AC9+IF(NOT(ISBLANK(OFFSET(AE9,0,6))),N(OFFSET(AE9,0,6)),N(OFFSET(AE9,0,7)))-AD9</f>
        <v/>
      </c>
      <c r="AF9" s="11" t="n"/>
      <c r="AG9" s="78" t="n"/>
      <c r="AH9" s="78" t="n"/>
      <c r="AI9" s="11" t="n"/>
      <c r="AJ9" s="32" t="n"/>
      <c r="AK9" s="628" t="n">
        <v>0</v>
      </c>
      <c r="AL9" s="19" t="n">
        <v>0</v>
      </c>
      <c r="AM9" s="19" t="n">
        <v>200</v>
      </c>
      <c r="AN9" s="19" t="n">
        <v>200</v>
      </c>
      <c r="AO9" s="119" t="n">
        <v>600</v>
      </c>
      <c r="AP9" s="19" t="n">
        <v>200</v>
      </c>
      <c r="AQ9" s="19" t="n">
        <v>400</v>
      </c>
      <c r="AR9" s="19" t="n">
        <v>200</v>
      </c>
      <c r="AS9" s="19" t="n">
        <v>200</v>
      </c>
      <c r="AT9" s="19" t="n">
        <v>200</v>
      </c>
      <c r="AU9" s="19" t="n">
        <v>200</v>
      </c>
      <c r="AV9" s="19" t="n">
        <v>400</v>
      </c>
      <c r="AW9" s="19" t="n">
        <v>400</v>
      </c>
      <c r="AX9" s="19" t="n">
        <v>200</v>
      </c>
      <c r="AZ9" s="372" t="inlineStr">
        <is>
          <t xml:space="preserve">SACOLA P </t>
        </is>
      </c>
      <c r="BA9" s="139" t="n">
        <v>200</v>
      </c>
      <c r="BB9" s="39">
        <f>AL9</f>
        <v/>
      </c>
      <c r="BC9" s="39" t="n">
        <v>520</v>
      </c>
      <c r="BD9" s="39" t="n">
        <v>400</v>
      </c>
      <c r="BE9" s="39" t="n">
        <v>320</v>
      </c>
      <c r="BF9" s="39" t="n">
        <v>180</v>
      </c>
      <c r="BG9" s="39" t="n">
        <v>0</v>
      </c>
      <c r="BH9" s="39" t="n"/>
      <c r="BI9" s="6" t="n"/>
      <c r="BJ9" s="6" t="n"/>
      <c r="BK9" s="6" t="n"/>
      <c r="BL9" s="26">
        <f>BJ9+IF(NOT(ISBLANK(OFFSET(BL9,0,6))),N(OFFSET(BL9,0,6)),N(OFFSET(BL9,0,7)))-BK9</f>
        <v/>
      </c>
    </row>
    <row r="10" customFormat="1" s="3">
      <c r="A10" s="21" t="inlineStr">
        <is>
          <t>SACOLA M VERDE</t>
        </is>
      </c>
      <c r="B10" s="6" t="n">
        <v>200</v>
      </c>
      <c r="C10" s="627" t="n">
        <v>253.83</v>
      </c>
      <c r="D10" s="240" t="n">
        <v>150</v>
      </c>
      <c r="E10" s="11" t="n"/>
      <c r="F10" s="39" t="n">
        <v>0</v>
      </c>
      <c r="G10" s="39" t="n">
        <v>0</v>
      </c>
      <c r="H10" s="39" t="n">
        <v>80</v>
      </c>
      <c r="I10" s="39" t="n">
        <v>40</v>
      </c>
      <c r="J10" s="39">
        <f>220+AP10</f>
        <v/>
      </c>
      <c r="K10" s="39" t="n">
        <v>400</v>
      </c>
      <c r="L10" s="39" t="n">
        <v>400</v>
      </c>
      <c r="M10" s="39" t="n">
        <v>320</v>
      </c>
      <c r="N10" s="39" t="n">
        <v>320</v>
      </c>
      <c r="O10" s="39" t="n">
        <v>280</v>
      </c>
      <c r="P10" s="39" t="n">
        <v>260</v>
      </c>
      <c r="Q10" s="39" t="n">
        <v>200</v>
      </c>
      <c r="R10" s="39" t="n">
        <v>120</v>
      </c>
      <c r="S10" s="39">
        <f>80+AM10</f>
        <v/>
      </c>
      <c r="T10" s="39" t="n">
        <v>280</v>
      </c>
      <c r="U10" s="39" t="n">
        <v>240</v>
      </c>
      <c r="V10" s="39" t="n">
        <v>320</v>
      </c>
      <c r="W10" s="39" t="n">
        <v>320</v>
      </c>
      <c r="X10" s="39" t="n">
        <v>320</v>
      </c>
      <c r="Y10" s="39" t="n">
        <v>320</v>
      </c>
      <c r="Z10" s="39" t="n">
        <v>320</v>
      </c>
      <c r="AA10" s="39" t="n"/>
      <c r="AB10" s="6" t="n"/>
      <c r="AC10" s="6" t="n"/>
      <c r="AD10" s="6" t="n"/>
      <c r="AE10" s="380">
        <f>AC10+IF(NOT(ISBLANK(OFFSET(AE10,0,6))),N(OFFSET(AE10,0,6)),N(OFFSET(AE10,0,7)))-AD10</f>
        <v/>
      </c>
      <c r="AF10" s="11" t="n"/>
      <c r="AG10" s="78" t="n"/>
      <c r="AH10" s="78" t="n"/>
      <c r="AI10" s="11" t="n"/>
      <c r="AJ10" s="32" t="n"/>
      <c r="AK10" s="628" t="n">
        <v>0</v>
      </c>
      <c r="AL10" s="19" t="n">
        <v>0</v>
      </c>
      <c r="AM10" s="19" t="n">
        <v>0</v>
      </c>
      <c r="AN10" s="19" t="n"/>
      <c r="AO10" s="119" t="n">
        <v>400</v>
      </c>
      <c r="AP10" s="19" t="n">
        <v>200</v>
      </c>
      <c r="AQ10" s="19" t="n"/>
      <c r="AR10" s="19" t="n"/>
      <c r="AS10" s="19" t="n">
        <v>200</v>
      </c>
      <c r="AT10" s="19" t="n">
        <v>200</v>
      </c>
      <c r="AU10" s="19" t="n"/>
      <c r="AV10" s="19" t="n">
        <v>400</v>
      </c>
      <c r="AW10" s="19" t="n"/>
      <c r="AX10" s="19" t="n"/>
      <c r="AZ10" s="21" t="inlineStr">
        <is>
          <t xml:space="preserve">SACOLA M </t>
        </is>
      </c>
      <c r="BA10" s="6" t="n">
        <v>200</v>
      </c>
      <c r="BB10" s="39">
        <f>AL10</f>
        <v/>
      </c>
      <c r="BC10" s="39" t="n">
        <v>300</v>
      </c>
      <c r="BD10" s="39" t="n">
        <v>260</v>
      </c>
      <c r="BE10" s="39" t="n">
        <v>220</v>
      </c>
      <c r="BF10" s="39" t="n">
        <v>120</v>
      </c>
      <c r="BG10" s="39" t="n">
        <v>0</v>
      </c>
      <c r="BH10" s="39" t="n"/>
      <c r="BI10" s="6" t="n"/>
      <c r="BJ10" s="6" t="n"/>
      <c r="BK10" s="6" t="n"/>
      <c r="BL10" s="26">
        <f>BJ10+IF(NOT(ISBLANK(OFFSET(BL10,0,6))),N(OFFSET(BL10,0,6)),N(OFFSET(BL10,0,7)))-BK10</f>
        <v/>
      </c>
    </row>
    <row r="11" customFormat="1" s="3">
      <c r="A11" s="22" t="inlineStr">
        <is>
          <t xml:space="preserve">SACOLA G VERDE </t>
        </is>
      </c>
      <c r="B11" s="6" t="n">
        <v>100</v>
      </c>
      <c r="C11" s="627" t="n">
        <v>184.57</v>
      </c>
      <c r="D11" s="240" t="n">
        <v>30</v>
      </c>
      <c r="E11" s="11" t="n"/>
      <c r="F11" s="39" t="n">
        <v>0</v>
      </c>
      <c r="G11" s="39" t="n">
        <v>0</v>
      </c>
      <c r="H11" s="39" t="n">
        <v>0</v>
      </c>
      <c r="I11" s="39" t="n">
        <v>60</v>
      </c>
      <c r="J11" s="39" t="n">
        <v>60</v>
      </c>
      <c r="K11" s="39" t="n">
        <v>60</v>
      </c>
      <c r="L11" s="39" t="n">
        <v>60</v>
      </c>
      <c r="M11" s="39" t="n">
        <v>60</v>
      </c>
      <c r="N11" s="39" t="n">
        <v>60</v>
      </c>
      <c r="O11" s="39" t="n">
        <v>0</v>
      </c>
      <c r="P11" s="39" t="n">
        <v>0</v>
      </c>
      <c r="Q11" s="39" t="n">
        <v>0</v>
      </c>
      <c r="R11" s="39" t="n">
        <v>0</v>
      </c>
      <c r="S11" s="39" t="n">
        <v>0</v>
      </c>
      <c r="T11" s="39" t="n">
        <v>0</v>
      </c>
      <c r="U11" s="39" t="n">
        <v>0</v>
      </c>
      <c r="V11" s="39" t="n">
        <v>80</v>
      </c>
      <c r="W11" s="39" t="n">
        <v>80</v>
      </c>
      <c r="X11" s="39" t="n">
        <v>80</v>
      </c>
      <c r="Y11" s="39" t="n">
        <v>80</v>
      </c>
      <c r="Z11" s="39" t="n">
        <v>80</v>
      </c>
      <c r="AA11" s="39" t="n"/>
      <c r="AB11" s="6" t="n"/>
      <c r="AC11" s="6" t="n"/>
      <c r="AD11" s="6" t="n"/>
      <c r="AE11" s="380">
        <f>AC11+IF(NOT(ISBLANK(OFFSET(AE11,0,6))),N(OFFSET(AE11,0,6)),N(OFFSET(AE11,0,7)))-AD11</f>
        <v/>
      </c>
      <c r="AF11" s="11" t="n"/>
      <c r="AG11" s="78" t="n"/>
      <c r="AH11" s="78" t="n"/>
      <c r="AI11" s="11" t="n"/>
      <c r="AJ11" s="32" t="n"/>
      <c r="AK11" s="628" t="n">
        <v>0</v>
      </c>
      <c r="AL11" s="19" t="n">
        <v>0</v>
      </c>
      <c r="AM11" s="19" t="n">
        <v>0</v>
      </c>
      <c r="AN11" s="19" t="n"/>
      <c r="AO11" s="119" t="n">
        <v>100</v>
      </c>
      <c r="AP11" s="19" t="n"/>
      <c r="AQ11" s="19" t="n"/>
      <c r="AR11" s="19" t="n"/>
      <c r="AS11" s="19" t="n"/>
      <c r="AT11" s="19" t="n"/>
      <c r="AU11" s="19" t="n">
        <v>100</v>
      </c>
      <c r="AV11" s="19" t="n"/>
      <c r="AW11" s="19" t="n"/>
      <c r="AX11" s="19" t="n"/>
      <c r="AZ11" s="22" t="inlineStr">
        <is>
          <t xml:space="preserve">SACOLA G </t>
        </is>
      </c>
      <c r="BA11" s="6" t="n">
        <v>100</v>
      </c>
      <c r="BB11" s="39">
        <f>AL11</f>
        <v/>
      </c>
      <c r="BC11" s="39" t="n">
        <v>20</v>
      </c>
      <c r="BD11" s="39" t="n">
        <v>20</v>
      </c>
      <c r="BE11" s="39" t="n">
        <v>20</v>
      </c>
      <c r="BF11" s="39" t="n">
        <v>0</v>
      </c>
      <c r="BG11" s="39" t="n">
        <v>0</v>
      </c>
      <c r="BH11" s="39" t="n"/>
      <c r="BI11" s="6" t="n"/>
      <c r="BJ11" s="6" t="n"/>
      <c r="BK11" s="6" t="n"/>
      <c r="BL11" s="26">
        <f>BJ11+IF(NOT(ISBLANK(OFFSET(BL11,0,6))),N(OFFSET(BL11,0,6)),N(OFFSET(BL11,0,7)))-BK11</f>
        <v/>
      </c>
    </row>
    <row r="12" ht="16.5" customFormat="1" customHeight="1" s="3">
      <c r="A12" s="23" t="n"/>
      <c r="B12" s="1" t="n"/>
      <c r="C12" s="630" t="n"/>
      <c r="D12" s="277" t="n"/>
      <c r="E12" s="11" t="n"/>
      <c r="F12" s="2" t="n"/>
      <c r="G12" s="2" t="n"/>
      <c r="H12" s="2" t="n"/>
      <c r="I12" s="2" t="n"/>
      <c r="J12" s="2" t="n"/>
      <c r="K12" s="2" t="n"/>
      <c r="L12" s="2" t="n"/>
      <c r="M12" s="2" t="n"/>
      <c r="N12" s="2" t="n"/>
      <c r="O12" s="2" t="n"/>
      <c r="P12" s="2" t="n"/>
      <c r="Q12" s="2" t="n"/>
      <c r="R12" s="2" t="n"/>
      <c r="S12" s="2" t="n"/>
      <c r="T12" s="2" t="n"/>
      <c r="U12" s="2" t="n"/>
      <c r="V12" s="2" t="n"/>
      <c r="W12" s="2" t="n"/>
      <c r="X12" s="2" t="n"/>
      <c r="Y12" s="2" t="n"/>
      <c r="Z12" s="2" t="n"/>
      <c r="AA12" s="2" t="n"/>
      <c r="AB12" s="1" t="n"/>
      <c r="AC12" s="1" t="n"/>
      <c r="AD12" s="1" t="n"/>
      <c r="AE12" s="2" t="n"/>
      <c r="AG12" s="350" t="n"/>
      <c r="AH12" s="350" t="n"/>
      <c r="AI12" s="11" t="n"/>
      <c r="AJ12" s="33" t="n"/>
      <c r="AK12" s="396" t="n"/>
      <c r="AL12" s="75" t="n"/>
      <c r="AM12" s="75" t="n"/>
      <c r="AN12" s="75" t="n"/>
      <c r="AO12" s="75" t="n"/>
      <c r="AP12" s="75" t="n"/>
      <c r="AQ12" s="75" t="n"/>
      <c r="AR12" s="75" t="n"/>
      <c r="AS12" s="75" t="n"/>
      <c r="AT12" s="75" t="n"/>
      <c r="AU12" s="75" t="n"/>
      <c r="AV12" s="75" t="n"/>
      <c r="AW12" s="75" t="n"/>
      <c r="AX12" s="75" t="n"/>
      <c r="AZ12" s="23" t="n"/>
      <c r="BA12" s="1" t="n"/>
      <c r="BB12" s="2" t="n"/>
      <c r="BC12" s="2" t="n"/>
      <c r="BD12" s="2" t="n"/>
      <c r="BE12" s="2" t="n"/>
      <c r="BF12" s="2" t="n"/>
      <c r="BG12" s="2" t="n"/>
      <c r="BH12" s="2" t="n"/>
      <c r="BI12" s="1" t="n"/>
      <c r="BJ12" s="1" t="n"/>
      <c r="BK12" s="1" t="n"/>
    </row>
    <row r="13" customFormat="1" s="3">
      <c r="A13" s="548" t="inlineStr">
        <is>
          <t>DIVERSOS</t>
        </is>
      </c>
      <c r="B13" s="12" t="n"/>
      <c r="C13" s="631" t="n"/>
      <c r="D13" s="403" t="n"/>
      <c r="E13" s="608" t="n"/>
      <c r="F13" s="619" t="n">
        <v>46013</v>
      </c>
      <c r="G13" s="619" t="n">
        <v>46020</v>
      </c>
      <c r="H13" s="619" t="n">
        <v>46027</v>
      </c>
      <c r="I13" s="619" t="n">
        <v>46034</v>
      </c>
      <c r="J13" s="619" t="n">
        <v>46041</v>
      </c>
      <c r="K13" s="619" t="n">
        <v>46048</v>
      </c>
      <c r="L13" s="619" t="n">
        <v>46055</v>
      </c>
      <c r="M13" s="619" t="n">
        <v>46062</v>
      </c>
      <c r="N13" s="619" t="n">
        <v>46069</v>
      </c>
      <c r="O13" s="619" t="n">
        <v>46076</v>
      </c>
      <c r="P13" s="619" t="n">
        <v>46083</v>
      </c>
      <c r="Q13" s="619" t="n">
        <v>46090</v>
      </c>
      <c r="R13" s="619" t="n">
        <v>46097</v>
      </c>
      <c r="S13" s="619" t="n">
        <v>46104</v>
      </c>
      <c r="T13" s="619" t="n">
        <v>46111</v>
      </c>
      <c r="U13" s="619" t="n">
        <v>46118</v>
      </c>
      <c r="V13" s="619" t="n">
        <v>46125</v>
      </c>
      <c r="W13" s="619" t="n">
        <v>46132</v>
      </c>
      <c r="X13" s="619" t="n">
        <v>46139</v>
      </c>
      <c r="Y13" s="619" t="n">
        <v>46146</v>
      </c>
      <c r="Z13" s="619" t="n">
        <v>46154</v>
      </c>
      <c r="AA13" s="619" t="n">
        <v>46160</v>
      </c>
      <c r="AB13" s="620" t="n">
        <v>46161.4801324537</v>
      </c>
      <c r="AC13" s="620" t="n">
        <v>46161.48080611111</v>
      </c>
      <c r="AD13" s="620" t="n">
        <v>46161.48296318012</v>
      </c>
      <c r="AE13" s="621" t="inlineStr">
        <is>
          <t>USOU</t>
        </is>
      </c>
      <c r="AF13" s="608" t="n"/>
      <c r="AG13" s="29" t="inlineStr">
        <is>
          <t>Pendências</t>
        </is>
      </c>
      <c r="AH13" s="29" t="inlineStr">
        <is>
          <t>Pendências</t>
        </is>
      </c>
      <c r="AI13" s="11" t="n"/>
      <c r="AJ13" s="9" t="inlineStr">
        <is>
          <t>Novo Pedido</t>
        </is>
      </c>
      <c r="AK13" s="649" t="n">
        <v>46161.48296245075</v>
      </c>
      <c r="AL13" s="614" t="n"/>
      <c r="AM13" s="614" t="n">
        <v>46142</v>
      </c>
      <c r="AN13" s="614" t="n">
        <v>46114</v>
      </c>
      <c r="AO13" s="616" t="n">
        <v>46065</v>
      </c>
      <c r="AP13" s="614" t="n">
        <v>46099</v>
      </c>
      <c r="AQ13" s="614" t="n">
        <v>46084</v>
      </c>
      <c r="AR13" s="614" t="n">
        <v>46048</v>
      </c>
      <c r="AS13" s="614" t="n">
        <v>46035</v>
      </c>
      <c r="AT13" s="614" t="n">
        <v>46029</v>
      </c>
      <c r="AU13" s="614" t="n">
        <v>46017</v>
      </c>
      <c r="AV13" s="614" t="n">
        <v>46007</v>
      </c>
      <c r="AW13" s="614" t="n">
        <v>46001</v>
      </c>
      <c r="AX13" s="614" t="n">
        <v>45951</v>
      </c>
      <c r="AZ13" s="397" t="inlineStr">
        <is>
          <t>DIVERSOS</t>
        </is>
      </c>
      <c r="BA13" s="384" t="inlineStr">
        <is>
          <t>PCT</t>
        </is>
      </c>
      <c r="BB13" s="619" t="n">
        <v>46118</v>
      </c>
      <c r="BC13" s="619" t="n">
        <v>46125</v>
      </c>
      <c r="BD13" s="619" t="n">
        <v>46132</v>
      </c>
      <c r="BE13" s="619" t="n">
        <v>46139</v>
      </c>
      <c r="BF13" s="619" t="n">
        <v>46146</v>
      </c>
      <c r="BG13" s="619" t="n">
        <v>46154</v>
      </c>
      <c r="BH13" s="619" t="n">
        <v>46160</v>
      </c>
      <c r="BI13" s="620" t="n">
        <v>46161.48013189815</v>
      </c>
      <c r="BJ13" s="620" t="n">
        <v>46161.48080552083</v>
      </c>
      <c r="BK13" s="620" t="n">
        <v>46161.48296260315</v>
      </c>
      <c r="BL13" s="621" t="inlineStr">
        <is>
          <t>USOU</t>
        </is>
      </c>
    </row>
    <row r="14" customFormat="1" s="3">
      <c r="A14" s="25" t="inlineStr">
        <is>
          <t xml:space="preserve">PAPEL DE SEDA </t>
        </is>
      </c>
      <c r="B14" s="6" t="n">
        <v>500</v>
      </c>
      <c r="C14" s="632" t="n">
        <v>99.26000000000001</v>
      </c>
      <c r="D14" s="240" t="n">
        <v>2</v>
      </c>
      <c r="E14" s="608" t="n"/>
      <c r="F14" s="39" t="n">
        <v>2</v>
      </c>
      <c r="G14" s="39" t="n">
        <v>0</v>
      </c>
      <c r="H14" s="39" t="n">
        <v>0</v>
      </c>
      <c r="I14" s="39" t="n">
        <v>2</v>
      </c>
      <c r="J14" s="39">
        <f>4+AP14</f>
        <v/>
      </c>
      <c r="K14" s="39" t="n">
        <v>6</v>
      </c>
      <c r="L14" s="39" t="n">
        <v>6</v>
      </c>
      <c r="M14" s="39" t="n">
        <v>5</v>
      </c>
      <c r="N14" s="39" t="n">
        <v>5</v>
      </c>
      <c r="O14" s="39" t="n">
        <v>4</v>
      </c>
      <c r="P14" s="39" t="n">
        <v>3</v>
      </c>
      <c r="Q14" s="39">
        <f>2+AN14</f>
        <v/>
      </c>
      <c r="R14" s="39" t="n">
        <v>3</v>
      </c>
      <c r="S14" s="39">
        <f>2+AM14</f>
        <v/>
      </c>
      <c r="T14" s="39" t="n">
        <v>4</v>
      </c>
      <c r="U14" s="39" t="n">
        <v>4</v>
      </c>
      <c r="V14" s="39" t="n">
        <v>3</v>
      </c>
      <c r="W14" s="39" t="n">
        <v>3</v>
      </c>
      <c r="X14" s="39" t="n">
        <v>3</v>
      </c>
      <c r="Y14" s="39">
        <f>3+AJ14</f>
        <v/>
      </c>
      <c r="Z14" s="39" t="n">
        <v>6</v>
      </c>
      <c r="AA14" s="39" t="n"/>
      <c r="AB14" s="6" t="n"/>
      <c r="AC14" s="6" t="n"/>
      <c r="AD14" s="6" t="n"/>
      <c r="AE14" s="380">
        <f>AC14+IF(NOT(ISBLANK(OFFSET(AE14,0,6))),N(OFFSET(AE14,0,6)),N(OFFSET(AE14,0,7)))-AD14</f>
        <v/>
      </c>
      <c r="AF14" s="608" t="n"/>
      <c r="AG14" s="78" t="n"/>
      <c r="AH14" s="78" t="n"/>
      <c r="AI14" s="608" t="n"/>
      <c r="AJ14" s="32" t="n"/>
      <c r="AK14" s="114" t="n">
        <v>0</v>
      </c>
      <c r="AL14" s="19" t="n">
        <v>0</v>
      </c>
      <c r="AM14" s="19" t="n">
        <v>3</v>
      </c>
      <c r="AN14" s="19" t="n"/>
      <c r="AO14" s="119" t="n">
        <v>5</v>
      </c>
      <c r="AP14" s="19" t="n">
        <v>2</v>
      </c>
      <c r="AQ14" s="19" t="n">
        <v>2</v>
      </c>
      <c r="AR14" s="19" t="n"/>
      <c r="AS14" s="19" t="n">
        <v>2</v>
      </c>
      <c r="AT14" s="19" t="n">
        <v>2</v>
      </c>
      <c r="AU14" s="19" t="n">
        <v>2</v>
      </c>
      <c r="AV14" s="19" t="n"/>
      <c r="AW14" s="19" t="n">
        <v>1</v>
      </c>
      <c r="AX14" s="19" t="n"/>
      <c r="AZ14" s="372" t="inlineStr">
        <is>
          <t>PAPEL DE SEDA</t>
        </is>
      </c>
      <c r="BA14" s="139" t="n">
        <v>200</v>
      </c>
      <c r="BB14" s="39">
        <f>AL14</f>
        <v/>
      </c>
      <c r="BC14" s="39" t="n">
        <v>4</v>
      </c>
      <c r="BD14" s="39" t="n">
        <v>4</v>
      </c>
      <c r="BE14" s="39" t="n">
        <v>3</v>
      </c>
      <c r="BF14" s="39" t="n">
        <v>2</v>
      </c>
      <c r="BG14" s="39" t="n">
        <v>0</v>
      </c>
      <c r="BH14" s="39" t="n"/>
      <c r="BI14" s="6" t="n"/>
      <c r="BJ14" s="6" t="n"/>
      <c r="BK14" s="6" t="n"/>
      <c r="BL14" s="26">
        <f>BJ14+IF(NOT(ISBLANK(OFFSET(BL14,0,6))),N(OFFSET(BL14,0,6)),N(OFFSET(BL14,0,7)))-BK14</f>
        <v/>
      </c>
    </row>
    <row r="15" customFormat="1" s="3">
      <c r="A15" s="25" t="inlineStr">
        <is>
          <t>ETIQUETAS</t>
        </is>
      </c>
      <c r="B15" s="6" t="n">
        <v>2000</v>
      </c>
      <c r="C15" s="632" t="n">
        <v>55.36</v>
      </c>
      <c r="D15" s="240" t="n">
        <v>1</v>
      </c>
      <c r="E15" s="608" t="n"/>
      <c r="F15" s="39" t="n">
        <v>2</v>
      </c>
      <c r="G15" s="39" t="n">
        <v>1</v>
      </c>
      <c r="H15" s="39" t="n">
        <v>2</v>
      </c>
      <c r="I15" s="39" t="n">
        <v>3</v>
      </c>
      <c r="J15" s="39" t="n">
        <v>3</v>
      </c>
      <c r="K15" s="39" t="n">
        <v>3</v>
      </c>
      <c r="L15" s="39" t="n">
        <v>3</v>
      </c>
      <c r="M15" s="39" t="n">
        <v>1</v>
      </c>
      <c r="N15" s="39" t="n">
        <v>1</v>
      </c>
      <c r="O15" s="39" t="n">
        <v>1</v>
      </c>
      <c r="P15" s="39" t="n">
        <v>1</v>
      </c>
      <c r="Q15" s="39" t="n">
        <v>1</v>
      </c>
      <c r="R15" s="39" t="n">
        <v>1</v>
      </c>
      <c r="S15" s="39" t="n">
        <v>1</v>
      </c>
      <c r="T15" s="39" t="n">
        <v>1</v>
      </c>
      <c r="U15" s="39" t="n">
        <v>3</v>
      </c>
      <c r="V15" s="39" t="n">
        <v>3</v>
      </c>
      <c r="W15" s="39" t="n">
        <v>3</v>
      </c>
      <c r="X15" s="39" t="n">
        <v>3</v>
      </c>
      <c r="Y15" s="39" t="n">
        <v>3</v>
      </c>
      <c r="Z15" s="39" t="n">
        <v>3</v>
      </c>
      <c r="AA15" s="39" t="n"/>
      <c r="AB15" s="6" t="n"/>
      <c r="AC15" s="6" t="n"/>
      <c r="AD15" s="6" t="n"/>
      <c r="AE15" s="380">
        <f>AC15+IF(NOT(ISBLANK(OFFSET(AE15,0,6))),N(OFFSET(AE15,0,6)),N(OFFSET(AE15,0,7)))-AD15</f>
        <v/>
      </c>
      <c r="AF15" s="608" t="n"/>
      <c r="AG15" s="78" t="n"/>
      <c r="AH15" s="78" t="n"/>
      <c r="AI15" s="608" t="n"/>
      <c r="AJ15" s="32" t="n"/>
      <c r="AK15" s="114" t="n">
        <v>0</v>
      </c>
      <c r="AL15" s="19" t="n">
        <v>0</v>
      </c>
      <c r="AM15" s="19" t="n">
        <v>0</v>
      </c>
      <c r="AN15" s="19" t="n"/>
      <c r="AO15" s="119" t="n">
        <v>1</v>
      </c>
      <c r="AP15" s="19" t="n"/>
      <c r="AQ15" s="19" t="n"/>
      <c r="AR15" s="19" t="n"/>
      <c r="AS15" s="19" t="n"/>
      <c r="AT15" s="19" t="n"/>
      <c r="AU15" s="19" t="n">
        <v>2</v>
      </c>
      <c r="AV15" s="19" t="n">
        <v>1</v>
      </c>
      <c r="AW15" s="19" t="n">
        <v>1</v>
      </c>
      <c r="AX15" s="19" t="n"/>
      <c r="AZ15" s="21" t="inlineStr">
        <is>
          <t>ADESIVOS</t>
        </is>
      </c>
      <c r="BA15" s="6" t="n">
        <v>200</v>
      </c>
      <c r="BB15" s="39">
        <f>AL15</f>
        <v/>
      </c>
      <c r="BC15" s="39" t="n">
        <v>1</v>
      </c>
      <c r="BD15" s="39" t="n">
        <v>1</v>
      </c>
      <c r="BE15" s="39" t="n">
        <v>1</v>
      </c>
      <c r="BF15" s="39" t="n">
        <v>0</v>
      </c>
      <c r="BG15" s="39" t="n">
        <v>0</v>
      </c>
      <c r="BH15" s="39" t="n"/>
      <c r="BI15" s="6" t="n"/>
      <c r="BJ15" s="6" t="n"/>
      <c r="BK15" s="6" t="n"/>
      <c r="BL15" s="26">
        <f>BJ15+IF(NOT(ISBLANK(OFFSET(BL15,0,6))),N(OFFSET(BL15,0,6)),N(OFFSET(BL15,0,7)))-BK15</f>
        <v/>
      </c>
    </row>
    <row r="16" customFormat="1" s="3">
      <c r="A16" s="25" t="inlineStr">
        <is>
          <t xml:space="preserve">TAGS </t>
        </is>
      </c>
      <c r="B16" s="6" t="n">
        <v>200</v>
      </c>
      <c r="C16" s="632" t="n">
        <v>10.28</v>
      </c>
      <c r="D16" s="240" t="n">
        <v>2</v>
      </c>
      <c r="E16" s="1" t="n"/>
      <c r="F16" s="39" t="n">
        <v>1</v>
      </c>
      <c r="G16" s="39" t="n">
        <v>0</v>
      </c>
      <c r="H16" s="39" t="n">
        <v>0</v>
      </c>
      <c r="I16" s="39" t="n">
        <v>3</v>
      </c>
      <c r="J16" s="39" t="n">
        <v>4</v>
      </c>
      <c r="K16" s="39" t="n">
        <v>3</v>
      </c>
      <c r="L16" s="39">
        <f>3+AO16</f>
        <v/>
      </c>
      <c r="M16" s="39" t="n">
        <v>4</v>
      </c>
      <c r="N16" s="39" t="n">
        <v>4</v>
      </c>
      <c r="O16" s="39" t="n">
        <v>4</v>
      </c>
      <c r="P16" s="39" t="n">
        <v>3</v>
      </c>
      <c r="Q16" s="39" t="n">
        <v>2</v>
      </c>
      <c r="R16" s="39" t="n">
        <v>2</v>
      </c>
      <c r="S16" s="39" t="n">
        <v>2</v>
      </c>
      <c r="T16" s="39" t="n">
        <v>1</v>
      </c>
      <c r="U16" s="39" t="n">
        <v>1</v>
      </c>
      <c r="V16" s="39">
        <f>1+AJ16</f>
        <v/>
      </c>
      <c r="W16" s="39" t="n">
        <v>1</v>
      </c>
      <c r="X16" s="39" t="n">
        <v>1</v>
      </c>
      <c r="Y16" s="39">
        <f>1+AJ16</f>
        <v/>
      </c>
      <c r="Z16" s="39" t="n">
        <v>1</v>
      </c>
      <c r="AA16" s="39" t="n"/>
      <c r="AB16" s="6" t="n"/>
      <c r="AC16" s="6" t="n"/>
      <c r="AD16" s="6" t="n"/>
      <c r="AE16" s="380">
        <f>AC16+IF(NOT(ISBLANK(OFFSET(AE16,0,6))),N(OFFSET(AE16,0,6)),N(OFFSET(AE16,0,7)))-AD16</f>
        <v/>
      </c>
      <c r="AF16" s="1" t="n"/>
      <c r="AG16" s="78" t="inlineStr">
        <is>
          <t>01 DE JSH</t>
        </is>
      </c>
      <c r="AH16" s="78" t="n"/>
      <c r="AI16" s="1" t="n"/>
      <c r="AJ16" s="32" t="n"/>
      <c r="AK16" s="628" t="n">
        <v>0</v>
      </c>
      <c r="AL16" s="19" t="n">
        <v>0</v>
      </c>
      <c r="AM16" s="19" t="n">
        <v>1</v>
      </c>
      <c r="AN16" s="19" t="n">
        <v>1</v>
      </c>
      <c r="AO16" s="19" t="n"/>
      <c r="AP16" s="19" t="n"/>
      <c r="AQ16" s="19" t="n"/>
      <c r="AR16" s="19" t="n">
        <v>1</v>
      </c>
      <c r="AS16" s="19" t="n"/>
      <c r="AT16" s="19" t="n">
        <v>1</v>
      </c>
      <c r="AU16" s="19" t="n">
        <v>3</v>
      </c>
      <c r="AV16" s="19" t="n">
        <v>1</v>
      </c>
      <c r="AW16" s="19" t="n"/>
      <c r="AX16" s="19" t="n">
        <v>1</v>
      </c>
    </row>
    <row r="17" customFormat="1" s="3">
      <c r="A17" s="25" t="inlineStr">
        <is>
          <t>LÂMINA OLFATIVA</t>
        </is>
      </c>
      <c r="B17" s="6" t="n">
        <v>3000</v>
      </c>
      <c r="C17" s="632" t="n">
        <v>71.8</v>
      </c>
      <c r="D17" s="240" t="n">
        <v>1</v>
      </c>
      <c r="E17" s="1" t="n"/>
      <c r="F17" s="125" t="n">
        <v>1</v>
      </c>
      <c r="G17" s="125" t="n">
        <v>1</v>
      </c>
      <c r="H17" s="125" t="n">
        <v>0</v>
      </c>
      <c r="I17" s="125" t="n">
        <v>2</v>
      </c>
      <c r="J17" s="125" t="n">
        <v>2</v>
      </c>
      <c r="K17" s="125" t="n">
        <v>2</v>
      </c>
      <c r="L17" s="125" t="n">
        <v>2</v>
      </c>
      <c r="M17" s="125" t="n">
        <v>2</v>
      </c>
      <c r="N17" s="125" t="n">
        <v>2</v>
      </c>
      <c r="O17" s="125" t="n">
        <v>1</v>
      </c>
      <c r="P17" s="125" t="n">
        <v>1</v>
      </c>
      <c r="Q17" s="125" t="n">
        <v>1</v>
      </c>
      <c r="R17" s="125" t="n">
        <v>1</v>
      </c>
      <c r="S17" s="125" t="n">
        <v>0</v>
      </c>
      <c r="T17" s="125" t="n">
        <v>0</v>
      </c>
      <c r="U17" s="125" t="n">
        <v>0</v>
      </c>
      <c r="V17" s="125">
        <f>0+AJ17</f>
        <v/>
      </c>
      <c r="W17" s="125" t="n">
        <v>1</v>
      </c>
      <c r="X17" s="125" t="n">
        <v>1</v>
      </c>
      <c r="Y17" s="125">
        <f>0+AJ17</f>
        <v/>
      </c>
      <c r="Z17" s="125" t="n">
        <v>1</v>
      </c>
      <c r="AA17" s="125" t="n"/>
      <c r="AB17" s="84" t="n"/>
      <c r="AC17" s="84" t="n"/>
      <c r="AD17" s="84" t="n"/>
      <c r="AE17" s="380">
        <f>AC17+IF(NOT(ISBLANK(OFFSET(AE17,0,6))),N(OFFSET(AE17,0,6)),N(OFFSET(AE17,0,7)))-AD17</f>
        <v/>
      </c>
      <c r="AF17" s="1" t="n"/>
      <c r="AG17" s="419" t="inlineStr">
        <is>
          <t>01 DE IT</t>
        </is>
      </c>
      <c r="AH17" s="78" t="n"/>
      <c r="AI17" s="1" t="n"/>
      <c r="AJ17" s="32" t="n"/>
      <c r="AK17" s="628" t="n">
        <v>0</v>
      </c>
      <c r="AL17" s="19" t="n">
        <v>0</v>
      </c>
      <c r="AM17" s="19" t="n">
        <v>1</v>
      </c>
      <c r="AN17" s="19" t="n">
        <v>1</v>
      </c>
      <c r="AO17" s="19" t="n"/>
      <c r="AP17" s="19" t="n"/>
      <c r="AQ17" s="19" t="n"/>
      <c r="AR17" s="19" t="n"/>
      <c r="AS17" s="19" t="n"/>
      <c r="AT17" s="19" t="n"/>
      <c r="AU17" s="19" t="n">
        <v>2</v>
      </c>
      <c r="AV17" s="19" t="n"/>
      <c r="AW17" s="19" t="n">
        <v>2</v>
      </c>
      <c r="AX17" s="19" t="n">
        <v>1</v>
      </c>
    </row>
    <row r="18" ht="14.25" customFormat="1" customHeight="1" s="3">
      <c r="A18" s="23" t="n"/>
      <c r="D18" s="277" t="n"/>
      <c r="AG18" s="349" t="n"/>
      <c r="AH18" s="349" t="n"/>
      <c r="AJ18" s="352" t="n"/>
      <c r="AK18" s="396" t="n"/>
      <c r="AL18" s="396" t="n"/>
      <c r="AM18" s="396" t="n"/>
      <c r="AN18" s="396" t="n"/>
      <c r="AO18" s="396" t="n"/>
      <c r="AP18" s="396" t="n"/>
      <c r="AQ18" s="396" t="n"/>
      <c r="AR18" s="396" t="n"/>
      <c r="AS18" s="396" t="n"/>
      <c r="AT18" s="396" t="n"/>
      <c r="AU18" s="396" t="n"/>
      <c r="AV18" s="396" t="n"/>
      <c r="AW18" s="396" t="n"/>
      <c r="AX18" s="396" t="n"/>
    </row>
    <row r="19" customFormat="1" s="3">
      <c r="A19" s="548" t="inlineStr">
        <is>
          <t>CAIXAS</t>
        </is>
      </c>
      <c r="B19" s="12" t="inlineStr">
        <is>
          <t>PCT</t>
        </is>
      </c>
      <c r="C19" s="654" t="n"/>
      <c r="D19" s="403" t="n"/>
      <c r="E19" s="1" t="n"/>
      <c r="F19" s="619" t="n">
        <v>46013</v>
      </c>
      <c r="G19" s="619" t="n">
        <v>46020</v>
      </c>
      <c r="H19" s="619" t="n">
        <v>46027</v>
      </c>
      <c r="I19" s="619" t="n">
        <v>46034</v>
      </c>
      <c r="J19" s="619" t="n">
        <v>46041</v>
      </c>
      <c r="K19" s="619" t="n">
        <v>46048</v>
      </c>
      <c r="L19" s="619" t="n">
        <v>46055</v>
      </c>
      <c r="M19" s="619" t="n">
        <v>46062</v>
      </c>
      <c r="N19" s="619" t="n">
        <v>46069</v>
      </c>
      <c r="O19" s="619" t="n">
        <v>46076</v>
      </c>
      <c r="P19" s="619" t="n">
        <v>46083</v>
      </c>
      <c r="Q19" s="619" t="n">
        <v>46090</v>
      </c>
      <c r="R19" s="619" t="n">
        <v>46097</v>
      </c>
      <c r="S19" s="619" t="n">
        <v>46104</v>
      </c>
      <c r="T19" s="619" t="n">
        <v>46111</v>
      </c>
      <c r="U19" s="619" t="n">
        <v>46118</v>
      </c>
      <c r="V19" s="619" t="n">
        <v>46125</v>
      </c>
      <c r="W19" s="619" t="n">
        <v>46132</v>
      </c>
      <c r="X19" s="619" t="n">
        <v>46139</v>
      </c>
      <c r="Y19" s="619" t="n">
        <v>46146</v>
      </c>
      <c r="Z19" s="619" t="n">
        <v>46154</v>
      </c>
      <c r="AA19" s="619" t="n">
        <v>46160</v>
      </c>
      <c r="AB19" s="620" t="n">
        <v>46161.4801324537</v>
      </c>
      <c r="AC19" s="620" t="n">
        <v>46161.48080611111</v>
      </c>
      <c r="AD19" s="620" t="n">
        <v>46161.48296318026</v>
      </c>
      <c r="AE19" s="621" t="inlineStr">
        <is>
          <t>USOU</t>
        </is>
      </c>
      <c r="AF19" s="1" t="n"/>
      <c r="AG19" s="29" t="inlineStr">
        <is>
          <t>Pendências</t>
        </is>
      </c>
      <c r="AH19" s="29" t="inlineStr">
        <is>
          <t>Pendências</t>
        </is>
      </c>
      <c r="AI19" s="11" t="n"/>
      <c r="AJ19" s="9" t="inlineStr">
        <is>
          <t>Novo Pedido</t>
        </is>
      </c>
      <c r="AK19" s="613" t="n">
        <v>46161.48296245113</v>
      </c>
      <c r="AL19" s="614" t="n"/>
      <c r="AM19" s="614" t="n">
        <v>46142</v>
      </c>
      <c r="AN19" s="614" t="n">
        <v>46114</v>
      </c>
      <c r="AO19" s="616" t="n">
        <v>46065</v>
      </c>
      <c r="AP19" s="614" t="n">
        <v>46099</v>
      </c>
      <c r="AQ19" s="614" t="n">
        <v>46084</v>
      </c>
      <c r="AR19" s="614" t="n">
        <v>46048</v>
      </c>
      <c r="AS19" s="614" t="n">
        <v>46035</v>
      </c>
      <c r="AT19" s="614" t="n">
        <v>46029</v>
      </c>
      <c r="AU19" s="614" t="n">
        <v>46017</v>
      </c>
      <c r="AV19" s="614" t="n">
        <v>46007</v>
      </c>
      <c r="AW19" s="614" t="n">
        <v>46001</v>
      </c>
      <c r="AX19" s="614" t="n">
        <v>45951</v>
      </c>
      <c r="AZ19" s="397" t="inlineStr">
        <is>
          <t>CAIXAS</t>
        </is>
      </c>
      <c r="BA19" s="384" t="inlineStr">
        <is>
          <t>PCT</t>
        </is>
      </c>
      <c r="BB19" s="619" t="n">
        <v>46118</v>
      </c>
      <c r="BC19" s="619" t="n">
        <v>46125</v>
      </c>
      <c r="BD19" s="619" t="n">
        <v>46132</v>
      </c>
      <c r="BE19" s="619" t="n">
        <v>46139</v>
      </c>
      <c r="BF19" s="619" t="n">
        <v>46146</v>
      </c>
      <c r="BG19" s="619" t="n">
        <v>46154</v>
      </c>
      <c r="BH19" s="619" t="n">
        <v>46160</v>
      </c>
      <c r="BI19" s="620" t="n">
        <v>46161.48013189815</v>
      </c>
      <c r="BJ19" s="620" t="n">
        <v>46161.48080552083</v>
      </c>
      <c r="BK19" s="620" t="n">
        <v>46161.48296260329</v>
      </c>
      <c r="BL19" s="621" t="inlineStr">
        <is>
          <t>USOU</t>
        </is>
      </c>
    </row>
    <row r="20" customFormat="1" s="3">
      <c r="A20" s="25" t="inlineStr">
        <is>
          <t>CAIXA P VERDE</t>
        </is>
      </c>
      <c r="B20" s="6" t="n">
        <v>150</v>
      </c>
      <c r="C20" s="627" t="n">
        <v>334.31</v>
      </c>
      <c r="D20" s="240" t="n">
        <v>70</v>
      </c>
      <c r="E20" s="1" t="n"/>
      <c r="F20" s="39" t="n">
        <v>0</v>
      </c>
      <c r="G20" s="39" t="n">
        <v>0</v>
      </c>
      <c r="H20" s="39" t="n">
        <v>0</v>
      </c>
      <c r="I20" s="39" t="n">
        <v>0</v>
      </c>
      <c r="J20" s="211" t="n">
        <v>132</v>
      </c>
      <c r="K20" s="39" t="n">
        <v>55</v>
      </c>
      <c r="L20" s="39">
        <f>45+AO20</f>
        <v/>
      </c>
      <c r="M20" s="39" t="n">
        <v>183</v>
      </c>
      <c r="N20" s="39" t="n">
        <v>183</v>
      </c>
      <c r="O20" s="39" t="n">
        <v>178</v>
      </c>
      <c r="P20" s="39" t="n">
        <v>168</v>
      </c>
      <c r="Q20" s="39" t="n">
        <v>147</v>
      </c>
      <c r="R20" s="39" t="n">
        <v>138</v>
      </c>
      <c r="S20" s="39" t="n">
        <v>128</v>
      </c>
      <c r="T20" s="39" t="n">
        <v>109</v>
      </c>
      <c r="U20" s="39" t="n"/>
      <c r="V20" s="39" t="n"/>
      <c r="W20" s="39" t="n"/>
      <c r="X20" s="39" t="n">
        <v>88</v>
      </c>
      <c r="Y20" s="39" t="n">
        <v>88</v>
      </c>
      <c r="Z20" s="39" t="n">
        <v>82</v>
      </c>
      <c r="AA20" s="39" t="n">
        <v>76</v>
      </c>
      <c r="AB20" s="6" t="n">
        <v>76</v>
      </c>
      <c r="AC20" s="6" t="n">
        <v>76</v>
      </c>
      <c r="AD20" s="6" t="n">
        <v>76</v>
      </c>
      <c r="AE20" s="380">
        <f>AC20+IF(NOT(ISBLANK(OFFSET(AE20,0,6))),N(OFFSET(AE20,0,6)),N(OFFSET(AE20,0,7)))-AD20</f>
        <v/>
      </c>
      <c r="AF20" s="1" t="n"/>
      <c r="AG20" s="78" t="n"/>
      <c r="AH20" s="78" t="n"/>
      <c r="AJ20" s="32" t="n"/>
      <c r="AK20" s="628" t="n">
        <v>0</v>
      </c>
      <c r="AL20" s="19" t="n">
        <v>0</v>
      </c>
      <c r="AM20" s="19" t="n">
        <v>0</v>
      </c>
      <c r="AN20" s="19" t="n"/>
      <c r="AO20" s="119" t="n"/>
      <c r="AP20" s="19" t="n"/>
      <c r="AQ20" s="19" t="n"/>
      <c r="AR20" s="19" t="n">
        <v>150</v>
      </c>
      <c r="AS20" s="19" t="n"/>
      <c r="AT20" s="19" t="n"/>
      <c r="AU20" s="19" t="n"/>
      <c r="AV20" s="19" t="n"/>
      <c r="AW20" s="19" t="n"/>
      <c r="AX20" s="19" t="n"/>
      <c r="AZ20" s="372" t="inlineStr">
        <is>
          <t>CAIXA P</t>
        </is>
      </c>
      <c r="BA20" s="139" t="n">
        <v>150</v>
      </c>
      <c r="BB20" s="39" t="n">
        <v>0</v>
      </c>
      <c r="BC20" s="39" t="n"/>
      <c r="BD20" s="39" t="n"/>
      <c r="BE20" s="39" t="n">
        <v>27</v>
      </c>
      <c r="BF20" s="39" t="n">
        <v>24</v>
      </c>
      <c r="BG20" s="39" t="n">
        <v>-1</v>
      </c>
      <c r="BH20" s="39" t="n">
        <v>-1</v>
      </c>
      <c r="BI20" s="6" t="n"/>
      <c r="BJ20" s="6" t="n"/>
      <c r="BK20" s="6" t="n"/>
      <c r="BL20" s="26">
        <f>BJ20+IF(NOT(ISBLANK(OFFSET(BL20,0,6))),N(OFFSET(BL20,0,6)),N(OFFSET(BL20,0,7)))-BK20</f>
        <v/>
      </c>
    </row>
    <row r="21" customFormat="1" s="3">
      <c r="A21" s="25" t="inlineStr">
        <is>
          <t>CAIXA M VERDE</t>
        </is>
      </c>
      <c r="B21" s="6" t="n">
        <v>100</v>
      </c>
      <c r="C21" s="634" t="n">
        <v>292.25</v>
      </c>
      <c r="D21" s="243" t="n">
        <v>70</v>
      </c>
      <c r="E21" s="1" t="n"/>
      <c r="F21" s="27" t="n">
        <v>6</v>
      </c>
      <c r="G21" s="27" t="n">
        <v>6</v>
      </c>
      <c r="H21" s="27" t="n">
        <v>5</v>
      </c>
      <c r="I21" s="27" t="n">
        <v>4</v>
      </c>
      <c r="J21" s="298" t="n">
        <v>144</v>
      </c>
      <c r="K21" s="27" t="n">
        <v>74</v>
      </c>
      <c r="L21" s="27">
        <f>73+AO21</f>
        <v/>
      </c>
      <c r="M21" s="27" t="n">
        <v>151</v>
      </c>
      <c r="N21" s="27" t="n">
        <v>144</v>
      </c>
      <c r="O21" s="27" t="n">
        <v>136</v>
      </c>
      <c r="P21" s="27" t="n">
        <v>127</v>
      </c>
      <c r="Q21" s="27" t="n">
        <v>104</v>
      </c>
      <c r="R21" s="27" t="n">
        <v>102</v>
      </c>
      <c r="S21" s="27" t="n">
        <v>86</v>
      </c>
      <c r="T21" s="27" t="n">
        <v>79</v>
      </c>
      <c r="U21" s="27" t="n"/>
      <c r="V21" s="27" t="n"/>
      <c r="W21" s="27" t="n"/>
      <c r="X21" s="27" t="n">
        <v>55</v>
      </c>
      <c r="Y21" s="27" t="n">
        <v>55</v>
      </c>
      <c r="Z21" s="27" t="n">
        <v>36</v>
      </c>
      <c r="AA21" s="27" t="n">
        <v>27</v>
      </c>
      <c r="AB21" s="651" t="n">
        <v>27</v>
      </c>
      <c r="AC21" s="651" t="n">
        <v>27</v>
      </c>
      <c r="AD21" s="651" t="n">
        <v>27</v>
      </c>
      <c r="AE21" s="380">
        <f>AC21+IF(NOT(ISBLANK(OFFSET(AE21,0,6))),N(OFFSET(AE21,0,6)),N(OFFSET(AE21,0,7)))-AD21</f>
        <v/>
      </c>
      <c r="AF21" s="1" t="n"/>
      <c r="AG21" s="78" t="n"/>
      <c r="AH21" s="78" t="n"/>
      <c r="AJ21" s="32" t="n"/>
      <c r="AK21" s="628" t="n">
        <v>0</v>
      </c>
      <c r="AL21" s="19" t="n">
        <v>0</v>
      </c>
      <c r="AM21" s="19" t="n">
        <v>0</v>
      </c>
      <c r="AN21" s="19" t="n"/>
      <c r="AO21" s="119" t="n"/>
      <c r="AP21" s="19" t="n"/>
      <c r="AQ21" s="19" t="n"/>
      <c r="AR21" s="19" t="n">
        <v>100</v>
      </c>
      <c r="AS21" s="19" t="n"/>
      <c r="AT21" s="19" t="n"/>
      <c r="AU21" s="19" t="n"/>
      <c r="AV21" s="19" t="n"/>
      <c r="AW21" s="19" t="n"/>
      <c r="AX21" s="19" t="n"/>
      <c r="AZ21" s="21" t="inlineStr">
        <is>
          <t>CAIXA M</t>
        </is>
      </c>
      <c r="BA21" s="6" t="n">
        <v>100</v>
      </c>
      <c r="BB21" s="39" t="n">
        <v>0</v>
      </c>
      <c r="BC21" s="39" t="n"/>
      <c r="BD21" s="39" t="n"/>
      <c r="BE21" s="39" t="n">
        <v>35</v>
      </c>
      <c r="BF21" s="39" t="n">
        <v>31</v>
      </c>
      <c r="BG21" s="39" t="n">
        <v>1</v>
      </c>
      <c r="BH21" s="39" t="n">
        <v>1</v>
      </c>
      <c r="BI21" s="6" t="n"/>
      <c r="BJ21" s="6" t="n"/>
      <c r="BK21" s="6" t="n"/>
      <c r="BL21" s="26">
        <f>BJ21+IF(NOT(ISBLANK(OFFSET(BL21,0,6))),N(OFFSET(BL21,0,6)),N(OFFSET(BL21,0,7)))-BK21</f>
        <v/>
      </c>
    </row>
    <row r="22" customFormat="1" s="3">
      <c r="A22" s="25" t="inlineStr">
        <is>
          <t>CAIXA G VERDE</t>
        </is>
      </c>
      <c r="B22" s="6" t="n">
        <v>75</v>
      </c>
      <c r="C22" s="632" t="n">
        <v>425.38</v>
      </c>
      <c r="D22" s="240" t="n">
        <v>15</v>
      </c>
      <c r="E22" s="608" t="n"/>
      <c r="F22" s="27" t="n">
        <v>14</v>
      </c>
      <c r="G22" s="27" t="n">
        <v>13</v>
      </c>
      <c r="H22" s="27" t="n">
        <v>13</v>
      </c>
      <c r="I22" s="27" t="n">
        <v>13</v>
      </c>
      <c r="J22" s="27" t="n">
        <v>13</v>
      </c>
      <c r="K22" s="27" t="n">
        <v>13</v>
      </c>
      <c r="L22" s="27" t="n">
        <v>9</v>
      </c>
      <c r="M22" s="27" t="n">
        <v>9</v>
      </c>
      <c r="N22" s="27" t="n">
        <v>9</v>
      </c>
      <c r="O22" s="27" t="n">
        <v>9</v>
      </c>
      <c r="P22" s="27" t="n">
        <v>9</v>
      </c>
      <c r="Q22" s="27" t="n">
        <v>8</v>
      </c>
      <c r="R22" s="27" t="n">
        <v>8</v>
      </c>
      <c r="S22" s="27" t="n">
        <v>8</v>
      </c>
      <c r="T22" s="27" t="n">
        <v>8</v>
      </c>
      <c r="U22" s="27" t="n">
        <v>8</v>
      </c>
      <c r="V22" s="27" t="n">
        <v>8</v>
      </c>
      <c r="W22" s="27" t="n">
        <v>8</v>
      </c>
      <c r="X22" s="27" t="n">
        <v>8</v>
      </c>
      <c r="Y22" s="27" t="n">
        <v>8</v>
      </c>
      <c r="Z22" s="27" t="n">
        <v>8</v>
      </c>
      <c r="AA22" s="27" t="n">
        <v>8</v>
      </c>
      <c r="AB22" s="651" t="n">
        <v>8</v>
      </c>
      <c r="AC22" s="651" t="n">
        <v>8</v>
      </c>
      <c r="AD22" s="651" t="n">
        <v>8</v>
      </c>
      <c r="AE22" s="380">
        <f>AC22+IF(NOT(ISBLANK(OFFSET(AE22,0,6))),N(OFFSET(AE22,0,6)),N(OFFSET(AE22,0,7)))-AD22</f>
        <v/>
      </c>
      <c r="AF22" s="608" t="n"/>
      <c r="AG22" s="78" t="n"/>
      <c r="AH22" s="78" t="n"/>
      <c r="AI22" s="1" t="n"/>
      <c r="AJ22" s="32" t="n"/>
      <c r="AK22" s="628" t="n">
        <v>0</v>
      </c>
      <c r="AL22" s="19" t="n">
        <v>0</v>
      </c>
      <c r="AM22" s="19" t="n">
        <v>0</v>
      </c>
      <c r="AN22" s="19" t="n"/>
      <c r="AO22" s="1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Z22" s="22" t="inlineStr">
        <is>
          <t>CARTUCHO P</t>
        </is>
      </c>
      <c r="BA22" s="6" t="n">
        <v>200</v>
      </c>
      <c r="BB22" s="39" t="n">
        <v>0</v>
      </c>
      <c r="BC22" s="39" t="n"/>
      <c r="BD22" s="39" t="n"/>
      <c r="BE22" s="39" t="n">
        <v>32</v>
      </c>
      <c r="BF22" s="39" t="n">
        <v>22</v>
      </c>
      <c r="BG22" s="39" t="n">
        <v>0</v>
      </c>
      <c r="BH22" s="39" t="n">
        <v>0</v>
      </c>
      <c r="BI22" s="6" t="n"/>
      <c r="BJ22" s="6" t="n"/>
      <c r="BK22" s="6" t="n"/>
      <c r="BL22" s="26">
        <f>BJ22+IF(NOT(ISBLANK(OFFSET(BL22,0,6))),N(OFFSET(BL22,0,6)),N(OFFSET(BL22,0,7)))-BK22</f>
        <v/>
      </c>
    </row>
    <row r="23" customFormat="1" s="3">
      <c r="A23" s="25" t="inlineStr">
        <is>
          <t>CARTUCHO M VERDE</t>
        </is>
      </c>
      <c r="B23" s="6" t="n">
        <v>150</v>
      </c>
      <c r="C23" s="632" t="n">
        <v>427.5</v>
      </c>
      <c r="D23" s="240" t="n"/>
      <c r="E23" s="608" t="n"/>
      <c r="F23" s="2" t="n"/>
      <c r="G23" s="2" t="n"/>
      <c r="H23" s="2" t="n"/>
      <c r="I23" s="2" t="n"/>
      <c r="J23" s="2" t="n"/>
      <c r="K23" s="2" t="n"/>
      <c r="L23" s="2" t="n"/>
      <c r="M23" s="2" t="n"/>
      <c r="N23" s="27" t="n">
        <v>0</v>
      </c>
      <c r="O23" s="27" t="n">
        <v>0</v>
      </c>
      <c r="P23" s="27" t="n">
        <v>0</v>
      </c>
      <c r="Q23" s="298" t="n">
        <v>20</v>
      </c>
      <c r="R23" s="27" t="n">
        <v>0</v>
      </c>
      <c r="S23" s="27" t="n">
        <v>0</v>
      </c>
      <c r="T23" s="27" t="n">
        <v>0</v>
      </c>
      <c r="U23" s="27" t="n">
        <v>0</v>
      </c>
      <c r="V23" s="27" t="n">
        <v>0</v>
      </c>
      <c r="W23" s="27" t="n">
        <v>0</v>
      </c>
      <c r="X23" s="27" t="n">
        <v>0</v>
      </c>
      <c r="Y23" s="27" t="n">
        <v>0</v>
      </c>
      <c r="Z23" s="27" t="n">
        <v>0</v>
      </c>
      <c r="AA23" s="27" t="n">
        <v>0</v>
      </c>
      <c r="AB23" s="651" t="n">
        <v>0</v>
      </c>
      <c r="AC23" s="651" t="n">
        <v>0</v>
      </c>
      <c r="AD23" s="651" t="n">
        <v>0</v>
      </c>
      <c r="AE23" s="380">
        <f>AC23+IF(NOT(ISBLANK(OFFSET(AE23,0,6))),N(OFFSET(AE23,0,6)),N(OFFSET(AE23,0,7)))-AD23</f>
        <v/>
      </c>
      <c r="AF23" s="608" t="n"/>
      <c r="AG23" s="78" t="n"/>
      <c r="AH23" s="78" t="n"/>
      <c r="AI23" s="1" t="n"/>
      <c r="AJ23" s="32" t="n"/>
      <c r="AK23" s="628" t="n">
        <v>0</v>
      </c>
      <c r="AL23" s="19" t="n">
        <v>0</v>
      </c>
      <c r="AM23" s="19" t="n">
        <v>0</v>
      </c>
      <c r="AN23" s="19" t="n"/>
      <c r="AO23" s="119" t="n">
        <v>150</v>
      </c>
      <c r="AP23" s="19" t="n"/>
      <c r="AQ23" s="19" t="n"/>
      <c r="AR23" s="19" t="n"/>
      <c r="AS23" s="19" t="n"/>
      <c r="AT23" s="19" t="n"/>
      <c r="AU23" s="19" t="n"/>
      <c r="AV23" s="19" t="n"/>
      <c r="AW23" s="75" t="n"/>
      <c r="AX23" s="75" t="n"/>
      <c r="AZ23" s="22" t="inlineStr">
        <is>
          <t>CARTUCHO M</t>
        </is>
      </c>
      <c r="BA23" s="6" t="n">
        <v>150</v>
      </c>
      <c r="BB23" s="39">
        <f>AL23</f>
        <v/>
      </c>
      <c r="BC23" s="39" t="n"/>
      <c r="BD23" s="39" t="n"/>
      <c r="BE23" s="39" t="n">
        <v>48</v>
      </c>
      <c r="BF23" s="39" t="n">
        <v>41</v>
      </c>
      <c r="BG23" s="39" t="n">
        <v>2</v>
      </c>
      <c r="BH23" s="39" t="n">
        <v>1</v>
      </c>
      <c r="BI23" s="6" t="n"/>
      <c r="BJ23" s="6" t="n"/>
      <c r="BK23" s="6" t="n"/>
      <c r="BL23" s="26">
        <f>BJ23+IF(NOT(ISBLANK(OFFSET(BL23,0,6))),N(OFFSET(BL23,0,6)),N(OFFSET(BL23,0,7)))-BK23</f>
        <v/>
      </c>
    </row>
    <row r="24">
      <c r="AG24" s="11" t="n"/>
      <c r="AH24" s="11" t="n"/>
      <c r="AK24" s="11" t="n"/>
      <c r="AL24" s="11" t="n"/>
      <c r="AM24" s="11" t="n"/>
      <c r="AN24" s="11" t="n"/>
      <c r="AO24" s="11" t="n"/>
      <c r="AV24" s="11" t="n"/>
      <c r="AW24" s="11" t="n"/>
      <c r="AX24" s="11" t="n"/>
    </row>
    <row r="25">
      <c r="A25" s="386" t="inlineStr">
        <is>
          <t>SOBRAS CAIXAS</t>
        </is>
      </c>
      <c r="B25" s="387" t="inlineStr">
        <is>
          <t>PCT</t>
        </is>
      </c>
      <c r="C25" s="387" t="inlineStr">
        <is>
          <t xml:space="preserve">R$ </t>
        </is>
      </c>
      <c r="D25" s="387" t="n"/>
      <c r="F25" s="619" t="n">
        <v>46013</v>
      </c>
      <c r="G25" s="619" t="n">
        <v>46020</v>
      </c>
      <c r="H25" s="619" t="n">
        <v>46027</v>
      </c>
      <c r="I25" s="619" t="n">
        <v>46034</v>
      </c>
      <c r="J25" s="619" t="n">
        <v>46041</v>
      </c>
      <c r="K25" s="619" t="n">
        <v>46048</v>
      </c>
      <c r="L25" s="619" t="n">
        <v>46055</v>
      </c>
      <c r="M25" s="619" t="n">
        <v>46062</v>
      </c>
      <c r="N25" s="619" t="n">
        <v>46069</v>
      </c>
      <c r="O25" s="619" t="n">
        <v>46076</v>
      </c>
      <c r="P25" s="619" t="n">
        <v>46083</v>
      </c>
      <c r="Q25" s="619" t="n">
        <v>46090</v>
      </c>
      <c r="R25" s="619" t="n">
        <v>46097</v>
      </c>
      <c r="S25" s="619" t="n">
        <v>46104</v>
      </c>
      <c r="T25" s="619" t="n">
        <v>46111</v>
      </c>
      <c r="U25" s="619" t="n">
        <v>46118</v>
      </c>
      <c r="V25" s="619" t="n">
        <v>46125</v>
      </c>
      <c r="W25" s="619" t="n">
        <v>46132</v>
      </c>
      <c r="X25" s="619" t="n">
        <v>46139</v>
      </c>
      <c r="Y25" s="619" t="n">
        <v>46146</v>
      </c>
      <c r="Z25" s="619" t="n">
        <v>46154</v>
      </c>
      <c r="AA25" s="619" t="n">
        <v>46160</v>
      </c>
      <c r="AB25" s="620" t="n">
        <v>46161.4801324537</v>
      </c>
      <c r="AC25" s="620" t="n">
        <v>46161.48080611111</v>
      </c>
      <c r="AD25" s="620" t="n">
        <v>46161.48296318052</v>
      </c>
      <c r="AE25" s="621" t="inlineStr">
        <is>
          <t>USOU</t>
        </is>
      </c>
      <c r="AG25" s="11" t="n"/>
      <c r="AH25" s="11" t="n"/>
      <c r="AK25" s="11" t="n"/>
      <c r="AL25" s="11" t="n"/>
      <c r="AM25" s="11" t="n"/>
      <c r="AN25" s="11" t="n"/>
      <c r="AO25" s="11" t="n"/>
      <c r="AP25" s="11" t="n"/>
      <c r="AQ25" s="11" t="n"/>
      <c r="AR25" s="11" t="n"/>
      <c r="AS25" s="11" t="n"/>
      <c r="AT25" s="11" t="n"/>
      <c r="AU25" s="11" t="n"/>
      <c r="AV25" s="11" t="n"/>
      <c r="AW25" s="11" t="n"/>
      <c r="AX25" s="11" t="n"/>
    </row>
    <row r="26" hidden="1" ht="18.75" customHeight="1">
      <c r="A26" s="390" t="inlineStr">
        <is>
          <t>CAIXA M PAIS/24</t>
        </is>
      </c>
      <c r="B26" s="391" t="n">
        <v>100</v>
      </c>
      <c r="C26" s="661" t="n">
        <v>722</v>
      </c>
      <c r="D26" s="404" t="n"/>
      <c r="F26" s="39" t="n">
        <v>0</v>
      </c>
      <c r="G26" s="39" t="n">
        <v>0</v>
      </c>
      <c r="H26" s="39" t="n"/>
      <c r="I26" s="39" t="n"/>
      <c r="J26" s="39" t="n"/>
      <c r="K26" s="39" t="n"/>
      <c r="L26" s="39" t="n"/>
      <c r="M26" s="39" t="n"/>
      <c r="N26" s="39" t="n"/>
      <c r="O26" s="39" t="n"/>
      <c r="P26" s="39" t="n"/>
      <c r="Q26" s="39" t="n"/>
      <c r="R26" s="39" t="n"/>
      <c r="S26" s="39" t="n"/>
      <c r="T26" s="39" t="n"/>
      <c r="U26" s="39" t="n"/>
      <c r="V26" s="39" t="n"/>
      <c r="W26" s="39" t="n"/>
      <c r="X26" s="39" t="n"/>
      <c r="Y26" s="39" t="n"/>
      <c r="Z26" s="39" t="n"/>
      <c r="AA26" s="39" t="n"/>
      <c r="AB26" s="6" t="n"/>
      <c r="AC26" s="6" t="n"/>
      <c r="AD26" s="6" t="n"/>
      <c r="AE26" s="26">
        <f>AC26+IF(NOT(ISBLANK(OFFSET(AE26,0,6))),N(OFFSET(AE26,0,6)),N(OFFSET(AE26,0,7)))-AD26</f>
        <v/>
      </c>
      <c r="AG26" s="11" t="n"/>
      <c r="AH26" s="11" t="n"/>
      <c r="AK26" s="11" t="n"/>
      <c r="AL26" s="11" t="n"/>
      <c r="AM26" s="11" t="n"/>
      <c r="AN26" s="11" t="n"/>
      <c r="AO26" s="11" t="n"/>
      <c r="AP26" s="11" t="n"/>
      <c r="AQ26" s="11" t="n"/>
      <c r="AR26" s="11" t="n"/>
      <c r="AS26" s="11" t="n"/>
      <c r="AT26" s="11" t="n"/>
      <c r="AU26" s="11" t="n"/>
      <c r="AV26" s="11" t="n"/>
      <c r="AW26" s="11" t="n"/>
      <c r="AX26" s="11" t="n"/>
    </row>
    <row r="27">
      <c r="A27" s="392" t="inlineStr">
        <is>
          <t>CAIXA M DIVERT./24</t>
        </is>
      </c>
      <c r="B27" s="393" t="n">
        <v>100</v>
      </c>
      <c r="C27" s="635" t="n">
        <v>790</v>
      </c>
      <c r="D27" s="404" t="n"/>
      <c r="F27" s="39" t="n">
        <v>61</v>
      </c>
      <c r="G27" s="39" t="n">
        <v>0</v>
      </c>
      <c r="H27" s="39" t="n">
        <v>0</v>
      </c>
      <c r="I27" s="39" t="n">
        <v>0</v>
      </c>
      <c r="J27" s="39" t="n">
        <v>0</v>
      </c>
      <c r="K27" s="39" t="n">
        <v>0</v>
      </c>
      <c r="L27" s="39" t="n">
        <v>0</v>
      </c>
      <c r="M27" s="39" t="n">
        <v>0</v>
      </c>
      <c r="N27" s="39" t="n">
        <v>0</v>
      </c>
      <c r="O27" s="39" t="n">
        <v>0</v>
      </c>
      <c r="P27" s="39" t="n">
        <v>0</v>
      </c>
      <c r="Q27" s="39" t="n">
        <v>0</v>
      </c>
      <c r="R27" s="211" t="n">
        <v>15</v>
      </c>
      <c r="S27" s="6" t="n">
        <v>15</v>
      </c>
      <c r="T27" s="6" t="n">
        <v>15</v>
      </c>
      <c r="U27" s="6" t="n">
        <v>15</v>
      </c>
      <c r="V27" s="6" t="n">
        <v>15</v>
      </c>
      <c r="W27" s="6" t="n">
        <v>15</v>
      </c>
      <c r="X27" s="6" t="n">
        <v>15</v>
      </c>
      <c r="Y27" s="6" t="n">
        <v>15</v>
      </c>
      <c r="Z27" s="6" t="n">
        <v>15</v>
      </c>
      <c r="AA27" s="6" t="n">
        <v>15</v>
      </c>
      <c r="AB27" s="6" t="n">
        <v>15</v>
      </c>
      <c r="AC27" s="6" t="n">
        <v>15</v>
      </c>
      <c r="AD27" s="6" t="n">
        <v>15</v>
      </c>
      <c r="AE27" s="380">
        <f>AC27+IF(NOT(ISBLANK(OFFSET(AE27,0,6))),N(OFFSET(AE27,0,6)),N(OFFSET(AE27,0,7)))-AD27</f>
        <v/>
      </c>
      <c r="AG27" s="11" t="n"/>
      <c r="AH27" s="11" t="n"/>
      <c r="AK27" s="11" t="n"/>
      <c r="AL27" s="11" t="n"/>
      <c r="AM27" s="11" t="n"/>
      <c r="AN27" s="11" t="n"/>
      <c r="AO27" s="11" t="n"/>
      <c r="AP27" s="11" t="n"/>
      <c r="AQ27" s="11" t="n"/>
      <c r="AR27" s="11" t="n"/>
      <c r="AS27" s="11" t="n"/>
      <c r="AT27" s="11" t="n"/>
      <c r="AU27" s="11" t="n"/>
      <c r="AV27" s="11" t="n"/>
      <c r="AW27" s="11" t="n"/>
      <c r="AX27" s="11" t="n"/>
    </row>
    <row r="28" hidden="1" ht="18" customHeight="1">
      <c r="A28" s="394" t="inlineStr">
        <is>
          <t>CAIXA P NAT./24</t>
        </is>
      </c>
      <c r="B28" s="163" t="n">
        <v>150</v>
      </c>
      <c r="C28" s="636" t="n">
        <v>715.5</v>
      </c>
      <c r="D28" s="404" t="n"/>
      <c r="F28" s="39" t="n"/>
      <c r="G28" s="39" t="n"/>
      <c r="H28" s="39" t="n"/>
      <c r="I28" s="39" t="n"/>
      <c r="J28" s="39" t="n"/>
      <c r="K28" s="39" t="n"/>
      <c r="L28" s="39" t="n"/>
      <c r="M28" s="39" t="n"/>
      <c r="N28" s="39" t="n"/>
      <c r="O28" s="39" t="n"/>
      <c r="P28" s="39" t="n"/>
      <c r="Q28" s="39" t="n"/>
      <c r="R28" s="39" t="n"/>
      <c r="S28" s="39" t="n"/>
      <c r="T28" s="39" t="n"/>
      <c r="U28" s="39" t="n"/>
      <c r="V28" s="39" t="n"/>
      <c r="W28" s="39" t="n"/>
      <c r="X28" s="39" t="n"/>
      <c r="Y28" s="39" t="n"/>
      <c r="Z28" s="39" t="n"/>
      <c r="AA28" s="39" t="n"/>
      <c r="AB28" s="6" t="n"/>
      <c r="AC28" s="6" t="n"/>
      <c r="AD28" s="6" t="n"/>
      <c r="AE28" s="26">
        <f>AC28+IF(NOT(ISBLANK(OFFSET(AE28,0,6))),N(OFFSET(AE28,0,6)),N(OFFSET(AE28,0,7)))-AD28</f>
        <v/>
      </c>
      <c r="AG28" s="11" t="n"/>
      <c r="AH28" s="11" t="n"/>
      <c r="AK28" s="11" t="n"/>
      <c r="AL28" s="11" t="n"/>
      <c r="AM28" s="11" t="n"/>
      <c r="AN28" s="11" t="n"/>
      <c r="AO28" s="11" t="n"/>
      <c r="AP28" s="11" t="n"/>
      <c r="AQ28" s="11" t="n"/>
      <c r="AR28" s="11" t="n"/>
      <c r="AS28" s="11" t="n"/>
      <c r="AT28" s="11" t="n"/>
      <c r="AU28" s="11" t="n"/>
      <c r="AV28" s="11" t="n"/>
      <c r="AW28" s="11" t="n"/>
      <c r="AX28" s="11" t="n"/>
    </row>
    <row r="29" hidden="1" ht="18" customHeight="1">
      <c r="A29" s="394" t="inlineStr">
        <is>
          <t>CAIXA M NAT./24</t>
        </is>
      </c>
      <c r="B29" s="163" t="n">
        <v>100</v>
      </c>
      <c r="C29" s="636" t="n">
        <v>746</v>
      </c>
      <c r="D29" s="404" t="n"/>
      <c r="F29" s="39" t="n"/>
      <c r="G29" s="39" t="n"/>
      <c r="H29" s="39" t="n"/>
      <c r="I29" s="39" t="n"/>
      <c r="J29" s="39" t="n"/>
      <c r="K29" s="39" t="n"/>
      <c r="L29" s="39" t="n"/>
      <c r="M29" s="39" t="n"/>
      <c r="N29" s="39" t="n"/>
      <c r="O29" s="39" t="n"/>
      <c r="P29" s="39" t="n"/>
      <c r="Q29" s="39" t="n"/>
      <c r="R29" s="39" t="n"/>
      <c r="S29" s="39" t="n"/>
      <c r="T29" s="39" t="n"/>
      <c r="U29" s="39" t="n"/>
      <c r="V29" s="39" t="n"/>
      <c r="W29" s="39" t="n"/>
      <c r="X29" s="39" t="n"/>
      <c r="Y29" s="39" t="n"/>
      <c r="Z29" s="39" t="n"/>
      <c r="AA29" s="39" t="n"/>
      <c r="AB29" s="6" t="n"/>
      <c r="AC29" s="6" t="n"/>
      <c r="AD29" s="6" t="n"/>
      <c r="AE29" s="26">
        <f>AC29+IF(NOT(ISBLANK(OFFSET(AE29,0,6))),N(OFFSET(AE29,0,6)),N(OFFSET(AE29,0,7)))-AD29</f>
        <v/>
      </c>
      <c r="AG29" s="11" t="n"/>
      <c r="AH29" s="11" t="n"/>
      <c r="AK29" s="11" t="n"/>
      <c r="AL29" s="11" t="n"/>
      <c r="AM29" s="11" t="n"/>
      <c r="AN29" s="11" t="n"/>
      <c r="AO29" s="11" t="n"/>
      <c r="AP29" s="11" t="n"/>
      <c r="AQ29" s="11" t="n"/>
      <c r="AR29" s="11" t="n"/>
      <c r="AS29" s="11" t="n"/>
      <c r="AT29" s="11" t="n"/>
      <c r="AU29" s="11" t="n"/>
      <c r="AV29" s="11" t="n"/>
      <c r="AW29" s="11" t="n"/>
      <c r="AX29" s="11" t="n"/>
    </row>
    <row r="30" hidden="1" ht="18" customHeight="1">
      <c r="A30" s="394" t="inlineStr">
        <is>
          <t>CAIXA G NAT./24</t>
        </is>
      </c>
      <c r="B30" s="163" t="n">
        <v>50</v>
      </c>
      <c r="C30" s="636" t="n">
        <v>777</v>
      </c>
      <c r="D30" s="404" t="n"/>
      <c r="F30" s="39" t="n"/>
      <c r="G30" s="39" t="n"/>
      <c r="H30" s="39" t="n"/>
      <c r="I30" s="39" t="n"/>
      <c r="J30" s="39" t="n"/>
      <c r="K30" s="39" t="n"/>
      <c r="L30" s="39" t="n"/>
      <c r="M30" s="39" t="n"/>
      <c r="N30" s="39" t="n"/>
      <c r="O30" s="39" t="n"/>
      <c r="P30" s="39" t="n"/>
      <c r="Q30" s="39" t="n"/>
      <c r="R30" s="39" t="n"/>
      <c r="S30" s="39" t="n"/>
      <c r="T30" s="39" t="n"/>
      <c r="U30" s="39" t="n"/>
      <c r="V30" s="39" t="n"/>
      <c r="W30" s="39" t="n"/>
      <c r="X30" s="39" t="n"/>
      <c r="Y30" s="39" t="n"/>
      <c r="Z30" s="39" t="n"/>
      <c r="AA30" s="39" t="n"/>
      <c r="AB30" s="6" t="n"/>
      <c r="AC30" s="6" t="n"/>
      <c r="AD30" s="6" t="n"/>
      <c r="AE30" s="26">
        <f>AC30+IF(NOT(ISBLANK(OFFSET(AE30,0,6))),N(OFFSET(AE30,0,6)),N(OFFSET(AE30,0,7)))-AD30</f>
        <v/>
      </c>
      <c r="AG30" s="11" t="n"/>
      <c r="AH30" s="11" t="n"/>
      <c r="AK30" s="11" t="n"/>
      <c r="AL30" s="11" t="n"/>
      <c r="AM30" s="11" t="n"/>
      <c r="AN30" s="11" t="n"/>
      <c r="AO30" s="11" t="n"/>
      <c r="AP30" s="11" t="n"/>
      <c r="AQ30" s="11" t="n"/>
      <c r="AR30" s="11" t="n"/>
      <c r="AS30" s="11" t="n"/>
      <c r="AT30" s="11" t="n"/>
      <c r="AU30" s="11" t="n"/>
      <c r="AV30" s="11" t="n"/>
      <c r="AW30" s="11" t="n"/>
      <c r="AX30" s="11" t="n"/>
    </row>
    <row r="31" hidden="1" ht="18" customHeight="1">
      <c r="A31" s="394" t="inlineStr">
        <is>
          <t>CARTUCHO P NAT./24</t>
        </is>
      </c>
      <c r="B31" s="163" t="n">
        <v>200</v>
      </c>
      <c r="C31" s="636" t="n">
        <v>486</v>
      </c>
      <c r="D31" s="404" t="n"/>
      <c r="F31" s="39" t="n"/>
      <c r="G31" s="39" t="n"/>
      <c r="H31" s="39" t="n"/>
      <c r="I31" s="39" t="n"/>
      <c r="J31" s="39" t="n"/>
      <c r="K31" s="39" t="n"/>
      <c r="L31" s="39" t="n"/>
      <c r="M31" s="39" t="n"/>
      <c r="N31" s="39" t="n"/>
      <c r="O31" s="39" t="n"/>
      <c r="P31" s="39" t="n"/>
      <c r="Q31" s="39" t="n"/>
      <c r="R31" s="39" t="n"/>
      <c r="S31" s="39" t="n"/>
      <c r="T31" s="39" t="n"/>
      <c r="U31" s="39" t="n"/>
      <c r="V31" s="39" t="n"/>
      <c r="W31" s="39" t="n"/>
      <c r="X31" s="39" t="n"/>
      <c r="Y31" s="39" t="n"/>
      <c r="Z31" s="39" t="n"/>
      <c r="AA31" s="39" t="n"/>
      <c r="AB31" s="6" t="n"/>
      <c r="AC31" s="6" t="n"/>
      <c r="AD31" s="6" t="n"/>
      <c r="AE31" s="26">
        <f>AC31+IF(NOT(ISBLANK(OFFSET(AE31,0,6))),N(OFFSET(AE31,0,6)),N(OFFSET(AE31,0,7)))-AD31</f>
        <v/>
      </c>
      <c r="AG31" s="11" t="n"/>
      <c r="AH31" s="11" t="n"/>
      <c r="AK31" s="11" t="n"/>
      <c r="AL31" s="11" t="n"/>
      <c r="AM31" s="11" t="n"/>
      <c r="AN31" s="11" t="n"/>
      <c r="AO31" s="11" t="n"/>
      <c r="AP31" s="11" t="n"/>
      <c r="AQ31" s="11" t="n"/>
      <c r="AR31" s="11" t="n"/>
      <c r="AS31" s="11" t="n"/>
      <c r="AT31" s="11" t="n"/>
      <c r="AU31" s="11" t="n"/>
      <c r="AV31" s="11" t="n"/>
      <c r="AW31" s="11" t="n"/>
      <c r="AX31" s="11" t="n"/>
    </row>
    <row r="32" hidden="1" ht="18" customHeight="1">
      <c r="A32" s="394" t="inlineStr">
        <is>
          <t>CARTUCHO M NAT./24</t>
        </is>
      </c>
      <c r="B32" s="163" t="n">
        <v>150</v>
      </c>
      <c r="C32" s="636" t="n">
        <v>459</v>
      </c>
      <c r="D32" s="404" t="n"/>
      <c r="F32" s="39" t="n"/>
      <c r="G32" s="39" t="n"/>
      <c r="H32" s="39" t="n"/>
      <c r="I32" s="39" t="n"/>
      <c r="J32" s="39" t="n"/>
      <c r="K32" s="39" t="n"/>
      <c r="L32" s="39" t="n"/>
      <c r="M32" s="39" t="n"/>
      <c r="N32" s="39" t="n"/>
      <c r="O32" s="39" t="n"/>
      <c r="P32" s="39" t="n"/>
      <c r="Q32" s="39" t="n"/>
      <c r="R32" s="39" t="n"/>
      <c r="S32" s="39" t="n"/>
      <c r="T32" s="39" t="n"/>
      <c r="U32" s="39" t="n"/>
      <c r="V32" s="39" t="n"/>
      <c r="W32" s="39" t="n"/>
      <c r="X32" s="39" t="n"/>
      <c r="Y32" s="39" t="n"/>
      <c r="Z32" s="39" t="n"/>
      <c r="AA32" s="39" t="n"/>
      <c r="AB32" s="6" t="n"/>
      <c r="AC32" s="6" t="n"/>
      <c r="AD32" s="6" t="n"/>
      <c r="AE32" s="26">
        <f>AC32+IF(NOT(ISBLANK(OFFSET(AE32,0,6))),N(OFFSET(AE32,0,6)),N(OFFSET(AE32,0,7)))-AD32</f>
        <v/>
      </c>
      <c r="AG32" s="11" t="n"/>
      <c r="AH32" s="11" t="n"/>
      <c r="AK32" s="11" t="n"/>
      <c r="AL32" s="11" t="n"/>
      <c r="AM32" s="11" t="n"/>
      <c r="AN32" s="11" t="n"/>
      <c r="AO32" s="11" t="n"/>
      <c r="AP32" s="11" t="n"/>
      <c r="AQ32" s="11" t="n"/>
      <c r="AR32" s="11" t="n"/>
      <c r="AS32" s="11" t="n"/>
      <c r="AT32" s="11" t="n"/>
      <c r="AU32" s="11" t="n"/>
      <c r="AV32" s="11" t="n"/>
      <c r="AW32" s="11" t="n"/>
      <c r="AX32" s="11" t="n"/>
    </row>
    <row r="33" hidden="1" ht="18" customHeight="1">
      <c r="A33" s="394" t="inlineStr">
        <is>
          <t>ÁRVORE</t>
        </is>
      </c>
      <c r="B33" s="163" t="n">
        <v>100</v>
      </c>
      <c r="C33" s="636" t="n">
        <v>295</v>
      </c>
      <c r="D33" s="404" t="n"/>
      <c r="F33" s="39" t="n">
        <v>0</v>
      </c>
      <c r="G33" s="39" t="n">
        <v>0</v>
      </c>
      <c r="H33" s="39" t="n"/>
      <c r="I33" s="39" t="n"/>
      <c r="J33" s="39" t="n"/>
      <c r="K33" s="39" t="n"/>
      <c r="L33" s="39" t="n"/>
      <c r="M33" s="39" t="n"/>
      <c r="N33" s="39" t="n"/>
      <c r="O33" s="39" t="n"/>
      <c r="P33" s="39" t="n"/>
      <c r="Q33" s="39" t="n"/>
      <c r="R33" s="39" t="n"/>
      <c r="S33" s="39" t="n"/>
      <c r="T33" s="39" t="n"/>
      <c r="U33" s="39" t="n"/>
      <c r="V33" s="39" t="n"/>
      <c r="W33" s="39" t="n"/>
      <c r="X33" s="39" t="n"/>
      <c r="Y33" s="39" t="n"/>
      <c r="Z33" s="39" t="n"/>
      <c r="AA33" s="39" t="n"/>
      <c r="AB33" s="6" t="n"/>
      <c r="AC33" s="6" t="n"/>
      <c r="AD33" s="6" t="n"/>
      <c r="AE33" s="26">
        <f>AC33+IF(NOT(ISBLANK(OFFSET(AE33,0,6))),N(OFFSET(AE33,0,6)),N(OFFSET(AE33,0,7)))-AD33</f>
        <v/>
      </c>
      <c r="AG33" s="11" t="n"/>
      <c r="AH33" s="11" t="n"/>
      <c r="AK33" s="11" t="n"/>
      <c r="AL33" s="11" t="n"/>
      <c r="AM33" s="11" t="n"/>
      <c r="AN33" s="11" t="n"/>
      <c r="AO33" s="11" t="n"/>
      <c r="AP33" s="11" t="n"/>
      <c r="AQ33" s="11" t="n"/>
      <c r="AR33" s="11" t="n"/>
      <c r="AS33" s="11" t="n"/>
      <c r="AT33" s="11" t="n"/>
      <c r="AU33" s="11" t="n"/>
      <c r="AV33" s="11" t="n"/>
      <c r="AW33" s="11" t="n"/>
      <c r="AX33" s="11" t="n"/>
    </row>
    <row r="34" hidden="1" ht="18" customHeight="1">
      <c r="A34" s="394" t="inlineStr">
        <is>
          <t>BOLA</t>
        </is>
      </c>
      <c r="B34" s="163" t="n">
        <v>100</v>
      </c>
      <c r="C34" s="636" t="n">
        <v>283</v>
      </c>
      <c r="D34" s="404" t="n"/>
      <c r="F34" s="39" t="n">
        <v>0</v>
      </c>
      <c r="G34" s="39" t="n">
        <v>0</v>
      </c>
      <c r="H34" s="39" t="n"/>
      <c r="I34" s="39" t="n"/>
      <c r="J34" s="39" t="n"/>
      <c r="K34" s="39" t="n"/>
      <c r="L34" s="39" t="n"/>
      <c r="M34" s="39" t="n"/>
      <c r="N34" s="39" t="n"/>
      <c r="O34" s="39" t="n"/>
      <c r="P34" s="39" t="n"/>
      <c r="Q34" s="39" t="n"/>
      <c r="R34" s="39" t="n"/>
      <c r="S34" s="39" t="n"/>
      <c r="T34" s="39" t="n"/>
      <c r="U34" s="39" t="n"/>
      <c r="V34" s="39" t="n"/>
      <c r="W34" s="39" t="n"/>
      <c r="X34" s="39" t="n"/>
      <c r="Y34" s="39" t="n"/>
      <c r="Z34" s="39" t="n"/>
      <c r="AA34" s="39" t="n"/>
      <c r="AB34" s="6" t="n"/>
      <c r="AC34" s="6" t="n"/>
      <c r="AD34" s="6" t="n"/>
      <c r="AE34" s="26">
        <f>AC34+IF(NOT(ISBLANK(OFFSET(AE34,0,6))),N(OFFSET(AE34,0,6)),N(OFFSET(AE34,0,7)))-AD34</f>
        <v/>
      </c>
      <c r="AG34" s="11" t="n"/>
      <c r="AH34" s="11" t="n"/>
      <c r="AK34" s="11" t="n"/>
      <c r="AL34" s="11" t="n"/>
      <c r="AM34" s="11" t="n"/>
      <c r="AN34" s="11" t="n"/>
      <c r="AO34" s="11" t="n"/>
      <c r="AP34" s="11" t="n"/>
      <c r="AQ34" s="11" t="n"/>
      <c r="AR34" s="11" t="n"/>
      <c r="AS34" s="11" t="n"/>
      <c r="AT34" s="11" t="n"/>
      <c r="AU34" s="11" t="n"/>
      <c r="AV34" s="11" t="n"/>
      <c r="AW34" s="11" t="n"/>
      <c r="AX34" s="11" t="n"/>
    </row>
    <row r="35" hidden="1" ht="18" customHeight="1">
      <c r="A35" s="390" t="inlineStr">
        <is>
          <t>CAIXA P MÃES/25</t>
        </is>
      </c>
      <c r="B35" s="391" t="n">
        <v>150</v>
      </c>
      <c r="C35" s="662" t="n">
        <v>781.05</v>
      </c>
      <c r="D35" s="404" t="n"/>
      <c r="F35" s="39" t="n"/>
      <c r="G35" s="39" t="n"/>
      <c r="H35" s="39" t="n"/>
      <c r="I35" s="39" t="n"/>
      <c r="J35" s="39" t="n"/>
      <c r="K35" s="39" t="n"/>
      <c r="L35" s="39" t="n"/>
      <c r="M35" s="39" t="n"/>
      <c r="N35" s="39" t="n"/>
      <c r="O35" s="39" t="n"/>
      <c r="P35" s="39" t="n"/>
      <c r="Q35" s="39" t="n"/>
      <c r="R35" s="39" t="n"/>
      <c r="S35" s="39" t="n"/>
      <c r="T35" s="39" t="n"/>
      <c r="U35" s="39" t="n"/>
      <c r="V35" s="39" t="n"/>
      <c r="W35" s="39" t="n"/>
      <c r="X35" s="39" t="n"/>
      <c r="Y35" s="39" t="n"/>
      <c r="Z35" s="39" t="n"/>
      <c r="AA35" s="39" t="n"/>
      <c r="AB35" s="6" t="n"/>
      <c r="AC35" s="6" t="n"/>
      <c r="AD35" s="6" t="n"/>
      <c r="AE35" s="26">
        <f>AC35+IF(NOT(ISBLANK(OFFSET(AE35,0,6))),N(OFFSET(AE35,0,6)),N(OFFSET(AE35,0,7)))-AD35</f>
        <v/>
      </c>
      <c r="AG35" s="11" t="n"/>
      <c r="AH35" s="11" t="n"/>
      <c r="AK35" s="11" t="n"/>
      <c r="AL35" s="11" t="n"/>
      <c r="AM35" s="11" t="n"/>
      <c r="AN35" s="11" t="n"/>
      <c r="AO35" s="11" t="n"/>
      <c r="AP35" s="11" t="n"/>
      <c r="AQ35" s="11" t="n"/>
      <c r="AR35" s="11" t="n"/>
      <c r="AS35" s="11" t="n"/>
      <c r="AT35" s="11" t="n"/>
      <c r="AU35" s="11" t="n"/>
      <c r="AV35" s="11" t="n"/>
      <c r="AW35" s="11" t="n"/>
      <c r="AX35" s="11" t="n"/>
    </row>
    <row r="36" hidden="1" ht="18" customHeight="1">
      <c r="A36" s="390" t="inlineStr">
        <is>
          <t>CAIXA M MÃES/25</t>
        </is>
      </c>
      <c r="B36" s="391" t="n">
        <v>100</v>
      </c>
      <c r="C36" s="662" t="n">
        <v>789</v>
      </c>
      <c r="D36" s="404" t="n"/>
      <c r="F36" s="39" t="n"/>
      <c r="G36" s="39" t="n"/>
      <c r="H36" s="39" t="n"/>
      <c r="I36" s="39" t="n"/>
      <c r="J36" s="39" t="n"/>
      <c r="K36" s="39" t="n"/>
      <c r="L36" s="39" t="n"/>
      <c r="M36" s="39" t="n"/>
      <c r="N36" s="39" t="n"/>
      <c r="O36" s="39" t="n"/>
      <c r="P36" s="39" t="n"/>
      <c r="Q36" s="39" t="n"/>
      <c r="R36" s="39" t="n"/>
      <c r="S36" s="39" t="n"/>
      <c r="T36" s="39" t="n"/>
      <c r="U36" s="39" t="n"/>
      <c r="V36" s="39" t="n"/>
      <c r="W36" s="39" t="n"/>
      <c r="X36" s="39" t="n"/>
      <c r="Y36" s="39" t="n"/>
      <c r="Z36" s="39" t="n"/>
      <c r="AA36" s="39" t="n"/>
      <c r="AB36" s="6" t="n"/>
      <c r="AC36" s="6" t="n"/>
      <c r="AD36" s="6" t="n"/>
      <c r="AE36" s="26">
        <f>AC36+IF(NOT(ISBLANK(OFFSET(AE36,0,6))),N(OFFSET(AE36,0,6)),N(OFFSET(AE36,0,7)))-AD36</f>
        <v/>
      </c>
      <c r="AG36" s="11" t="n"/>
      <c r="AH36" s="11" t="n"/>
      <c r="AK36" s="11" t="n"/>
      <c r="AL36" s="11" t="n"/>
      <c r="AM36" s="11" t="n"/>
      <c r="AN36" s="11" t="n"/>
      <c r="AO36" s="11" t="n"/>
      <c r="AP36" s="11" t="n"/>
      <c r="AQ36" s="11" t="n"/>
      <c r="AR36" s="11" t="n"/>
      <c r="AS36" s="11" t="n"/>
      <c r="AT36" s="11" t="n"/>
      <c r="AU36" s="11" t="n"/>
      <c r="AV36" s="11" t="n"/>
      <c r="AW36" s="11" t="n"/>
      <c r="AX36" s="11" t="n"/>
    </row>
    <row r="37" hidden="1" ht="18" customHeight="1">
      <c r="A37" s="390" t="inlineStr">
        <is>
          <t>CAIXA G MÃES/25</t>
        </is>
      </c>
      <c r="B37" s="391" t="n">
        <v>75</v>
      </c>
      <c r="C37" s="662" t="n">
        <v>844.05</v>
      </c>
      <c r="D37" s="404" t="n"/>
      <c r="F37" s="39" t="n"/>
      <c r="G37" s="39" t="n"/>
      <c r="H37" s="39" t="n"/>
      <c r="I37" s="39" t="n"/>
      <c r="J37" s="39" t="n"/>
      <c r="K37" s="39" t="n"/>
      <c r="L37" s="39" t="n"/>
      <c r="M37" s="39" t="n"/>
      <c r="N37" s="39" t="n"/>
      <c r="O37" s="39" t="n"/>
      <c r="P37" s="39" t="n"/>
      <c r="Q37" s="39" t="n"/>
      <c r="R37" s="39" t="n"/>
      <c r="S37" s="39" t="n"/>
      <c r="T37" s="39" t="n"/>
      <c r="U37" s="39" t="n"/>
      <c r="V37" s="39" t="n"/>
      <c r="W37" s="39" t="n"/>
      <c r="X37" s="39" t="n"/>
      <c r="Y37" s="39" t="n"/>
      <c r="Z37" s="39" t="n"/>
      <c r="AA37" s="39" t="n"/>
      <c r="AB37" s="6" t="n"/>
      <c r="AC37" s="6" t="n"/>
      <c r="AD37" s="6" t="n"/>
      <c r="AE37" s="26">
        <f>AC37+IF(NOT(ISBLANK(OFFSET(AE37,0,6))),N(OFFSET(AE37,0,6)),N(OFFSET(AE37,0,7)))-AD37</f>
        <v/>
      </c>
      <c r="AG37" s="11" t="n"/>
      <c r="AH37" s="11" t="n"/>
      <c r="AK37" s="11" t="n"/>
      <c r="AL37" s="11" t="n"/>
      <c r="AM37" s="11" t="n"/>
      <c r="AN37" s="11" t="n"/>
      <c r="AO37" s="11" t="n"/>
      <c r="AP37" s="11" t="n"/>
      <c r="AQ37" s="11" t="n"/>
      <c r="AR37" s="11" t="n"/>
      <c r="AS37" s="11" t="n"/>
      <c r="AT37" s="11" t="n"/>
      <c r="AU37" s="11" t="n"/>
      <c r="AV37" s="11" t="n"/>
      <c r="AW37" s="11" t="n"/>
      <c r="AX37" s="11" t="n"/>
    </row>
    <row r="38" hidden="1" ht="18" customHeight="1">
      <c r="A38" s="390" t="inlineStr">
        <is>
          <t>CARTUCHO P MÃES/25</t>
        </is>
      </c>
      <c r="B38" s="391" t="n">
        <v>200</v>
      </c>
      <c r="C38" s="662" t="n">
        <v>450</v>
      </c>
      <c r="D38" s="404" t="n"/>
      <c r="F38" s="39" t="n"/>
      <c r="G38" s="39" t="n"/>
      <c r="H38" s="39" t="n"/>
      <c r="I38" s="39" t="n"/>
      <c r="J38" s="39" t="n"/>
      <c r="K38" s="39" t="n"/>
      <c r="L38" s="39" t="n"/>
      <c r="M38" s="39" t="n"/>
      <c r="N38" s="39" t="n"/>
      <c r="O38" s="39" t="n"/>
      <c r="P38" s="39" t="n"/>
      <c r="Q38" s="39" t="n"/>
      <c r="R38" s="39" t="n"/>
      <c r="S38" s="39" t="n"/>
      <c r="T38" s="39" t="n"/>
      <c r="U38" s="39" t="n"/>
      <c r="V38" s="39" t="n"/>
      <c r="W38" s="39" t="n"/>
      <c r="X38" s="39" t="n"/>
      <c r="Y38" s="39" t="n"/>
      <c r="Z38" s="39" t="n"/>
      <c r="AA38" s="39" t="n"/>
      <c r="AB38" s="6" t="n"/>
      <c r="AC38" s="6" t="n"/>
      <c r="AD38" s="6" t="n"/>
      <c r="AE38" s="26">
        <f>AC38+IF(NOT(ISBLANK(OFFSET(AE38,0,6))),N(OFFSET(AE38,0,6)),N(OFFSET(AE38,0,7)))-AD38</f>
        <v/>
      </c>
      <c r="AG38" s="11" t="n"/>
      <c r="AH38" s="11" t="n"/>
      <c r="AK38" s="11" t="n"/>
      <c r="AL38" s="11" t="n"/>
      <c r="AM38" s="11" t="n"/>
      <c r="AN38" s="11" t="n"/>
      <c r="AO38" s="11" t="n"/>
      <c r="AP38" s="11" t="n"/>
      <c r="AQ38" s="11" t="n"/>
      <c r="AR38" s="11" t="n"/>
      <c r="AS38" s="11" t="n"/>
      <c r="AT38" s="11" t="n"/>
      <c r="AU38" s="11" t="n"/>
      <c r="AV38" s="11" t="n"/>
      <c r="AW38" s="11" t="n"/>
      <c r="AX38" s="11" t="n"/>
    </row>
    <row r="39" hidden="1" ht="18" customHeight="1">
      <c r="A39" s="390" t="inlineStr">
        <is>
          <t>CARTUCHO M MÃES/25</t>
        </is>
      </c>
      <c r="B39" s="391" t="n">
        <v>150</v>
      </c>
      <c r="C39" s="662" t="n">
        <v>430.5</v>
      </c>
      <c r="D39" s="404" t="n"/>
      <c r="F39" s="39" t="n"/>
      <c r="G39" s="39" t="n"/>
      <c r="H39" s="39" t="n"/>
      <c r="I39" s="39" t="n"/>
      <c r="J39" s="39" t="n"/>
      <c r="K39" s="39" t="n"/>
      <c r="L39" s="39" t="n"/>
      <c r="M39" s="39" t="n"/>
      <c r="N39" s="39" t="n"/>
      <c r="O39" s="39" t="n"/>
      <c r="P39" s="39" t="n"/>
      <c r="Q39" s="39" t="n"/>
      <c r="R39" s="39" t="n"/>
      <c r="S39" s="39" t="n"/>
      <c r="T39" s="39" t="n"/>
      <c r="U39" s="39" t="n"/>
      <c r="V39" s="39" t="n"/>
      <c r="W39" s="39" t="n"/>
      <c r="X39" s="39" t="n"/>
      <c r="Y39" s="39" t="n"/>
      <c r="Z39" s="39" t="n"/>
      <c r="AA39" s="39" t="n"/>
      <c r="AB39" s="6" t="n"/>
      <c r="AC39" s="6" t="n"/>
      <c r="AD39" s="6" t="n"/>
      <c r="AE39" s="26">
        <f>AC39+IF(NOT(ISBLANK(OFFSET(AE39,0,6))),N(OFFSET(AE39,0,6)),N(OFFSET(AE39,0,7)))-AD39</f>
        <v/>
      </c>
      <c r="AG39" s="11" t="n"/>
      <c r="AH39" s="11" t="n"/>
      <c r="AK39" s="409" t="n"/>
      <c r="AL39" s="409" t="n"/>
      <c r="AM39" s="409" t="n"/>
      <c r="AN39" s="409" t="n"/>
      <c r="AO39" s="409" t="n"/>
      <c r="AP39" s="11" t="n"/>
      <c r="AQ39" s="11" t="n"/>
      <c r="AR39" s="11" t="n"/>
      <c r="AS39" s="11" t="n"/>
      <c r="AT39" s="11" t="n"/>
      <c r="AU39" s="11" t="n"/>
      <c r="AV39" s="11" t="n"/>
      <c r="AW39" s="11" t="n"/>
      <c r="AX39" s="11" t="n"/>
    </row>
    <row r="40" hidden="1" ht="18" customHeight="1">
      <c r="A40" s="405" t="inlineStr">
        <is>
          <t>ENVELOPE M PAIS/25</t>
        </is>
      </c>
      <c r="B40" s="406" t="n">
        <v>150</v>
      </c>
      <c r="C40" s="663" t="n"/>
      <c r="D40" s="404" t="n"/>
      <c r="F40" s="39" t="n"/>
      <c r="G40" s="39" t="n"/>
      <c r="H40" s="39" t="n"/>
      <c r="I40" s="39" t="n"/>
      <c r="J40" s="39" t="n"/>
      <c r="K40" s="39" t="n"/>
      <c r="L40" s="39" t="n"/>
      <c r="M40" s="39" t="n"/>
      <c r="N40" s="39" t="n"/>
      <c r="O40" s="39" t="n"/>
      <c r="P40" s="39" t="n"/>
      <c r="Q40" s="39" t="n"/>
      <c r="R40" s="39" t="n"/>
      <c r="S40" s="39" t="n"/>
      <c r="T40" s="39" t="n"/>
      <c r="U40" s="39" t="n"/>
      <c r="V40" s="39" t="n"/>
      <c r="W40" s="39" t="n"/>
      <c r="X40" s="39" t="n"/>
      <c r="Y40" s="39" t="n"/>
      <c r="Z40" s="39" t="n"/>
      <c r="AA40" s="39" t="n"/>
      <c r="AB40" s="6" t="n"/>
      <c r="AC40" s="6" t="n"/>
      <c r="AD40" s="6" t="n"/>
      <c r="AE40" s="26">
        <f>AC40+IF(NOT(ISBLANK(OFFSET(AE40,0,6))),N(OFFSET(AE40,0,6)),N(OFFSET(AE40,0,7)))-AD40</f>
        <v/>
      </c>
      <c r="AG40" s="11" t="n"/>
      <c r="AH40" s="11" t="n"/>
      <c r="AK40" s="409" t="n"/>
      <c r="AL40" s="409" t="n"/>
      <c r="AM40" s="409" t="n"/>
      <c r="AN40" s="409" t="n"/>
      <c r="AO40" s="409" t="n"/>
      <c r="AP40" s="11" t="n"/>
      <c r="AQ40" s="11" t="n"/>
      <c r="AR40" s="11" t="n"/>
      <c r="AS40" s="11" t="n"/>
      <c r="AT40" s="11" t="n"/>
      <c r="AU40" s="11" t="n"/>
      <c r="AV40" s="11" t="n"/>
      <c r="AW40" s="11" t="n"/>
      <c r="AX40" s="11" t="n"/>
    </row>
    <row r="41" hidden="1" ht="18" customHeight="1">
      <c r="A41" s="405" t="inlineStr">
        <is>
          <t>PIN MELHOR PAI DO MDO</t>
        </is>
      </c>
      <c r="B41" s="406" t="n">
        <v>25</v>
      </c>
      <c r="C41" s="663" t="n"/>
      <c r="D41" s="404" t="n"/>
      <c r="F41" s="39" t="n"/>
      <c r="G41" s="39" t="n"/>
      <c r="H41" s="39" t="n"/>
      <c r="I41" s="39" t="n"/>
      <c r="J41" s="39" t="n"/>
      <c r="K41" s="39" t="n"/>
      <c r="L41" s="39" t="n"/>
      <c r="M41" s="39" t="n"/>
      <c r="N41" s="39" t="n"/>
      <c r="O41" s="39" t="n"/>
      <c r="P41" s="39" t="n"/>
      <c r="Q41" s="39" t="n"/>
      <c r="R41" s="39" t="n"/>
      <c r="S41" s="39" t="n"/>
      <c r="T41" s="39" t="n"/>
      <c r="U41" s="39" t="n"/>
      <c r="V41" s="39" t="n"/>
      <c r="W41" s="39" t="n"/>
      <c r="X41" s="39" t="n"/>
      <c r="Y41" s="39" t="n"/>
      <c r="Z41" s="39" t="n"/>
      <c r="AA41" s="39" t="n"/>
      <c r="AB41" s="6" t="n"/>
      <c r="AC41" s="6" t="n"/>
      <c r="AD41" s="6" t="n"/>
      <c r="AE41" s="26">
        <f>AC41+IF(NOT(ISBLANK(OFFSET(AE41,0,6))),N(OFFSET(AE41,0,6)),N(OFFSET(AE41,0,7)))-AD41</f>
        <v/>
      </c>
      <c r="AG41" s="11" t="n"/>
      <c r="AH41" s="11" t="n"/>
      <c r="AK41" s="41" t="n"/>
      <c r="AL41" s="41" t="n"/>
      <c r="AM41" s="41" t="n"/>
      <c r="AN41" s="41" t="n"/>
      <c r="AO41" s="41" t="n"/>
      <c r="AP41" s="11" t="n"/>
      <c r="AQ41" s="11" t="n"/>
      <c r="AR41" s="11" t="n"/>
      <c r="AS41" s="11" t="n"/>
      <c r="AT41" s="11" t="n"/>
      <c r="AU41" s="11" t="n"/>
      <c r="AV41" s="11" t="n"/>
      <c r="AW41" s="11" t="n"/>
      <c r="AX41" s="11" t="n"/>
      <c r="AZ41" s="41" t="n"/>
      <c r="BA41" s="41" t="n"/>
      <c r="BB41" s="41" t="n"/>
      <c r="BC41" s="41" t="n"/>
      <c r="BD41" s="41" t="n"/>
      <c r="BE41" s="41" t="n"/>
      <c r="BF41" s="41" t="n"/>
      <c r="BG41" s="41" t="n"/>
      <c r="BH41" s="41" t="n"/>
      <c r="BI41" s="41" t="n"/>
      <c r="BJ41" s="41" t="n"/>
      <c r="BK41" s="41" t="n"/>
      <c r="BL41" s="41" t="n"/>
    </row>
    <row r="42" hidden="1" ht="18" customHeight="1">
      <c r="A42" s="405" t="inlineStr">
        <is>
          <t>PIN BALÃO</t>
        </is>
      </c>
      <c r="B42" s="406" t="n">
        <v>25</v>
      </c>
      <c r="C42" s="663" t="n"/>
      <c r="D42" s="404" t="n"/>
      <c r="F42" s="39" t="n"/>
      <c r="G42" s="39" t="n"/>
      <c r="H42" s="39" t="n"/>
      <c r="I42" s="39" t="n"/>
      <c r="J42" s="39" t="n"/>
      <c r="K42" s="39" t="n"/>
      <c r="L42" s="39" t="n"/>
      <c r="M42" s="39" t="n"/>
      <c r="N42" s="39" t="n"/>
      <c r="O42" s="39" t="n"/>
      <c r="P42" s="39" t="n"/>
      <c r="Q42" s="39" t="n"/>
      <c r="R42" s="39" t="n"/>
      <c r="S42" s="39" t="n"/>
      <c r="T42" s="39" t="n"/>
      <c r="U42" s="39" t="n"/>
      <c r="V42" s="39" t="n"/>
      <c r="W42" s="39" t="n"/>
      <c r="X42" s="39" t="n"/>
      <c r="Y42" s="39" t="n"/>
      <c r="Z42" s="39" t="n"/>
      <c r="AA42" s="39" t="n"/>
      <c r="AB42" s="6" t="n"/>
      <c r="AC42" s="6" t="n"/>
      <c r="AD42" s="6" t="n"/>
      <c r="AE42" s="26">
        <f>AC42+IF(NOT(ISBLANK(OFFSET(AE42,0,6))),N(OFFSET(AE42,0,6)),N(OFFSET(AE42,0,7)))-AD42</f>
        <v/>
      </c>
      <c r="AG42" s="11" t="n"/>
      <c r="AH42" s="11" t="n"/>
      <c r="AK42" s="41" t="n"/>
      <c r="AL42" s="41" t="n"/>
      <c r="AM42" s="41" t="n"/>
      <c r="AN42" s="41" t="n"/>
      <c r="AO42" s="41" t="n"/>
      <c r="AP42" s="11" t="n"/>
      <c r="AQ42" s="11" t="n"/>
      <c r="AR42" s="11" t="n"/>
      <c r="AS42" s="11" t="n"/>
      <c r="AT42" s="11" t="n"/>
      <c r="AU42" s="11" t="n"/>
      <c r="AV42" s="11" t="n"/>
      <c r="AW42" s="11" t="n"/>
      <c r="AX42" s="11" t="n"/>
      <c r="AZ42" s="41" t="n"/>
      <c r="BA42" s="41" t="n"/>
      <c r="BB42" s="41" t="n"/>
      <c r="BC42" s="41" t="n"/>
      <c r="BD42" s="41" t="n"/>
      <c r="BE42" s="41" t="n"/>
      <c r="BF42" s="41" t="n"/>
      <c r="BG42" s="41" t="n"/>
      <c r="BH42" s="41" t="n"/>
      <c r="BI42" s="41" t="n"/>
      <c r="BJ42" s="41" t="n"/>
      <c r="BK42" s="41" t="n"/>
      <c r="BL42" s="41" t="n"/>
    </row>
    <row r="43" hidden="1" ht="18" customHeight="1">
      <c r="A43" s="405" t="inlineStr">
        <is>
          <t>PIN AMOR</t>
        </is>
      </c>
      <c r="B43" s="406" t="n">
        <v>25</v>
      </c>
      <c r="C43" s="663" t="n"/>
      <c r="D43" s="404" t="n"/>
      <c r="F43" s="39" t="n"/>
      <c r="G43" s="39" t="n"/>
      <c r="H43" s="39" t="n"/>
      <c r="I43" s="39" t="n"/>
      <c r="J43" s="39" t="n"/>
      <c r="K43" s="39" t="n"/>
      <c r="L43" s="39" t="n"/>
      <c r="M43" s="39" t="n"/>
      <c r="N43" s="39" t="n"/>
      <c r="O43" s="39" t="n"/>
      <c r="P43" s="39" t="n"/>
      <c r="Q43" s="39" t="n"/>
      <c r="R43" s="39" t="n"/>
      <c r="S43" s="39" t="n"/>
      <c r="T43" s="39" t="n"/>
      <c r="U43" s="39" t="n"/>
      <c r="V43" s="39" t="n"/>
      <c r="W43" s="39" t="n"/>
      <c r="X43" s="39" t="n"/>
      <c r="Y43" s="39" t="n"/>
      <c r="Z43" s="39" t="n"/>
      <c r="AA43" s="39" t="n"/>
      <c r="AB43" s="6" t="n"/>
      <c r="AC43" s="6" t="n"/>
      <c r="AD43" s="6" t="n"/>
      <c r="AE43" s="26">
        <f>AC43+IF(NOT(ISBLANK(OFFSET(AE43,0,6))),N(OFFSET(AE43,0,6)),N(OFFSET(AE43,0,7)))-AD43</f>
        <v/>
      </c>
      <c r="AG43" s="11" t="n"/>
      <c r="AH43" s="11" t="n"/>
      <c r="AK43" s="41" t="n"/>
      <c r="AL43" s="41" t="n"/>
      <c r="AM43" s="41" t="n"/>
      <c r="AN43" s="41" t="n"/>
      <c r="AO43" s="41" t="n"/>
      <c r="AP43" s="11" t="n"/>
      <c r="AQ43" s="11" t="n"/>
      <c r="AR43" s="11" t="n"/>
      <c r="AS43" s="11" t="n"/>
      <c r="AT43" s="11" t="n"/>
      <c r="AU43" s="11" t="n"/>
      <c r="AV43" s="11" t="n"/>
      <c r="AW43" s="11" t="n"/>
      <c r="AX43" s="11" t="n"/>
      <c r="AZ43" s="41" t="n"/>
      <c r="BA43" s="41" t="n"/>
      <c r="BB43" s="41" t="n"/>
      <c r="BC43" s="41" t="n"/>
      <c r="BD43" s="41" t="n"/>
      <c r="BE43" s="41" t="n"/>
      <c r="BF43" s="41" t="n"/>
      <c r="BG43" s="41" t="n"/>
      <c r="BH43" s="41" t="n"/>
      <c r="BI43" s="41" t="n"/>
      <c r="BJ43" s="41" t="n"/>
      <c r="BK43" s="41" t="n"/>
      <c r="BL43" s="41" t="n"/>
    </row>
    <row r="44" hidden="1" ht="18" customHeight="1">
      <c r="A44" s="412" t="inlineStr">
        <is>
          <t>CAIXA DORAMA/25</t>
        </is>
      </c>
      <c r="B44" s="413" t="n">
        <v>100</v>
      </c>
      <c r="C44" s="655" t="n">
        <v>841.1</v>
      </c>
      <c r="D44" s="404" t="n"/>
      <c r="F44" s="39" t="n">
        <v>0</v>
      </c>
      <c r="G44" s="39" t="n">
        <v>0</v>
      </c>
      <c r="H44" s="39" t="n"/>
      <c r="I44" s="39" t="n"/>
      <c r="J44" s="39" t="n"/>
      <c r="K44" s="39" t="n"/>
      <c r="L44" s="39" t="n"/>
      <c r="M44" s="39" t="n"/>
      <c r="N44" s="39" t="n"/>
      <c r="O44" s="39" t="n"/>
      <c r="P44" s="39" t="n"/>
      <c r="Q44" s="39" t="n"/>
      <c r="R44" s="39" t="n"/>
      <c r="S44" s="39" t="n"/>
      <c r="T44" s="39" t="n"/>
      <c r="U44" s="39" t="n"/>
      <c r="V44" s="39" t="n"/>
      <c r="W44" s="39" t="n"/>
      <c r="X44" s="39" t="n"/>
      <c r="Y44" s="39" t="n"/>
      <c r="Z44" s="39" t="n"/>
      <c r="AA44" s="39" t="n"/>
      <c r="AB44" s="6" t="n"/>
      <c r="AC44" s="6" t="n"/>
      <c r="AD44" s="6" t="n"/>
      <c r="AE44" s="26">
        <f>AC44+IF(NOT(ISBLANK(OFFSET(AE44,0,6))),N(OFFSET(AE44,0,6)),N(OFFSET(AE44,0,7)))-AD44</f>
        <v/>
      </c>
      <c r="AG44" s="11" t="n"/>
      <c r="AH44" s="11" t="n"/>
      <c r="AK44" s="41" t="n"/>
      <c r="AL44" s="41" t="n"/>
      <c r="AM44" s="41" t="n"/>
      <c r="AN44" s="41" t="n"/>
      <c r="AO44" s="41" t="n"/>
      <c r="AP44" s="11" t="n"/>
      <c r="AQ44" s="11" t="n"/>
      <c r="AR44" s="11" t="n"/>
      <c r="AS44" s="11" t="n"/>
      <c r="AT44" s="11" t="n"/>
      <c r="AU44" s="11" t="n"/>
      <c r="AV44" s="11" t="n"/>
      <c r="AW44" s="11" t="n"/>
      <c r="AX44" s="11" t="n"/>
      <c r="AZ44" s="41" t="n"/>
      <c r="BA44" s="41" t="n"/>
      <c r="BB44" s="41" t="n"/>
      <c r="BC44" s="41" t="n"/>
      <c r="BD44" s="41" t="n"/>
      <c r="BE44" s="41" t="n"/>
      <c r="BF44" s="41" t="n"/>
      <c r="BG44" s="41" t="n"/>
      <c r="BH44" s="41" t="n"/>
      <c r="BI44" s="41" t="n"/>
      <c r="BJ44" s="41" t="n"/>
      <c r="BK44" s="41" t="n"/>
      <c r="BL44" s="41" t="n"/>
    </row>
    <row r="45" hidden="1">
      <c r="A45" s="25" t="inlineStr">
        <is>
          <t>CAIXA P NATAL/25</t>
        </is>
      </c>
      <c r="B45" s="6" t="n">
        <v>150</v>
      </c>
      <c r="C45" s="639" t="n">
        <v>805.35</v>
      </c>
      <c r="D45" s="404" t="n"/>
      <c r="F45" s="6" t="n">
        <v>75</v>
      </c>
      <c r="G45" s="6" t="n">
        <v>11</v>
      </c>
      <c r="H45" s="6" t="n">
        <v>1</v>
      </c>
      <c r="I45" s="6" t="n">
        <v>0</v>
      </c>
      <c r="J45" s="6" t="n">
        <v>0</v>
      </c>
      <c r="K45" s="6" t="n">
        <v>0</v>
      </c>
      <c r="L45" s="6" t="n"/>
      <c r="M45" s="6" t="n"/>
      <c r="N45" s="6" t="n"/>
      <c r="O45" s="6" t="n"/>
      <c r="P45" s="6" t="n"/>
      <c r="Q45" s="6" t="n"/>
      <c r="R45" s="6" t="n"/>
      <c r="S45" s="6" t="n"/>
      <c r="T45" s="6" t="n"/>
      <c r="U45" s="6" t="n"/>
      <c r="V45" s="6" t="n"/>
      <c r="W45" s="6" t="n"/>
      <c r="X45" s="6" t="n"/>
      <c r="Y45" s="6" t="n"/>
      <c r="Z45" s="6" t="n"/>
      <c r="AA45" s="6" t="n"/>
      <c r="AB45" s="6" t="n"/>
      <c r="AC45" s="6" t="n"/>
      <c r="AD45" s="6" t="n"/>
      <c r="AE45" s="26">
        <f>AC45+IF(NOT(ISBLANK(OFFSET(AE45,0,6))),N(OFFSET(AE45,0,6)),N(OFFSET(AE45,0,7)))-AD45</f>
        <v/>
      </c>
      <c r="AG45" s="11" t="n"/>
      <c r="AH45" s="11" t="n"/>
      <c r="AP45" s="11" t="n"/>
      <c r="AQ45" s="11" t="n"/>
      <c r="AR45" s="11" t="n"/>
      <c r="AS45" s="11" t="n"/>
      <c r="AT45" s="11" t="n"/>
      <c r="AU45" s="11" t="n"/>
      <c r="AV45" s="409" t="n"/>
      <c r="AW45" s="409" t="n"/>
      <c r="AX45" s="409" t="n"/>
    </row>
    <row r="46" hidden="1">
      <c r="A46" s="25" t="inlineStr">
        <is>
          <t>CAIXA M NATAL/25</t>
        </is>
      </c>
      <c r="B46" s="6" t="n">
        <v>100</v>
      </c>
      <c r="C46" s="639" t="n">
        <v>792.2</v>
      </c>
      <c r="D46" s="404" t="n"/>
      <c r="F46" s="6" t="n">
        <v>154</v>
      </c>
      <c r="G46" s="6" t="n">
        <v>63</v>
      </c>
      <c r="H46" s="6" t="n">
        <v>44</v>
      </c>
      <c r="I46" s="6" t="n">
        <v>26</v>
      </c>
      <c r="J46" s="6" t="n">
        <v>21</v>
      </c>
      <c r="K46" s="6" t="n">
        <v>17</v>
      </c>
      <c r="L46" s="6" t="n">
        <v>2</v>
      </c>
      <c r="M46" s="6" t="n">
        <v>0</v>
      </c>
      <c r="N46" s="6" t="n">
        <v>0</v>
      </c>
      <c r="O46" s="6" t="n">
        <v>0</v>
      </c>
      <c r="P46" s="6" t="n">
        <v>0</v>
      </c>
      <c r="Q46" s="6" t="n">
        <v>0</v>
      </c>
      <c r="R46" s="6" t="n">
        <v>0</v>
      </c>
      <c r="S46" s="6" t="n">
        <v>0</v>
      </c>
      <c r="T46" s="6" t="n">
        <v>0</v>
      </c>
      <c r="U46" s="6" t="n">
        <v>0</v>
      </c>
      <c r="V46" s="6" t="n">
        <v>0</v>
      </c>
      <c r="W46" s="6" t="n">
        <v>0</v>
      </c>
      <c r="X46" s="6" t="n">
        <v>0</v>
      </c>
      <c r="Y46" s="6" t="n">
        <v>0</v>
      </c>
      <c r="Z46" s="6" t="n">
        <v>0</v>
      </c>
      <c r="AA46" s="6" t="n">
        <v>0</v>
      </c>
      <c r="AB46" s="6" t="n">
        <v>0</v>
      </c>
      <c r="AC46" s="6" t="n">
        <v>0</v>
      </c>
      <c r="AD46" s="6" t="n">
        <v>0</v>
      </c>
      <c r="AE46" s="26">
        <f>AC46+IF(NOT(ISBLANK(OFFSET(AE46,0,6))),N(OFFSET(AE46,0,6)),N(OFFSET(AE46,0,7)))-AD46</f>
        <v/>
      </c>
      <c r="AG46" s="11" t="n"/>
      <c r="AH46" s="11" t="n"/>
      <c r="AP46" s="11" t="n"/>
      <c r="AQ46" s="11" t="n"/>
      <c r="AR46" s="11" t="n"/>
      <c r="AS46" s="11" t="n"/>
      <c r="AT46" s="11" t="n"/>
      <c r="AU46" s="11" t="n"/>
      <c r="AV46" s="409" t="n"/>
      <c r="AW46" s="409" t="n"/>
      <c r="AX46" s="409" t="n"/>
    </row>
    <row r="47" hidden="1">
      <c r="A47" s="25" t="inlineStr">
        <is>
          <t>CARTUCHO P NATAL/25</t>
        </is>
      </c>
      <c r="B47" s="6" t="n">
        <v>200</v>
      </c>
      <c r="C47" s="639" t="n">
        <v>487.2</v>
      </c>
      <c r="D47" s="404" t="n"/>
      <c r="F47" s="6" t="n">
        <v>15</v>
      </c>
      <c r="G47" s="6" t="n">
        <v>-18</v>
      </c>
      <c r="H47" s="6" t="n">
        <v>-18</v>
      </c>
      <c r="I47" s="6" t="n">
        <v>0</v>
      </c>
      <c r="J47" s="6" t="n">
        <v>0</v>
      </c>
      <c r="K47" s="6" t="n">
        <v>0</v>
      </c>
      <c r="L47" s="6" t="n"/>
      <c r="M47" s="6" t="n"/>
      <c r="N47" s="6" t="n"/>
      <c r="O47" s="6" t="n"/>
      <c r="P47" s="6" t="n"/>
      <c r="Q47" s="6" t="n"/>
      <c r="R47" s="6" t="n"/>
      <c r="S47" s="6" t="n"/>
      <c r="T47" s="6" t="n"/>
      <c r="U47" s="6" t="n"/>
      <c r="V47" s="6" t="n"/>
      <c r="W47" s="6" t="n"/>
      <c r="X47" s="6" t="n"/>
      <c r="Y47" s="6" t="n"/>
      <c r="Z47" s="6" t="n"/>
      <c r="AA47" s="6" t="n"/>
      <c r="AB47" s="6" t="n"/>
      <c r="AC47" s="6" t="n"/>
      <c r="AD47" s="6" t="n"/>
      <c r="AE47" s="26">
        <f>AC47+IF(NOT(ISBLANK(OFFSET(AE47,0,6))),N(OFFSET(AE47,0,6)),N(OFFSET(AE47,0,7)))-AD47</f>
        <v/>
      </c>
      <c r="AG47" s="11" t="n"/>
      <c r="AH47" s="11" t="n"/>
      <c r="AK47" s="11" t="n"/>
      <c r="AL47" s="11" t="n"/>
      <c r="AM47" s="11" t="n"/>
      <c r="AN47" s="11" t="n"/>
      <c r="AO47" s="11" t="n"/>
      <c r="AP47" s="11" t="n"/>
      <c r="AQ47" s="11" t="n"/>
      <c r="AR47" s="11" t="n"/>
      <c r="AS47" s="11" t="n"/>
      <c r="AT47" s="11" t="n"/>
      <c r="AU47" s="11" t="n"/>
      <c r="AV47" s="409" t="n"/>
      <c r="AW47" s="409" t="n"/>
      <c r="AX47" s="409" t="n"/>
    </row>
    <row r="48" hidden="1">
      <c r="A48" s="25" t="inlineStr">
        <is>
          <t>CARTUCHO M NATAL/25</t>
        </is>
      </c>
      <c r="B48" s="6" t="n">
        <v>150</v>
      </c>
      <c r="C48" s="639" t="n">
        <v>460.35</v>
      </c>
      <c r="D48" s="404" t="n"/>
      <c r="F48" s="6" t="n">
        <v>64</v>
      </c>
      <c r="G48" s="6" t="n">
        <v>6</v>
      </c>
      <c r="H48" s="6" t="n">
        <v>6</v>
      </c>
      <c r="I48" s="6" t="n">
        <v>0</v>
      </c>
      <c r="J48" s="6" t="n">
        <v>0</v>
      </c>
      <c r="K48" s="6" t="n">
        <v>0</v>
      </c>
      <c r="L48" s="6" t="n"/>
      <c r="M48" s="6" t="n"/>
      <c r="N48" s="6" t="n"/>
      <c r="O48" s="6" t="n"/>
      <c r="P48" s="6" t="n"/>
      <c r="Q48" s="6" t="n"/>
      <c r="R48" s="6" t="n"/>
      <c r="S48" s="6" t="n"/>
      <c r="T48" s="6" t="n"/>
      <c r="U48" s="6" t="n"/>
      <c r="V48" s="6" t="n"/>
      <c r="W48" s="6" t="n"/>
      <c r="X48" s="6" t="n"/>
      <c r="Y48" s="6" t="n"/>
      <c r="Z48" s="6" t="n"/>
      <c r="AA48" s="6" t="n"/>
      <c r="AB48" s="6" t="n"/>
      <c r="AC48" s="6" t="n"/>
      <c r="AD48" s="6" t="n"/>
      <c r="AE48" s="26">
        <f>AC48+IF(NOT(ISBLANK(OFFSET(AE48,0,6))),N(OFFSET(AE48,0,6)),N(OFFSET(AE48,0,7)))-AD48</f>
        <v/>
      </c>
      <c r="AG48" s="11" t="n"/>
      <c r="AH48" s="11" t="n"/>
      <c r="AP48" s="11" t="n"/>
      <c r="AQ48" s="11" t="n"/>
      <c r="AR48" s="11" t="n"/>
      <c r="AS48" s="11" t="n"/>
      <c r="AT48" s="11" t="n"/>
      <c r="AU48" s="11" t="n"/>
      <c r="AV48" s="409" t="n"/>
      <c r="AW48" s="409" t="n"/>
      <c r="AX48" s="409" t="n"/>
    </row>
    <row r="49" hidden="1">
      <c r="A49" s="25" t="inlineStr">
        <is>
          <t>PIN NATAL/25</t>
        </is>
      </c>
      <c r="B49" s="6" t="n">
        <v>10</v>
      </c>
      <c r="C49" s="639" t="n">
        <v>120</v>
      </c>
      <c r="D49" s="404" t="n"/>
      <c r="F49" s="39" t="n">
        <v>0</v>
      </c>
      <c r="G49" s="39" t="n">
        <v>0</v>
      </c>
      <c r="H49" s="39" t="n">
        <v>0</v>
      </c>
      <c r="I49" s="39" t="n">
        <v>0</v>
      </c>
      <c r="J49" s="39" t="n">
        <v>0</v>
      </c>
      <c r="K49" s="39" t="n">
        <v>0</v>
      </c>
      <c r="L49" s="39" t="n"/>
      <c r="M49" s="39" t="n"/>
      <c r="N49" s="39" t="n"/>
      <c r="O49" s="39" t="n"/>
      <c r="P49" s="39" t="n"/>
      <c r="Q49" s="39" t="n"/>
      <c r="R49" s="39" t="n"/>
      <c r="S49" s="39" t="n"/>
      <c r="T49" s="39" t="n"/>
      <c r="U49" s="39" t="n"/>
      <c r="V49" s="39" t="n"/>
      <c r="W49" s="39" t="n"/>
      <c r="X49" s="39" t="n"/>
      <c r="Y49" s="39" t="n"/>
      <c r="Z49" s="39" t="n"/>
      <c r="AA49" s="39" t="n"/>
      <c r="AB49" s="6" t="n"/>
      <c r="AC49" s="6" t="n"/>
      <c r="AD49" s="6" t="n"/>
      <c r="AE49" s="26">
        <f>AC49+IF(NOT(ISBLANK(OFFSET(AE49,0,6))),N(OFFSET(AE49,0,6)),N(OFFSET(AE49,0,7)))-AD49</f>
        <v/>
      </c>
      <c r="AG49" s="11" t="n"/>
      <c r="AH49" s="11" t="n"/>
      <c r="AP49" s="11" t="n"/>
      <c r="AQ49" s="11" t="n"/>
      <c r="AR49" s="11" t="n"/>
      <c r="AS49" s="11" t="n"/>
      <c r="AT49" s="11" t="n"/>
      <c r="AU49" s="11" t="n"/>
      <c r="AV49" s="409" t="n"/>
      <c r="AW49" s="409" t="n"/>
      <c r="AX49" s="409" t="n"/>
    </row>
    <row r="50">
      <c r="AG50" s="11" t="n"/>
      <c r="AH50" s="11" t="n"/>
      <c r="AP50" s="11" t="n"/>
      <c r="AQ50" s="11" t="n"/>
      <c r="AR50" s="11" t="n"/>
      <c r="AS50" s="11" t="n"/>
      <c r="AT50" s="11" t="n"/>
      <c r="AU50" s="11" t="n"/>
      <c r="AV50" s="409" t="n"/>
      <c r="AW50" s="409" t="n"/>
      <c r="AX50" s="409" t="n"/>
    </row>
    <row r="51" hidden="1">
      <c r="AG51" s="11" t="n"/>
      <c r="AH51" s="11" t="n"/>
      <c r="AP51" s="11" t="n"/>
      <c r="AQ51" s="11" t="n"/>
      <c r="AR51" s="11" t="n"/>
      <c r="AS51" s="11" t="n"/>
      <c r="AT51" s="11" t="n"/>
      <c r="AU51" s="11" t="n"/>
      <c r="AV51" s="409" t="n"/>
      <c r="AW51" s="409" t="n"/>
      <c r="AX51" s="409" t="n"/>
    </row>
    <row r="52" hidden="1">
      <c r="AG52" s="11" t="n"/>
      <c r="AH52" s="11" t="n"/>
      <c r="AP52" s="11" t="n"/>
      <c r="AQ52" s="11" t="n"/>
      <c r="AR52" s="11" t="n"/>
      <c r="AS52" s="11" t="n"/>
      <c r="AT52" s="11" t="n"/>
      <c r="AU52" s="11" t="n"/>
      <c r="AV52" s="409" t="n"/>
      <c r="AW52" s="409" t="n"/>
      <c r="AX52" s="409" t="n"/>
    </row>
    <row r="53" hidden="1">
      <c r="AG53" s="11" t="n"/>
      <c r="AH53" s="11" t="n"/>
      <c r="AP53" s="11" t="n"/>
      <c r="AQ53" s="11" t="n"/>
      <c r="AR53" s="11" t="n"/>
      <c r="AS53" s="11" t="n"/>
      <c r="AT53" s="11" t="n"/>
      <c r="AU53" s="11" t="n"/>
      <c r="AV53" s="409" t="n"/>
      <c r="AW53" s="409" t="n"/>
      <c r="AX53" s="409" t="n"/>
    </row>
    <row r="54" hidden="1">
      <c r="AG54" s="11" t="n"/>
      <c r="AH54" s="11" t="n"/>
      <c r="AP54" s="11" t="n"/>
      <c r="AQ54" s="11" t="n"/>
      <c r="AR54" s="11" t="n"/>
      <c r="AS54" s="11" t="n"/>
      <c r="AT54" s="11" t="n"/>
      <c r="AU54" s="11" t="n"/>
      <c r="AV54" s="409" t="n"/>
      <c r="AW54" s="409" t="n"/>
      <c r="AX54" s="409" t="n"/>
    </row>
    <row r="55" ht="21" customHeight="1">
      <c r="A55" s="402" t="inlineStr">
        <is>
          <t>SOBRAS DATAS COMEMORATIVAS</t>
        </is>
      </c>
      <c r="B55" s="402" t="n"/>
      <c r="C55" s="402" t="n"/>
      <c r="AG55" s="11" t="n"/>
      <c r="AH55" s="409" t="n"/>
      <c r="AP55" s="11" t="n"/>
      <c r="AQ55" s="11" t="n"/>
      <c r="AR55" s="11" t="n"/>
      <c r="AS55" s="11" t="n"/>
      <c r="AT55" s="11" t="n"/>
      <c r="AU55" s="11" t="n"/>
      <c r="AV55" s="409" t="n"/>
      <c r="AW55" s="409" t="n"/>
      <c r="AX55" s="409" t="n"/>
    </row>
    <row r="56" ht="37.5" customHeight="1">
      <c r="A56" s="369" t="inlineStr">
        <is>
          <t>ITENS</t>
        </is>
      </c>
      <c r="B56" s="369" t="n"/>
      <c r="C56" s="369" t="inlineStr">
        <is>
          <t>TEMOS EM ESTOQUE</t>
        </is>
      </c>
      <c r="E56" s="41" t="n"/>
      <c r="F56" s="41" t="n"/>
      <c r="G56" s="41" t="n"/>
      <c r="H56" s="41" t="n"/>
      <c r="I56" s="41" t="n"/>
      <c r="J56" s="41" t="n"/>
      <c r="K56" s="41" t="n"/>
      <c r="L56" s="41" t="n"/>
      <c r="M56" s="41" t="n"/>
      <c r="N56" s="41" t="n"/>
      <c r="O56" s="41" t="n"/>
      <c r="P56" s="41" t="n"/>
      <c r="Q56" s="41" t="n"/>
      <c r="R56" s="41" t="n"/>
      <c r="S56" s="41" t="n"/>
      <c r="T56" s="41" t="n"/>
      <c r="U56" s="41" t="n"/>
      <c r="V56" s="41" t="n"/>
      <c r="W56" s="41" t="n"/>
      <c r="X56" s="41" t="n"/>
      <c r="Y56" s="41" t="n"/>
      <c r="Z56" s="41" t="n"/>
      <c r="AA56" s="41" t="n"/>
      <c r="AB56" s="41" t="n"/>
      <c r="AC56" s="41" t="n"/>
      <c r="AD56" s="41" t="n"/>
      <c r="AE56" s="41" t="n"/>
      <c r="AF56" s="41" t="n"/>
      <c r="AG56" s="409" t="n"/>
      <c r="AH56" s="409" t="n"/>
      <c r="AK56" s="41" t="n"/>
      <c r="AP56" s="11" t="n"/>
      <c r="AQ56" s="11" t="n"/>
      <c r="AR56" s="11" t="n"/>
      <c r="AS56" s="11" t="n"/>
      <c r="AT56" s="11" t="n"/>
      <c r="AU56" s="11" t="n"/>
      <c r="AV56" s="41" t="n"/>
      <c r="AW56" s="41" t="n"/>
      <c r="AX56" s="41" t="n"/>
    </row>
    <row r="57" customFormat="1" s="34">
      <c r="A57" s="538" t="n"/>
      <c r="B57" s="72" t="n"/>
      <c r="C57" s="72" t="n">
        <v>0</v>
      </c>
      <c r="E57" s="41" t="n"/>
      <c r="F57" s="41" t="n"/>
      <c r="G57" s="41" t="n"/>
      <c r="H57" s="41" t="n"/>
      <c r="I57" s="41" t="n"/>
      <c r="J57" s="41" t="n"/>
      <c r="K57" s="41" t="n"/>
      <c r="L57" s="41" t="n"/>
      <c r="M57" s="41" t="n"/>
      <c r="N57" s="41" t="n"/>
      <c r="O57" s="41" t="n"/>
      <c r="P57" s="41" t="n"/>
      <c r="Q57" s="41" t="n"/>
      <c r="R57" s="41" t="n"/>
      <c r="S57" s="41" t="n"/>
      <c r="T57" s="41" t="n"/>
      <c r="U57" s="41" t="n"/>
      <c r="V57" s="41" t="n"/>
      <c r="W57" s="41" t="n"/>
      <c r="X57" s="41" t="n"/>
      <c r="Y57" s="41" t="n"/>
      <c r="Z57" s="41" t="n"/>
      <c r="AA57" s="41" t="n"/>
      <c r="AB57" s="41" t="n"/>
      <c r="AC57" s="41" t="n"/>
      <c r="AD57" s="41" t="n"/>
      <c r="AE57" s="41" t="n"/>
      <c r="AF57" s="41" t="n"/>
      <c r="AG57" s="409" t="n"/>
      <c r="AH57" s="409" t="n"/>
      <c r="AI57" s="41" t="n"/>
      <c r="AK57" s="41" t="n"/>
      <c r="AL57" s="71" t="n"/>
      <c r="AM57" s="71" t="n"/>
      <c r="AN57" s="71" t="n"/>
      <c r="AO57" s="71" t="n"/>
      <c r="AP57" s="11" t="n"/>
      <c r="AQ57" s="11" t="n"/>
      <c r="AR57" s="11" t="n"/>
      <c r="AS57" s="11" t="n"/>
      <c r="AT57" s="11" t="n"/>
      <c r="AU57" s="11" t="n"/>
      <c r="AV57" s="41" t="n"/>
      <c r="AW57" s="41" t="n"/>
      <c r="AX57" s="41" t="n"/>
      <c r="AZ57" s="11" t="n"/>
      <c r="BA57" s="11" t="n"/>
      <c r="BB57" s="11" t="n"/>
      <c r="BC57" s="11" t="n"/>
      <c r="BD57" s="11" t="n"/>
      <c r="BE57" s="11" t="n"/>
      <c r="BF57" s="11" t="n"/>
      <c r="BG57" s="11" t="n"/>
      <c r="BH57" s="11" t="n"/>
      <c r="BI57" s="11" t="n"/>
      <c r="BJ57" s="11" t="n"/>
      <c r="BK57" s="11" t="n"/>
      <c r="BL57" s="11" t="n"/>
    </row>
    <row r="58" customFormat="1" s="34">
      <c r="E58" s="41" t="n"/>
      <c r="F58" s="41" t="n"/>
      <c r="G58" s="41" t="n"/>
      <c r="H58" s="41" t="n"/>
      <c r="I58" s="41" t="n"/>
      <c r="J58" s="41" t="n"/>
      <c r="K58" s="41" t="n"/>
      <c r="L58" s="41" t="n"/>
      <c r="M58" s="41" t="n"/>
      <c r="N58" s="41" t="n"/>
      <c r="O58" s="41" t="n"/>
      <c r="P58" s="41" t="n"/>
      <c r="Q58" s="41" t="n"/>
      <c r="R58" s="41" t="n"/>
      <c r="S58" s="41" t="n"/>
      <c r="T58" s="41" t="n"/>
      <c r="U58" s="41" t="n"/>
      <c r="V58" s="41" t="n"/>
      <c r="W58" s="41" t="n"/>
      <c r="X58" s="41" t="n"/>
      <c r="Y58" s="41" t="n"/>
      <c r="Z58" s="41" t="n"/>
      <c r="AA58" s="41" t="n"/>
      <c r="AB58" s="41" t="n"/>
      <c r="AC58" s="41" t="n"/>
      <c r="AD58" s="41" t="n"/>
      <c r="AE58" s="41" t="n"/>
      <c r="AF58" s="41" t="n"/>
      <c r="AG58" s="409" t="n"/>
      <c r="AH58" s="11" t="n"/>
      <c r="AI58" s="41" t="n"/>
      <c r="AK58" s="41" t="n"/>
      <c r="AL58" s="71" t="n"/>
      <c r="AM58" s="71" t="n"/>
      <c r="AN58" s="71" t="n"/>
      <c r="AO58" s="71" t="n"/>
      <c r="AP58" s="11" t="n"/>
      <c r="AQ58" s="11" t="n"/>
      <c r="AR58" s="11" t="n"/>
      <c r="AS58" s="11" t="n"/>
      <c r="AT58" s="11" t="n"/>
      <c r="AU58" s="11" t="n"/>
      <c r="AV58" s="41" t="n"/>
      <c r="AW58" s="41" t="n"/>
      <c r="AX58" s="41" t="n"/>
      <c r="AZ58" s="11" t="n"/>
      <c r="BA58" s="11" t="n"/>
      <c r="BB58" s="11" t="n"/>
      <c r="BC58" s="11" t="n"/>
      <c r="BD58" s="11" t="n"/>
      <c r="BE58" s="11" t="n"/>
      <c r="BF58" s="11" t="n"/>
      <c r="BG58" s="11" t="n"/>
      <c r="BH58" s="11" t="n"/>
      <c r="BI58" s="11" t="n"/>
      <c r="BJ58" s="11" t="n"/>
      <c r="BK58" s="11" t="n"/>
      <c r="BL58" s="11" t="n"/>
    </row>
    <row r="59">
      <c r="A59" s="642" t="inlineStr">
        <is>
          <t>FLACONETES</t>
        </is>
      </c>
      <c r="B59" s="625" t="n"/>
      <c r="C59" s="625" t="n"/>
      <c r="D59" s="641" t="n"/>
      <c r="F59" s="643" t="n">
        <v>46013</v>
      </c>
      <c r="G59" s="643" t="n">
        <v>46020</v>
      </c>
      <c r="H59" s="643" t="n">
        <v>46027</v>
      </c>
      <c r="I59" s="643" t="n">
        <v>46034</v>
      </c>
      <c r="J59" s="643" t="n">
        <v>46041</v>
      </c>
      <c r="K59" s="643" t="n">
        <v>46048</v>
      </c>
      <c r="L59" s="643" t="n">
        <v>46055</v>
      </c>
      <c r="M59" s="643" t="n">
        <v>46062</v>
      </c>
      <c r="N59" s="643" t="n">
        <v>46069</v>
      </c>
      <c r="O59" s="643" t="n">
        <v>46076</v>
      </c>
      <c r="P59" s="643" t="n">
        <v>46083</v>
      </c>
      <c r="Q59" s="643" t="n">
        <v>46090</v>
      </c>
      <c r="R59" s="643" t="n">
        <v>46097</v>
      </c>
      <c r="S59" s="643" t="n">
        <v>46104</v>
      </c>
      <c r="T59" s="643" t="n">
        <v>46111</v>
      </c>
      <c r="U59" s="643" t="n">
        <v>46118</v>
      </c>
      <c r="V59" s="643" t="n">
        <v>46125</v>
      </c>
      <c r="W59" s="643" t="n">
        <v>46132</v>
      </c>
      <c r="X59" s="643" t="n">
        <v>46139</v>
      </c>
      <c r="Y59" s="643" t="n">
        <v>46146</v>
      </c>
      <c r="Z59" s="643" t="n">
        <v>46154</v>
      </c>
      <c r="AA59" s="643" t="n">
        <v>46160</v>
      </c>
      <c r="AB59" s="644" t="n">
        <v>46161.4801324537</v>
      </c>
      <c r="AC59" s="644" t="n">
        <v>46161.48080611111</v>
      </c>
      <c r="AD59" s="644" t="n">
        <v>46161.48296318094</v>
      </c>
      <c r="AE59" s="135" t="n"/>
      <c r="AG59" s="11" t="n"/>
      <c r="AH59" s="11" t="n"/>
      <c r="AP59" s="11" t="n"/>
      <c r="AQ59" s="11" t="n"/>
      <c r="AR59" s="11" t="n"/>
      <c r="AS59" s="11" t="n"/>
      <c r="AT59" s="11" t="n"/>
      <c r="AU59" s="11" t="n"/>
      <c r="AV59" s="41" t="n"/>
      <c r="AW59" s="41" t="n"/>
      <c r="AX59" s="41" t="n"/>
    </row>
    <row r="60" hidden="1" ht="18.75" customHeight="1">
      <c r="A60" s="645" t="inlineStr">
        <is>
          <t>214 FIJI MASC</t>
        </is>
      </c>
      <c r="B60" s="625" t="n"/>
      <c r="C60" s="625" t="n"/>
      <c r="D60" s="641" t="n"/>
      <c r="F60" s="39" t="n"/>
      <c r="G60" s="39" t="n"/>
      <c r="H60" s="39" t="n"/>
      <c r="I60" s="39" t="n"/>
      <c r="J60" s="39" t="n"/>
      <c r="K60" s="39" t="n"/>
      <c r="L60" s="39" t="n"/>
      <c r="M60" s="39" t="n"/>
      <c r="N60" s="39" t="n"/>
      <c r="O60" s="39" t="n"/>
      <c r="P60" s="39" t="n"/>
      <c r="Q60" s="39" t="n"/>
      <c r="R60" s="39" t="n"/>
      <c r="S60" s="39" t="n"/>
      <c r="T60" s="39" t="n"/>
      <c r="U60" s="39" t="n"/>
      <c r="V60" s="39" t="n"/>
      <c r="W60" s="39" t="n"/>
      <c r="X60" s="39" t="n"/>
      <c r="Y60" s="39" t="n"/>
      <c r="Z60" s="39" t="n"/>
      <c r="AA60" s="39" t="n"/>
      <c r="AB60" s="6" t="n"/>
      <c r="AC60" s="6" t="n"/>
      <c r="AD60" s="6" t="n"/>
      <c r="AG60" s="11" t="n"/>
      <c r="AP60" s="11" t="n"/>
      <c r="AQ60" s="11" t="n"/>
      <c r="AR60" s="11" t="n"/>
      <c r="AS60" s="11" t="n"/>
      <c r="AT60" s="11" t="n"/>
      <c r="AU60" s="11" t="n"/>
      <c r="AV60" s="41" t="n"/>
      <c r="AW60" s="41" t="n"/>
      <c r="AX60" s="41" t="n"/>
    </row>
    <row r="61" hidden="1" ht="18.75" customHeight="1">
      <c r="A61" s="645" t="inlineStr">
        <is>
          <t xml:space="preserve">214 FIJI FEM </t>
        </is>
      </c>
      <c r="B61" s="625" t="n"/>
      <c r="C61" s="625" t="n"/>
      <c r="D61" s="641" t="n"/>
      <c r="F61" s="39" t="n"/>
      <c r="G61" s="39" t="n"/>
      <c r="H61" s="39" t="n"/>
      <c r="I61" s="39" t="n"/>
      <c r="J61" s="39" t="n"/>
      <c r="K61" s="39" t="n"/>
      <c r="L61" s="39" t="n"/>
      <c r="M61" s="39" t="n"/>
      <c r="N61" s="39" t="n"/>
      <c r="O61" s="39" t="n"/>
      <c r="P61" s="39" t="n"/>
      <c r="Q61" s="39" t="n"/>
      <c r="R61" s="39" t="n"/>
      <c r="S61" s="39" t="n"/>
      <c r="T61" s="39" t="n"/>
      <c r="U61" s="39" t="n"/>
      <c r="V61" s="39" t="n"/>
      <c r="W61" s="39" t="n"/>
      <c r="X61" s="39" t="n"/>
      <c r="Y61" s="39" t="n"/>
      <c r="Z61" s="39" t="n"/>
      <c r="AA61" s="39" t="n"/>
      <c r="AB61" s="6" t="n"/>
      <c r="AC61" s="6" t="n"/>
      <c r="AD61" s="6" t="n"/>
      <c r="AP61" s="11" t="n"/>
      <c r="AQ61" s="11" t="n"/>
      <c r="AR61" s="11" t="n"/>
      <c r="AS61" s="11" t="n"/>
      <c r="AT61" s="11" t="n"/>
      <c r="AU61" s="11" t="n"/>
      <c r="AV61" s="11" t="n"/>
      <c r="AW61" s="11" t="n"/>
      <c r="AX61" s="11" t="n"/>
    </row>
    <row r="62" hidden="1" ht="18.75" customHeight="1">
      <c r="A62" s="645" t="inlineStr">
        <is>
          <t>EGEO FREE FIRE</t>
        </is>
      </c>
      <c r="B62" s="625" t="n"/>
      <c r="C62" s="625" t="n"/>
      <c r="D62" s="641" t="n"/>
      <c r="F62" s="39" t="n"/>
      <c r="G62" s="39" t="n"/>
      <c r="H62" s="39" t="n"/>
      <c r="I62" s="39" t="n"/>
      <c r="J62" s="39" t="n"/>
      <c r="K62" s="39" t="n"/>
      <c r="L62" s="39" t="n"/>
      <c r="M62" s="39" t="n"/>
      <c r="N62" s="39" t="n"/>
      <c r="O62" s="39" t="n"/>
      <c r="P62" s="39" t="n"/>
      <c r="Q62" s="39" t="n"/>
      <c r="R62" s="39" t="n"/>
      <c r="S62" s="39" t="n"/>
      <c r="T62" s="39" t="n"/>
      <c r="U62" s="39" t="n"/>
      <c r="V62" s="39" t="n"/>
      <c r="W62" s="39" t="n"/>
      <c r="X62" s="39" t="n"/>
      <c r="Y62" s="39" t="n"/>
      <c r="Z62" s="39" t="n"/>
      <c r="AA62" s="39" t="n"/>
      <c r="AB62" s="6" t="n"/>
      <c r="AC62" s="6" t="n"/>
      <c r="AD62" s="6" t="n"/>
      <c r="AP62" s="11" t="n"/>
      <c r="AQ62" s="11" t="n"/>
      <c r="AR62" s="11" t="n"/>
      <c r="AS62" s="11" t="n"/>
      <c r="AT62" s="11" t="n"/>
      <c r="AU62" s="11" t="n"/>
      <c r="AV62" s="357" t="n"/>
      <c r="AW62" s="357" t="n"/>
      <c r="AX62" s="357" t="n"/>
    </row>
    <row r="63" hidden="1" ht="18.75" customFormat="1" customHeight="1" s="34">
      <c r="A63" s="645" t="inlineStr">
        <is>
          <t>COFFEE TOUCH FEM</t>
        </is>
      </c>
      <c r="B63" s="625" t="n"/>
      <c r="C63" s="625" t="n"/>
      <c r="D63" s="641" t="n"/>
      <c r="E63" s="11" t="n"/>
      <c r="F63" s="39" t="n"/>
      <c r="G63" s="39" t="n"/>
      <c r="H63" s="39" t="n"/>
      <c r="I63" s="39" t="n"/>
      <c r="J63" s="39" t="n"/>
      <c r="K63" s="39" t="n"/>
      <c r="L63" s="39" t="n"/>
      <c r="M63" s="39" t="n"/>
      <c r="N63" s="39" t="n"/>
      <c r="O63" s="39" t="n"/>
      <c r="P63" s="39" t="n"/>
      <c r="Q63" s="39" t="n"/>
      <c r="R63" s="39" t="n"/>
      <c r="S63" s="39" t="n"/>
      <c r="T63" s="39" t="n"/>
      <c r="U63" s="39" t="n"/>
      <c r="V63" s="39" t="n"/>
      <c r="W63" s="39" t="n"/>
      <c r="X63" s="39" t="n"/>
      <c r="Y63" s="39" t="n"/>
      <c r="Z63" s="39" t="n"/>
      <c r="AA63" s="39" t="n"/>
      <c r="AB63" s="6" t="n"/>
      <c r="AC63" s="6" t="n"/>
      <c r="AD63" s="6" t="n"/>
      <c r="AE63" s="41" t="n"/>
      <c r="AF63" s="41" t="n"/>
      <c r="AG63" s="71" t="n"/>
      <c r="AH63" s="71" t="n"/>
      <c r="AI63" s="41" t="n"/>
      <c r="AK63" s="41" t="n"/>
      <c r="AL63" s="71" t="n"/>
      <c r="AM63" s="71" t="n"/>
      <c r="AN63" s="71" t="n"/>
      <c r="AO63" s="71" t="n"/>
      <c r="AP63" s="11" t="n"/>
      <c r="AQ63" s="11" t="n"/>
      <c r="AR63" s="11" t="n"/>
      <c r="AS63" s="11" t="n"/>
      <c r="AT63" s="11" t="n"/>
      <c r="AU63" s="11" t="n"/>
      <c r="AV63" s="357" t="n"/>
      <c r="AW63" s="357" t="n"/>
      <c r="AX63" s="357" t="n"/>
      <c r="AZ63" s="11" t="n"/>
      <c r="BA63" s="11" t="n"/>
      <c r="BB63" s="11" t="n"/>
      <c r="BC63" s="11" t="n"/>
      <c r="BD63" s="11" t="n"/>
      <c r="BE63" s="11" t="n"/>
      <c r="BF63" s="11" t="n"/>
      <c r="BG63" s="11" t="n"/>
      <c r="BH63" s="11" t="n"/>
      <c r="BI63" s="11" t="n"/>
      <c r="BJ63" s="11" t="n"/>
      <c r="BK63" s="11" t="n"/>
      <c r="BL63" s="11" t="n"/>
    </row>
    <row r="64" hidden="1" ht="18.75" customFormat="1" customHeight="1" s="34">
      <c r="A64" s="645" t="inlineStr">
        <is>
          <t xml:space="preserve">LIZ INTENSO </t>
        </is>
      </c>
      <c r="B64" s="625" t="n"/>
      <c r="C64" s="625" t="n"/>
      <c r="D64" s="641" t="n"/>
      <c r="E64" s="11" t="n"/>
      <c r="F64" s="39" t="n"/>
      <c r="G64" s="39" t="n"/>
      <c r="H64" s="39" t="n"/>
      <c r="I64" s="39" t="n"/>
      <c r="J64" s="39" t="n"/>
      <c r="K64" s="39" t="n"/>
      <c r="L64" s="39" t="n"/>
      <c r="M64" s="39" t="n"/>
      <c r="N64" s="39" t="n"/>
      <c r="O64" s="39" t="n"/>
      <c r="P64" s="39" t="n"/>
      <c r="Q64" s="39" t="n"/>
      <c r="R64" s="39" t="n"/>
      <c r="S64" s="39" t="n"/>
      <c r="T64" s="39" t="n"/>
      <c r="U64" s="39" t="n"/>
      <c r="V64" s="39" t="n"/>
      <c r="W64" s="39" t="n"/>
      <c r="X64" s="39" t="n"/>
      <c r="Y64" s="39" t="n"/>
      <c r="Z64" s="39" t="n"/>
      <c r="AA64" s="39" t="n"/>
      <c r="AB64" s="6" t="n"/>
      <c r="AC64" s="6" t="n"/>
      <c r="AD64" s="6" t="n"/>
      <c r="AE64" s="41" t="n"/>
      <c r="AF64" s="41" t="n"/>
      <c r="AG64" s="71" t="n"/>
      <c r="AH64" s="71" t="n"/>
      <c r="AI64" s="41" t="n"/>
      <c r="AK64" s="41" t="n"/>
      <c r="AL64" s="71" t="n"/>
      <c r="AM64" s="71" t="n"/>
      <c r="AN64" s="71" t="n"/>
      <c r="AO64" s="71" t="n"/>
      <c r="AP64" s="11" t="n"/>
      <c r="AQ64" s="11" t="n"/>
      <c r="AR64" s="11" t="n"/>
      <c r="AS64" s="11" t="n"/>
      <c r="AT64" s="11" t="n"/>
      <c r="AU64" s="11" t="n"/>
      <c r="AZ64" s="11" t="n"/>
      <c r="BA64" s="11" t="n"/>
      <c r="BB64" s="11" t="n"/>
      <c r="BC64" s="11" t="n"/>
      <c r="BD64" s="11" t="n"/>
      <c r="BE64" s="11" t="n"/>
      <c r="BF64" s="11" t="n"/>
      <c r="BG64" s="11" t="n"/>
      <c r="BH64" s="11" t="n"/>
      <c r="BI64" s="11" t="n"/>
      <c r="BJ64" s="11" t="n"/>
      <c r="BK64" s="11" t="n"/>
      <c r="BL64" s="11" t="n"/>
    </row>
    <row r="65" hidden="1" ht="18.75" customFormat="1" customHeight="1" s="34">
      <c r="A65" s="645" t="inlineStr">
        <is>
          <t xml:space="preserve">LOCAO SHOW DE BANHO </t>
        </is>
      </c>
      <c r="B65" s="625" t="n"/>
      <c r="C65" s="625" t="n"/>
      <c r="D65" s="641" t="n"/>
      <c r="E65" s="11" t="n"/>
      <c r="F65" s="39" t="n"/>
      <c r="G65" s="39" t="n"/>
      <c r="H65" s="39" t="n"/>
      <c r="I65" s="39" t="n"/>
      <c r="J65" s="39" t="n"/>
      <c r="K65" s="39" t="n"/>
      <c r="L65" s="39" t="n"/>
      <c r="M65" s="39" t="n"/>
      <c r="N65" s="39" t="n"/>
      <c r="O65" s="39" t="n"/>
      <c r="P65" s="39" t="n"/>
      <c r="Q65" s="39" t="n"/>
      <c r="R65" s="39" t="n"/>
      <c r="S65" s="39" t="n"/>
      <c r="T65" s="39" t="n"/>
      <c r="U65" s="39" t="n"/>
      <c r="V65" s="39" t="n"/>
      <c r="W65" s="39" t="n"/>
      <c r="X65" s="39" t="n"/>
      <c r="Y65" s="39" t="n"/>
      <c r="Z65" s="39" t="n"/>
      <c r="AA65" s="39" t="n"/>
      <c r="AB65" s="6" t="n"/>
      <c r="AC65" s="6" t="n"/>
      <c r="AD65" s="6" t="n"/>
      <c r="AE65" s="41" t="n"/>
      <c r="AF65" s="41" t="n"/>
      <c r="AG65" s="71" t="n"/>
      <c r="AH65" s="71" t="n"/>
      <c r="AI65" s="41" t="n"/>
      <c r="AK65" s="41" t="n"/>
      <c r="AL65" s="71" t="n"/>
      <c r="AM65" s="71" t="n"/>
      <c r="AN65" s="71" t="n"/>
      <c r="AO65" s="71" t="n"/>
      <c r="AP65" s="11" t="n"/>
      <c r="AQ65" s="11" t="n"/>
      <c r="AR65" s="11" t="n"/>
      <c r="AS65" s="11" t="n"/>
      <c r="AT65" s="11" t="n"/>
      <c r="AU65" s="11" t="n"/>
      <c r="AZ65" s="11" t="n"/>
      <c r="BA65" s="11" t="n"/>
      <c r="BB65" s="11" t="n"/>
      <c r="BC65" s="11" t="n"/>
      <c r="BD65" s="11" t="n"/>
      <c r="BE65" s="11" t="n"/>
      <c r="BF65" s="11" t="n"/>
      <c r="BG65" s="11" t="n"/>
      <c r="BH65" s="11" t="n"/>
      <c r="BI65" s="11" t="n"/>
      <c r="BJ65" s="11" t="n"/>
      <c r="BK65" s="11" t="n"/>
      <c r="BL65" s="11" t="n"/>
    </row>
    <row r="66" hidden="1" ht="18.75" customFormat="1" customHeight="1" s="34">
      <c r="A66" s="645" t="inlineStr">
        <is>
          <t xml:space="preserve">VITAMINA  C </t>
        </is>
      </c>
      <c r="B66" s="625" t="n"/>
      <c r="C66" s="625" t="n"/>
      <c r="D66" s="641" t="n"/>
      <c r="E66" s="11" t="n"/>
      <c r="F66" s="39" t="n"/>
      <c r="G66" s="39" t="n"/>
      <c r="H66" s="39" t="n"/>
      <c r="I66" s="39" t="n"/>
      <c r="J66" s="39" t="n"/>
      <c r="K66" s="39" t="n"/>
      <c r="L66" s="39" t="n"/>
      <c r="M66" s="39" t="n"/>
      <c r="N66" s="39" t="n"/>
      <c r="O66" s="39" t="n"/>
      <c r="P66" s="39" t="n"/>
      <c r="Q66" s="39" t="n"/>
      <c r="R66" s="39" t="n"/>
      <c r="S66" s="39" t="n"/>
      <c r="T66" s="39" t="n"/>
      <c r="U66" s="39" t="n"/>
      <c r="V66" s="39" t="n"/>
      <c r="W66" s="39" t="n"/>
      <c r="X66" s="39" t="n"/>
      <c r="Y66" s="39" t="n"/>
      <c r="Z66" s="39" t="n"/>
      <c r="AA66" s="39" t="n"/>
      <c r="AB66" s="6" t="n"/>
      <c r="AC66" s="6" t="n"/>
      <c r="AD66" s="6" t="n"/>
      <c r="AE66" s="11" t="n"/>
      <c r="AF66" s="11" t="n"/>
      <c r="AG66" s="71" t="n"/>
      <c r="AH66" s="71" t="n"/>
      <c r="AI66" s="11" t="n"/>
      <c r="AK66" s="41" t="n"/>
      <c r="AL66" s="71" t="n"/>
      <c r="AM66" s="71" t="n"/>
      <c r="AN66" s="71" t="n"/>
      <c r="AO66" s="71" t="n"/>
      <c r="AP66" s="11" t="n"/>
      <c r="AQ66" s="11" t="n"/>
      <c r="AR66" s="11" t="n"/>
      <c r="AS66" s="11" t="n"/>
      <c r="AT66" s="11" t="n"/>
      <c r="AU66" s="11" t="n"/>
      <c r="AZ66" s="11" t="n"/>
      <c r="BA66" s="11" t="n"/>
      <c r="BB66" s="11" t="n"/>
      <c r="BC66" s="11" t="n"/>
      <c r="BD66" s="11" t="n"/>
      <c r="BE66" s="11" t="n"/>
      <c r="BF66" s="11" t="n"/>
      <c r="BG66" s="11" t="n"/>
      <c r="BH66" s="11" t="n"/>
      <c r="BI66" s="11" t="n"/>
      <c r="BJ66" s="11" t="n"/>
      <c r="BK66" s="11" t="n"/>
      <c r="BL66" s="11" t="n"/>
    </row>
    <row r="67" hidden="1" ht="18.75" customHeight="1">
      <c r="A67" s="645" t="inlineStr">
        <is>
          <t>HER CODE</t>
        </is>
      </c>
      <c r="B67" s="625" t="n"/>
      <c r="C67" s="625" t="n"/>
      <c r="D67" s="641" t="n"/>
      <c r="F67" s="39" t="n"/>
      <c r="G67" s="39" t="n"/>
      <c r="H67" s="39" t="n"/>
      <c r="I67" s="39" t="n"/>
      <c r="J67" s="39" t="n"/>
      <c r="K67" s="39" t="n"/>
      <c r="L67" s="39" t="n"/>
      <c r="M67" s="39" t="n"/>
      <c r="N67" s="39" t="n"/>
      <c r="O67" s="39" t="n"/>
      <c r="P67" s="39" t="n"/>
      <c r="Q67" s="39" t="n"/>
      <c r="R67" s="39" t="n"/>
      <c r="S67" s="39" t="n"/>
      <c r="T67" s="39" t="n"/>
      <c r="U67" s="39" t="n"/>
      <c r="V67" s="39" t="n"/>
      <c r="W67" s="39" t="n"/>
      <c r="X67" s="39" t="n"/>
      <c r="Y67" s="39" t="n"/>
      <c r="Z67" s="39" t="n"/>
      <c r="AA67" s="39" t="n"/>
      <c r="AB67" s="6" t="n"/>
      <c r="AC67" s="6" t="n"/>
      <c r="AD67" s="6" t="n"/>
      <c r="AP67" s="11" t="n"/>
      <c r="AQ67" s="11" t="n"/>
      <c r="AR67" s="11" t="n"/>
      <c r="AS67" s="11" t="n"/>
      <c r="AT67" s="11" t="n"/>
      <c r="AU67" s="11" t="n"/>
    </row>
    <row r="68" hidden="1" ht="18.75" customHeight="1">
      <c r="A68" s="645" t="inlineStr">
        <is>
          <t>malbec sh +con  antiqueda</t>
        </is>
      </c>
      <c r="B68" s="625" t="n"/>
      <c r="C68" s="625" t="n"/>
      <c r="D68" s="641" t="n"/>
      <c r="F68" s="39" t="n"/>
      <c r="G68" s="39" t="n"/>
      <c r="H68" s="39" t="n"/>
      <c r="I68" s="39" t="n"/>
      <c r="J68" s="39" t="n"/>
      <c r="K68" s="39" t="n"/>
      <c r="L68" s="39" t="n"/>
      <c r="M68" s="39" t="n"/>
      <c r="N68" s="39" t="n"/>
      <c r="O68" s="39" t="n"/>
      <c r="P68" s="39" t="n"/>
      <c r="Q68" s="39" t="n"/>
      <c r="R68" s="39" t="n"/>
      <c r="S68" s="39" t="n"/>
      <c r="T68" s="39" t="n"/>
      <c r="U68" s="39" t="n"/>
      <c r="V68" s="39" t="n"/>
      <c r="W68" s="39" t="n"/>
      <c r="X68" s="39" t="n"/>
      <c r="Y68" s="39" t="n"/>
      <c r="Z68" s="39" t="n"/>
      <c r="AA68" s="39" t="n"/>
      <c r="AB68" s="6" t="n"/>
      <c r="AC68" s="6" t="n"/>
      <c r="AD68" s="6" t="n"/>
      <c r="AP68" s="11" t="n"/>
      <c r="AQ68" s="11" t="n"/>
      <c r="AR68" s="11" t="n"/>
      <c r="AS68" s="11" t="n"/>
      <c r="AT68" s="11" t="n"/>
      <c r="AU68" s="11" t="n"/>
      <c r="AV68" s="11" t="n"/>
      <c r="AW68" s="11" t="n"/>
      <c r="AX68" s="11" t="n"/>
    </row>
    <row r="69" hidden="1" ht="18.75" customHeight="1">
      <c r="A69" s="645" t="inlineStr">
        <is>
          <t xml:space="preserve">malbec sh + con  anticaspa </t>
        </is>
      </c>
      <c r="B69" s="625" t="n"/>
      <c r="C69" s="625" t="n"/>
      <c r="D69" s="641" t="n"/>
      <c r="F69" s="39" t="n"/>
      <c r="G69" s="39" t="n"/>
      <c r="H69" s="39" t="n"/>
      <c r="I69" s="39" t="n"/>
      <c r="J69" s="39" t="n"/>
      <c r="K69" s="39" t="n"/>
      <c r="L69" s="39" t="n"/>
      <c r="M69" s="39" t="n"/>
      <c r="N69" s="39" t="n"/>
      <c r="O69" s="39" t="n"/>
      <c r="P69" s="39" t="n"/>
      <c r="Q69" s="39" t="n"/>
      <c r="R69" s="39" t="n"/>
      <c r="S69" s="39" t="n"/>
      <c r="T69" s="39" t="n"/>
      <c r="U69" s="39" t="n"/>
      <c r="V69" s="39" t="n"/>
      <c r="W69" s="39" t="n"/>
      <c r="X69" s="39" t="n"/>
      <c r="Y69" s="39" t="n"/>
      <c r="Z69" s="39" t="n"/>
      <c r="AA69" s="39" t="n"/>
      <c r="AB69" s="6" t="n"/>
      <c r="AC69" s="6" t="n"/>
      <c r="AD69" s="6" t="n"/>
      <c r="AP69" s="11" t="n"/>
      <c r="AQ69" s="11" t="n"/>
      <c r="AR69" s="11" t="n"/>
      <c r="AS69" s="11" t="n"/>
      <c r="AT69" s="11" t="n"/>
      <c r="AU69" s="11" t="n"/>
      <c r="AV69" s="11" t="n"/>
      <c r="AW69" s="11" t="n"/>
      <c r="AX69" s="11" t="n"/>
    </row>
    <row r="70" hidden="1" ht="18.75" customHeight="1">
      <c r="A70" s="645" t="inlineStr">
        <is>
          <t>botik aloe vera + rosa mosqueta</t>
        </is>
      </c>
      <c r="B70" s="625" t="n"/>
      <c r="C70" s="625" t="n"/>
      <c r="D70" s="641" t="n"/>
      <c r="F70" s="39" t="n"/>
      <c r="G70" s="39" t="n"/>
      <c r="H70" s="39" t="n"/>
      <c r="I70" s="39" t="n"/>
      <c r="J70" s="39" t="n"/>
      <c r="K70" s="39" t="n"/>
      <c r="L70" s="39" t="n"/>
      <c r="M70" s="39" t="n"/>
      <c r="N70" s="39" t="n"/>
      <c r="O70" s="39" t="n"/>
      <c r="P70" s="39" t="n"/>
      <c r="Q70" s="39" t="n"/>
      <c r="R70" s="39" t="n"/>
      <c r="S70" s="39" t="n"/>
      <c r="T70" s="39" t="n"/>
      <c r="U70" s="39" t="n"/>
      <c r="V70" s="39" t="n"/>
      <c r="W70" s="39" t="n"/>
      <c r="X70" s="39" t="n"/>
      <c r="Y70" s="39" t="n"/>
      <c r="Z70" s="39" t="n"/>
      <c r="AA70" s="39" t="n"/>
      <c r="AB70" s="6" t="n"/>
      <c r="AC70" s="6" t="n"/>
      <c r="AD70" s="6" t="n"/>
      <c r="AP70" s="11" t="n"/>
      <c r="AQ70" s="11" t="n"/>
      <c r="AR70" s="11" t="n"/>
      <c r="AS70" s="11" t="n"/>
      <c r="AT70" s="11" t="n"/>
      <c r="AU70" s="11" t="n"/>
      <c r="AV70" s="11" t="n"/>
      <c r="AW70" s="11" t="n"/>
      <c r="AX70" s="11" t="n"/>
    </row>
    <row r="71" hidden="1" ht="18.75" customHeight="1">
      <c r="A71" s="645" t="inlineStr">
        <is>
          <t>base salycili cor 120</t>
        </is>
      </c>
      <c r="B71" s="625" t="n"/>
      <c r="C71" s="625" t="n"/>
      <c r="D71" s="641" t="n"/>
      <c r="F71" s="39" t="n"/>
      <c r="G71" s="39" t="n"/>
      <c r="H71" s="39" t="n"/>
      <c r="I71" s="39" t="n"/>
      <c r="J71" s="39" t="n"/>
      <c r="K71" s="39" t="n"/>
      <c r="L71" s="39" t="n"/>
      <c r="M71" s="39" t="n"/>
      <c r="N71" s="39" t="n"/>
      <c r="O71" s="39" t="n"/>
      <c r="P71" s="39" t="n"/>
      <c r="Q71" s="39" t="n"/>
      <c r="R71" s="39" t="n"/>
      <c r="S71" s="39" t="n"/>
      <c r="T71" s="39" t="n"/>
      <c r="U71" s="39" t="n"/>
      <c r="V71" s="39" t="n"/>
      <c r="W71" s="39" t="n"/>
      <c r="X71" s="39" t="n"/>
      <c r="Y71" s="39" t="n"/>
      <c r="Z71" s="39" t="n"/>
      <c r="AA71" s="39" t="n"/>
      <c r="AB71" s="6" t="n"/>
      <c r="AC71" s="6" t="n"/>
      <c r="AD71" s="6" t="n"/>
      <c r="AP71" s="11" t="n"/>
      <c r="AQ71" s="11" t="n"/>
      <c r="AR71" s="11" t="n"/>
      <c r="AS71" s="11" t="n"/>
      <c r="AT71" s="11" t="n"/>
      <c r="AU71" s="11" t="n"/>
    </row>
    <row r="72" hidden="1" ht="18.75" customHeight="1">
      <c r="A72" s="645" t="inlineStr">
        <is>
          <t xml:space="preserve">Quasar vision </t>
        </is>
      </c>
      <c r="B72" s="625" t="n"/>
      <c r="C72" s="625" t="n"/>
      <c r="D72" s="641" t="n"/>
      <c r="F72" s="39" t="n"/>
      <c r="G72" s="39" t="n"/>
      <c r="H72" s="39" t="n"/>
      <c r="I72" s="39" t="n"/>
      <c r="J72" s="39" t="n"/>
      <c r="K72" s="39" t="n"/>
      <c r="L72" s="39" t="n"/>
      <c r="M72" s="39" t="n"/>
      <c r="N72" s="39" t="n"/>
      <c r="O72" s="39" t="n"/>
      <c r="P72" s="39" t="n"/>
      <c r="Q72" s="39" t="n"/>
      <c r="R72" s="39" t="n"/>
      <c r="S72" s="39" t="n"/>
      <c r="T72" s="39" t="n"/>
      <c r="U72" s="39" t="n"/>
      <c r="V72" s="39" t="n"/>
      <c r="W72" s="39" t="n"/>
      <c r="X72" s="39" t="n"/>
      <c r="Y72" s="39" t="n"/>
      <c r="Z72" s="39" t="n"/>
      <c r="AA72" s="39" t="n"/>
      <c r="AB72" s="6" t="n"/>
      <c r="AC72" s="6" t="n"/>
      <c r="AD72" s="6" t="n"/>
      <c r="AP72" s="11" t="n"/>
      <c r="AQ72" s="11" t="n"/>
      <c r="AR72" s="11" t="n"/>
      <c r="AS72" s="11" t="n"/>
      <c r="AT72" s="11" t="n"/>
      <c r="AU72" s="11" t="n"/>
    </row>
    <row r="73" hidden="1" ht="18.75" customHeight="1">
      <c r="A73" s="645" t="inlineStr">
        <is>
          <t>Portinari  Absoluto</t>
        </is>
      </c>
      <c r="B73" s="625" t="n"/>
      <c r="C73" s="625" t="n"/>
      <c r="D73" s="641" t="n"/>
      <c r="F73" s="39" t="n"/>
      <c r="G73" s="39" t="n"/>
      <c r="H73" s="39" t="n"/>
      <c r="I73" s="39" t="n"/>
      <c r="J73" s="39" t="n"/>
      <c r="K73" s="39" t="n"/>
      <c r="L73" s="39" t="n"/>
      <c r="M73" s="39" t="n"/>
      <c r="N73" s="39" t="n"/>
      <c r="O73" s="39" t="n"/>
      <c r="P73" s="39" t="n"/>
      <c r="Q73" s="39" t="n"/>
      <c r="R73" s="39" t="n"/>
      <c r="S73" s="39" t="n"/>
      <c r="T73" s="39" t="n"/>
      <c r="U73" s="39" t="n"/>
      <c r="V73" s="39" t="n"/>
      <c r="W73" s="39" t="n"/>
      <c r="X73" s="39" t="n"/>
      <c r="Y73" s="39" t="n"/>
      <c r="Z73" s="39" t="n"/>
      <c r="AA73" s="39" t="n"/>
      <c r="AB73" s="6" t="n"/>
      <c r="AC73" s="6" t="n"/>
      <c r="AD73" s="6" t="n"/>
      <c r="AP73" s="11" t="n"/>
      <c r="AQ73" s="11" t="n"/>
      <c r="AR73" s="11" t="n"/>
      <c r="AS73" s="11" t="n"/>
      <c r="AT73" s="11" t="n"/>
      <c r="AU73" s="11" t="n"/>
    </row>
    <row r="74" hidden="1" ht="18.75" customHeight="1">
      <c r="A74" s="645" t="inlineStr">
        <is>
          <t>Leau de  lily  soleil</t>
        </is>
      </c>
      <c r="B74" s="625" t="n"/>
      <c r="C74" s="625" t="n"/>
      <c r="D74" s="641" t="n"/>
      <c r="F74" s="39" t="n"/>
      <c r="G74" s="39" t="n"/>
      <c r="H74" s="39" t="n"/>
      <c r="I74" s="39" t="n"/>
      <c r="J74" s="39" t="n"/>
      <c r="K74" s="39" t="n"/>
      <c r="L74" s="39" t="n"/>
      <c r="M74" s="39" t="n"/>
      <c r="N74" s="39" t="n"/>
      <c r="O74" s="39" t="n"/>
      <c r="P74" s="39" t="n"/>
      <c r="Q74" s="39" t="n"/>
      <c r="R74" s="39" t="n"/>
      <c r="S74" s="39" t="n"/>
      <c r="T74" s="39" t="n"/>
      <c r="U74" s="39" t="n"/>
      <c r="V74" s="39" t="n"/>
      <c r="W74" s="39" t="n"/>
      <c r="X74" s="39" t="n"/>
      <c r="Y74" s="39" t="n"/>
      <c r="Z74" s="39" t="n"/>
      <c r="AA74" s="39" t="n"/>
      <c r="AB74" s="6" t="n"/>
      <c r="AC74" s="6" t="n"/>
      <c r="AD74" s="6" t="n"/>
      <c r="AP74" s="11" t="n"/>
      <c r="AQ74" s="11" t="n"/>
      <c r="AR74" s="11" t="n"/>
      <c r="AS74" s="11" t="n"/>
      <c r="AT74" s="11" t="n"/>
      <c r="AU74" s="11" t="n"/>
    </row>
    <row r="75" hidden="1" ht="18.75" customHeight="1">
      <c r="A75" s="645" t="inlineStr">
        <is>
          <t xml:space="preserve">Boti  baby </t>
        </is>
      </c>
      <c r="B75" s="625" t="n"/>
      <c r="C75" s="625" t="n"/>
      <c r="D75" s="641" t="n"/>
      <c r="F75" s="39" t="n"/>
      <c r="G75" s="39" t="n"/>
      <c r="H75" s="39" t="n"/>
      <c r="I75" s="39" t="n"/>
      <c r="J75" s="39" t="n"/>
      <c r="K75" s="39" t="n"/>
      <c r="L75" s="39" t="n"/>
      <c r="M75" s="39" t="n"/>
      <c r="N75" s="39" t="n"/>
      <c r="O75" s="39" t="n"/>
      <c r="P75" s="39" t="n"/>
      <c r="Q75" s="39" t="n"/>
      <c r="R75" s="39" t="n"/>
      <c r="S75" s="39" t="n"/>
      <c r="T75" s="39" t="n"/>
      <c r="U75" s="39" t="n"/>
      <c r="V75" s="39" t="n"/>
      <c r="W75" s="39" t="n"/>
      <c r="X75" s="39" t="n"/>
      <c r="Y75" s="39" t="n"/>
      <c r="Z75" s="39" t="n"/>
      <c r="AA75" s="39" t="n"/>
      <c r="AB75" s="6" t="n"/>
      <c r="AC75" s="6" t="n"/>
      <c r="AD75" s="6" t="n"/>
      <c r="AP75" s="11" t="n"/>
      <c r="AQ75" s="11" t="n"/>
      <c r="AR75" s="11" t="n"/>
      <c r="AS75" s="11" t="n"/>
      <c r="AT75" s="11" t="n"/>
      <c r="AU75" s="11" t="n"/>
    </row>
    <row r="76" hidden="1" ht="18.75" customHeight="1">
      <c r="A76" s="645" t="inlineStr">
        <is>
          <t>arbo puro</t>
        </is>
      </c>
      <c r="B76" s="625" t="n"/>
      <c r="C76" s="625" t="n"/>
      <c r="D76" s="641" t="n"/>
      <c r="F76" s="39" t="n"/>
      <c r="G76" s="39" t="n"/>
      <c r="H76" s="39" t="n"/>
      <c r="I76" s="39" t="n"/>
      <c r="J76" s="39" t="n"/>
      <c r="K76" s="39" t="n"/>
      <c r="L76" s="39" t="n"/>
      <c r="M76" s="39" t="n"/>
      <c r="N76" s="39" t="n"/>
      <c r="O76" s="39" t="n"/>
      <c r="P76" s="39" t="n"/>
      <c r="Q76" s="39" t="n"/>
      <c r="R76" s="39" t="n"/>
      <c r="S76" s="39" t="n"/>
      <c r="T76" s="39" t="n"/>
      <c r="U76" s="39" t="n"/>
      <c r="V76" s="39" t="n"/>
      <c r="W76" s="39" t="n"/>
      <c r="X76" s="39" t="n"/>
      <c r="Y76" s="39" t="n"/>
      <c r="Z76" s="39" t="n"/>
      <c r="AA76" s="39" t="n"/>
      <c r="AB76" s="6" t="n"/>
      <c r="AC76" s="6" t="n"/>
      <c r="AD76" s="6" t="n"/>
      <c r="AP76" s="409" t="n"/>
      <c r="AQ76" s="409" t="n"/>
      <c r="AR76" s="409" t="n"/>
      <c r="AS76" s="409" t="n"/>
      <c r="AT76" s="409" t="n"/>
      <c r="AU76" s="409" t="n"/>
    </row>
    <row r="77" hidden="1" ht="18.75" customHeight="1">
      <c r="A77" s="645" t="inlineStr">
        <is>
          <t>quasar blue</t>
        </is>
      </c>
      <c r="B77" s="625" t="n"/>
      <c r="C77" s="625" t="n"/>
      <c r="D77" s="641" t="n"/>
      <c r="F77" s="39" t="n"/>
      <c r="G77" s="39" t="n"/>
      <c r="H77" s="39" t="n"/>
      <c r="I77" s="39" t="n"/>
      <c r="J77" s="39" t="n"/>
      <c r="K77" s="39" t="n"/>
      <c r="L77" s="39" t="n"/>
      <c r="M77" s="39" t="n"/>
      <c r="N77" s="39" t="n"/>
      <c r="O77" s="39" t="n"/>
      <c r="P77" s="39" t="n"/>
      <c r="Q77" s="39" t="n"/>
      <c r="R77" s="39" t="n"/>
      <c r="S77" s="39" t="n"/>
      <c r="T77" s="39" t="n"/>
      <c r="U77" s="39" t="n"/>
      <c r="V77" s="39" t="n"/>
      <c r="W77" s="39" t="n"/>
      <c r="X77" s="39" t="n"/>
      <c r="Y77" s="39" t="n"/>
      <c r="Z77" s="39" t="n"/>
      <c r="AA77" s="39" t="n"/>
      <c r="AB77" s="6" t="n"/>
      <c r="AC77" s="6" t="n"/>
      <c r="AD77" s="6" t="n"/>
      <c r="AP77" s="409" t="n"/>
      <c r="AQ77" s="409" t="n"/>
      <c r="AR77" s="409" t="n"/>
      <c r="AS77" s="409" t="n"/>
      <c r="AT77" s="409" t="n"/>
      <c r="AU77" s="409" t="n"/>
    </row>
    <row r="78" hidden="1" ht="18.75" customHeight="1">
      <c r="A78" s="645" t="inlineStr">
        <is>
          <t>batom intense</t>
        </is>
      </c>
      <c r="B78" s="625" t="n"/>
      <c r="C78" s="625" t="n"/>
      <c r="D78" s="641" t="n"/>
      <c r="F78" s="39" t="n"/>
      <c r="G78" s="39" t="n"/>
      <c r="H78" s="39" t="n"/>
      <c r="I78" s="39" t="n"/>
      <c r="J78" s="39" t="n"/>
      <c r="K78" s="39" t="n"/>
      <c r="L78" s="39" t="n"/>
      <c r="M78" s="39" t="n"/>
      <c r="N78" s="39" t="n"/>
      <c r="O78" s="39" t="n"/>
      <c r="P78" s="39" t="n"/>
      <c r="Q78" s="39" t="n"/>
      <c r="R78" s="39" t="n"/>
      <c r="S78" s="39" t="n"/>
      <c r="T78" s="39" t="n"/>
      <c r="U78" s="39" t="n"/>
      <c r="V78" s="39" t="n"/>
      <c r="W78" s="39" t="n"/>
      <c r="X78" s="39" t="n"/>
      <c r="Y78" s="39" t="n"/>
      <c r="Z78" s="39" t="n"/>
      <c r="AA78" s="39" t="n"/>
      <c r="AB78" s="6" t="n"/>
      <c r="AC78" s="6" t="n"/>
      <c r="AD78" s="6" t="n"/>
      <c r="AP78" s="41" t="n"/>
      <c r="AQ78" s="41" t="n"/>
      <c r="AR78" s="41" t="n"/>
      <c r="AS78" s="41" t="n"/>
      <c r="AT78" s="41" t="n"/>
      <c r="AU78" s="41" t="n"/>
    </row>
    <row r="79" hidden="1" ht="18.75" customHeight="1">
      <c r="A79" s="645" t="inlineStr">
        <is>
          <t>boti sun 50,70 corporal</t>
        </is>
      </c>
      <c r="B79" s="625" t="n"/>
      <c r="C79" s="625" t="n"/>
      <c r="D79" s="641" t="n"/>
      <c r="F79" s="39" t="n"/>
      <c r="G79" s="39" t="n"/>
      <c r="H79" s="39" t="n"/>
      <c r="I79" s="39" t="n"/>
      <c r="J79" s="39" t="n"/>
      <c r="K79" s="39" t="n"/>
      <c r="L79" s="39" t="n"/>
      <c r="M79" s="39" t="n"/>
      <c r="N79" s="39" t="n"/>
      <c r="O79" s="39" t="n"/>
      <c r="P79" s="39" t="n"/>
      <c r="Q79" s="39" t="n"/>
      <c r="R79" s="39" t="n"/>
      <c r="S79" s="39" t="n"/>
      <c r="T79" s="39" t="n"/>
      <c r="U79" s="39" t="n"/>
      <c r="V79" s="39" t="n"/>
      <c r="W79" s="39" t="n"/>
      <c r="X79" s="39" t="n"/>
      <c r="Y79" s="39" t="n"/>
      <c r="Z79" s="39" t="n"/>
      <c r="AA79" s="39" t="n"/>
      <c r="AB79" s="6" t="n"/>
      <c r="AC79" s="6" t="n"/>
      <c r="AD79" s="6" t="n"/>
      <c r="AP79" s="41" t="n"/>
      <c r="AQ79" s="41" t="n"/>
      <c r="AR79" s="41" t="n"/>
      <c r="AS79" s="41" t="n"/>
      <c r="AT79" s="41" t="n"/>
      <c r="AU79" s="41" t="n"/>
    </row>
    <row r="80" hidden="1" ht="18.75" customHeight="1">
      <c r="A80" s="645" t="inlineStr">
        <is>
          <t>hidratante feira</t>
        </is>
      </c>
      <c r="B80" s="625" t="n"/>
      <c r="C80" s="625" t="n"/>
      <c r="D80" s="641" t="n"/>
      <c r="F80" s="39" t="n"/>
      <c r="G80" s="39" t="n"/>
      <c r="H80" s="39" t="n"/>
      <c r="I80" s="39" t="n"/>
      <c r="J80" s="39" t="n"/>
      <c r="K80" s="39" t="n"/>
      <c r="L80" s="39" t="n"/>
      <c r="M80" s="39" t="n"/>
      <c r="N80" s="39" t="n"/>
      <c r="O80" s="39" t="n"/>
      <c r="P80" s="39" t="n"/>
      <c r="Q80" s="39" t="n"/>
      <c r="R80" s="39" t="n"/>
      <c r="S80" s="39" t="n"/>
      <c r="T80" s="39" t="n"/>
      <c r="U80" s="39" t="n"/>
      <c r="V80" s="39" t="n"/>
      <c r="W80" s="39" t="n"/>
      <c r="X80" s="39" t="n"/>
      <c r="Y80" s="39" t="n"/>
      <c r="Z80" s="39" t="n"/>
      <c r="AA80" s="39" t="n"/>
      <c r="AB80" s="6" t="n"/>
      <c r="AC80" s="6" t="n"/>
      <c r="AD80" s="6" t="n"/>
      <c r="AP80" s="41" t="n"/>
      <c r="AQ80" s="41" t="n"/>
      <c r="AR80" s="41" t="n"/>
      <c r="AS80" s="41" t="n"/>
      <c r="AT80" s="41" t="n"/>
      <c r="AU80" s="41" t="n"/>
    </row>
    <row r="81" hidden="1" ht="18.75" customHeight="1">
      <c r="A81" s="645" t="inlineStr">
        <is>
          <t>floratta romance de verão</t>
        </is>
      </c>
      <c r="B81" s="625" t="n"/>
      <c r="C81" s="625" t="n"/>
      <c r="D81" s="641" t="n"/>
      <c r="F81" s="39" t="n"/>
      <c r="G81" s="39" t="n"/>
      <c r="H81" s="39" t="n"/>
      <c r="I81" s="39" t="n"/>
      <c r="J81" s="39" t="n"/>
      <c r="K81" s="39" t="n"/>
      <c r="L81" s="39" t="n"/>
      <c r="M81" s="39" t="n"/>
      <c r="N81" s="39" t="n"/>
      <c r="O81" s="39" t="n"/>
      <c r="P81" s="39" t="n"/>
      <c r="Q81" s="39" t="n"/>
      <c r="R81" s="39" t="n"/>
      <c r="S81" s="39" t="n"/>
      <c r="T81" s="39" t="n"/>
      <c r="U81" s="39" t="n"/>
      <c r="V81" s="39" t="n"/>
      <c r="W81" s="39" t="n"/>
      <c r="X81" s="39" t="n"/>
      <c r="Y81" s="39" t="n"/>
      <c r="Z81" s="39" t="n"/>
      <c r="AA81" s="39" t="n"/>
      <c r="AB81" s="6" t="n"/>
      <c r="AC81" s="6" t="n"/>
      <c r="AD81" s="6" t="n"/>
      <c r="AP81" s="41" t="n"/>
      <c r="AQ81" s="41" t="n"/>
      <c r="AR81" s="41" t="n"/>
      <c r="AS81" s="41" t="n"/>
      <c r="AT81" s="41" t="n"/>
      <c r="AU81" s="41" t="n"/>
    </row>
    <row r="82" hidden="1" ht="18.75" customHeight="1">
      <c r="A82" s="645" t="inlineStr">
        <is>
          <t>feira bana shamp + cond</t>
        </is>
      </c>
      <c r="B82" s="625" t="n"/>
      <c r="C82" s="625" t="n"/>
      <c r="D82" s="641" t="n"/>
      <c r="F82" s="39" t="n"/>
      <c r="G82" s="39" t="n"/>
      <c r="H82" s="39" t="n"/>
      <c r="I82" s="39" t="n"/>
      <c r="J82" s="39" t="n"/>
      <c r="K82" s="39" t="n"/>
      <c r="L82" s="39" t="n"/>
      <c r="M82" s="39" t="n"/>
      <c r="N82" s="39" t="n"/>
      <c r="O82" s="39" t="n"/>
      <c r="P82" s="39" t="n"/>
      <c r="Q82" s="39" t="n"/>
      <c r="R82" s="39" t="n"/>
      <c r="S82" s="39" t="n"/>
      <c r="T82" s="39" t="n"/>
      <c r="U82" s="39" t="n"/>
      <c r="V82" s="39" t="n"/>
      <c r="W82" s="39" t="n"/>
      <c r="X82" s="39" t="n"/>
      <c r="Y82" s="39" t="n"/>
      <c r="Z82" s="39" t="n"/>
      <c r="AA82" s="39" t="n"/>
      <c r="AB82" s="6" t="n"/>
      <c r="AC82" s="6" t="n"/>
      <c r="AD82" s="6" t="n"/>
      <c r="AP82" s="41" t="n"/>
      <c r="AQ82" s="41" t="n"/>
      <c r="AR82" s="41" t="n"/>
      <c r="AS82" s="41" t="n"/>
      <c r="AT82" s="41" t="n"/>
      <c r="AU82" s="41" t="n"/>
    </row>
    <row r="83" hidden="1" ht="18.75" customHeight="1">
      <c r="A83" s="645" t="inlineStr">
        <is>
          <t>base make b 120,200,300</t>
        </is>
      </c>
      <c r="B83" s="625" t="n"/>
      <c r="C83" s="625" t="n"/>
      <c r="D83" s="641" t="n"/>
      <c r="F83" s="39" t="n"/>
      <c r="G83" s="39" t="n"/>
      <c r="H83" s="39" t="n"/>
      <c r="I83" s="39" t="n"/>
      <c r="J83" s="39" t="n"/>
      <c r="K83" s="39" t="n"/>
      <c r="L83" s="39" t="n"/>
      <c r="M83" s="39" t="n"/>
      <c r="N83" s="39" t="n"/>
      <c r="O83" s="39" t="n"/>
      <c r="P83" s="39" t="n"/>
      <c r="Q83" s="39" t="n"/>
      <c r="R83" s="39" t="n"/>
      <c r="S83" s="39" t="n"/>
      <c r="T83" s="39" t="n"/>
      <c r="U83" s="39" t="n"/>
      <c r="V83" s="39" t="n"/>
      <c r="W83" s="39" t="n"/>
      <c r="X83" s="39" t="n"/>
      <c r="Y83" s="39" t="n"/>
      <c r="Z83" s="39" t="n"/>
      <c r="AA83" s="39" t="n"/>
      <c r="AB83" s="6" t="n"/>
      <c r="AC83" s="6" t="n"/>
      <c r="AD83" s="6" t="n"/>
      <c r="AP83" s="11" t="n"/>
      <c r="AQ83" s="11" t="n"/>
      <c r="AR83" s="11" t="n"/>
      <c r="AS83" s="11" t="n"/>
      <c r="AT83" s="11" t="n"/>
      <c r="AU83" s="11" t="n"/>
    </row>
    <row r="84" hidden="1" ht="18.75" customHeight="1">
      <c r="A84" s="645" t="inlineStr">
        <is>
          <t xml:space="preserve">protetor facial + corporal </t>
        </is>
      </c>
      <c r="B84" s="625" t="n"/>
      <c r="C84" s="625" t="n"/>
      <c r="D84" s="641" t="n"/>
      <c r="F84" s="39" t="n"/>
      <c r="G84" s="39" t="n"/>
      <c r="H84" s="39" t="n"/>
      <c r="I84" s="39" t="n"/>
      <c r="J84" s="39" t="n"/>
      <c r="K84" s="39" t="n"/>
      <c r="L84" s="39" t="n"/>
      <c r="M84" s="39" t="n"/>
      <c r="N84" s="39" t="n"/>
      <c r="O84" s="39" t="n"/>
      <c r="P84" s="39" t="n"/>
      <c r="Q84" s="39" t="n"/>
      <c r="R84" s="39" t="n"/>
      <c r="S84" s="39" t="n"/>
      <c r="T84" s="39" t="n"/>
      <c r="U84" s="39" t="n"/>
      <c r="V84" s="39" t="n"/>
      <c r="W84" s="39" t="n"/>
      <c r="X84" s="39" t="n"/>
      <c r="Y84" s="39" t="n"/>
      <c r="Z84" s="39" t="n"/>
      <c r="AA84" s="39" t="n"/>
      <c r="AB84" s="6" t="n"/>
      <c r="AC84" s="6" t="n"/>
      <c r="AD84" s="6" t="n"/>
      <c r="AP84" s="357" t="n"/>
      <c r="AQ84" s="357" t="n"/>
      <c r="AR84" s="357" t="n"/>
      <c r="AS84" s="357" t="n"/>
      <c r="AT84" s="357" t="n"/>
      <c r="AU84" s="357" t="n"/>
    </row>
    <row r="85" hidden="1" ht="18.75" customHeight="1">
      <c r="A85" s="645" t="inlineStr">
        <is>
          <t xml:space="preserve">men 2 em 1 sh + cond </t>
        </is>
      </c>
      <c r="B85" s="625" t="n"/>
      <c r="C85" s="625" t="n"/>
      <c r="D85" s="641" t="n"/>
      <c r="F85" s="39" t="n"/>
      <c r="G85" s="39" t="n"/>
      <c r="H85" s="39" t="n"/>
      <c r="I85" s="39" t="n"/>
      <c r="J85" s="39" t="n"/>
      <c r="K85" s="39" t="n"/>
      <c r="L85" s="39" t="n"/>
      <c r="M85" s="39" t="n"/>
      <c r="N85" s="39" t="n"/>
      <c r="O85" s="39" t="n"/>
      <c r="P85" s="39" t="n"/>
      <c r="Q85" s="39" t="n"/>
      <c r="R85" s="39" t="n"/>
      <c r="S85" s="39" t="n"/>
      <c r="T85" s="39" t="n"/>
      <c r="U85" s="39" t="n"/>
      <c r="V85" s="39" t="n"/>
      <c r="W85" s="39" t="n"/>
      <c r="X85" s="39" t="n"/>
      <c r="Y85" s="39" t="n"/>
      <c r="Z85" s="39" t="n"/>
      <c r="AA85" s="39" t="n"/>
      <c r="AB85" s="6" t="n"/>
      <c r="AC85" s="6" t="n"/>
      <c r="AD85" s="6" t="n"/>
      <c r="AP85" s="357" t="n"/>
      <c r="AQ85" s="357" t="n"/>
      <c r="AR85" s="357" t="n"/>
      <c r="AS85" s="357" t="n"/>
      <c r="AT85" s="357" t="n"/>
      <c r="AU85" s="357" t="n"/>
    </row>
    <row r="86" hidden="1" ht="18.75" customHeight="1">
      <c r="A86" s="645" t="inlineStr">
        <is>
          <t xml:space="preserve">malbec sh e con club </t>
        </is>
      </c>
      <c r="B86" s="625" t="n"/>
      <c r="C86" s="625" t="n"/>
      <c r="D86" s="641" t="n"/>
      <c r="F86" s="39" t="n"/>
      <c r="G86" s="39" t="n"/>
      <c r="H86" s="39" t="n"/>
      <c r="I86" s="39" t="n"/>
      <c r="J86" s="39" t="n"/>
      <c r="K86" s="39" t="n"/>
      <c r="L86" s="39" t="n"/>
      <c r="M86" s="39" t="n"/>
      <c r="N86" s="39" t="n"/>
      <c r="O86" s="39" t="n"/>
      <c r="P86" s="39" t="n"/>
      <c r="Q86" s="39" t="n"/>
      <c r="R86" s="39" t="n"/>
      <c r="S86" s="39" t="n"/>
      <c r="T86" s="39" t="n"/>
      <c r="U86" s="39" t="n"/>
      <c r="V86" s="39" t="n"/>
      <c r="W86" s="39" t="n"/>
      <c r="X86" s="39" t="n"/>
      <c r="Y86" s="39" t="n"/>
      <c r="Z86" s="39" t="n"/>
      <c r="AA86" s="39" t="n"/>
      <c r="AB86" s="6" t="n"/>
      <c r="AC86" s="6" t="n"/>
      <c r="AD86" s="6" t="n"/>
    </row>
    <row r="87" hidden="1" ht="18.75" customHeight="1">
      <c r="A87" s="645" t="inlineStr">
        <is>
          <t xml:space="preserve">boti baby sab e loção </t>
        </is>
      </c>
      <c r="B87" s="625" t="n"/>
      <c r="C87" s="625" t="n"/>
      <c r="D87" s="641" t="n"/>
      <c r="F87" s="39" t="n"/>
      <c r="G87" s="39" t="n"/>
      <c r="H87" s="39" t="n"/>
      <c r="I87" s="39" t="n"/>
      <c r="J87" s="39" t="n"/>
      <c r="K87" s="39" t="n"/>
      <c r="L87" s="39" t="n"/>
      <c r="M87" s="39" t="n"/>
      <c r="N87" s="39" t="n"/>
      <c r="O87" s="39" t="n"/>
      <c r="P87" s="39" t="n"/>
      <c r="Q87" s="39" t="n"/>
      <c r="R87" s="39" t="n"/>
      <c r="S87" s="39" t="n"/>
      <c r="T87" s="39" t="n"/>
      <c r="U87" s="39" t="n"/>
      <c r="V87" s="39" t="n"/>
      <c r="W87" s="39" t="n"/>
      <c r="X87" s="39" t="n"/>
      <c r="Y87" s="39" t="n"/>
      <c r="Z87" s="39" t="n"/>
      <c r="AA87" s="39" t="n"/>
      <c r="AB87" s="6" t="n"/>
      <c r="AC87" s="6" t="n"/>
      <c r="AD87" s="6" t="n"/>
    </row>
    <row r="88" hidden="1" ht="18.75" customHeight="1">
      <c r="A88" s="645" t="inlineStr">
        <is>
          <t xml:space="preserve">glamour black intenso </t>
        </is>
      </c>
      <c r="B88" s="625" t="n"/>
      <c r="C88" s="625" t="n"/>
      <c r="D88" s="641" t="n"/>
      <c r="F88" s="39" t="n"/>
      <c r="G88" s="39" t="n"/>
      <c r="H88" s="39" t="n"/>
      <c r="I88" s="39" t="n"/>
      <c r="J88" s="39" t="n"/>
      <c r="K88" s="39" t="n"/>
      <c r="L88" s="39" t="n"/>
      <c r="M88" s="39" t="n"/>
      <c r="N88" s="39" t="n"/>
      <c r="O88" s="39" t="n"/>
      <c r="P88" s="39" t="n"/>
      <c r="Q88" s="39" t="n"/>
      <c r="R88" s="39" t="n"/>
      <c r="S88" s="39" t="n"/>
      <c r="T88" s="39" t="n"/>
      <c r="U88" s="39" t="n"/>
      <c r="V88" s="39" t="n"/>
      <c r="W88" s="39" t="n"/>
      <c r="X88" s="39" t="n"/>
      <c r="Y88" s="39" t="n"/>
      <c r="Z88" s="39" t="n"/>
      <c r="AA88" s="39" t="n"/>
      <c r="AB88" s="6" t="n"/>
      <c r="AC88" s="6" t="n"/>
      <c r="AD88" s="6" t="n"/>
    </row>
    <row r="89" hidden="1" ht="18.75" customHeight="1">
      <c r="A89" s="645" t="inlineStr">
        <is>
          <t>coffe addictive macs</t>
        </is>
      </c>
      <c r="B89" s="625" t="n"/>
      <c r="C89" s="625" t="n"/>
      <c r="D89" s="641" t="n"/>
      <c r="F89" s="39" t="n"/>
      <c r="G89" s="39" t="n"/>
      <c r="H89" s="39" t="n"/>
      <c r="I89" s="39" t="n"/>
      <c r="J89" s="39" t="n"/>
      <c r="K89" s="39" t="n"/>
      <c r="L89" s="39" t="n"/>
      <c r="M89" s="39" t="n"/>
      <c r="N89" s="39" t="n"/>
      <c r="O89" s="39" t="n"/>
      <c r="P89" s="39" t="n"/>
      <c r="Q89" s="39" t="n"/>
      <c r="R89" s="39" t="n"/>
      <c r="S89" s="39" t="n"/>
      <c r="T89" s="39" t="n"/>
      <c r="U89" s="39" t="n"/>
      <c r="V89" s="39" t="n"/>
      <c r="W89" s="39" t="n"/>
      <c r="X89" s="39" t="n"/>
      <c r="Y89" s="39" t="n"/>
      <c r="Z89" s="39" t="n"/>
      <c r="AA89" s="39" t="n"/>
      <c r="AB89" s="6" t="n"/>
      <c r="AC89" s="6" t="n"/>
      <c r="AD89" s="6" t="n"/>
    </row>
    <row r="90" hidden="1" ht="18.75" customHeight="1">
      <c r="A90" s="645" t="inlineStr">
        <is>
          <t>uomini spirit</t>
        </is>
      </c>
      <c r="B90" s="625" t="n"/>
      <c r="C90" s="625" t="n"/>
      <c r="D90" s="641" t="n"/>
      <c r="F90" s="39" t="n"/>
      <c r="G90" s="39" t="n"/>
      <c r="H90" s="39" t="n"/>
      <c r="I90" s="39" t="n"/>
      <c r="J90" s="39" t="n"/>
      <c r="K90" s="39" t="n"/>
      <c r="L90" s="39" t="n"/>
      <c r="M90" s="39" t="n"/>
      <c r="N90" s="39" t="n"/>
      <c r="O90" s="39" t="n"/>
      <c r="P90" s="39" t="n"/>
      <c r="Q90" s="39" t="n"/>
      <c r="R90" s="39" t="n"/>
      <c r="S90" s="39" t="n"/>
      <c r="T90" s="39" t="n"/>
      <c r="U90" s="39" t="n"/>
      <c r="V90" s="39" t="n"/>
      <c r="W90" s="39" t="n"/>
      <c r="X90" s="39" t="n"/>
      <c r="Y90" s="39" t="n"/>
      <c r="Z90" s="39" t="n"/>
      <c r="AA90" s="39" t="n"/>
      <c r="AB90" s="6" t="n"/>
      <c r="AC90" s="6" t="n"/>
      <c r="AD90" s="6" t="n"/>
      <c r="AP90" s="11" t="n"/>
      <c r="AQ90" s="11" t="n"/>
      <c r="AR90" s="11" t="n"/>
      <c r="AS90" s="11" t="n"/>
      <c r="AT90" s="11" t="n"/>
      <c r="AU90" s="11" t="n"/>
    </row>
    <row r="91" hidden="1" ht="18.75" customHeight="1">
      <c r="A91" s="645" t="inlineStr">
        <is>
          <t>protetor hialuronico 80</t>
        </is>
      </c>
      <c r="B91" s="625" t="n"/>
      <c r="C91" s="625" t="n"/>
      <c r="D91" s="641" t="n"/>
      <c r="F91" s="39" t="n"/>
      <c r="G91" s="39" t="n"/>
      <c r="H91" s="39" t="n"/>
      <c r="I91" s="39" t="n"/>
      <c r="J91" s="39" t="n"/>
      <c r="K91" s="39" t="n"/>
      <c r="L91" s="39" t="n"/>
      <c r="M91" s="39" t="n"/>
      <c r="N91" s="39" t="n"/>
      <c r="O91" s="39" t="n"/>
      <c r="P91" s="39" t="n"/>
      <c r="Q91" s="39" t="n"/>
      <c r="R91" s="39" t="n"/>
      <c r="S91" s="39" t="n"/>
      <c r="T91" s="39" t="n"/>
      <c r="U91" s="39" t="n"/>
      <c r="V91" s="39" t="n"/>
      <c r="W91" s="39" t="n"/>
      <c r="X91" s="39" t="n"/>
      <c r="Y91" s="39" t="n"/>
      <c r="Z91" s="39" t="n"/>
      <c r="AA91" s="39" t="n"/>
      <c r="AB91" s="6" t="n"/>
      <c r="AC91" s="6" t="n"/>
      <c r="AD91" s="6" t="n"/>
      <c r="AP91" s="11" t="n"/>
      <c r="AQ91" s="11" t="n"/>
      <c r="AR91" s="11" t="n"/>
      <c r="AS91" s="11" t="n"/>
      <c r="AT91" s="11" t="n"/>
      <c r="AU91" s="11" t="n"/>
    </row>
    <row r="92" hidden="1" ht="18.75" customHeight="1">
      <c r="A92" s="645" t="inlineStr">
        <is>
          <t>protetor hialuronico 50</t>
        </is>
      </c>
      <c r="B92" s="625" t="n"/>
      <c r="C92" s="625" t="n"/>
      <c r="D92" s="641" t="n"/>
      <c r="F92" s="39" t="n"/>
      <c r="G92" s="39" t="n"/>
      <c r="H92" s="39" t="n"/>
      <c r="I92" s="39" t="n"/>
      <c r="J92" s="39" t="n"/>
      <c r="K92" s="39" t="n"/>
      <c r="L92" s="39" t="n"/>
      <c r="M92" s="39" t="n"/>
      <c r="N92" s="39" t="n"/>
      <c r="O92" s="39" t="n"/>
      <c r="P92" s="39" t="n"/>
      <c r="Q92" s="39" t="n"/>
      <c r="R92" s="39" t="n"/>
      <c r="S92" s="39" t="n"/>
      <c r="T92" s="39" t="n"/>
      <c r="U92" s="39" t="n"/>
      <c r="V92" s="39" t="n"/>
      <c r="W92" s="39" t="n"/>
      <c r="X92" s="39" t="n"/>
      <c r="Y92" s="39" t="n"/>
      <c r="Z92" s="39" t="n"/>
      <c r="AA92" s="39" t="n"/>
      <c r="AB92" s="6" t="n"/>
      <c r="AC92" s="6" t="n"/>
      <c r="AD92" s="6" t="n"/>
      <c r="AP92" s="11" t="n"/>
      <c r="AQ92" s="11" t="n"/>
      <c r="AR92" s="11" t="n"/>
      <c r="AS92" s="11" t="n"/>
      <c r="AT92" s="11" t="n"/>
      <c r="AU92" s="11" t="n"/>
    </row>
    <row r="93" hidden="1" ht="18.75" customHeight="1">
      <c r="A93" s="645" t="inlineStr">
        <is>
          <t xml:space="preserve">hidrante facial rosa mosqueta </t>
        </is>
      </c>
      <c r="B93" s="625" t="n"/>
      <c r="C93" s="625" t="n"/>
      <c r="D93" s="641" t="n"/>
      <c r="F93" s="39" t="n"/>
      <c r="G93" s="39" t="n"/>
      <c r="H93" s="39" t="n"/>
      <c r="I93" s="39" t="n"/>
      <c r="J93" s="39" t="n"/>
      <c r="K93" s="39" t="n"/>
      <c r="L93" s="39" t="n"/>
      <c r="M93" s="39" t="n"/>
      <c r="N93" s="39" t="n"/>
      <c r="O93" s="39" t="n"/>
      <c r="P93" s="39" t="n"/>
      <c r="Q93" s="39" t="n"/>
      <c r="R93" s="39" t="n"/>
      <c r="S93" s="39" t="n"/>
      <c r="T93" s="39" t="n"/>
      <c r="U93" s="39" t="n"/>
      <c r="V93" s="39" t="n"/>
      <c r="W93" s="39" t="n"/>
      <c r="X93" s="39" t="n"/>
      <c r="Y93" s="39" t="n"/>
      <c r="Z93" s="39" t="n"/>
      <c r="AA93" s="39" t="n"/>
      <c r="AB93" s="6" t="n"/>
      <c r="AC93" s="6" t="n"/>
      <c r="AD93" s="6" t="n"/>
    </row>
    <row r="94" hidden="1" ht="18.75" customHeight="1">
      <c r="A94" s="645" t="inlineStr">
        <is>
          <t>HER CODE TOUCH</t>
        </is>
      </c>
      <c r="B94" s="625" t="n"/>
      <c r="C94" s="625" t="n"/>
      <c r="D94" s="641" t="n"/>
      <c r="F94" s="39" t="n"/>
      <c r="G94" s="39" t="n"/>
      <c r="H94" s="39" t="n"/>
      <c r="I94" s="39" t="n"/>
      <c r="J94" s="39" t="n"/>
      <c r="K94" s="39" t="n"/>
      <c r="L94" s="39" t="n"/>
      <c r="M94" s="39" t="n"/>
      <c r="N94" s="39" t="n"/>
      <c r="O94" s="39" t="n"/>
      <c r="P94" s="39" t="n"/>
      <c r="Q94" s="39" t="n"/>
      <c r="R94" s="39" t="n"/>
      <c r="S94" s="39" t="n"/>
      <c r="T94" s="39" t="n"/>
      <c r="U94" s="39" t="n"/>
      <c r="V94" s="39" t="n"/>
      <c r="W94" s="39" t="n"/>
      <c r="X94" s="39" t="n"/>
      <c r="Y94" s="39" t="n"/>
      <c r="Z94" s="39" t="n"/>
      <c r="AA94" s="39" t="n"/>
      <c r="AB94" s="6" t="n"/>
      <c r="AC94" s="6" t="n"/>
      <c r="AD94" s="6" t="n"/>
    </row>
    <row r="95" hidden="1" ht="18.75" customHeight="1">
      <c r="A95" s="645" t="inlineStr">
        <is>
          <t>DIVERTIDAMENTE</t>
        </is>
      </c>
      <c r="B95" s="625" t="n"/>
      <c r="C95" s="625" t="n"/>
      <c r="D95" s="641" t="n"/>
      <c r="F95" s="39" t="n"/>
      <c r="G95" s="39" t="n"/>
      <c r="H95" s="39" t="n"/>
      <c r="I95" s="39" t="n"/>
      <c r="J95" s="39" t="n"/>
      <c r="K95" s="39" t="n"/>
      <c r="L95" s="39" t="n"/>
      <c r="M95" s="39" t="n"/>
      <c r="N95" s="39" t="n"/>
      <c r="O95" s="39" t="n"/>
      <c r="P95" s="39" t="n"/>
      <c r="Q95" s="39" t="n"/>
      <c r="R95" s="39" t="n"/>
      <c r="S95" s="39" t="n"/>
      <c r="T95" s="39" t="n"/>
      <c r="U95" s="39" t="n"/>
      <c r="V95" s="39" t="n"/>
      <c r="W95" s="39" t="n"/>
      <c r="X95" s="39" t="n"/>
      <c r="Y95" s="39" t="n"/>
      <c r="Z95" s="39" t="n"/>
      <c r="AA95" s="39" t="n"/>
      <c r="AB95" s="6" t="n"/>
      <c r="AC95" s="6" t="n"/>
      <c r="AD95" s="6" t="n"/>
    </row>
    <row r="96" hidden="1" ht="18.75" customHeight="1">
      <c r="A96" s="645" t="inlineStr">
        <is>
          <t>ZAAD VENTURE</t>
        </is>
      </c>
      <c r="B96" s="625" t="n"/>
      <c r="C96" s="625" t="n"/>
      <c r="D96" s="641" t="n"/>
      <c r="F96" s="39" t="n"/>
      <c r="G96" s="39" t="n"/>
      <c r="H96" s="39" t="n"/>
      <c r="I96" s="39" t="n"/>
      <c r="J96" s="39" t="n"/>
      <c r="K96" s="39" t="n"/>
      <c r="L96" s="39" t="n"/>
      <c r="M96" s="39" t="n"/>
      <c r="N96" s="39" t="n"/>
      <c r="O96" s="39" t="n"/>
      <c r="P96" s="39" t="n"/>
      <c r="Q96" s="39" t="n"/>
      <c r="R96" s="39" t="n"/>
      <c r="S96" s="39" t="n"/>
      <c r="T96" s="39" t="n"/>
      <c r="U96" s="39" t="n"/>
      <c r="V96" s="39" t="n"/>
      <c r="W96" s="39" t="n"/>
      <c r="X96" s="39" t="n"/>
      <c r="Y96" s="39" t="n"/>
      <c r="Z96" s="39" t="n"/>
      <c r="AA96" s="39" t="n"/>
      <c r="AB96" s="6" t="n"/>
      <c r="AC96" s="6" t="n"/>
      <c r="AD96" s="6" t="n"/>
    </row>
    <row r="97" hidden="1" ht="18.75" customHeight="1">
      <c r="A97" s="645" t="inlineStr">
        <is>
          <t xml:space="preserve">Base salicílico cor 120/200/330 </t>
        </is>
      </c>
      <c r="B97" s="625" t="n"/>
      <c r="C97" s="625" t="n"/>
      <c r="D97" s="641" t="n"/>
      <c r="F97" s="39" t="n"/>
      <c r="G97" s="39" t="n"/>
      <c r="H97" s="39" t="n"/>
      <c r="I97" s="39" t="n"/>
      <c r="J97" s="39" t="n"/>
      <c r="K97" s="39" t="n"/>
      <c r="L97" s="39" t="n"/>
      <c r="M97" s="39" t="n"/>
      <c r="N97" s="39" t="n"/>
      <c r="O97" s="39" t="n"/>
      <c r="P97" s="39" t="n"/>
      <c r="Q97" s="39" t="n"/>
      <c r="R97" s="39" t="n"/>
      <c r="S97" s="39" t="n"/>
      <c r="T97" s="39" t="n"/>
      <c r="U97" s="39" t="n"/>
      <c r="V97" s="39" t="n"/>
      <c r="W97" s="39" t="n"/>
      <c r="X97" s="39" t="n"/>
      <c r="Y97" s="39" t="n"/>
      <c r="Z97" s="39" t="n"/>
      <c r="AA97" s="39" t="n"/>
      <c r="AB97" s="6" t="n"/>
      <c r="AC97" s="6" t="n"/>
      <c r="AD97" s="6" t="n"/>
    </row>
    <row r="98" hidden="1" ht="18.75" customHeight="1">
      <c r="A98" s="645" t="inlineStr">
        <is>
          <t>RESVERATROL</t>
        </is>
      </c>
      <c r="B98" s="625" t="n"/>
      <c r="C98" s="625" t="n"/>
      <c r="D98" s="641" t="n"/>
      <c r="F98" s="39" t="n"/>
      <c r="G98" s="39" t="n"/>
      <c r="H98" s="39" t="n"/>
      <c r="I98" s="39" t="n"/>
      <c r="J98" s="39" t="n"/>
      <c r="K98" s="39" t="n"/>
      <c r="L98" s="39" t="n"/>
      <c r="M98" s="39" t="n"/>
      <c r="N98" s="39" t="n"/>
      <c r="O98" s="39" t="n"/>
      <c r="P98" s="39" t="n"/>
      <c r="Q98" s="39" t="n"/>
      <c r="R98" s="39" t="n"/>
      <c r="S98" s="39" t="n"/>
      <c r="T98" s="39" t="n"/>
      <c r="U98" s="39" t="n"/>
      <c r="V98" s="39" t="n"/>
      <c r="W98" s="39" t="n"/>
      <c r="X98" s="39" t="n"/>
      <c r="Y98" s="39" t="n"/>
      <c r="Z98" s="39" t="n"/>
      <c r="AA98" s="39" t="n"/>
      <c r="AB98" s="6" t="n"/>
      <c r="AC98" s="6" t="n"/>
      <c r="AD98" s="6" t="n"/>
    </row>
    <row r="99" hidden="1" ht="18.75" customHeight="1">
      <c r="A99" s="645" t="inlineStr">
        <is>
          <t>NATIVA SPA CEREJA ROUGE</t>
        </is>
      </c>
      <c r="B99" s="625" t="n"/>
      <c r="C99" s="625" t="n"/>
      <c r="D99" s="641" t="n"/>
      <c r="F99" s="39" t="n"/>
      <c r="G99" s="39" t="n"/>
      <c r="H99" s="39" t="n"/>
      <c r="I99" s="39" t="n"/>
      <c r="J99" s="39" t="n"/>
      <c r="K99" s="39" t="n"/>
      <c r="L99" s="39" t="n"/>
      <c r="M99" s="39" t="n"/>
      <c r="N99" s="39" t="n"/>
      <c r="O99" s="39" t="n"/>
      <c r="P99" s="39" t="n"/>
      <c r="Q99" s="39" t="n"/>
      <c r="R99" s="39" t="n"/>
      <c r="S99" s="39" t="n"/>
      <c r="T99" s="39" t="n"/>
      <c r="U99" s="39" t="n"/>
      <c r="V99" s="39" t="n"/>
      <c r="W99" s="39" t="n"/>
      <c r="X99" s="39" t="n"/>
      <c r="Y99" s="39" t="n"/>
      <c r="Z99" s="39" t="n"/>
      <c r="AA99" s="39" t="n"/>
      <c r="AB99" s="6" t="n"/>
      <c r="AC99" s="6" t="n"/>
      <c r="AD99" s="6" t="n"/>
    </row>
    <row r="100" hidden="1" ht="18.75" customHeight="1">
      <c r="A100" s="645" t="inlineStr">
        <is>
          <t>LILLY GARDENIA</t>
        </is>
      </c>
      <c r="B100" s="625" t="n"/>
      <c r="C100" s="625" t="n"/>
      <c r="D100" s="641" t="n"/>
      <c r="F100" s="39" t="n"/>
      <c r="G100" s="39" t="n"/>
      <c r="H100" s="39" t="n"/>
      <c r="I100" s="39" t="n"/>
      <c r="J100" s="39" t="n"/>
      <c r="K100" s="39" t="n"/>
      <c r="L100" s="39" t="n"/>
      <c r="M100" s="39" t="n"/>
      <c r="N100" s="39" t="n"/>
      <c r="O100" s="39" t="n"/>
      <c r="P100" s="39" t="n"/>
      <c r="Q100" s="39" t="n"/>
      <c r="R100" s="39" t="n"/>
      <c r="S100" s="39" t="n"/>
      <c r="T100" s="39" t="n"/>
      <c r="U100" s="39" t="n"/>
      <c r="V100" s="39" t="n"/>
      <c r="W100" s="39" t="n"/>
      <c r="X100" s="39" t="n"/>
      <c r="Y100" s="39" t="n"/>
      <c r="Z100" s="39" t="n"/>
      <c r="AA100" s="39" t="n"/>
      <c r="AB100" s="6" t="n"/>
      <c r="AC100" s="6" t="n"/>
      <c r="AD100" s="6" t="n"/>
    </row>
    <row r="101" hidden="1" ht="18.75" customHeight="1">
      <c r="A101" s="645" t="inlineStr">
        <is>
          <t>EGEO CHOC HIGH</t>
        </is>
      </c>
      <c r="B101" s="625" t="n"/>
      <c r="C101" s="625" t="n"/>
      <c r="D101" s="641" t="n"/>
      <c r="F101" s="39" t="n"/>
      <c r="G101" s="39" t="n"/>
      <c r="H101" s="39" t="n"/>
      <c r="I101" s="39" t="n"/>
      <c r="J101" s="39" t="n"/>
      <c r="K101" s="39" t="n"/>
      <c r="L101" s="39" t="n"/>
      <c r="M101" s="39" t="n"/>
      <c r="N101" s="39" t="n"/>
      <c r="O101" s="39" t="n"/>
      <c r="P101" s="39" t="n"/>
      <c r="Q101" s="39" t="n"/>
      <c r="R101" s="39" t="n"/>
      <c r="S101" s="39" t="n"/>
      <c r="T101" s="39" t="n"/>
      <c r="U101" s="39" t="n"/>
      <c r="V101" s="39" t="n"/>
      <c r="W101" s="39" t="n"/>
      <c r="X101" s="39" t="n"/>
      <c r="Y101" s="39" t="n"/>
      <c r="Z101" s="39" t="n"/>
      <c r="AA101" s="39" t="n"/>
      <c r="AB101" s="6" t="n"/>
      <c r="AC101" s="6" t="n"/>
      <c r="AD101" s="6" t="n"/>
    </row>
    <row r="102" hidden="1" ht="18.75" customHeight="1">
      <c r="A102" s="645" t="inlineStr">
        <is>
          <t>FLORATTA RED PASSION</t>
        </is>
      </c>
      <c r="B102" s="625" t="n"/>
      <c r="C102" s="625" t="n"/>
      <c r="D102" s="641" t="n"/>
      <c r="F102" s="39" t="n"/>
      <c r="G102" s="39" t="n"/>
      <c r="H102" s="39" t="n"/>
      <c r="I102" s="39" t="n"/>
      <c r="J102" s="39" t="n"/>
      <c r="K102" s="39" t="n"/>
      <c r="L102" s="39" t="n"/>
      <c r="M102" s="39" t="n"/>
      <c r="N102" s="39" t="n"/>
      <c r="O102" s="39" t="n"/>
      <c r="P102" s="39" t="n"/>
      <c r="Q102" s="39" t="n"/>
      <c r="R102" s="39" t="n"/>
      <c r="S102" s="39" t="n"/>
      <c r="T102" s="39" t="n"/>
      <c r="U102" s="39" t="n"/>
      <c r="V102" s="39" t="n"/>
      <c r="W102" s="39" t="n"/>
      <c r="X102" s="39" t="n"/>
      <c r="Y102" s="39" t="n"/>
      <c r="Z102" s="39" t="n"/>
      <c r="AA102" s="39" t="n"/>
      <c r="AB102" s="6" t="n"/>
      <c r="AC102" s="6" t="n"/>
      <c r="AD102" s="6" t="n"/>
    </row>
    <row r="103" hidden="1" ht="18.75" customHeight="1">
      <c r="A103" s="645" t="inlineStr">
        <is>
          <t>CBEM HIDR. DOCURA NA PESSEGURA</t>
        </is>
      </c>
      <c r="B103" s="625" t="n"/>
      <c r="C103" s="625" t="n"/>
      <c r="D103" s="641" t="n"/>
      <c r="F103" s="39" t="n"/>
      <c r="G103" s="39" t="n"/>
      <c r="H103" s="39" t="n"/>
      <c r="I103" s="39" t="n"/>
      <c r="J103" s="39" t="n"/>
      <c r="K103" s="39" t="n"/>
      <c r="L103" s="39" t="n"/>
      <c r="M103" s="39" t="n"/>
      <c r="N103" s="39" t="n"/>
      <c r="O103" s="39" t="n"/>
      <c r="P103" s="39" t="n"/>
      <c r="Q103" s="39" t="n"/>
      <c r="R103" s="39" t="n"/>
      <c r="S103" s="39" t="n"/>
      <c r="T103" s="39" t="n"/>
      <c r="U103" s="39" t="n"/>
      <c r="V103" s="39" t="n"/>
      <c r="W103" s="39" t="n"/>
      <c r="X103" s="39" t="n"/>
      <c r="Y103" s="39" t="n"/>
      <c r="Z103" s="39" t="n"/>
      <c r="AA103" s="39" t="n"/>
      <c r="AB103" s="6" t="n"/>
      <c r="AC103" s="6" t="n"/>
      <c r="AD103" s="6" t="n"/>
    </row>
    <row r="104" hidden="1" ht="18.75" customHeight="1">
      <c r="A104" s="645" t="inlineStr">
        <is>
          <t>CLASH</t>
        </is>
      </c>
      <c r="B104" s="625" t="n"/>
      <c r="C104" s="625" t="n"/>
      <c r="D104" s="641" t="n"/>
      <c r="F104" s="39" t="n"/>
      <c r="G104" s="39" t="n"/>
      <c r="H104" s="39" t="n"/>
      <c r="I104" s="39" t="n"/>
      <c r="J104" s="39" t="n"/>
      <c r="K104" s="39" t="n"/>
      <c r="L104" s="39" t="n"/>
      <c r="M104" s="39" t="n"/>
      <c r="N104" s="39" t="n"/>
      <c r="O104" s="39" t="n"/>
      <c r="P104" s="39" t="n"/>
      <c r="Q104" s="39" t="n"/>
      <c r="R104" s="39" t="n"/>
      <c r="S104" s="39" t="n"/>
      <c r="T104" s="39" t="n"/>
      <c r="U104" s="39" t="n"/>
      <c r="V104" s="39" t="n"/>
      <c r="W104" s="39" t="n"/>
      <c r="X104" s="39" t="n"/>
      <c r="Y104" s="39" t="n"/>
      <c r="Z104" s="39" t="n"/>
      <c r="AA104" s="39" t="n"/>
      <c r="AB104" s="6" t="n"/>
      <c r="AC104" s="6" t="n"/>
      <c r="AD104" s="6" t="n"/>
    </row>
    <row r="105">
      <c r="A105" s="645" t="inlineStr">
        <is>
          <t>LILY BLANCHE</t>
        </is>
      </c>
      <c r="B105" s="625" t="n"/>
      <c r="C105" s="625" t="n"/>
      <c r="D105" s="641" t="n"/>
      <c r="F105" s="39" t="n">
        <v>0</v>
      </c>
      <c r="G105" s="39" t="n">
        <v>0</v>
      </c>
      <c r="H105" s="39" t="n">
        <v>0</v>
      </c>
      <c r="I105" s="39" t="n">
        <v>0</v>
      </c>
      <c r="J105" s="39" t="n">
        <v>0</v>
      </c>
      <c r="K105" s="39" t="n">
        <v>0</v>
      </c>
      <c r="L105" s="39" t="n">
        <v>0</v>
      </c>
      <c r="M105" s="39" t="n">
        <v>0</v>
      </c>
      <c r="N105" s="39" t="n">
        <v>0</v>
      </c>
      <c r="O105" s="39" t="n">
        <v>0</v>
      </c>
      <c r="P105" s="39" t="n">
        <v>0</v>
      </c>
      <c r="Q105" s="39" t="n">
        <v>0</v>
      </c>
      <c r="R105" s="39" t="n">
        <v>0</v>
      </c>
      <c r="S105" s="39" t="n">
        <v>0</v>
      </c>
      <c r="T105" s="39" t="n">
        <v>0</v>
      </c>
      <c r="U105" s="39" t="n">
        <v>0</v>
      </c>
      <c r="V105" s="39" t="n">
        <v>0</v>
      </c>
      <c r="W105" s="39" t="n">
        <v>0</v>
      </c>
      <c r="X105" s="39" t="n">
        <v>0</v>
      </c>
      <c r="Y105" s="39" t="n">
        <v>0</v>
      </c>
      <c r="Z105" s="39" t="n">
        <v>0</v>
      </c>
      <c r="AA105" s="39" t="n"/>
      <c r="AB105" s="6" t="n"/>
      <c r="AC105" s="6" t="n"/>
      <c r="AD105" s="6" t="n"/>
    </row>
    <row r="106">
      <c r="A106" s="645" t="inlineStr">
        <is>
          <t>MEN NBA</t>
        </is>
      </c>
      <c r="B106" s="625" t="n"/>
      <c r="C106" s="625" t="n"/>
      <c r="D106" s="641" t="n"/>
      <c r="F106" s="39" t="n">
        <v>0</v>
      </c>
      <c r="G106" s="39" t="n">
        <v>0</v>
      </c>
      <c r="H106" s="39" t="n">
        <v>0</v>
      </c>
      <c r="I106" s="39" t="n">
        <v>0</v>
      </c>
      <c r="J106" s="39" t="n">
        <v>0</v>
      </c>
      <c r="K106" s="39" t="n">
        <v>0</v>
      </c>
      <c r="L106" s="39" t="n">
        <v>0</v>
      </c>
      <c r="M106" s="39" t="n">
        <v>0</v>
      </c>
      <c r="N106" s="39" t="n">
        <v>0</v>
      </c>
      <c r="O106" s="39" t="n">
        <v>0</v>
      </c>
      <c r="P106" s="39" t="n">
        <v>0</v>
      </c>
      <c r="Q106" s="39" t="n">
        <v>0</v>
      </c>
      <c r="R106" s="39" t="n">
        <v>0</v>
      </c>
      <c r="S106" s="39" t="n">
        <v>0</v>
      </c>
      <c r="T106" s="39" t="n">
        <v>0</v>
      </c>
      <c r="U106" s="39" t="n">
        <v>0</v>
      </c>
      <c r="V106" s="39" t="n">
        <v>0</v>
      </c>
      <c r="W106" s="39" t="n">
        <v>0</v>
      </c>
      <c r="X106" s="39" t="n">
        <v>0</v>
      </c>
      <c r="Y106" s="39" t="n">
        <v>0</v>
      </c>
      <c r="Z106" s="39" t="n">
        <v>0</v>
      </c>
      <c r="AA106" s="39" t="n"/>
      <c r="AB106" s="6" t="n"/>
      <c r="AC106" s="6" t="n"/>
      <c r="AD106" s="6" t="n"/>
    </row>
    <row r="107">
      <c r="A107" s="645" t="inlineStr">
        <is>
          <t>QUASAR DEEP BLUE</t>
        </is>
      </c>
      <c r="B107" s="625" t="n"/>
      <c r="C107" s="625" t="n"/>
      <c r="D107" s="641" t="n"/>
      <c r="F107" s="39" t="n">
        <v>0</v>
      </c>
      <c r="G107" s="39" t="n">
        <v>0</v>
      </c>
      <c r="H107" s="39" t="n">
        <v>0</v>
      </c>
      <c r="I107" s="39" t="n">
        <v>0</v>
      </c>
      <c r="J107" s="39" t="n">
        <v>0</v>
      </c>
      <c r="K107" s="39" t="n">
        <v>0</v>
      </c>
      <c r="L107" s="39" t="n">
        <v>0</v>
      </c>
      <c r="M107" s="39" t="n">
        <v>0</v>
      </c>
      <c r="N107" s="39" t="n">
        <v>0</v>
      </c>
      <c r="O107" s="39" t="n">
        <v>0</v>
      </c>
      <c r="P107" s="39" t="n">
        <v>0</v>
      </c>
      <c r="Q107" s="39" t="n">
        <v>0</v>
      </c>
      <c r="R107" s="39" t="n">
        <v>0</v>
      </c>
      <c r="S107" s="39" t="n">
        <v>0</v>
      </c>
      <c r="T107" s="39" t="n">
        <v>0</v>
      </c>
      <c r="U107" s="39" t="n">
        <v>0</v>
      </c>
      <c r="V107" s="39" t="n">
        <v>0</v>
      </c>
      <c r="W107" s="39" t="n">
        <v>0</v>
      </c>
      <c r="X107" s="39" t="n">
        <v>0</v>
      </c>
      <c r="Y107" s="39" t="n">
        <v>0</v>
      </c>
      <c r="Z107" s="39" t="n">
        <v>0</v>
      </c>
      <c r="AA107" s="39" t="n"/>
      <c r="AB107" s="6" t="n"/>
      <c r="AC107" s="6" t="n"/>
      <c r="AD107" s="6" t="n"/>
    </row>
    <row r="108">
      <c r="A108" s="645" t="inlineStr">
        <is>
          <t>ARBO ATLATICA</t>
        </is>
      </c>
      <c r="B108" s="625" t="n"/>
      <c r="C108" s="625" t="n"/>
      <c r="D108" s="641" t="n"/>
      <c r="F108" s="39" t="n">
        <v>0</v>
      </c>
      <c r="G108" s="39" t="n">
        <v>0</v>
      </c>
      <c r="H108" s="39" t="n">
        <v>0</v>
      </c>
      <c r="I108" s="39" t="n">
        <v>0</v>
      </c>
      <c r="J108" s="39" t="n">
        <v>0</v>
      </c>
      <c r="K108" s="39" t="n">
        <v>0</v>
      </c>
      <c r="L108" s="39" t="n">
        <v>0</v>
      </c>
      <c r="M108" s="39" t="n">
        <v>0</v>
      </c>
      <c r="N108" s="39" t="n">
        <v>0</v>
      </c>
      <c r="O108" s="39" t="n">
        <v>0</v>
      </c>
      <c r="P108" s="39" t="n">
        <v>0</v>
      </c>
      <c r="Q108" s="39" t="n">
        <v>0</v>
      </c>
      <c r="R108" s="39" t="n">
        <v>0</v>
      </c>
      <c r="S108" s="39" t="n">
        <v>0</v>
      </c>
      <c r="T108" s="39" t="n">
        <v>5</v>
      </c>
      <c r="U108" s="39" t="n">
        <v>5</v>
      </c>
      <c r="V108" s="39" t="n">
        <v>5</v>
      </c>
      <c r="W108" s="39" t="n">
        <v>0</v>
      </c>
      <c r="X108" s="39" t="n">
        <v>0</v>
      </c>
      <c r="Y108" s="39" t="n">
        <v>0</v>
      </c>
      <c r="Z108" s="39" t="n">
        <v>0</v>
      </c>
      <c r="AA108" s="39" t="n"/>
      <c r="AB108" s="6" t="n"/>
      <c r="AC108" s="6" t="n"/>
      <c r="AD108" s="6" t="n"/>
    </row>
    <row r="109">
      <c r="A109" s="645" t="inlineStr">
        <is>
          <t>LIZ AURA</t>
        </is>
      </c>
      <c r="B109" s="625" t="n"/>
      <c r="C109" s="625" t="n"/>
      <c r="D109" s="641" t="n"/>
      <c r="F109" s="39" t="n">
        <v>0</v>
      </c>
      <c r="G109" s="39" t="n">
        <v>0</v>
      </c>
      <c r="H109" s="39" t="n">
        <v>0</v>
      </c>
      <c r="I109" s="39" t="n">
        <v>0</v>
      </c>
      <c r="J109" s="39" t="n">
        <v>0</v>
      </c>
      <c r="K109" s="39" t="n">
        <v>0</v>
      </c>
      <c r="L109" s="39" t="n">
        <v>0</v>
      </c>
      <c r="M109" s="39" t="n">
        <v>0</v>
      </c>
      <c r="N109" s="39" t="n">
        <v>0</v>
      </c>
      <c r="O109" s="39" t="n">
        <v>0</v>
      </c>
      <c r="P109" s="39" t="n">
        <v>0</v>
      </c>
      <c r="Q109" s="39" t="n">
        <v>0</v>
      </c>
      <c r="R109" s="39" t="n">
        <v>0</v>
      </c>
      <c r="S109" s="39" t="n">
        <v>0</v>
      </c>
      <c r="T109" s="39" t="n">
        <v>0</v>
      </c>
      <c r="U109" s="39" t="n">
        <v>0</v>
      </c>
      <c r="V109" s="39" t="n">
        <v>0</v>
      </c>
      <c r="W109" s="39" t="n">
        <v>0</v>
      </c>
      <c r="X109" s="39" t="n">
        <v>0</v>
      </c>
      <c r="Y109" s="39" t="n">
        <v>0</v>
      </c>
      <c r="Z109" s="39" t="n">
        <v>0</v>
      </c>
      <c r="AA109" s="39" t="n"/>
      <c r="AB109" s="6" t="n"/>
      <c r="AC109" s="6" t="n"/>
      <c r="AD109" s="6" t="n"/>
    </row>
    <row r="110">
      <c r="A110" s="450" t="inlineStr">
        <is>
          <t xml:space="preserve">loção cereja de fases 7 ml </t>
        </is>
      </c>
      <c r="B110" s="451" t="n"/>
      <c r="C110" s="451" t="n"/>
      <c r="D110" s="452" t="n"/>
      <c r="N110" s="39" t="n">
        <v>0</v>
      </c>
      <c r="O110" s="39" t="n">
        <v>0</v>
      </c>
      <c r="P110" s="39" t="n">
        <v>0</v>
      </c>
      <c r="Q110" s="39" t="n">
        <v>0</v>
      </c>
      <c r="R110" s="39" t="n">
        <v>0</v>
      </c>
      <c r="S110" s="39" t="n">
        <v>0</v>
      </c>
      <c r="T110" s="39" t="n">
        <v>153</v>
      </c>
      <c r="U110" s="39" t="n">
        <v>153</v>
      </c>
      <c r="V110" s="39" t="n">
        <v>153</v>
      </c>
      <c r="W110" s="39" t="n">
        <v>200</v>
      </c>
      <c r="X110" s="39" t="n">
        <v>200</v>
      </c>
      <c r="Y110" s="39" t="n">
        <v>200</v>
      </c>
      <c r="Z110" s="39" t="n">
        <v>200</v>
      </c>
      <c r="AA110" s="39" t="n"/>
      <c r="AB110" s="6" t="n"/>
      <c r="AC110" s="6" t="n"/>
      <c r="AD110" s="6" t="n"/>
    </row>
    <row r="111">
      <c r="A111" s="450" t="inlineStr">
        <is>
          <t xml:space="preserve">Egeo dolce ilusion </t>
        </is>
      </c>
      <c r="B111" s="451" t="n"/>
      <c r="C111" s="451" t="n"/>
      <c r="D111" s="452" t="n"/>
      <c r="N111" s="39" t="n">
        <v>0</v>
      </c>
      <c r="O111" s="39" t="n">
        <v>0</v>
      </c>
      <c r="P111" s="39" t="n">
        <v>0</v>
      </c>
      <c r="Q111" s="39" t="n">
        <v>0</v>
      </c>
      <c r="R111" s="39" t="n">
        <v>0</v>
      </c>
      <c r="S111" s="39" t="n">
        <v>0</v>
      </c>
      <c r="T111" s="39" t="n">
        <v>87</v>
      </c>
      <c r="U111" s="39" t="n">
        <v>67</v>
      </c>
      <c r="V111" s="39" t="n">
        <v>67</v>
      </c>
      <c r="W111" s="39" t="n">
        <v>55</v>
      </c>
      <c r="X111" s="39" t="n">
        <v>55</v>
      </c>
      <c r="Y111" s="39" t="n">
        <v>55</v>
      </c>
      <c r="Z111" s="39" t="n">
        <v>55</v>
      </c>
      <c r="AA111" s="39" t="n"/>
      <c r="AB111" s="6" t="n"/>
      <c r="AC111" s="6" t="n"/>
      <c r="AD111" s="6" t="n"/>
    </row>
    <row r="112">
      <c r="A112" s="450" t="inlineStr">
        <is>
          <t xml:space="preserve">acido hialuronico </t>
        </is>
      </c>
      <c r="B112" s="451" t="n"/>
      <c r="C112" s="451" t="n"/>
      <c r="D112" s="452" t="n"/>
      <c r="N112" s="39" t="n">
        <v>0</v>
      </c>
      <c r="O112" s="39" t="n">
        <v>0</v>
      </c>
      <c r="P112" s="39" t="n">
        <v>0</v>
      </c>
      <c r="Q112" s="39" t="n">
        <v>0</v>
      </c>
      <c r="R112" s="39" t="n">
        <v>0</v>
      </c>
      <c r="S112" s="39" t="n">
        <v>0</v>
      </c>
      <c r="T112" s="39" t="n">
        <v>10</v>
      </c>
      <c r="U112" s="39" t="n">
        <v>10</v>
      </c>
      <c r="V112" s="39" t="n">
        <v>10</v>
      </c>
      <c r="W112" s="39" t="n">
        <v>10</v>
      </c>
      <c r="X112" s="39" t="n">
        <v>10</v>
      </c>
      <c r="Y112" s="39" t="n">
        <v>10</v>
      </c>
      <c r="Z112" s="39" t="n">
        <v>10</v>
      </c>
      <c r="AA112" s="39" t="n"/>
      <c r="AB112" s="6" t="n"/>
      <c r="AC112" s="6" t="n"/>
      <c r="AD112" s="6" t="n"/>
    </row>
    <row r="113">
      <c r="A113" s="450" t="inlineStr">
        <is>
          <t>Boti sun proteror facial cor 4</t>
        </is>
      </c>
      <c r="B113" s="451" t="n"/>
      <c r="C113" s="451" t="n"/>
      <c r="D113" s="452" t="n"/>
      <c r="N113" s="39" t="n">
        <v>0</v>
      </c>
      <c r="O113" s="39" t="n">
        <v>0</v>
      </c>
      <c r="P113" s="39" t="n">
        <v>0</v>
      </c>
      <c r="Q113" s="39" t="n">
        <v>0</v>
      </c>
      <c r="R113" s="39" t="n">
        <v>0</v>
      </c>
      <c r="S113" s="39" t="n">
        <v>0</v>
      </c>
      <c r="T113" s="39" t="n">
        <v>6</v>
      </c>
      <c r="U113" s="39" t="n">
        <v>6</v>
      </c>
      <c r="V113" s="39" t="n">
        <v>6</v>
      </c>
      <c r="W113" s="39" t="n">
        <v>6</v>
      </c>
      <c r="X113" s="39" t="n">
        <v>6</v>
      </c>
      <c r="Y113" s="39" t="n">
        <v>6</v>
      </c>
      <c r="Z113" s="39" t="n">
        <v>6</v>
      </c>
      <c r="AA113" s="39" t="n"/>
      <c r="AB113" s="6" t="n"/>
      <c r="AC113" s="6" t="n"/>
      <c r="AD113" s="6" t="n"/>
    </row>
    <row r="114">
      <c r="A114" s="450" t="inlineStr">
        <is>
          <t xml:space="preserve">Hadiya </t>
        </is>
      </c>
      <c r="B114" s="451" t="n"/>
      <c r="C114" s="451" t="n"/>
      <c r="D114" s="452" t="n"/>
      <c r="N114" s="39" t="n">
        <v>0</v>
      </c>
      <c r="O114" s="39" t="n">
        <v>0</v>
      </c>
      <c r="P114" s="39" t="n">
        <v>0</v>
      </c>
      <c r="Q114" s="39" t="n">
        <v>0</v>
      </c>
      <c r="R114" s="39" t="n">
        <v>0</v>
      </c>
      <c r="S114" s="39" t="n">
        <v>0</v>
      </c>
      <c r="T114" s="39" t="n">
        <v>17</v>
      </c>
      <c r="U114" s="39" t="n">
        <v>17</v>
      </c>
      <c r="V114" s="39" t="n">
        <v>17</v>
      </c>
      <c r="W114" s="39" t="n">
        <v>17</v>
      </c>
      <c r="X114" s="39" t="n">
        <v>17</v>
      </c>
      <c r="Y114" s="39" t="n">
        <v>17</v>
      </c>
      <c r="Z114" s="39" t="n">
        <v>17</v>
      </c>
      <c r="AA114" s="39" t="n"/>
      <c r="AB114" s="6" t="n"/>
      <c r="AC114" s="6" t="n"/>
      <c r="AD114" s="6" t="n"/>
    </row>
    <row r="115">
      <c r="A115" s="450" t="inlineStr">
        <is>
          <t>Botica 214 Arabian oasis fem</t>
        </is>
      </c>
      <c r="B115" s="451" t="n"/>
      <c r="C115" s="451" t="n"/>
      <c r="D115" s="452" t="n"/>
      <c r="R115" s="39" t="n">
        <v>0</v>
      </c>
      <c r="S115" s="39" t="n">
        <v>0</v>
      </c>
      <c r="T115" s="39" t="n">
        <v>0</v>
      </c>
      <c r="U115" s="39" t="n">
        <v>0</v>
      </c>
      <c r="V115" s="39" t="n">
        <v>0</v>
      </c>
      <c r="W115" s="39" t="n">
        <v>55</v>
      </c>
      <c r="X115" s="39" t="n">
        <v>55</v>
      </c>
      <c r="Y115" s="39" t="n">
        <v>55</v>
      </c>
      <c r="Z115" s="39" t="n">
        <v>55</v>
      </c>
      <c r="AA115" s="39" t="n"/>
      <c r="AB115" s="6" t="n"/>
      <c r="AC115" s="6" t="n"/>
      <c r="AD115" s="6" t="n"/>
    </row>
    <row r="116">
      <c r="A116" s="450" t="inlineStr">
        <is>
          <t>Botica 214 Arabian oasis Mas</t>
        </is>
      </c>
      <c r="B116" s="451" t="n"/>
      <c r="C116" s="451" t="n"/>
      <c r="D116" s="452" t="n"/>
      <c r="R116" s="39" t="n">
        <v>0</v>
      </c>
      <c r="S116" s="39" t="n">
        <v>0</v>
      </c>
      <c r="T116" s="39" t="n">
        <v>0</v>
      </c>
      <c r="U116" s="39" t="n">
        <v>0</v>
      </c>
      <c r="V116" s="39" t="n">
        <v>0</v>
      </c>
      <c r="W116" s="39" t="n">
        <v>55</v>
      </c>
      <c r="X116" s="39" t="n">
        <v>55</v>
      </c>
      <c r="Y116" s="39" t="n">
        <v>55</v>
      </c>
      <c r="Z116" s="39" t="n">
        <v>55</v>
      </c>
      <c r="AA116" s="39" t="n"/>
      <c r="AB116" s="6" t="n"/>
      <c r="AC116" s="6" t="n"/>
      <c r="AD116" s="6" t="n"/>
    </row>
    <row r="117">
      <c r="A117" s="645" t="n"/>
      <c r="B117" s="625" t="n"/>
      <c r="C117" s="625" t="n"/>
      <c r="D117" s="641" t="n"/>
      <c r="R117" s="39" t="n"/>
      <c r="S117" s="39" t="n"/>
      <c r="T117" s="39" t="n"/>
      <c r="U117" s="39" t="n"/>
      <c r="V117" s="39" t="n"/>
      <c r="W117" s="39" t="n"/>
      <c r="X117" s="39" t="n"/>
      <c r="Y117" s="39" t="n"/>
      <c r="Z117" s="39" t="n"/>
      <c r="AA117" s="39" t="n"/>
      <c r="AB117" s="6" t="n"/>
      <c r="AC117" s="6" t="n"/>
      <c r="AD117" s="6" t="n"/>
    </row>
  </sheetData>
  <mergeCells count="59">
    <mergeCell ref="A106:D106"/>
    <mergeCell ref="A97:D97"/>
    <mergeCell ref="A91:D91"/>
    <mergeCell ref="A100:D100"/>
    <mergeCell ref="A62:D62"/>
    <mergeCell ref="A96:D96"/>
    <mergeCell ref="A109:D109"/>
    <mergeCell ref="A72:D72"/>
    <mergeCell ref="A81:D81"/>
    <mergeCell ref="A63:D63"/>
    <mergeCell ref="A117:D117"/>
    <mergeCell ref="A93:D93"/>
    <mergeCell ref="A68:D68"/>
    <mergeCell ref="A102:D102"/>
    <mergeCell ref="A67:D67"/>
    <mergeCell ref="A77:D77"/>
    <mergeCell ref="A83:D83"/>
    <mergeCell ref="A92:D92"/>
    <mergeCell ref="A64:D64"/>
    <mergeCell ref="A82:D82"/>
    <mergeCell ref="A59:D59"/>
    <mergeCell ref="A73:D73"/>
    <mergeCell ref="A107:D107"/>
    <mergeCell ref="A98:D98"/>
    <mergeCell ref="A60:D60"/>
    <mergeCell ref="A5:A6"/>
    <mergeCell ref="A94:D94"/>
    <mergeCell ref="A103:D103"/>
    <mergeCell ref="A70:D70"/>
    <mergeCell ref="A79:D79"/>
    <mergeCell ref="A61:D61"/>
    <mergeCell ref="A88:D88"/>
    <mergeCell ref="A69:D69"/>
    <mergeCell ref="A78:D78"/>
    <mergeCell ref="A87:D87"/>
    <mergeCell ref="A65:D65"/>
    <mergeCell ref="A99:D99"/>
    <mergeCell ref="A84:D84"/>
    <mergeCell ref="A108:D108"/>
    <mergeCell ref="A90:D90"/>
    <mergeCell ref="A66:D66"/>
    <mergeCell ref="B5:B6"/>
    <mergeCell ref="A80:D80"/>
    <mergeCell ref="A75:D75"/>
    <mergeCell ref="B3:D3"/>
    <mergeCell ref="D5:D6"/>
    <mergeCell ref="A89:D89"/>
    <mergeCell ref="A105:D105"/>
    <mergeCell ref="A74:D74"/>
    <mergeCell ref="A101:D101"/>
    <mergeCell ref="AW7:BE7"/>
    <mergeCell ref="A86:D86"/>
    <mergeCell ref="A104:D104"/>
    <mergeCell ref="A95:D95"/>
    <mergeCell ref="A71:D71"/>
    <mergeCell ref="A85:D85"/>
    <mergeCell ref="A76:D76"/>
    <mergeCell ref="B2:D2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70" fitToHeight="0"/>
</worksheet>
</file>

<file path=xl/worksheets/sheet23.xml><?xml version="1.0" encoding="utf-8"?>
<worksheet xmlns="http://schemas.openxmlformats.org/spreadsheetml/2006/main">
  <sheetPr codeName="Planilha13">
    <tabColor rgb="FFFF0000"/>
    <outlinePr summaryBelow="1" summaryRight="1"/>
    <pageSetUpPr/>
  </sheetPr>
  <dimension ref="A1:V168"/>
  <sheetViews>
    <sheetView topLeftCell="A112" zoomScale="85" zoomScaleNormal="85" workbookViewId="0">
      <selection activeCell="D148" sqref="D148"/>
    </sheetView>
  </sheetViews>
  <sheetFormatPr baseColWidth="8" defaultRowHeight="15"/>
  <cols>
    <col width="31.7109375" customWidth="1" min="1" max="1"/>
    <col width="10" customWidth="1" min="6" max="6"/>
    <col hidden="1" width="13" customWidth="1" min="20" max="21"/>
  </cols>
  <sheetData>
    <row r="1" ht="18" customHeight="1">
      <c r="A1" s="482" t="inlineStr">
        <is>
          <t>GASTO DE SACOLAS E ITENS DOADOS NATAL/2022 - MENSAIS</t>
        </is>
      </c>
    </row>
    <row r="2" ht="18" customHeight="1">
      <c r="A2" s="665" t="inlineStr">
        <is>
          <t>JAÚ CENTRO</t>
        </is>
      </c>
      <c r="B2" s="665" t="inlineStr">
        <is>
          <t>DEZEMBRO</t>
        </is>
      </c>
      <c r="C2" s="666" t="n"/>
      <c r="D2" s="666" t="n"/>
      <c r="E2" s="666" t="n"/>
      <c r="F2" s="667" t="n"/>
      <c r="G2" s="665" t="inlineStr">
        <is>
          <t>JANEIRO</t>
        </is>
      </c>
      <c r="H2" s="666" t="n"/>
      <c r="I2" s="666" t="n"/>
      <c r="J2" s="666" t="n"/>
      <c r="K2" s="666" t="n"/>
      <c r="L2" s="667" t="n"/>
      <c r="M2" s="665" t="inlineStr">
        <is>
          <t>FEVEREIRO</t>
        </is>
      </c>
      <c r="N2" s="666" t="n"/>
      <c r="O2" s="666" t="n"/>
      <c r="P2" s="666" t="n"/>
      <c r="Q2" s="667" t="n"/>
      <c r="R2" s="665" t="inlineStr">
        <is>
          <t>MARÇO</t>
        </is>
      </c>
      <c r="S2" s="666" t="n"/>
      <c r="T2" s="666" t="n"/>
      <c r="U2" s="666" t="n"/>
      <c r="V2" s="667" t="n"/>
    </row>
    <row r="3" ht="15.75" customHeight="1">
      <c r="A3" s="668" t="n"/>
      <c r="B3" s="98" t="n">
        <v>44900</v>
      </c>
      <c r="C3" s="98" t="n">
        <v>44907</v>
      </c>
      <c r="D3" s="98" t="n">
        <v>44914</v>
      </c>
      <c r="E3" s="98" t="n">
        <v>44921</v>
      </c>
      <c r="F3" s="99" t="inlineStr">
        <is>
          <t>USOU</t>
        </is>
      </c>
      <c r="G3" s="98" t="n">
        <v>44563</v>
      </c>
      <c r="H3" s="98" t="n">
        <v>44570</v>
      </c>
      <c r="I3" s="98" t="n">
        <v>44577</v>
      </c>
      <c r="J3" s="98" t="n">
        <v>44584</v>
      </c>
      <c r="K3" s="98" t="n">
        <v>44591</v>
      </c>
      <c r="L3" s="99" t="inlineStr">
        <is>
          <t>USOU</t>
        </is>
      </c>
      <c r="M3" s="98" t="n">
        <v>44598</v>
      </c>
      <c r="N3" s="98" t="n">
        <v>44605</v>
      </c>
      <c r="O3" s="98" t="n">
        <v>44612</v>
      </c>
      <c r="P3" s="98" t="n">
        <v>44619</v>
      </c>
      <c r="Q3" s="99" t="inlineStr">
        <is>
          <t>USOU</t>
        </is>
      </c>
      <c r="R3" s="98" t="n">
        <v>44626</v>
      </c>
      <c r="S3" s="98" t="n">
        <v>44633</v>
      </c>
      <c r="T3" s="98" t="n">
        <v>44640</v>
      </c>
      <c r="U3" s="98" t="n">
        <v>44647</v>
      </c>
      <c r="V3" s="99" t="inlineStr">
        <is>
          <t>USOU</t>
        </is>
      </c>
    </row>
    <row r="4" ht="15.75" customHeight="1">
      <c r="A4" s="88" t="inlineStr">
        <is>
          <t>SACOLA PP NATAL</t>
        </is>
      </c>
      <c r="B4" s="107" t="n">
        <v>110</v>
      </c>
      <c r="C4" s="89" t="n">
        <v>190</v>
      </c>
      <c r="D4" s="89" t="n">
        <v>100</v>
      </c>
      <c r="E4" s="89" t="n">
        <v>200</v>
      </c>
      <c r="F4" s="108">
        <f>B4+C4+D4+E4</f>
        <v/>
      </c>
      <c r="G4" s="89" t="n">
        <v>0</v>
      </c>
      <c r="H4" s="89" t="n">
        <v>0</v>
      </c>
      <c r="I4" s="89" t="n">
        <v>0</v>
      </c>
      <c r="J4" s="89" t="n">
        <v>0</v>
      </c>
      <c r="K4" s="89" t="n">
        <v>0</v>
      </c>
      <c r="L4" s="108">
        <f>G4+H4+I4+J4+K4</f>
        <v/>
      </c>
      <c r="M4" s="89" t="n">
        <v>0</v>
      </c>
      <c r="N4" s="89" t="n">
        <v>0</v>
      </c>
      <c r="O4" s="89" t="n">
        <v>0</v>
      </c>
      <c r="P4" s="89" t="n">
        <v>0</v>
      </c>
      <c r="Q4" s="108">
        <f>M4+N4+O4+P4</f>
        <v/>
      </c>
      <c r="R4" s="89" t="n">
        <v>0</v>
      </c>
      <c r="S4" s="89" t="n">
        <v>0</v>
      </c>
      <c r="T4" s="89" t="n"/>
      <c r="U4" s="89" t="n"/>
      <c r="V4" s="108">
        <f>R4+S4+T4+U4</f>
        <v/>
      </c>
    </row>
    <row r="5" ht="15.75" customHeight="1">
      <c r="A5" s="91" t="inlineStr">
        <is>
          <t>SACOLA P NATAL</t>
        </is>
      </c>
      <c r="B5" s="89" t="n">
        <v>140</v>
      </c>
      <c r="C5" s="89" t="n">
        <v>340</v>
      </c>
      <c r="D5" s="89" t="n">
        <v>120</v>
      </c>
      <c r="E5" s="89" t="n">
        <v>200</v>
      </c>
      <c r="F5" s="108">
        <f>B5+C5+D5+E5</f>
        <v/>
      </c>
      <c r="G5" s="89" t="n">
        <v>0</v>
      </c>
      <c r="H5" s="89" t="n">
        <v>0</v>
      </c>
      <c r="I5" s="89" t="n">
        <v>0</v>
      </c>
      <c r="J5" s="89" t="n">
        <v>0</v>
      </c>
      <c r="K5" s="89" t="n">
        <v>0</v>
      </c>
      <c r="L5" s="108">
        <f>G5+H5+I5+J5+K5</f>
        <v/>
      </c>
      <c r="M5" s="89" t="n">
        <v>0</v>
      </c>
      <c r="N5" s="89" t="n">
        <v>0</v>
      </c>
      <c r="O5" s="89" t="n">
        <v>0</v>
      </c>
      <c r="P5" s="89" t="n">
        <v>0</v>
      </c>
      <c r="Q5" s="108">
        <f>M5+N5+O5+P5</f>
        <v/>
      </c>
      <c r="R5" s="89" t="n">
        <v>0</v>
      </c>
      <c r="S5" s="89" t="n">
        <v>0</v>
      </c>
      <c r="T5" s="89" t="n"/>
      <c r="U5" s="89" t="n"/>
      <c r="V5" s="108">
        <f>R5+S5+T5+U5</f>
        <v/>
      </c>
    </row>
    <row r="6" ht="15.75" customHeight="1">
      <c r="A6" s="91" t="inlineStr">
        <is>
          <t>SACOLA M NATAL</t>
        </is>
      </c>
      <c r="B6" s="89" t="n">
        <v>140</v>
      </c>
      <c r="C6" s="89" t="n">
        <v>260</v>
      </c>
      <c r="D6" s="89" t="n">
        <v>150</v>
      </c>
      <c r="E6" s="89" t="n">
        <v>250</v>
      </c>
      <c r="F6" s="108">
        <f>B6+C6+D6+E6</f>
        <v/>
      </c>
      <c r="G6" s="89" t="n">
        <v>0</v>
      </c>
      <c r="H6" s="89" t="n">
        <v>0</v>
      </c>
      <c r="I6" s="89" t="n">
        <v>0</v>
      </c>
      <c r="J6" s="89" t="n">
        <v>0</v>
      </c>
      <c r="K6" s="89" t="n">
        <v>0</v>
      </c>
      <c r="L6" s="108">
        <f>G6+H6+I6+J6+K6</f>
        <v/>
      </c>
      <c r="M6" s="89" t="n">
        <v>0</v>
      </c>
      <c r="N6" s="89" t="n">
        <v>0</v>
      </c>
      <c r="O6" s="89" t="n">
        <v>0</v>
      </c>
      <c r="P6" s="89" t="n">
        <v>0</v>
      </c>
      <c r="Q6" s="108">
        <f>M6+N6+O6+P6</f>
        <v/>
      </c>
      <c r="R6" s="89" t="n">
        <v>0</v>
      </c>
      <c r="S6" s="89" t="n">
        <v>0</v>
      </c>
      <c r="T6" s="89" t="n"/>
      <c r="U6" s="89" t="n"/>
      <c r="V6" s="108">
        <f>R6+S6+T6+U6</f>
        <v/>
      </c>
    </row>
    <row r="7" ht="15.75" customHeight="1">
      <c r="A7" s="91" t="inlineStr">
        <is>
          <t>SACOLA G NATAL</t>
        </is>
      </c>
      <c r="B7" s="89" t="n">
        <v>80</v>
      </c>
      <c r="C7" s="89" t="n">
        <v>120</v>
      </c>
      <c r="D7" s="89" t="n">
        <v>0</v>
      </c>
      <c r="E7" s="89" t="n">
        <v>300</v>
      </c>
      <c r="F7" s="108">
        <f>B7+C7+D7+E7</f>
        <v/>
      </c>
      <c r="G7" s="89" t="n">
        <v>0</v>
      </c>
      <c r="H7" s="89" t="n">
        <v>0</v>
      </c>
      <c r="I7" s="89" t="n">
        <v>0</v>
      </c>
      <c r="J7" s="89" t="n">
        <v>0</v>
      </c>
      <c r="K7" s="89" t="n">
        <v>0</v>
      </c>
      <c r="L7" s="108">
        <f>G7+H7+I7+J7+K7</f>
        <v/>
      </c>
      <c r="M7" s="89" t="n">
        <v>0</v>
      </c>
      <c r="N7" s="89" t="n">
        <v>0</v>
      </c>
      <c r="O7" s="89" t="n">
        <v>0</v>
      </c>
      <c r="P7" s="89" t="n">
        <v>0</v>
      </c>
      <c r="Q7" s="108">
        <f>M7+N7+O7+P7</f>
        <v/>
      </c>
      <c r="R7" s="89" t="n">
        <v>0</v>
      </c>
      <c r="S7" s="89" t="n">
        <v>0</v>
      </c>
      <c r="T7" s="89" t="n"/>
      <c r="U7" s="89" t="n"/>
      <c r="V7" s="108">
        <f>R7+S7+T7+U7</f>
        <v/>
      </c>
    </row>
    <row r="8" ht="15.75" customHeight="1">
      <c r="A8" s="92" t="inlineStr">
        <is>
          <t>AMARRADINHO P NATAL</t>
        </is>
      </c>
      <c r="B8" s="89" t="n">
        <v>4</v>
      </c>
      <c r="C8" s="89" t="n">
        <v>8</v>
      </c>
      <c r="D8" s="89" t="n">
        <v>41</v>
      </c>
      <c r="E8" s="89" t="n">
        <v>47</v>
      </c>
      <c r="F8" s="108">
        <f>B8+C8+D8+E8</f>
        <v/>
      </c>
      <c r="G8" s="89" t="n">
        <v>0</v>
      </c>
      <c r="H8" s="89" t="n">
        <v>0</v>
      </c>
      <c r="I8" s="89" t="n">
        <v>0</v>
      </c>
      <c r="J8" s="89" t="n">
        <v>0</v>
      </c>
      <c r="K8" s="89" t="n">
        <v>0</v>
      </c>
      <c r="L8" s="108">
        <f>G8+H8+I8+J8+K8</f>
        <v/>
      </c>
      <c r="M8" s="89" t="n">
        <v>0</v>
      </c>
      <c r="N8" s="89" t="n">
        <v>0</v>
      </c>
      <c r="O8" s="89" t="n">
        <v>0</v>
      </c>
      <c r="P8" s="89" t="n">
        <v>0</v>
      </c>
      <c r="Q8" s="108">
        <f>M8+N8+O8+P8</f>
        <v/>
      </c>
      <c r="R8" s="89" t="n">
        <v>0</v>
      </c>
      <c r="S8" s="89" t="n">
        <v>0</v>
      </c>
      <c r="T8" s="89" t="n"/>
      <c r="U8" s="89" t="n"/>
      <c r="V8" s="108">
        <f>R8+S8+T8+U8</f>
        <v/>
      </c>
    </row>
    <row r="9" ht="15.75" customHeight="1">
      <c r="A9" s="93" t="inlineStr">
        <is>
          <t>AMARRADINHO M NATAL</t>
        </is>
      </c>
      <c r="B9" s="89" t="n">
        <v>42</v>
      </c>
      <c r="C9" s="89" t="n">
        <v>27</v>
      </c>
      <c r="D9" s="89" t="n">
        <v>6</v>
      </c>
      <c r="E9" s="89" t="n">
        <v>25</v>
      </c>
      <c r="F9" s="108">
        <f>B9+C9+D9+E9</f>
        <v/>
      </c>
      <c r="G9" s="89" t="n">
        <v>0</v>
      </c>
      <c r="H9" s="89" t="n">
        <v>0</v>
      </c>
      <c r="I9" s="89" t="n">
        <v>0</v>
      </c>
      <c r="J9" s="89" t="n">
        <v>0</v>
      </c>
      <c r="K9" s="89" t="n">
        <v>0</v>
      </c>
      <c r="L9" s="108">
        <f>G9+H9+I9+J9+K9</f>
        <v/>
      </c>
      <c r="M9" s="89" t="n">
        <v>0</v>
      </c>
      <c r="N9" s="89" t="n">
        <v>0</v>
      </c>
      <c r="O9" s="89" t="n">
        <v>0</v>
      </c>
      <c r="P9" s="89" t="n">
        <v>0</v>
      </c>
      <c r="Q9" s="108">
        <f>M9+N9+O9+P9</f>
        <v/>
      </c>
      <c r="R9" s="89" t="n">
        <v>0</v>
      </c>
      <c r="S9" s="89" t="n">
        <v>0</v>
      </c>
      <c r="T9" s="89" t="n"/>
      <c r="U9" s="89" t="n"/>
      <c r="V9" s="108">
        <f>R9+S9+T9+U9</f>
        <v/>
      </c>
    </row>
    <row r="10" ht="15.75" customHeight="1">
      <c r="A10" s="93" t="inlineStr">
        <is>
          <t>PAPEL DE SEDA NATAL</t>
        </is>
      </c>
      <c r="B10" s="89" t="n">
        <v>3</v>
      </c>
      <c r="C10" s="89" t="n">
        <v>0</v>
      </c>
      <c r="D10" s="89" t="n">
        <v>4</v>
      </c>
      <c r="E10" s="89" t="n">
        <v>3</v>
      </c>
      <c r="F10" s="108">
        <f>B10+C10+D10+E10</f>
        <v/>
      </c>
      <c r="G10" s="89" t="n">
        <v>0</v>
      </c>
      <c r="H10" s="89" t="n">
        <v>0</v>
      </c>
      <c r="I10" s="89" t="n">
        <v>0</v>
      </c>
      <c r="J10" s="89" t="n">
        <v>0</v>
      </c>
      <c r="K10" s="89" t="n">
        <v>0</v>
      </c>
      <c r="L10" s="108">
        <f>G10+H10+I10+J10+K10</f>
        <v/>
      </c>
      <c r="M10" s="89" t="n">
        <v>0</v>
      </c>
      <c r="N10" s="89" t="n">
        <v>0</v>
      </c>
      <c r="O10" s="89" t="n">
        <v>0</v>
      </c>
      <c r="P10" s="89" t="n">
        <v>0</v>
      </c>
      <c r="Q10" s="108">
        <f>M10+N10+O10+P10</f>
        <v/>
      </c>
      <c r="R10" s="89" t="n">
        <v>0</v>
      </c>
      <c r="S10" s="89" t="n">
        <v>0</v>
      </c>
      <c r="T10" s="89" t="n"/>
      <c r="U10" s="89" t="n"/>
      <c r="V10" s="108">
        <f>R10+S10+T10+U10</f>
        <v/>
      </c>
    </row>
    <row r="11" ht="15.75" customHeight="1">
      <c r="A11" s="93" t="inlineStr">
        <is>
          <t>TAG NATAL</t>
        </is>
      </c>
      <c r="B11" s="89" t="n">
        <v>2</v>
      </c>
      <c r="C11" s="89" t="n">
        <v>0</v>
      </c>
      <c r="D11" s="89" t="n">
        <v>1</v>
      </c>
      <c r="E11" s="89" t="n">
        <v>4</v>
      </c>
      <c r="F11" s="108">
        <f>B11+C11+D11+E11</f>
        <v/>
      </c>
      <c r="G11" s="89" t="n">
        <v>0</v>
      </c>
      <c r="H11" s="89" t="n">
        <v>0</v>
      </c>
      <c r="I11" s="89" t="n">
        <v>0</v>
      </c>
      <c r="J11" s="89" t="n">
        <v>0</v>
      </c>
      <c r="K11" s="89" t="n">
        <v>0</v>
      </c>
      <c r="L11" s="108">
        <f>G11+H11+I11+J11+K11</f>
        <v/>
      </c>
      <c r="M11" s="89" t="n">
        <v>0</v>
      </c>
      <c r="N11" s="89" t="n">
        <v>0</v>
      </c>
      <c r="O11" s="89" t="n">
        <v>0</v>
      </c>
      <c r="P11" s="89" t="n">
        <v>0</v>
      </c>
      <c r="Q11" s="108">
        <f>M11+N11+O11+P11</f>
        <v/>
      </c>
      <c r="R11" s="89" t="n">
        <v>0</v>
      </c>
      <c r="S11" s="89" t="n">
        <v>0</v>
      </c>
      <c r="T11" s="89" t="n"/>
      <c r="U11" s="89" t="n"/>
      <c r="V11" s="108">
        <f>R11+S11+T11+U11</f>
        <v/>
      </c>
    </row>
    <row r="12" ht="15.75" customHeight="1">
      <c r="A12" s="93" t="inlineStr">
        <is>
          <t>ADESIVOS NATAL</t>
        </is>
      </c>
      <c r="B12" s="89" t="n">
        <v>0</v>
      </c>
      <c r="C12" s="89" t="n">
        <v>10</v>
      </c>
      <c r="D12" s="89" t="n">
        <v>112</v>
      </c>
      <c r="E12" s="89" t="n">
        <v>28</v>
      </c>
      <c r="F12" s="108">
        <f>B12+C12+D12+E12</f>
        <v/>
      </c>
      <c r="G12" s="89" t="n">
        <v>0</v>
      </c>
      <c r="H12" s="89" t="n">
        <v>0</v>
      </c>
      <c r="I12" s="89" t="n">
        <v>0</v>
      </c>
      <c r="J12" s="89" t="n">
        <v>0</v>
      </c>
      <c r="K12" s="89" t="n">
        <v>0</v>
      </c>
      <c r="L12" s="108">
        <f>G12+H12+I12+J12+K12</f>
        <v/>
      </c>
      <c r="M12" s="89" t="n">
        <v>0</v>
      </c>
      <c r="N12" s="89" t="n">
        <v>0</v>
      </c>
      <c r="O12" s="89" t="n">
        <v>0</v>
      </c>
      <c r="P12" s="89" t="n">
        <v>0</v>
      </c>
      <c r="Q12" s="108">
        <f>M12+N12+O12+P12</f>
        <v/>
      </c>
      <c r="R12" s="89" t="n">
        <v>0</v>
      </c>
      <c r="S12" s="89" t="n">
        <v>0</v>
      </c>
      <c r="T12" s="89" t="n"/>
      <c r="U12" s="89" t="n"/>
      <c r="V12" s="108">
        <f>R12+S12+T12+U12</f>
        <v/>
      </c>
    </row>
    <row r="13" ht="15.75" customHeight="1">
      <c r="A13" s="109" t="inlineStr">
        <is>
          <t>TOTAL DE SACOLAS</t>
        </is>
      </c>
      <c r="B13" s="110">
        <f>SUM(B4:B7)</f>
        <v/>
      </c>
      <c r="C13" s="110">
        <f>SUM(C4:C7)</f>
        <v/>
      </c>
      <c r="D13" s="110">
        <f>SUM(D4:D7)</f>
        <v/>
      </c>
      <c r="E13" s="110">
        <f>SUM(E4:E7)</f>
        <v/>
      </c>
      <c r="F13" s="110">
        <f>SUM(F4:F7)</f>
        <v/>
      </c>
      <c r="G13" s="110">
        <f>SUM(G4:G8)</f>
        <v/>
      </c>
      <c r="H13" s="110">
        <f>SUM(H4:H8)</f>
        <v/>
      </c>
      <c r="I13" s="110">
        <f>SUM(I4:I8)</f>
        <v/>
      </c>
      <c r="J13" s="110">
        <f>SUM(J4:J8)</f>
        <v/>
      </c>
      <c r="K13" s="110">
        <f>SUM(K4:K8)</f>
        <v/>
      </c>
      <c r="L13" s="110">
        <f>SUM(L4:L8)</f>
        <v/>
      </c>
      <c r="M13" s="110">
        <f>SUM(M4:M8)</f>
        <v/>
      </c>
      <c r="N13" s="110">
        <f>SUM(N4:N8)</f>
        <v/>
      </c>
      <c r="O13" s="110">
        <f>SUM(O4:O8)</f>
        <v/>
      </c>
      <c r="P13" s="110">
        <f>SUM(P4:P8)</f>
        <v/>
      </c>
      <c r="Q13" s="110">
        <f>SUM(Q4:Q8)</f>
        <v/>
      </c>
      <c r="R13" s="110">
        <f>SUM(R4:R8)</f>
        <v/>
      </c>
      <c r="S13" s="110">
        <f>SUM(S4:S8)</f>
        <v/>
      </c>
      <c r="T13" s="110">
        <f>SUM(T4:T8)</f>
        <v/>
      </c>
      <c r="U13" s="110">
        <f>SUM(U4:U8)</f>
        <v/>
      </c>
      <c r="V13" s="110">
        <f>SUM(V4:V8)</f>
        <v/>
      </c>
    </row>
    <row r="15" ht="18" customHeight="1">
      <c r="A15" s="482" t="inlineStr">
        <is>
          <t>GASTO DE SACOLAS E ITENS DOADOS NATAL/2022 - MENSAIS</t>
        </is>
      </c>
    </row>
    <row r="16" ht="18" customHeight="1">
      <c r="A16" s="665" t="inlineStr">
        <is>
          <t>JARDIM</t>
        </is>
      </c>
      <c r="B16" s="665" t="inlineStr">
        <is>
          <t>DEZEMBRO</t>
        </is>
      </c>
      <c r="C16" s="666" t="n"/>
      <c r="D16" s="666" t="n"/>
      <c r="E16" s="666" t="n"/>
      <c r="F16" s="667" t="n"/>
      <c r="G16" s="665" t="inlineStr">
        <is>
          <t>JANEIRO</t>
        </is>
      </c>
      <c r="H16" s="666" t="n"/>
      <c r="I16" s="666" t="n"/>
      <c r="J16" s="666" t="n"/>
      <c r="K16" s="666" t="n"/>
      <c r="L16" s="667" t="n"/>
      <c r="M16" s="665" t="inlineStr">
        <is>
          <t>FEVEREIRO</t>
        </is>
      </c>
      <c r="N16" s="666" t="n"/>
      <c r="O16" s="666" t="n"/>
      <c r="P16" s="666" t="n"/>
      <c r="Q16" s="667" t="n"/>
      <c r="R16" s="665" t="inlineStr">
        <is>
          <t>MARÇO</t>
        </is>
      </c>
      <c r="S16" s="666" t="n"/>
      <c r="T16" s="666" t="n"/>
      <c r="U16" s="666" t="n"/>
      <c r="V16" s="667" t="n"/>
    </row>
    <row r="17" ht="15.75" customHeight="1">
      <c r="A17" s="668" t="n"/>
      <c r="B17" s="98" t="n">
        <v>44900</v>
      </c>
      <c r="C17" s="98" t="n">
        <v>44907</v>
      </c>
      <c r="D17" s="98" t="n">
        <v>44914</v>
      </c>
      <c r="E17" s="98" t="n">
        <v>44921</v>
      </c>
      <c r="F17" s="99" t="inlineStr">
        <is>
          <t>USOU</t>
        </is>
      </c>
      <c r="G17" s="98" t="n">
        <v>44563</v>
      </c>
      <c r="H17" s="98" t="n">
        <v>44570</v>
      </c>
      <c r="I17" s="98" t="n">
        <v>44577</v>
      </c>
      <c r="J17" s="98" t="n">
        <v>44584</v>
      </c>
      <c r="K17" s="98" t="n">
        <v>44591</v>
      </c>
      <c r="L17" s="99" t="inlineStr">
        <is>
          <t>USOU</t>
        </is>
      </c>
      <c r="M17" s="98" t="n">
        <v>44598</v>
      </c>
      <c r="N17" s="98" t="n">
        <v>44605</v>
      </c>
      <c r="O17" s="98" t="n">
        <v>44612</v>
      </c>
      <c r="P17" s="98" t="n">
        <v>44619</v>
      </c>
      <c r="Q17" s="99" t="inlineStr">
        <is>
          <t>USOU</t>
        </is>
      </c>
      <c r="R17" s="98" t="n">
        <v>44626</v>
      </c>
      <c r="S17" s="98" t="n">
        <v>44633</v>
      </c>
      <c r="T17" s="98" t="n">
        <v>44640</v>
      </c>
      <c r="U17" s="98" t="n">
        <v>44647</v>
      </c>
      <c r="V17" s="99" t="inlineStr">
        <is>
          <t>USOU</t>
        </is>
      </c>
    </row>
    <row r="18" ht="15.75" customHeight="1">
      <c r="A18" s="88" t="inlineStr">
        <is>
          <t>SACOLA PP NATAL</t>
        </is>
      </c>
      <c r="B18" s="107" t="n">
        <v>40</v>
      </c>
      <c r="C18" s="89" t="n">
        <v>120</v>
      </c>
      <c r="D18" s="89" t="n">
        <v>178</v>
      </c>
      <c r="E18" s="89" t="n">
        <v>262</v>
      </c>
      <c r="F18" s="108">
        <f>B18+C18+D18+E18</f>
        <v/>
      </c>
      <c r="G18" s="89" t="n">
        <v>0</v>
      </c>
      <c r="H18" s="89" t="n">
        <v>0</v>
      </c>
      <c r="I18" s="89" t="n">
        <v>0</v>
      </c>
      <c r="J18" s="89" t="n">
        <v>0</v>
      </c>
      <c r="K18" s="89" t="n">
        <v>0</v>
      </c>
      <c r="L18" s="108">
        <f>G18+H18+I18+J18+K18</f>
        <v/>
      </c>
      <c r="M18" s="89" t="n">
        <v>0</v>
      </c>
      <c r="N18" s="89" t="n">
        <v>0</v>
      </c>
      <c r="O18" s="89" t="n">
        <v>0</v>
      </c>
      <c r="P18" s="89" t="n">
        <v>0</v>
      </c>
      <c r="Q18" s="108">
        <f>M18+N18+O18+P18</f>
        <v/>
      </c>
      <c r="R18" s="89" t="n">
        <v>0</v>
      </c>
      <c r="S18" s="89" t="n">
        <v>0</v>
      </c>
      <c r="T18" s="89" t="n"/>
      <c r="U18" s="89" t="n"/>
      <c r="V18" s="108">
        <f>R18+S18+T18+U18</f>
        <v/>
      </c>
    </row>
    <row r="19" ht="15.75" customHeight="1">
      <c r="A19" s="91" t="inlineStr">
        <is>
          <t>SACOLA P NATAL</t>
        </is>
      </c>
      <c r="B19" s="89" t="n">
        <v>128</v>
      </c>
      <c r="C19" s="89" t="n">
        <v>212</v>
      </c>
      <c r="D19" s="89" t="n">
        <v>383</v>
      </c>
      <c r="E19" s="89" t="n">
        <v>77</v>
      </c>
      <c r="F19" s="108">
        <f>B19+C19+D19+E19</f>
        <v/>
      </c>
      <c r="G19" s="89" t="n">
        <v>0</v>
      </c>
      <c r="H19" s="89" t="n">
        <v>0</v>
      </c>
      <c r="I19" s="89" t="n">
        <v>0</v>
      </c>
      <c r="J19" s="89" t="n">
        <v>0</v>
      </c>
      <c r="K19" s="89" t="n">
        <v>0</v>
      </c>
      <c r="L19" s="108">
        <f>G19+H19+I19+J19+K19</f>
        <v/>
      </c>
      <c r="M19" s="89" t="n">
        <v>0</v>
      </c>
      <c r="N19" s="89" t="n">
        <v>0</v>
      </c>
      <c r="O19" s="89" t="n">
        <v>0</v>
      </c>
      <c r="P19" s="89" t="n">
        <v>0</v>
      </c>
      <c r="Q19" s="108">
        <f>M19+N19+O19+P19</f>
        <v/>
      </c>
      <c r="R19" s="89" t="n">
        <v>0</v>
      </c>
      <c r="S19" s="89" t="n">
        <v>0</v>
      </c>
      <c r="T19" s="89" t="n"/>
      <c r="U19" s="89" t="n"/>
      <c r="V19" s="108">
        <f>R19+S19+T19+U19</f>
        <v/>
      </c>
    </row>
    <row r="20" ht="15.75" customHeight="1">
      <c r="A20" s="91" t="inlineStr">
        <is>
          <t>SACOLA M NATAL</t>
        </is>
      </c>
      <c r="B20" s="89" t="n">
        <v>170</v>
      </c>
      <c r="C20" s="89" t="n">
        <v>30</v>
      </c>
      <c r="D20" s="89" t="n">
        <v>291</v>
      </c>
      <c r="E20" s="89" t="n">
        <v>309</v>
      </c>
      <c r="F20" s="108">
        <f>B20+C20+D20+E20</f>
        <v/>
      </c>
      <c r="G20" s="89" t="n">
        <v>0</v>
      </c>
      <c r="H20" s="89" t="n">
        <v>0</v>
      </c>
      <c r="I20" s="89" t="n">
        <v>0</v>
      </c>
      <c r="J20" s="89" t="n">
        <v>0</v>
      </c>
      <c r="K20" s="89" t="n">
        <v>0</v>
      </c>
      <c r="L20" s="108">
        <f>G20+H20+I20+J20+K20</f>
        <v/>
      </c>
      <c r="M20" s="89" t="n">
        <v>0</v>
      </c>
      <c r="N20" s="89" t="n">
        <v>0</v>
      </c>
      <c r="O20" s="89" t="n">
        <v>0</v>
      </c>
      <c r="P20" s="89" t="n">
        <v>0</v>
      </c>
      <c r="Q20" s="108">
        <f>M20+N20+O20+P20</f>
        <v/>
      </c>
      <c r="R20" s="89" t="n">
        <v>0</v>
      </c>
      <c r="S20" s="89" t="n">
        <v>0</v>
      </c>
      <c r="T20" s="89" t="n"/>
      <c r="U20" s="89" t="n"/>
      <c r="V20" s="108">
        <f>R20+S20+T20+U20</f>
        <v/>
      </c>
    </row>
    <row r="21" ht="15.75" customHeight="1">
      <c r="A21" s="91" t="inlineStr">
        <is>
          <t>SACOLA G NATAL</t>
        </is>
      </c>
      <c r="B21" s="89" t="n">
        <v>80</v>
      </c>
      <c r="C21" s="89" t="n">
        <v>63</v>
      </c>
      <c r="D21" s="89" t="n">
        <v>59</v>
      </c>
      <c r="E21" s="89" t="n">
        <v>224</v>
      </c>
      <c r="F21" s="108">
        <f>B21+C21+D21+E21</f>
        <v/>
      </c>
      <c r="G21" s="89" t="n">
        <v>21</v>
      </c>
      <c r="H21" s="89" t="n">
        <v>7</v>
      </c>
      <c r="I21" s="89" t="n">
        <v>20</v>
      </c>
      <c r="J21" s="89" t="n">
        <v>10</v>
      </c>
      <c r="K21" s="89" t="n">
        <v>16</v>
      </c>
      <c r="L21" s="108">
        <f>G21+H21+I21+J21+K21</f>
        <v/>
      </c>
      <c r="M21" s="89" t="n">
        <v>0</v>
      </c>
      <c r="N21" s="89" t="n">
        <v>0</v>
      </c>
      <c r="O21" s="89" t="n">
        <v>0</v>
      </c>
      <c r="P21" s="89" t="n">
        <v>0</v>
      </c>
      <c r="Q21" s="108">
        <f>M21+N21+O21+P21</f>
        <v/>
      </c>
      <c r="R21" s="89" t="n">
        <v>0</v>
      </c>
      <c r="S21" s="89" t="n">
        <v>0</v>
      </c>
      <c r="T21" s="89" t="n"/>
      <c r="U21" s="89" t="n"/>
      <c r="V21" s="108">
        <f>R21+S21+T21+U21</f>
        <v/>
      </c>
    </row>
    <row r="22" ht="15.75" customHeight="1">
      <c r="A22" s="92" t="inlineStr">
        <is>
          <t>AMARRADINHO P NATAL</t>
        </is>
      </c>
      <c r="B22" s="89" t="n">
        <v>6</v>
      </c>
      <c r="C22" s="89" t="n">
        <v>0</v>
      </c>
      <c r="D22" s="89" t="n">
        <v>0</v>
      </c>
      <c r="E22" s="89" t="n">
        <v>0</v>
      </c>
      <c r="F22" s="108">
        <f>B22+C22+D22+E22</f>
        <v/>
      </c>
      <c r="G22" s="89" t="n">
        <v>0</v>
      </c>
      <c r="H22" s="89" t="n">
        <v>0</v>
      </c>
      <c r="I22" s="89" t="n">
        <v>94</v>
      </c>
      <c r="J22" s="89" t="n">
        <v>0</v>
      </c>
      <c r="K22" s="89" t="n">
        <v>0</v>
      </c>
      <c r="L22" s="108">
        <f>G22+H22+I22+J22+K22</f>
        <v/>
      </c>
      <c r="M22" s="89" t="n">
        <v>0</v>
      </c>
      <c r="N22" s="89" t="n">
        <v>0</v>
      </c>
      <c r="O22" s="89" t="n">
        <v>0</v>
      </c>
      <c r="P22" s="89" t="n">
        <v>0</v>
      </c>
      <c r="Q22" s="108">
        <f>M22+N22+O22+P22</f>
        <v/>
      </c>
      <c r="R22" s="89" t="n">
        <v>0</v>
      </c>
      <c r="S22" s="89" t="n">
        <v>0</v>
      </c>
      <c r="T22" s="89" t="n"/>
      <c r="U22" s="89" t="n"/>
      <c r="V22" s="108">
        <f>R22+S22+T22+U22</f>
        <v/>
      </c>
    </row>
    <row r="23" ht="15.75" customHeight="1">
      <c r="A23" s="93" t="inlineStr">
        <is>
          <t>AMARRADINHO M NATAL</t>
        </is>
      </c>
      <c r="B23" s="89" t="n">
        <v>16</v>
      </c>
      <c r="C23" s="89" t="n">
        <v>5</v>
      </c>
      <c r="D23" s="89" t="n">
        <v>0</v>
      </c>
      <c r="E23" s="89" t="n">
        <v>0</v>
      </c>
      <c r="F23" s="108">
        <f>B23+C23+D23+E23</f>
        <v/>
      </c>
      <c r="G23" s="89" t="n">
        <v>0</v>
      </c>
      <c r="H23" s="89" t="n">
        <v>0</v>
      </c>
      <c r="I23" s="89" t="n">
        <v>29</v>
      </c>
      <c r="J23" s="89" t="n">
        <v>0</v>
      </c>
      <c r="K23" s="89" t="n">
        <v>0</v>
      </c>
      <c r="L23" s="108">
        <f>G23+H23+I23+J23+K23</f>
        <v/>
      </c>
      <c r="M23" s="89" t="n">
        <v>0</v>
      </c>
      <c r="N23" s="89" t="n">
        <v>0</v>
      </c>
      <c r="O23" s="89" t="n">
        <v>0</v>
      </c>
      <c r="P23" s="89" t="n">
        <v>0</v>
      </c>
      <c r="Q23" s="108">
        <f>M23+N23+O23+P23</f>
        <v/>
      </c>
      <c r="R23" s="89" t="n">
        <v>0</v>
      </c>
      <c r="S23" s="89" t="n">
        <v>0</v>
      </c>
      <c r="T23" s="89" t="n"/>
      <c r="U23" s="89" t="n"/>
      <c r="V23" s="108">
        <f>R23+S23+T23+U23</f>
        <v/>
      </c>
    </row>
    <row r="24" ht="15.75" customHeight="1">
      <c r="A24" s="93" t="inlineStr">
        <is>
          <t>PAPEL DE SEDA NATAL</t>
        </is>
      </c>
      <c r="B24" s="89" t="n">
        <v>3</v>
      </c>
      <c r="C24" s="89" t="n">
        <v>1</v>
      </c>
      <c r="D24" s="89" t="n">
        <v>3</v>
      </c>
      <c r="E24" s="89" t="n">
        <v>3</v>
      </c>
      <c r="F24" s="108">
        <f>B24+C24+D24+E24</f>
        <v/>
      </c>
      <c r="G24" s="89" t="n">
        <v>0</v>
      </c>
      <c r="H24" s="89" t="n">
        <v>0</v>
      </c>
      <c r="I24" s="89" t="n">
        <v>0</v>
      </c>
      <c r="J24" s="89" t="n">
        <v>0</v>
      </c>
      <c r="K24" s="89" t="n">
        <v>0</v>
      </c>
      <c r="L24" s="108">
        <f>G24+H24+I24+J24+K24</f>
        <v/>
      </c>
      <c r="M24" s="89" t="n">
        <v>0</v>
      </c>
      <c r="N24" s="89" t="n">
        <v>0</v>
      </c>
      <c r="O24" s="89" t="n">
        <v>0</v>
      </c>
      <c r="P24" s="89" t="n">
        <v>0</v>
      </c>
      <c r="Q24" s="108">
        <f>M24+N24+O24+P24</f>
        <v/>
      </c>
      <c r="R24" s="89" t="n">
        <v>0</v>
      </c>
      <c r="S24" s="89" t="n">
        <v>0</v>
      </c>
      <c r="T24" s="89" t="n"/>
      <c r="U24" s="89" t="n"/>
      <c r="V24" s="108">
        <f>R24+S24+T24+U24</f>
        <v/>
      </c>
    </row>
    <row r="25" ht="15.75" customHeight="1">
      <c r="A25" s="93" t="inlineStr">
        <is>
          <t>TAG NATAL</t>
        </is>
      </c>
      <c r="B25" s="89" t="n">
        <v>1</v>
      </c>
      <c r="C25" s="89" t="n">
        <v>2</v>
      </c>
      <c r="D25" s="89" t="n">
        <v>1</v>
      </c>
      <c r="E25" s="89" t="n">
        <v>4</v>
      </c>
      <c r="F25" s="108">
        <f>B25+C25+D25+E25</f>
        <v/>
      </c>
      <c r="G25" s="89" t="n">
        <v>0</v>
      </c>
      <c r="H25" s="89" t="n">
        <v>0</v>
      </c>
      <c r="I25" s="89" t="n">
        <v>0</v>
      </c>
      <c r="J25" s="89" t="n">
        <v>0</v>
      </c>
      <c r="K25" s="89" t="n">
        <v>0</v>
      </c>
      <c r="L25" s="108">
        <f>G25+H25+I25+J25+K25</f>
        <v/>
      </c>
      <c r="M25" s="89" t="n">
        <v>0</v>
      </c>
      <c r="N25" s="89" t="n">
        <v>0</v>
      </c>
      <c r="O25" s="89" t="n">
        <v>0</v>
      </c>
      <c r="P25" s="89" t="n">
        <v>0</v>
      </c>
      <c r="Q25" s="108">
        <f>M25+N25+O25+P25</f>
        <v/>
      </c>
      <c r="R25" s="89" t="n">
        <v>0</v>
      </c>
      <c r="S25" s="89" t="n">
        <v>0</v>
      </c>
      <c r="T25" s="89" t="n"/>
      <c r="U25" s="89" t="n"/>
      <c r="V25" s="108">
        <f>R25+S25+T25+U25</f>
        <v/>
      </c>
    </row>
    <row r="26" ht="15.75" customHeight="1">
      <c r="A26" s="93" t="inlineStr">
        <is>
          <t>ADESIVOS NATAL</t>
        </is>
      </c>
      <c r="B26" s="89" t="n">
        <v>1</v>
      </c>
      <c r="C26" s="89" t="n">
        <v>27</v>
      </c>
      <c r="D26" s="89" t="n">
        <v>32</v>
      </c>
      <c r="E26" s="89" t="n">
        <v>30</v>
      </c>
      <c r="F26" s="108">
        <f>B26+C26+D26+E26</f>
        <v/>
      </c>
      <c r="G26" s="89" t="n">
        <v>0</v>
      </c>
      <c r="H26" s="89" t="n">
        <v>0</v>
      </c>
      <c r="I26" s="89" t="n">
        <v>0</v>
      </c>
      <c r="J26" s="89" t="n">
        <v>0</v>
      </c>
      <c r="K26" s="89" t="n">
        <v>0</v>
      </c>
      <c r="L26" s="108">
        <f>G26+H26+I26+J26+K26</f>
        <v/>
      </c>
      <c r="M26" s="89" t="n">
        <v>0</v>
      </c>
      <c r="N26" s="89" t="n">
        <v>0</v>
      </c>
      <c r="O26" s="89" t="n">
        <v>0</v>
      </c>
      <c r="P26" s="89" t="n">
        <v>0</v>
      </c>
      <c r="Q26" s="108">
        <f>M26+N26+O26+P26</f>
        <v/>
      </c>
      <c r="R26" s="89" t="n">
        <v>0</v>
      </c>
      <c r="S26" s="89" t="n">
        <v>0</v>
      </c>
      <c r="T26" s="89" t="n"/>
      <c r="U26" s="89" t="n"/>
      <c r="V26" s="108">
        <f>R26+S26+T26+U26</f>
        <v/>
      </c>
    </row>
    <row r="27" ht="15.75" customHeight="1">
      <c r="A27" s="109" t="inlineStr">
        <is>
          <t>TOTAL DE SACOLAS</t>
        </is>
      </c>
      <c r="B27" s="110">
        <f>SUM(B18:B21)</f>
        <v/>
      </c>
      <c r="C27" s="110">
        <f>SUM(C18:C21)</f>
        <v/>
      </c>
      <c r="D27" s="110">
        <f>SUM(D18:D21)</f>
        <v/>
      </c>
      <c r="E27" s="110">
        <f>SUM(E18:E21)</f>
        <v/>
      </c>
      <c r="F27" s="110">
        <f>SUM(F18:F21)</f>
        <v/>
      </c>
      <c r="G27" s="110">
        <f>SUM(G18:G22)</f>
        <v/>
      </c>
      <c r="H27" s="110">
        <f>SUM(H18:H22)</f>
        <v/>
      </c>
      <c r="I27" s="110">
        <f>SUM(I18:I22)</f>
        <v/>
      </c>
      <c r="J27" s="110">
        <f>SUM(J18:J22)</f>
        <v/>
      </c>
      <c r="K27" s="110">
        <f>SUM(K18:K22)</f>
        <v/>
      </c>
      <c r="L27" s="110">
        <f>SUM(L18:L22)</f>
        <v/>
      </c>
      <c r="M27" s="110">
        <f>SUM(M18:M22)</f>
        <v/>
      </c>
      <c r="N27" s="110">
        <f>SUM(N18:N22)</f>
        <v/>
      </c>
      <c r="O27" s="110">
        <f>SUM(O18:O22)</f>
        <v/>
      </c>
      <c r="P27" s="110">
        <f>SUM(P18:P22)</f>
        <v/>
      </c>
      <c r="Q27" s="110">
        <f>SUM(Q18:Q22)</f>
        <v/>
      </c>
      <c r="R27" s="110">
        <f>SUM(R18:R22)</f>
        <v/>
      </c>
      <c r="S27" s="110">
        <f>SUM(S18:S22)</f>
        <v/>
      </c>
      <c r="T27" s="110">
        <f>SUM(T18:T22)</f>
        <v/>
      </c>
      <c r="U27" s="110">
        <f>SUM(U18:U22)</f>
        <v/>
      </c>
      <c r="V27" s="110">
        <f>SUM(V18:V22)</f>
        <v/>
      </c>
    </row>
    <row r="28" ht="15.75" customHeight="1">
      <c r="A28" s="103" t="n"/>
      <c r="B28" s="100" t="n"/>
      <c r="C28" s="100" t="n"/>
      <c r="D28" s="100" t="n"/>
      <c r="E28" s="100" t="n"/>
      <c r="F28" s="100" t="n"/>
      <c r="G28" s="100" t="n"/>
      <c r="H28" s="100" t="n"/>
      <c r="I28" s="100" t="n"/>
      <c r="J28" s="100" t="n"/>
      <c r="K28" s="100" t="n"/>
      <c r="L28" s="100" t="n"/>
      <c r="M28" s="100" t="n"/>
      <c r="N28" s="100" t="n"/>
      <c r="O28" s="100" t="n"/>
      <c r="P28" s="100" t="n"/>
      <c r="Q28" s="100" t="n"/>
      <c r="R28" s="100" t="n"/>
      <c r="S28" s="100" t="n"/>
      <c r="T28" s="100" t="n"/>
      <c r="U28" s="100" t="n"/>
      <c r="V28" s="100" t="n"/>
    </row>
    <row r="29" ht="15.75" customHeight="1">
      <c r="A29" s="482" t="inlineStr">
        <is>
          <t>GASTO DE SACOLAS E ITENS DOADOS NATAL/2022 - MENSAIS</t>
        </is>
      </c>
    </row>
    <row r="30" ht="15.75" customHeight="1">
      <c r="A30" s="665" t="inlineStr">
        <is>
          <t>BARRA BONITA</t>
        </is>
      </c>
      <c r="B30" s="665" t="inlineStr">
        <is>
          <t>DEZEMBRO</t>
        </is>
      </c>
      <c r="C30" s="666" t="n"/>
      <c r="D30" s="666" t="n"/>
      <c r="E30" s="666" t="n"/>
      <c r="F30" s="667" t="n"/>
      <c r="G30" s="665" t="inlineStr">
        <is>
          <t>JANEIRO</t>
        </is>
      </c>
      <c r="H30" s="666" t="n"/>
      <c r="I30" s="666" t="n"/>
      <c r="J30" s="666" t="n"/>
      <c r="K30" s="666" t="n"/>
      <c r="L30" s="667" t="n"/>
      <c r="M30" s="665" t="inlineStr">
        <is>
          <t>FEVEREIRO</t>
        </is>
      </c>
      <c r="N30" s="666" t="n"/>
      <c r="O30" s="666" t="n"/>
      <c r="P30" s="666" t="n"/>
      <c r="Q30" s="667" t="n"/>
      <c r="R30" s="665" t="inlineStr">
        <is>
          <t>MARÇO</t>
        </is>
      </c>
      <c r="S30" s="666" t="n"/>
      <c r="T30" s="666" t="n"/>
      <c r="U30" s="666" t="n"/>
      <c r="V30" s="667" t="n"/>
    </row>
    <row r="31" ht="15.75" customHeight="1">
      <c r="A31" s="668" t="n"/>
      <c r="B31" s="98" t="n">
        <v>44900</v>
      </c>
      <c r="C31" s="98" t="n">
        <v>44907</v>
      </c>
      <c r="D31" s="98" t="n">
        <v>44914</v>
      </c>
      <c r="E31" s="98" t="n">
        <v>44921</v>
      </c>
      <c r="F31" s="99" t="inlineStr">
        <is>
          <t>USOU</t>
        </is>
      </c>
      <c r="G31" s="98" t="n">
        <v>44563</v>
      </c>
      <c r="H31" s="98" t="n">
        <v>44570</v>
      </c>
      <c r="I31" s="98" t="n">
        <v>44577</v>
      </c>
      <c r="J31" s="98" t="n">
        <v>44584</v>
      </c>
      <c r="K31" s="98" t="n">
        <v>44591</v>
      </c>
      <c r="L31" s="99" t="inlineStr">
        <is>
          <t>USOU</t>
        </is>
      </c>
      <c r="M31" s="98" t="n">
        <v>44598</v>
      </c>
      <c r="N31" s="98" t="n">
        <v>44605</v>
      </c>
      <c r="O31" s="98" t="n">
        <v>44612</v>
      </c>
      <c r="P31" s="98" t="n">
        <v>44619</v>
      </c>
      <c r="Q31" s="99" t="inlineStr">
        <is>
          <t>USOU</t>
        </is>
      </c>
      <c r="R31" s="98" t="n">
        <v>44626</v>
      </c>
      <c r="S31" s="98" t="n">
        <v>44633</v>
      </c>
      <c r="T31" s="98" t="n">
        <v>44640</v>
      </c>
      <c r="U31" s="98" t="n">
        <v>44647</v>
      </c>
      <c r="V31" s="99" t="inlineStr">
        <is>
          <t>USOU</t>
        </is>
      </c>
    </row>
    <row r="32" ht="15.75" customHeight="1">
      <c r="A32" s="88" t="inlineStr">
        <is>
          <t>SACOLA PP NATAL</t>
        </is>
      </c>
      <c r="B32" s="107" t="n">
        <v>180</v>
      </c>
      <c r="C32" s="89" t="n">
        <v>40</v>
      </c>
      <c r="D32" s="89" t="n">
        <v>140</v>
      </c>
      <c r="E32" s="89" t="n">
        <v>190</v>
      </c>
      <c r="F32" s="108">
        <f>B32+C32+D32+E32</f>
        <v/>
      </c>
      <c r="G32" s="89" t="n">
        <v>0</v>
      </c>
      <c r="H32" s="89" t="n">
        <v>0</v>
      </c>
      <c r="I32" s="89" t="n">
        <v>0</v>
      </c>
      <c r="J32" s="89" t="n">
        <v>0</v>
      </c>
      <c r="K32" s="89" t="n">
        <v>0</v>
      </c>
      <c r="L32" s="108">
        <f>G32+H32+I32+J32+K32</f>
        <v/>
      </c>
      <c r="M32" s="89" t="n">
        <v>0</v>
      </c>
      <c r="N32" s="89" t="n">
        <v>0</v>
      </c>
      <c r="O32" s="89" t="n">
        <v>0</v>
      </c>
      <c r="P32" s="89" t="n">
        <v>0</v>
      </c>
      <c r="Q32" s="108">
        <f>M32+N32+O32+P32</f>
        <v/>
      </c>
      <c r="R32" s="89" t="n">
        <v>0</v>
      </c>
      <c r="S32" s="89" t="n">
        <v>0</v>
      </c>
      <c r="T32" s="89" t="n"/>
      <c r="U32" s="89" t="n"/>
      <c r="V32" s="108">
        <f>R32+S32+T32+U32</f>
        <v/>
      </c>
    </row>
    <row r="33" ht="18" customHeight="1">
      <c r="A33" s="91" t="inlineStr">
        <is>
          <t>SACOLA P NATAL</t>
        </is>
      </c>
      <c r="B33" s="89" t="n">
        <v>220</v>
      </c>
      <c r="C33" s="89" t="n">
        <v>200</v>
      </c>
      <c r="D33" s="89" t="n">
        <v>380</v>
      </c>
      <c r="E33" s="89" t="n">
        <v>0</v>
      </c>
      <c r="F33" s="108">
        <f>B33+C33+D33+E33</f>
        <v/>
      </c>
      <c r="G33" s="89" t="n">
        <v>0</v>
      </c>
      <c r="H33" s="89" t="n">
        <v>0</v>
      </c>
      <c r="I33" s="89" t="n">
        <v>0</v>
      </c>
      <c r="J33" s="89" t="n">
        <v>0</v>
      </c>
      <c r="K33" s="89" t="n">
        <v>0</v>
      </c>
      <c r="L33" s="108">
        <f>G33+H33+I33+J33+K33</f>
        <v/>
      </c>
      <c r="M33" s="89" t="n">
        <v>0</v>
      </c>
      <c r="N33" s="89" t="n">
        <v>0</v>
      </c>
      <c r="O33" s="89" t="n">
        <v>0</v>
      </c>
      <c r="P33" s="89" t="n">
        <v>0</v>
      </c>
      <c r="Q33" s="108">
        <f>M33+N33+O33+P33</f>
        <v/>
      </c>
      <c r="R33" s="89" t="n">
        <v>0</v>
      </c>
      <c r="S33" s="89" t="n">
        <v>0</v>
      </c>
      <c r="T33" s="89" t="n"/>
      <c r="U33" s="89" t="n"/>
      <c r="V33" s="108">
        <f>R33+S33+T33+U33</f>
        <v/>
      </c>
    </row>
    <row r="34" ht="18" customHeight="1">
      <c r="A34" s="91" t="inlineStr">
        <is>
          <t>SACOLA M NATAL</t>
        </is>
      </c>
      <c r="B34" s="89" t="n">
        <v>120</v>
      </c>
      <c r="C34" s="89" t="n">
        <v>80</v>
      </c>
      <c r="D34" s="89" t="n">
        <v>130</v>
      </c>
      <c r="E34" s="89" t="n">
        <v>270</v>
      </c>
      <c r="F34" s="108">
        <f>B34+C34+D34+E34</f>
        <v/>
      </c>
      <c r="G34" s="89" t="n">
        <v>0</v>
      </c>
      <c r="H34" s="89" t="n">
        <v>0</v>
      </c>
      <c r="I34" s="89" t="n">
        <v>0</v>
      </c>
      <c r="J34" s="89" t="n">
        <v>0</v>
      </c>
      <c r="K34" s="89" t="n">
        <v>0</v>
      </c>
      <c r="L34" s="108">
        <f>G34+H34+I34+J34+K34</f>
        <v/>
      </c>
      <c r="M34" s="89" t="n">
        <v>0</v>
      </c>
      <c r="N34" s="89" t="n">
        <v>0</v>
      </c>
      <c r="O34" s="89" t="n">
        <v>0</v>
      </c>
      <c r="P34" s="89" t="n">
        <v>0</v>
      </c>
      <c r="Q34" s="108">
        <f>M34+N34+O34+P34</f>
        <v/>
      </c>
      <c r="R34" s="89" t="n">
        <v>0</v>
      </c>
      <c r="S34" s="89" t="n">
        <v>0</v>
      </c>
      <c r="T34" s="89" t="n"/>
      <c r="U34" s="89" t="n"/>
      <c r="V34" s="108">
        <f>R34+S34+T34+U34</f>
        <v/>
      </c>
    </row>
    <row r="35" ht="15.75" customHeight="1">
      <c r="A35" s="91" t="inlineStr">
        <is>
          <t>SACOLA G NATAL</t>
        </is>
      </c>
      <c r="B35" s="89" t="n">
        <v>70</v>
      </c>
      <c r="C35" s="89" t="n">
        <v>20</v>
      </c>
      <c r="D35" s="89" t="n">
        <v>40</v>
      </c>
      <c r="E35" s="89" t="n">
        <v>60</v>
      </c>
      <c r="F35" s="108">
        <f>B35+C35+D35+E35</f>
        <v/>
      </c>
      <c r="G35" s="89" t="n">
        <v>0</v>
      </c>
      <c r="H35" s="89" t="n">
        <v>50</v>
      </c>
      <c r="I35" s="89" t="n">
        <v>10</v>
      </c>
      <c r="J35" s="89" t="n">
        <v>10</v>
      </c>
      <c r="K35" s="89" t="n">
        <v>10</v>
      </c>
      <c r="L35" s="108">
        <f>G35+H35+I35+J35+K35</f>
        <v/>
      </c>
      <c r="M35" s="89" t="n">
        <v>10</v>
      </c>
      <c r="N35" s="89" t="n">
        <v>6</v>
      </c>
      <c r="O35" s="89" t="n">
        <v>4</v>
      </c>
      <c r="P35" s="89" t="n">
        <v>10</v>
      </c>
      <c r="Q35" s="108">
        <f>M35+N35+O35+P35</f>
        <v/>
      </c>
      <c r="R35" s="89" t="n">
        <v>0</v>
      </c>
      <c r="S35" s="89" t="n">
        <v>0</v>
      </c>
      <c r="T35" s="89" t="n"/>
      <c r="U35" s="89" t="n"/>
      <c r="V35" s="108">
        <f>R35+S35+T35+U35</f>
        <v/>
      </c>
    </row>
    <row r="36" ht="15.75" customHeight="1">
      <c r="A36" s="92" t="inlineStr">
        <is>
          <t>AMARRADINHO P NATAL</t>
        </is>
      </c>
      <c r="B36" s="89" t="n">
        <v>46</v>
      </c>
      <c r="C36" s="89" t="n">
        <v>54</v>
      </c>
      <c r="D36" s="89" t="n">
        <v>0</v>
      </c>
      <c r="E36" s="89" t="n">
        <v>0</v>
      </c>
      <c r="F36" s="108">
        <f>B36+C36+D36+E36</f>
        <v/>
      </c>
      <c r="G36" s="89" t="n">
        <v>0</v>
      </c>
      <c r="H36" s="89" t="n">
        <v>0</v>
      </c>
      <c r="I36" s="89" t="n">
        <v>0</v>
      </c>
      <c r="J36" s="89" t="n">
        <v>0</v>
      </c>
      <c r="K36" s="89" t="n">
        <v>0</v>
      </c>
      <c r="L36" s="108">
        <f>G36+H36+I36+J36+K36</f>
        <v/>
      </c>
      <c r="M36" s="89" t="n">
        <v>0</v>
      </c>
      <c r="N36" s="89" t="n">
        <v>0</v>
      </c>
      <c r="O36" s="89" t="n">
        <v>0</v>
      </c>
      <c r="P36" s="89" t="n">
        <v>0</v>
      </c>
      <c r="Q36" s="108">
        <f>M36+N36+O36+P36</f>
        <v/>
      </c>
      <c r="R36" s="89" t="n">
        <v>0</v>
      </c>
      <c r="S36" s="89" t="n">
        <v>0</v>
      </c>
      <c r="T36" s="89" t="n"/>
      <c r="U36" s="89" t="n"/>
      <c r="V36" s="108">
        <f>R36+S36+T36+U36</f>
        <v/>
      </c>
    </row>
    <row r="37" ht="15.75" customHeight="1">
      <c r="A37" s="93" t="inlineStr">
        <is>
          <t>AMARRADINHO M NATAL</t>
        </is>
      </c>
      <c r="B37" s="89" t="n">
        <v>30</v>
      </c>
      <c r="C37" s="89" t="n">
        <v>45</v>
      </c>
      <c r="D37" s="89" t="n">
        <v>0</v>
      </c>
      <c r="E37" s="89" t="n">
        <v>0</v>
      </c>
      <c r="F37" s="108">
        <f>B37+C37+D37+E37</f>
        <v/>
      </c>
      <c r="G37" s="89" t="n">
        <v>0</v>
      </c>
      <c r="H37" s="89" t="n">
        <v>0</v>
      </c>
      <c r="I37" s="89" t="n">
        <v>0</v>
      </c>
      <c r="J37" s="89" t="n">
        <v>0</v>
      </c>
      <c r="K37" s="89" t="n">
        <v>0</v>
      </c>
      <c r="L37" s="108">
        <f>G37+H37+I37+J37+K37</f>
        <v/>
      </c>
      <c r="M37" s="89" t="n">
        <v>0</v>
      </c>
      <c r="N37" s="89" t="n">
        <v>0</v>
      </c>
      <c r="O37" s="89" t="n">
        <v>0</v>
      </c>
      <c r="P37" s="89" t="n">
        <v>0</v>
      </c>
      <c r="Q37" s="108">
        <f>M37+N37+O37+P37</f>
        <v/>
      </c>
      <c r="R37" s="89" t="n">
        <v>0</v>
      </c>
      <c r="S37" s="89" t="n">
        <v>0</v>
      </c>
      <c r="T37" s="89" t="n"/>
      <c r="U37" s="89" t="n"/>
      <c r="V37" s="108">
        <f>R37+S37+T37+U37</f>
        <v/>
      </c>
    </row>
    <row r="38" ht="15.75" customHeight="1">
      <c r="A38" s="93" t="inlineStr">
        <is>
          <t>PAPEL DE SEDA NATAL</t>
        </is>
      </c>
      <c r="B38" s="89" t="n">
        <v>0</v>
      </c>
      <c r="C38" s="89" t="n">
        <v>10</v>
      </c>
      <c r="D38" s="89" t="n">
        <v>0</v>
      </c>
      <c r="E38" s="89" t="n">
        <v>0</v>
      </c>
      <c r="F38" s="108">
        <f>B38+C38+D38+E38</f>
        <v/>
      </c>
      <c r="G38" s="89" t="n">
        <v>0</v>
      </c>
      <c r="H38" s="89" t="n">
        <v>0</v>
      </c>
      <c r="I38" s="89" t="n">
        <v>0</v>
      </c>
      <c r="J38" s="89" t="n">
        <v>0</v>
      </c>
      <c r="K38" s="89" t="n">
        <v>0</v>
      </c>
      <c r="L38" s="108">
        <f>G38+H38+I38+J38+K38</f>
        <v/>
      </c>
      <c r="M38" s="89" t="n">
        <v>0</v>
      </c>
      <c r="N38" s="89" t="n">
        <v>0</v>
      </c>
      <c r="O38" s="89" t="n">
        <v>0</v>
      </c>
      <c r="P38" s="89" t="n">
        <v>0</v>
      </c>
      <c r="Q38" s="108">
        <f>M38+N38+O38+P38</f>
        <v/>
      </c>
      <c r="R38" s="89" t="n">
        <v>0</v>
      </c>
      <c r="S38" s="89" t="n">
        <v>0</v>
      </c>
      <c r="T38" s="89" t="n"/>
      <c r="U38" s="89" t="n"/>
      <c r="V38" s="108">
        <f>R38+S38+T38+U38</f>
        <v/>
      </c>
    </row>
    <row r="39" ht="15.75" customHeight="1">
      <c r="A39" s="93" t="inlineStr">
        <is>
          <t>TAG NATAL</t>
        </is>
      </c>
      <c r="B39" s="89" t="n">
        <v>0</v>
      </c>
      <c r="C39" s="89" t="n">
        <v>2</v>
      </c>
      <c r="D39" s="89" t="n">
        <v>1</v>
      </c>
      <c r="E39" s="89" t="n">
        <v>3</v>
      </c>
      <c r="F39" s="108">
        <f>B39+C39+D39+E39</f>
        <v/>
      </c>
      <c r="G39" s="89" t="n">
        <v>0</v>
      </c>
      <c r="H39" s="89" t="n">
        <v>0</v>
      </c>
      <c r="I39" s="89" t="n">
        <v>0</v>
      </c>
      <c r="J39" s="89" t="n">
        <v>0</v>
      </c>
      <c r="K39" s="89" t="n">
        <v>0</v>
      </c>
      <c r="L39" s="108">
        <f>G39+H39+I39+J39+K39</f>
        <v/>
      </c>
      <c r="M39" s="89" t="n">
        <v>0</v>
      </c>
      <c r="N39" s="89" t="n">
        <v>0</v>
      </c>
      <c r="O39" s="89" t="n">
        <v>0</v>
      </c>
      <c r="P39" s="89" t="n">
        <v>0</v>
      </c>
      <c r="Q39" s="108">
        <f>M39+N39+O39+P39</f>
        <v/>
      </c>
      <c r="R39" s="89" t="n">
        <v>0</v>
      </c>
      <c r="S39" s="89" t="n">
        <v>0</v>
      </c>
      <c r="T39" s="89" t="n"/>
      <c r="U39" s="89" t="n"/>
      <c r="V39" s="108">
        <f>R39+S39+T39+U39</f>
        <v/>
      </c>
    </row>
    <row r="40" ht="15.75" customHeight="1">
      <c r="A40" s="93" t="inlineStr">
        <is>
          <t>ADESIVOS NATAL</t>
        </is>
      </c>
      <c r="B40" s="89" t="n">
        <v>0</v>
      </c>
      <c r="C40" s="89" t="n">
        <v>75</v>
      </c>
      <c r="D40" s="89" t="n">
        <v>22</v>
      </c>
      <c r="E40" s="89" t="n">
        <v>53</v>
      </c>
      <c r="F40" s="108">
        <f>B40+C40+D40+E40</f>
        <v/>
      </c>
      <c r="G40" s="89" t="n">
        <v>0</v>
      </c>
      <c r="H40" s="89" t="n">
        <v>0</v>
      </c>
      <c r="I40" s="89" t="n">
        <v>0</v>
      </c>
      <c r="J40" s="89" t="n">
        <v>0</v>
      </c>
      <c r="K40" s="89" t="n">
        <v>0</v>
      </c>
      <c r="L40" s="108">
        <f>G40+H40+I40+J40+K40</f>
        <v/>
      </c>
      <c r="M40" s="89" t="n">
        <v>0</v>
      </c>
      <c r="N40" s="89" t="n">
        <v>0</v>
      </c>
      <c r="O40" s="89" t="n">
        <v>0</v>
      </c>
      <c r="P40" s="89" t="n">
        <v>0</v>
      </c>
      <c r="Q40" s="108">
        <f>M40+N40+O40+P40</f>
        <v/>
      </c>
      <c r="R40" s="89" t="n">
        <v>0</v>
      </c>
      <c r="S40" s="89" t="n">
        <v>0</v>
      </c>
      <c r="T40" s="89" t="n"/>
      <c r="U40" s="89" t="n"/>
      <c r="V40" s="108">
        <f>R40+S40+T40+U40</f>
        <v/>
      </c>
    </row>
    <row r="41" ht="15.75" customHeight="1">
      <c r="A41" s="109" t="inlineStr">
        <is>
          <t>TOTAL DE SACOLAS</t>
        </is>
      </c>
      <c r="B41" s="110">
        <f>SUM(B32:B35)</f>
        <v/>
      </c>
      <c r="C41" s="110">
        <f>SUM(C32:C35)</f>
        <v/>
      </c>
      <c r="D41" s="110">
        <f>SUM(D32:D35)</f>
        <v/>
      </c>
      <c r="E41" s="110">
        <f>SUM(E32:E35)</f>
        <v/>
      </c>
      <c r="F41" s="110">
        <f>SUM(F32:F35)</f>
        <v/>
      </c>
      <c r="G41" s="110">
        <f>SUM(G32:G36)</f>
        <v/>
      </c>
      <c r="H41" s="110">
        <f>SUM(H32:H36)</f>
        <v/>
      </c>
      <c r="I41" s="110">
        <f>SUM(I32:I36)</f>
        <v/>
      </c>
      <c r="J41" s="110">
        <f>SUM(J32:J36)</f>
        <v/>
      </c>
      <c r="K41" s="110">
        <f>SUM(K32:K36)</f>
        <v/>
      </c>
      <c r="L41" s="110">
        <f>SUM(L32:L36)</f>
        <v/>
      </c>
      <c r="M41" s="110">
        <f>SUM(M32:M36)</f>
        <v/>
      </c>
      <c r="N41" s="110">
        <f>SUM(N32:N36)</f>
        <v/>
      </c>
      <c r="O41" s="110">
        <f>SUM(O32:O36)</f>
        <v/>
      </c>
      <c r="P41" s="110">
        <f>SUM(P32:P36)</f>
        <v/>
      </c>
      <c r="Q41" s="110">
        <f>SUM(Q32:Q36)</f>
        <v/>
      </c>
      <c r="R41" s="110">
        <f>SUM(R32:R36)</f>
        <v/>
      </c>
      <c r="S41" s="110">
        <f>SUM(S32:S36)</f>
        <v/>
      </c>
      <c r="T41" s="110">
        <f>SUM(T32:T36)</f>
        <v/>
      </c>
      <c r="U41" s="110">
        <f>SUM(U32:U36)</f>
        <v/>
      </c>
      <c r="V41" s="110">
        <f>SUM(V32:V36)</f>
        <v/>
      </c>
    </row>
    <row r="42" ht="15.75" customHeight="1">
      <c r="A42" s="103" t="n"/>
      <c r="B42" s="100" t="n"/>
      <c r="C42" s="100" t="n"/>
      <c r="D42" s="100" t="n"/>
      <c r="E42" s="100" t="n"/>
      <c r="F42" s="100" t="n"/>
      <c r="G42" s="100" t="n"/>
      <c r="H42" s="100" t="n"/>
      <c r="I42" s="100" t="n"/>
      <c r="J42" s="100" t="n"/>
      <c r="K42" s="100" t="n"/>
      <c r="L42" s="100" t="n"/>
      <c r="M42" s="100" t="n"/>
      <c r="N42" s="100" t="n"/>
      <c r="O42" s="100" t="n"/>
      <c r="P42" s="100" t="n"/>
      <c r="Q42" s="100" t="n"/>
      <c r="R42" s="100" t="n"/>
      <c r="S42" s="100" t="n"/>
      <c r="T42" s="100" t="n"/>
      <c r="U42" s="100" t="n"/>
      <c r="V42" s="100" t="n"/>
    </row>
    <row r="43" ht="15.75" customHeight="1">
      <c r="A43" s="482" t="inlineStr">
        <is>
          <t>GASTO DE SACOLAS E ITENS DOADOS NATAL/2022 - MENSAIS</t>
        </is>
      </c>
    </row>
    <row r="44" ht="15.75" customHeight="1">
      <c r="A44" s="665" t="inlineStr">
        <is>
          <t>SÃO MANUEL</t>
        </is>
      </c>
      <c r="B44" s="665" t="inlineStr">
        <is>
          <t>DEZEMBRO</t>
        </is>
      </c>
      <c r="C44" s="666" t="n"/>
      <c r="D44" s="666" t="n"/>
      <c r="E44" s="666" t="n"/>
      <c r="F44" s="667" t="n"/>
      <c r="G44" s="665" t="inlineStr">
        <is>
          <t>JANEIRO</t>
        </is>
      </c>
      <c r="H44" s="666" t="n"/>
      <c r="I44" s="666" t="n"/>
      <c r="J44" s="666" t="n"/>
      <c r="K44" s="666" t="n"/>
      <c r="L44" s="667" t="n"/>
      <c r="M44" s="665" t="inlineStr">
        <is>
          <t>FEVEREIRO</t>
        </is>
      </c>
      <c r="N44" s="666" t="n"/>
      <c r="O44" s="666" t="n"/>
      <c r="P44" s="666" t="n"/>
      <c r="Q44" s="667" t="n"/>
      <c r="R44" s="665" t="inlineStr">
        <is>
          <t>MARÇO</t>
        </is>
      </c>
      <c r="S44" s="666" t="n"/>
      <c r="T44" s="666" t="n"/>
      <c r="U44" s="666" t="n"/>
      <c r="V44" s="667" t="n"/>
    </row>
    <row r="45" ht="15.75" customHeight="1">
      <c r="A45" s="668" t="n"/>
      <c r="B45" s="98" t="n">
        <v>44900</v>
      </c>
      <c r="C45" s="98" t="n">
        <v>44907</v>
      </c>
      <c r="D45" s="98" t="n">
        <v>44914</v>
      </c>
      <c r="E45" s="98" t="n">
        <v>44921</v>
      </c>
      <c r="F45" s="99" t="inlineStr">
        <is>
          <t>USOU</t>
        </is>
      </c>
      <c r="G45" s="98" t="n">
        <v>44563</v>
      </c>
      <c r="H45" s="98" t="n">
        <v>44570</v>
      </c>
      <c r="I45" s="98" t="n">
        <v>44577</v>
      </c>
      <c r="J45" s="98" t="n">
        <v>44584</v>
      </c>
      <c r="K45" s="98" t="n">
        <v>44591</v>
      </c>
      <c r="L45" s="99" t="inlineStr">
        <is>
          <t>USOU</t>
        </is>
      </c>
      <c r="M45" s="98" t="n">
        <v>44598</v>
      </c>
      <c r="N45" s="98" t="n">
        <v>44605</v>
      </c>
      <c r="O45" s="98" t="n">
        <v>44612</v>
      </c>
      <c r="P45" s="98" t="n">
        <v>44619</v>
      </c>
      <c r="Q45" s="99" t="inlineStr">
        <is>
          <t>USOU</t>
        </is>
      </c>
      <c r="R45" s="98" t="n">
        <v>44626</v>
      </c>
      <c r="S45" s="98" t="n">
        <v>44633</v>
      </c>
      <c r="T45" s="98" t="n">
        <v>44640</v>
      </c>
      <c r="U45" s="98" t="n">
        <v>44647</v>
      </c>
      <c r="V45" s="99" t="inlineStr">
        <is>
          <t>USOU</t>
        </is>
      </c>
    </row>
    <row r="46" ht="15.75" customHeight="1">
      <c r="A46" s="88" t="inlineStr">
        <is>
          <t>SACOLA PP NATAL</t>
        </is>
      </c>
      <c r="B46" s="107" t="n">
        <v>255</v>
      </c>
      <c r="C46" s="89" t="n">
        <v>120</v>
      </c>
      <c r="D46" s="89" t="n">
        <v>105</v>
      </c>
      <c r="E46" s="89" t="n">
        <v>117</v>
      </c>
      <c r="F46" s="108">
        <f>B46+C46+D46+E46</f>
        <v/>
      </c>
      <c r="G46" s="89" t="n">
        <v>3</v>
      </c>
      <c r="H46" s="89" t="n">
        <v>0</v>
      </c>
      <c r="I46" s="89" t="n">
        <v>0</v>
      </c>
      <c r="J46" s="89" t="n">
        <v>0</v>
      </c>
      <c r="K46" s="89" t="n">
        <v>0</v>
      </c>
      <c r="L46" s="108">
        <f>G46+H46+I46+J46+K46</f>
        <v/>
      </c>
      <c r="M46" s="89" t="n">
        <v>0</v>
      </c>
      <c r="N46" s="89" t="n">
        <v>0</v>
      </c>
      <c r="O46" s="89" t="n">
        <v>0</v>
      </c>
      <c r="P46" s="89" t="n">
        <v>0</v>
      </c>
      <c r="Q46" s="108">
        <f>M46+N46+O46+P46</f>
        <v/>
      </c>
      <c r="R46" s="89" t="n">
        <v>0</v>
      </c>
      <c r="S46" s="89" t="n">
        <v>0</v>
      </c>
      <c r="T46" s="89" t="n"/>
      <c r="U46" s="89" t="n"/>
      <c r="V46" s="108">
        <f>R46+S46+T46+U46</f>
        <v/>
      </c>
    </row>
    <row r="47" ht="15.75" customHeight="1">
      <c r="A47" s="91" t="inlineStr">
        <is>
          <t>SACOLA P NATAL</t>
        </is>
      </c>
      <c r="B47" s="89" t="n">
        <v>325</v>
      </c>
      <c r="C47" s="89" t="n">
        <v>170</v>
      </c>
      <c r="D47" s="89" t="n">
        <v>200</v>
      </c>
      <c r="E47" s="89" t="n">
        <v>105</v>
      </c>
      <c r="F47" s="108">
        <f>B47+C47+D47+E47</f>
        <v/>
      </c>
      <c r="G47" s="89" t="n">
        <v>0</v>
      </c>
      <c r="H47" s="89" t="n">
        <v>0</v>
      </c>
      <c r="I47" s="89" t="n">
        <v>0</v>
      </c>
      <c r="J47" s="89" t="n">
        <v>0</v>
      </c>
      <c r="K47" s="89" t="n">
        <v>0</v>
      </c>
      <c r="L47" s="108">
        <f>G47+H47+I47+J47+K47</f>
        <v/>
      </c>
      <c r="M47" s="89" t="n">
        <v>0</v>
      </c>
      <c r="N47" s="89" t="n">
        <v>0</v>
      </c>
      <c r="O47" s="89" t="n">
        <v>0</v>
      </c>
      <c r="P47" s="89" t="n">
        <v>0</v>
      </c>
      <c r="Q47" s="108">
        <f>M47+N47+O47+P47</f>
        <v/>
      </c>
      <c r="R47" s="89" t="n">
        <v>0</v>
      </c>
      <c r="S47" s="89" t="n">
        <v>0</v>
      </c>
      <c r="T47" s="89" t="n"/>
      <c r="U47" s="89" t="n"/>
      <c r="V47" s="108">
        <f>R47+S47+T47+U47</f>
        <v/>
      </c>
    </row>
    <row r="48" ht="15.75" customHeight="1">
      <c r="A48" s="91" t="inlineStr">
        <is>
          <t>SACOLA M NATAL</t>
        </is>
      </c>
      <c r="B48" s="89" t="n">
        <v>155</v>
      </c>
      <c r="C48" s="89" t="n">
        <v>155</v>
      </c>
      <c r="D48" s="89" t="n">
        <v>230</v>
      </c>
      <c r="E48" s="89" t="n">
        <v>210</v>
      </c>
      <c r="F48" s="108">
        <f>B48+C48+D48+E48</f>
        <v/>
      </c>
      <c r="G48" s="89" t="n">
        <v>0</v>
      </c>
      <c r="H48" s="89" t="n">
        <v>0</v>
      </c>
      <c r="I48" s="89" t="n">
        <v>0</v>
      </c>
      <c r="J48" s="89" t="n">
        <v>0</v>
      </c>
      <c r="K48" s="89" t="n">
        <v>0</v>
      </c>
      <c r="L48" s="108">
        <f>G48+H48+I48+J48+K48</f>
        <v/>
      </c>
      <c r="M48" s="89" t="n">
        <v>0</v>
      </c>
      <c r="N48" s="89" t="n">
        <v>0</v>
      </c>
      <c r="O48" s="89" t="n">
        <v>0</v>
      </c>
      <c r="P48" s="89" t="n">
        <v>0</v>
      </c>
      <c r="Q48" s="108">
        <f>M48+N48+O48+P48</f>
        <v/>
      </c>
      <c r="R48" s="89" t="n">
        <v>0</v>
      </c>
      <c r="S48" s="89" t="n">
        <v>0</v>
      </c>
      <c r="T48" s="89" t="n"/>
      <c r="U48" s="89" t="n"/>
      <c r="V48" s="108">
        <f>R48+S48+T48+U48</f>
        <v/>
      </c>
    </row>
    <row r="49" ht="15.75" customHeight="1">
      <c r="A49" s="91" t="inlineStr">
        <is>
          <t>SACOLA G NATAL</t>
        </is>
      </c>
      <c r="B49" s="89" t="n">
        <v>100</v>
      </c>
      <c r="C49" s="89" t="n">
        <v>25</v>
      </c>
      <c r="D49" s="89" t="n">
        <v>45</v>
      </c>
      <c r="E49" s="89" t="n">
        <v>183</v>
      </c>
      <c r="F49" s="108">
        <f>B49+C49+D49+E49</f>
        <v/>
      </c>
      <c r="G49" s="89" t="n">
        <v>0</v>
      </c>
      <c r="H49" s="89" t="n">
        <v>0</v>
      </c>
      <c r="I49" s="89" t="n">
        <v>0</v>
      </c>
      <c r="J49" s="89" t="n">
        <v>0</v>
      </c>
      <c r="K49" s="89" t="n">
        <v>0</v>
      </c>
      <c r="L49" s="108">
        <f>G49+H49+I49+J49+K49</f>
        <v/>
      </c>
      <c r="M49" s="89" t="n">
        <v>0</v>
      </c>
      <c r="N49" s="89" t="n">
        <v>0</v>
      </c>
      <c r="O49" s="89" t="n">
        <v>0</v>
      </c>
      <c r="P49" s="89" t="n">
        <v>0</v>
      </c>
      <c r="Q49" s="108">
        <f>M49+N49+O49+P49</f>
        <v/>
      </c>
      <c r="R49" s="89" t="n">
        <v>0</v>
      </c>
      <c r="S49" s="89" t="n">
        <v>0</v>
      </c>
      <c r="T49" s="89" t="n"/>
      <c r="U49" s="89" t="n"/>
      <c r="V49" s="108">
        <f>R49+S49+T49+U49</f>
        <v/>
      </c>
    </row>
    <row r="50" ht="18" customHeight="1">
      <c r="A50" s="92" t="inlineStr">
        <is>
          <t>AMARRADINHO P NATAL</t>
        </is>
      </c>
      <c r="B50" s="89" t="n">
        <v>0</v>
      </c>
      <c r="C50" s="89" t="n">
        <v>89</v>
      </c>
      <c r="D50" s="89" t="n">
        <v>11</v>
      </c>
      <c r="E50" s="89" t="n">
        <v>0</v>
      </c>
      <c r="F50" s="108">
        <f>B50+C50+D50+E50</f>
        <v/>
      </c>
      <c r="G50" s="89" t="n">
        <v>0</v>
      </c>
      <c r="H50" s="89" t="n">
        <v>0</v>
      </c>
      <c r="I50" s="89" t="n">
        <v>0</v>
      </c>
      <c r="J50" s="89" t="n">
        <v>0</v>
      </c>
      <c r="K50" s="89" t="n">
        <v>0</v>
      </c>
      <c r="L50" s="108">
        <f>G50+H50+I50+J50+K50</f>
        <v/>
      </c>
      <c r="M50" s="89" t="n">
        <v>0</v>
      </c>
      <c r="N50" s="89" t="n">
        <v>0</v>
      </c>
      <c r="O50" s="89" t="n">
        <v>0</v>
      </c>
      <c r="P50" s="89" t="n">
        <v>0</v>
      </c>
      <c r="Q50" s="108">
        <f>M50+N50+O50+P50</f>
        <v/>
      </c>
      <c r="R50" s="89" t="n">
        <v>0</v>
      </c>
      <c r="S50" s="89" t="n">
        <v>0</v>
      </c>
      <c r="T50" s="89" t="n"/>
      <c r="U50" s="89" t="n"/>
      <c r="V50" s="108">
        <f>R50+S50+T50+U50</f>
        <v/>
      </c>
    </row>
    <row r="51" ht="18" customHeight="1">
      <c r="A51" s="93" t="inlineStr">
        <is>
          <t>AMARRADINHO M NATAL</t>
        </is>
      </c>
      <c r="B51" s="89" t="n">
        <v>0</v>
      </c>
      <c r="C51" s="89" t="n">
        <v>30</v>
      </c>
      <c r="D51" s="89" t="n">
        <v>9</v>
      </c>
      <c r="E51" s="89" t="n">
        <v>17</v>
      </c>
      <c r="F51" s="108">
        <f>B51+C51+D51+E51</f>
        <v/>
      </c>
      <c r="G51" s="89" t="n">
        <v>0</v>
      </c>
      <c r="H51" s="89" t="n">
        <v>0</v>
      </c>
      <c r="I51" s="89" t="n">
        <v>0</v>
      </c>
      <c r="J51" s="89" t="n">
        <v>0</v>
      </c>
      <c r="K51" s="89" t="n">
        <v>0</v>
      </c>
      <c r="L51" s="108">
        <f>G51+H51+I51+J51+K51</f>
        <v/>
      </c>
      <c r="M51" s="89" t="n">
        <v>0</v>
      </c>
      <c r="N51" s="89" t="n">
        <v>0</v>
      </c>
      <c r="O51" s="89" t="n">
        <v>0</v>
      </c>
      <c r="P51" s="89" t="n">
        <v>0</v>
      </c>
      <c r="Q51" s="108">
        <f>M51+N51+O51+P51</f>
        <v/>
      </c>
      <c r="R51" s="89" t="n">
        <v>0</v>
      </c>
      <c r="S51" s="89" t="n">
        <v>0</v>
      </c>
      <c r="T51" s="89" t="n"/>
      <c r="U51" s="89" t="n"/>
      <c r="V51" s="108">
        <f>R51+S51+T51+U51</f>
        <v/>
      </c>
    </row>
    <row r="52" ht="15.75" customHeight="1">
      <c r="A52" s="93" t="inlineStr">
        <is>
          <t>PAPEL DE SEDA NATAL</t>
        </is>
      </c>
      <c r="B52" s="89" t="n">
        <v>2</v>
      </c>
      <c r="C52" s="89" t="n">
        <v>1</v>
      </c>
      <c r="D52" s="89" t="n">
        <v>2</v>
      </c>
      <c r="E52" s="89" t="n">
        <v>5</v>
      </c>
      <c r="F52" s="108">
        <f>B52+C52+D52+E52</f>
        <v/>
      </c>
      <c r="G52" s="89" t="n">
        <v>0</v>
      </c>
      <c r="H52" s="89" t="n">
        <v>0</v>
      </c>
      <c r="I52" s="89" t="n">
        <v>0</v>
      </c>
      <c r="J52" s="89" t="n">
        <v>0</v>
      </c>
      <c r="K52" s="89" t="n">
        <v>0</v>
      </c>
      <c r="L52" s="108">
        <f>G52+H52+I52+J52+K52</f>
        <v/>
      </c>
      <c r="M52" s="89" t="n">
        <v>0</v>
      </c>
      <c r="N52" s="89" t="n">
        <v>0</v>
      </c>
      <c r="O52" s="89" t="n">
        <v>0</v>
      </c>
      <c r="P52" s="89" t="n">
        <v>0</v>
      </c>
      <c r="Q52" s="108">
        <f>M52+N52+O52+P52</f>
        <v/>
      </c>
      <c r="R52" s="89" t="n">
        <v>0</v>
      </c>
      <c r="S52" s="89" t="n">
        <v>0</v>
      </c>
      <c r="T52" s="89" t="n"/>
      <c r="U52" s="89" t="n"/>
      <c r="V52" s="108">
        <f>R52+S52+T52+U52</f>
        <v/>
      </c>
    </row>
    <row r="53" ht="15.75" customHeight="1">
      <c r="A53" s="93" t="inlineStr">
        <is>
          <t>TAG NATAL</t>
        </is>
      </c>
      <c r="B53" s="89" t="n">
        <v>1</v>
      </c>
      <c r="C53" s="89" t="n">
        <v>0</v>
      </c>
      <c r="D53" s="89" t="n">
        <v>3</v>
      </c>
      <c r="E53" s="89" t="n">
        <v>3</v>
      </c>
      <c r="F53" s="108">
        <f>B53+C53+D53+E53</f>
        <v/>
      </c>
      <c r="G53" s="89" t="n">
        <v>0</v>
      </c>
      <c r="H53" s="89" t="n">
        <v>0</v>
      </c>
      <c r="I53" s="89" t="n">
        <v>0</v>
      </c>
      <c r="J53" s="89" t="n">
        <v>0</v>
      </c>
      <c r="K53" s="89" t="n">
        <v>0</v>
      </c>
      <c r="L53" s="108">
        <f>G53+H53+I53+J53+K53</f>
        <v/>
      </c>
      <c r="M53" s="89" t="n">
        <v>0</v>
      </c>
      <c r="N53" s="89" t="n">
        <v>0</v>
      </c>
      <c r="O53" s="89" t="n">
        <v>0</v>
      </c>
      <c r="P53" s="89" t="n">
        <v>0</v>
      </c>
      <c r="Q53" s="108">
        <f>M53+N53+O53+P53</f>
        <v/>
      </c>
      <c r="R53" s="89" t="n">
        <v>0</v>
      </c>
      <c r="S53" s="89" t="n">
        <v>0</v>
      </c>
      <c r="T53" s="89" t="n"/>
      <c r="U53" s="89" t="n"/>
      <c r="V53" s="108">
        <f>R53+S53+T53+U53</f>
        <v/>
      </c>
    </row>
    <row r="54" ht="15.75" customHeight="1">
      <c r="A54" s="93" t="inlineStr">
        <is>
          <t>ADESIVOS NATAL</t>
        </is>
      </c>
      <c r="B54" s="89" t="n">
        <v>0</v>
      </c>
      <c r="C54" s="89" t="n">
        <v>39</v>
      </c>
      <c r="D54" s="89" t="n">
        <v>42</v>
      </c>
      <c r="E54" s="89" t="n">
        <v>39</v>
      </c>
      <c r="F54" s="108">
        <f>B54+C54+D54+E54</f>
        <v/>
      </c>
      <c r="G54" s="89" t="n">
        <v>0</v>
      </c>
      <c r="H54" s="89" t="n">
        <v>0</v>
      </c>
      <c r="I54" s="89" t="n">
        <v>0</v>
      </c>
      <c r="J54" s="89" t="n">
        <v>0</v>
      </c>
      <c r="K54" s="89" t="n">
        <v>0</v>
      </c>
      <c r="L54" s="108">
        <f>G54+H54+I54+J54+K54</f>
        <v/>
      </c>
      <c r="M54" s="89" t="n">
        <v>0</v>
      </c>
      <c r="N54" s="89" t="n">
        <v>0</v>
      </c>
      <c r="O54" s="89" t="n">
        <v>0</v>
      </c>
      <c r="P54" s="89" t="n">
        <v>0</v>
      </c>
      <c r="Q54" s="108">
        <f>M54+N54+O54+P54</f>
        <v/>
      </c>
      <c r="R54" s="89" t="n">
        <v>0</v>
      </c>
      <c r="S54" s="89" t="n">
        <v>0</v>
      </c>
      <c r="T54" s="89" t="n"/>
      <c r="U54" s="89" t="n"/>
      <c r="V54" s="108">
        <f>R54+S54+T54+U54</f>
        <v/>
      </c>
    </row>
    <row r="55" ht="15.75" customHeight="1">
      <c r="A55" s="109" t="inlineStr">
        <is>
          <t>TOTAL DE SACOLAS</t>
        </is>
      </c>
      <c r="B55" s="110">
        <f>SUM(B46:B49)</f>
        <v/>
      </c>
      <c r="C55" s="110">
        <f>SUM(C46:C49)</f>
        <v/>
      </c>
      <c r="D55" s="110">
        <f>SUM(D46:D49)</f>
        <v/>
      </c>
      <c r="E55" s="110">
        <f>SUM(E46:E49)</f>
        <v/>
      </c>
      <c r="F55" s="110">
        <f>SUM(F46:F49)</f>
        <v/>
      </c>
      <c r="G55" s="110">
        <f>SUM(G46:G50)</f>
        <v/>
      </c>
      <c r="H55" s="110">
        <f>SUM(H46:H50)</f>
        <v/>
      </c>
      <c r="I55" s="110">
        <f>SUM(I46:I50)</f>
        <v/>
      </c>
      <c r="J55" s="110">
        <f>SUM(J46:J50)</f>
        <v/>
      </c>
      <c r="K55" s="110">
        <f>SUM(K46:K50)</f>
        <v/>
      </c>
      <c r="L55" s="110">
        <f>SUM(L46:L50)</f>
        <v/>
      </c>
      <c r="M55" s="110">
        <f>SUM(M46:M50)</f>
        <v/>
      </c>
      <c r="N55" s="110">
        <f>SUM(N46:N50)</f>
        <v/>
      </c>
      <c r="O55" s="110">
        <f>SUM(O46:O50)</f>
        <v/>
      </c>
      <c r="P55" s="110">
        <f>SUM(P46:P50)</f>
        <v/>
      </c>
      <c r="Q55" s="110">
        <f>SUM(Q46:Q50)</f>
        <v/>
      </c>
      <c r="R55" s="110">
        <f>SUM(R46:R50)</f>
        <v/>
      </c>
      <c r="S55" s="110">
        <f>SUM(S46:S50)</f>
        <v/>
      </c>
      <c r="T55" s="110">
        <f>SUM(T46:T50)</f>
        <v/>
      </c>
      <c r="U55" s="110">
        <f>SUM(U46:U50)</f>
        <v/>
      </c>
      <c r="V55" s="110">
        <f>SUM(V46:V50)</f>
        <v/>
      </c>
    </row>
    <row r="56" ht="15.75" customHeight="1">
      <c r="A56" s="103" t="n"/>
      <c r="B56" s="100" t="n"/>
      <c r="C56" s="100" t="n"/>
      <c r="D56" s="100" t="n"/>
      <c r="E56" s="100" t="n"/>
      <c r="F56" s="100" t="n"/>
      <c r="G56" s="100" t="n"/>
      <c r="H56" s="100" t="n"/>
      <c r="I56" s="100" t="n"/>
      <c r="J56" s="100" t="n"/>
      <c r="K56" s="100" t="n"/>
      <c r="L56" s="100" t="n"/>
      <c r="M56" s="100" t="n"/>
      <c r="N56" s="100" t="n"/>
      <c r="O56" s="100" t="n"/>
      <c r="P56" s="100" t="n"/>
      <c r="Q56" s="100" t="n"/>
      <c r="R56" s="100" t="n"/>
      <c r="S56" s="100" t="n"/>
      <c r="T56" s="100" t="n"/>
      <c r="U56" s="100" t="n"/>
      <c r="V56" s="100" t="n"/>
    </row>
    <row r="57" ht="15.75" customHeight="1">
      <c r="A57" s="482" t="inlineStr">
        <is>
          <t>GASTO DE SACOLAS E ITENS DOADOS NATAL/2022 - MENSAIS</t>
        </is>
      </c>
    </row>
    <row r="58" ht="15.75" customHeight="1">
      <c r="A58" s="665" t="inlineStr">
        <is>
          <t>JAÚ SHOPPING</t>
        </is>
      </c>
      <c r="B58" s="665" t="inlineStr">
        <is>
          <t>DEZEMBRO</t>
        </is>
      </c>
      <c r="C58" s="666" t="n"/>
      <c r="D58" s="666" t="n"/>
      <c r="E58" s="666" t="n"/>
      <c r="F58" s="667" t="n"/>
      <c r="G58" s="665" t="inlineStr">
        <is>
          <t>JANEIRO</t>
        </is>
      </c>
      <c r="H58" s="666" t="n"/>
      <c r="I58" s="666" t="n"/>
      <c r="J58" s="666" t="n"/>
      <c r="K58" s="666" t="n"/>
      <c r="L58" s="667" t="n"/>
      <c r="M58" s="665" t="inlineStr">
        <is>
          <t>FEVEREIRO</t>
        </is>
      </c>
      <c r="N58" s="666" t="n"/>
      <c r="O58" s="666" t="n"/>
      <c r="P58" s="666" t="n"/>
      <c r="Q58" s="667" t="n"/>
      <c r="R58" s="665" t="inlineStr">
        <is>
          <t>MARÇO</t>
        </is>
      </c>
      <c r="S58" s="666" t="n"/>
      <c r="T58" s="666" t="n"/>
      <c r="U58" s="666" t="n"/>
      <c r="V58" s="667" t="n"/>
    </row>
    <row r="59" ht="15.75" customHeight="1">
      <c r="A59" s="668" t="n"/>
      <c r="B59" s="98" t="n">
        <v>44900</v>
      </c>
      <c r="C59" s="98" t="n">
        <v>44907</v>
      </c>
      <c r="D59" s="98" t="n">
        <v>44914</v>
      </c>
      <c r="E59" s="98" t="n">
        <v>44921</v>
      </c>
      <c r="F59" s="99" t="inlineStr">
        <is>
          <t>USOU</t>
        </is>
      </c>
      <c r="G59" s="98" t="n">
        <v>44563</v>
      </c>
      <c r="H59" s="98" t="n">
        <v>44570</v>
      </c>
      <c r="I59" s="98" t="n">
        <v>44577</v>
      </c>
      <c r="J59" s="98" t="n">
        <v>44584</v>
      </c>
      <c r="K59" s="98" t="n">
        <v>44591</v>
      </c>
      <c r="L59" s="99" t="inlineStr">
        <is>
          <t>USOU</t>
        </is>
      </c>
      <c r="M59" s="98" t="n">
        <v>44598</v>
      </c>
      <c r="N59" s="98" t="n">
        <v>44605</v>
      </c>
      <c r="O59" s="98" t="n">
        <v>44612</v>
      </c>
      <c r="P59" s="98" t="n">
        <v>44619</v>
      </c>
      <c r="Q59" s="99" t="inlineStr">
        <is>
          <t>USOU</t>
        </is>
      </c>
      <c r="R59" s="98" t="n">
        <v>44626</v>
      </c>
      <c r="S59" s="98" t="n">
        <v>44633</v>
      </c>
      <c r="T59" s="98" t="n">
        <v>44640</v>
      </c>
      <c r="U59" s="98" t="n">
        <v>44647</v>
      </c>
      <c r="V59" s="99" t="inlineStr">
        <is>
          <t>USOU</t>
        </is>
      </c>
    </row>
    <row r="60" ht="15.75" customHeight="1">
      <c r="A60" s="88" t="inlineStr">
        <is>
          <t>SACOLA PP NATAL</t>
        </is>
      </c>
      <c r="B60" s="107" t="n">
        <v>150</v>
      </c>
      <c r="C60" s="89" t="n">
        <v>150</v>
      </c>
      <c r="D60" s="89" t="n">
        <v>300</v>
      </c>
      <c r="E60" s="89" t="n">
        <v>350</v>
      </c>
      <c r="F60" s="108">
        <f>B60+C60+D60+E60</f>
        <v/>
      </c>
      <c r="G60" s="89" t="n">
        <v>0</v>
      </c>
      <c r="H60" s="89" t="n">
        <v>0</v>
      </c>
      <c r="I60" s="89" t="n">
        <v>0</v>
      </c>
      <c r="J60" s="89" t="n">
        <v>0</v>
      </c>
      <c r="K60" s="89" t="n">
        <v>0</v>
      </c>
      <c r="L60" s="108">
        <f>G60+H60+I60+J60+K60</f>
        <v/>
      </c>
      <c r="M60" s="89" t="n">
        <v>0</v>
      </c>
      <c r="N60" s="89" t="n">
        <v>0</v>
      </c>
      <c r="O60" s="89" t="n">
        <v>0</v>
      </c>
      <c r="P60" s="89" t="n">
        <v>0</v>
      </c>
      <c r="Q60" s="108">
        <f>M60+N60+O60+P60</f>
        <v/>
      </c>
      <c r="R60" s="89" t="n">
        <v>0</v>
      </c>
      <c r="S60" s="89" t="n">
        <v>0</v>
      </c>
      <c r="T60" s="89" t="n"/>
      <c r="U60" s="89" t="n"/>
      <c r="V60" s="108">
        <f>R60+S60+T60+U60</f>
        <v/>
      </c>
    </row>
    <row r="61" ht="15.75" customHeight="1">
      <c r="A61" s="91" t="inlineStr">
        <is>
          <t>SACOLA P NATAL</t>
        </is>
      </c>
      <c r="B61" s="89" t="n">
        <v>353</v>
      </c>
      <c r="C61" s="89" t="n">
        <v>314</v>
      </c>
      <c r="D61" s="89" t="n">
        <v>533</v>
      </c>
      <c r="E61" s="89" t="n">
        <v>0</v>
      </c>
      <c r="F61" s="108">
        <f>B61+C61+D61+E61</f>
        <v/>
      </c>
      <c r="G61" s="89" t="n">
        <v>0</v>
      </c>
      <c r="H61" s="89" t="n">
        <v>0</v>
      </c>
      <c r="I61" s="89" t="n">
        <v>0</v>
      </c>
      <c r="J61" s="89" t="n">
        <v>0</v>
      </c>
      <c r="K61" s="89" t="n">
        <v>0</v>
      </c>
      <c r="L61" s="108">
        <f>G61+H61+I61+J61+K61</f>
        <v/>
      </c>
      <c r="M61" s="89" t="n">
        <v>0</v>
      </c>
      <c r="N61" s="89" t="n">
        <v>0</v>
      </c>
      <c r="O61" s="89" t="n">
        <v>0</v>
      </c>
      <c r="P61" s="89" t="n">
        <v>0</v>
      </c>
      <c r="Q61" s="108">
        <f>M61+N61+O61+P61</f>
        <v/>
      </c>
      <c r="R61" s="89" t="n">
        <v>0</v>
      </c>
      <c r="S61" s="89" t="n">
        <v>0</v>
      </c>
      <c r="T61" s="89" t="n"/>
      <c r="U61" s="89" t="n"/>
      <c r="V61" s="108">
        <f>R61+S61+T61+U61</f>
        <v/>
      </c>
    </row>
    <row r="62" ht="15.75" customHeight="1">
      <c r="A62" s="91" t="inlineStr">
        <is>
          <t>SACOLA M NATAL</t>
        </is>
      </c>
      <c r="B62" s="89" t="n">
        <v>151</v>
      </c>
      <c r="C62" s="89" t="n">
        <v>232</v>
      </c>
      <c r="D62" s="89" t="n">
        <v>417</v>
      </c>
      <c r="E62" s="89" t="n">
        <v>330</v>
      </c>
      <c r="F62" s="108">
        <f>B62+C62+D62+E62</f>
        <v/>
      </c>
      <c r="G62" s="89" t="n">
        <v>0</v>
      </c>
      <c r="H62" s="89" t="n">
        <v>0</v>
      </c>
      <c r="I62" s="89" t="n">
        <v>0</v>
      </c>
      <c r="J62" s="89" t="n">
        <v>0</v>
      </c>
      <c r="K62" s="89" t="n">
        <v>0</v>
      </c>
      <c r="L62" s="108">
        <f>G62+H62+I62+J62+K62</f>
        <v/>
      </c>
      <c r="M62" s="89" t="n">
        <v>0</v>
      </c>
      <c r="N62" s="89" t="n">
        <v>0</v>
      </c>
      <c r="O62" s="89" t="n">
        <v>0</v>
      </c>
      <c r="P62" s="89" t="n">
        <v>0</v>
      </c>
      <c r="Q62" s="108">
        <f>M62+N62+O62+P62</f>
        <v/>
      </c>
      <c r="R62" s="89" t="n">
        <v>0</v>
      </c>
      <c r="S62" s="89" t="n">
        <v>0</v>
      </c>
      <c r="T62" s="89" t="n"/>
      <c r="U62" s="89" t="n"/>
      <c r="V62" s="108">
        <f>R62+S62+T62+U62</f>
        <v/>
      </c>
    </row>
    <row r="63" ht="15.75" customHeight="1">
      <c r="A63" s="91" t="inlineStr">
        <is>
          <t>SACOLA G NATAL</t>
        </is>
      </c>
      <c r="B63" s="89" t="n">
        <v>20</v>
      </c>
      <c r="C63" s="89" t="n">
        <v>29</v>
      </c>
      <c r="D63" s="89" t="n">
        <v>75</v>
      </c>
      <c r="E63" s="89" t="n">
        <v>106</v>
      </c>
      <c r="F63" s="108">
        <f>B63+C63+D63+E63</f>
        <v/>
      </c>
      <c r="G63" s="89" t="n">
        <v>0</v>
      </c>
      <c r="H63" s="89" t="n">
        <v>18</v>
      </c>
      <c r="I63" s="89" t="n">
        <v>8</v>
      </c>
      <c r="J63" s="89" t="n">
        <v>8</v>
      </c>
      <c r="K63" s="89" t="n">
        <v>15</v>
      </c>
      <c r="L63" s="108">
        <f>G63+H63+I63+J63+K63</f>
        <v/>
      </c>
      <c r="M63" s="89" t="n">
        <v>2</v>
      </c>
      <c r="N63" s="89" t="n">
        <v>0</v>
      </c>
      <c r="O63" s="89" t="n">
        <v>6</v>
      </c>
      <c r="P63" s="89" t="n">
        <v>13</v>
      </c>
      <c r="Q63" s="108">
        <f>M63+N63+O63+P63</f>
        <v/>
      </c>
      <c r="R63" s="89" t="n">
        <v>0</v>
      </c>
      <c r="S63" s="89" t="n">
        <v>0</v>
      </c>
      <c r="T63" s="89" t="n"/>
      <c r="U63" s="89" t="n"/>
      <c r="V63" s="108">
        <f>R63+S63+T63+U63</f>
        <v/>
      </c>
    </row>
    <row r="64" ht="15.75" customHeight="1">
      <c r="A64" s="92" t="inlineStr">
        <is>
          <t>AMARRADINHO P NATAL</t>
        </is>
      </c>
      <c r="B64" s="89" t="n">
        <v>2</v>
      </c>
      <c r="C64" s="89" t="n">
        <v>7</v>
      </c>
      <c r="D64" s="89" t="n">
        <v>169</v>
      </c>
      <c r="E64" s="89" t="n">
        <v>22</v>
      </c>
      <c r="F64" s="108">
        <f>B64+C64+D64+E64</f>
        <v/>
      </c>
      <c r="G64" s="89" t="n">
        <v>0</v>
      </c>
      <c r="H64" s="89" t="n">
        <v>0</v>
      </c>
      <c r="I64" s="89" t="n">
        <v>0</v>
      </c>
      <c r="J64" s="89" t="n">
        <v>0</v>
      </c>
      <c r="K64" s="89" t="n">
        <v>0</v>
      </c>
      <c r="L64" s="108">
        <f>G64+H64+I64+J64+K64</f>
        <v/>
      </c>
      <c r="M64" s="89" t="n">
        <v>0</v>
      </c>
      <c r="N64" s="89" t="n">
        <v>0</v>
      </c>
      <c r="O64" s="89" t="n">
        <v>0</v>
      </c>
      <c r="P64" s="89" t="n">
        <v>0</v>
      </c>
      <c r="Q64" s="108">
        <f>M64+N64+O64+P64</f>
        <v/>
      </c>
      <c r="R64" s="89" t="n">
        <v>0</v>
      </c>
      <c r="S64" s="89" t="n">
        <v>0</v>
      </c>
      <c r="T64" s="89" t="n"/>
      <c r="U64" s="89" t="n"/>
      <c r="V64" s="108">
        <f>R64+S64+T64+U64</f>
        <v/>
      </c>
    </row>
    <row r="65" ht="15.75" customHeight="1">
      <c r="A65" s="93" t="inlineStr">
        <is>
          <t>AMARRADINHO M NATAL</t>
        </is>
      </c>
      <c r="B65" s="89" t="n">
        <v>6</v>
      </c>
      <c r="C65" s="89" t="n">
        <v>27</v>
      </c>
      <c r="D65" s="89" t="n">
        <v>68</v>
      </c>
      <c r="E65" s="89" t="n">
        <v>68</v>
      </c>
      <c r="F65" s="108">
        <f>B65+C65+D65+E65</f>
        <v/>
      </c>
      <c r="G65" s="89" t="n">
        <v>0</v>
      </c>
      <c r="H65" s="89" t="n">
        <v>0</v>
      </c>
      <c r="I65" s="89" t="n">
        <v>0</v>
      </c>
      <c r="J65" s="89" t="n">
        <v>0</v>
      </c>
      <c r="K65" s="89" t="n">
        <v>0</v>
      </c>
      <c r="L65" s="108">
        <f>G65+H65+I65+J65+K65</f>
        <v/>
      </c>
      <c r="M65" s="89" t="n">
        <v>0</v>
      </c>
      <c r="N65" s="89" t="n">
        <v>0</v>
      </c>
      <c r="O65" s="89" t="n">
        <v>0</v>
      </c>
      <c r="P65" s="89" t="n">
        <v>0</v>
      </c>
      <c r="Q65" s="108">
        <f>M65+N65+O65+P65</f>
        <v/>
      </c>
      <c r="R65" s="89" t="n">
        <v>0</v>
      </c>
      <c r="S65" s="89" t="n">
        <v>0</v>
      </c>
      <c r="T65" s="89" t="n"/>
      <c r="U65" s="89" t="n"/>
      <c r="V65" s="108">
        <f>R65+S65+T65+U65</f>
        <v/>
      </c>
    </row>
    <row r="66" ht="15.75" customHeight="1">
      <c r="A66" s="93" t="inlineStr">
        <is>
          <t>PAPEL DE SEDA NATAL</t>
        </is>
      </c>
      <c r="B66" s="89" t="n">
        <v>2</v>
      </c>
      <c r="C66" s="89" t="n">
        <v>5</v>
      </c>
      <c r="D66" s="89" t="n">
        <v>7</v>
      </c>
      <c r="E66" s="89" t="n">
        <v>1</v>
      </c>
      <c r="F66" s="108">
        <f>B66+C66+D66+E66</f>
        <v/>
      </c>
      <c r="G66" s="89" t="n">
        <v>0</v>
      </c>
      <c r="H66" s="89" t="n">
        <v>0</v>
      </c>
      <c r="I66" s="89" t="n">
        <v>0</v>
      </c>
      <c r="J66" s="89" t="n">
        <v>0</v>
      </c>
      <c r="K66" s="89" t="n">
        <v>0</v>
      </c>
      <c r="L66" s="108">
        <f>G66+H66+I66+J66+K66</f>
        <v/>
      </c>
      <c r="M66" s="89" t="n">
        <v>0</v>
      </c>
      <c r="N66" s="89" t="n">
        <v>0</v>
      </c>
      <c r="O66" s="89" t="n">
        <v>0</v>
      </c>
      <c r="P66" s="89" t="n">
        <v>0</v>
      </c>
      <c r="Q66" s="108">
        <f>M66+N66+O66+P66</f>
        <v/>
      </c>
      <c r="R66" s="89" t="n">
        <v>0</v>
      </c>
      <c r="S66" s="89" t="n">
        <v>0</v>
      </c>
      <c r="T66" s="89" t="n"/>
      <c r="U66" s="89" t="n"/>
      <c r="V66" s="108">
        <f>R66+S66+T66+U66</f>
        <v/>
      </c>
    </row>
    <row r="67" ht="18" customHeight="1">
      <c r="A67" s="93" t="inlineStr">
        <is>
          <t>TAG NATAL</t>
        </is>
      </c>
      <c r="B67" s="89" t="n">
        <v>1</v>
      </c>
      <c r="C67" s="89" t="n">
        <v>2</v>
      </c>
      <c r="D67" s="89" t="n">
        <v>2</v>
      </c>
      <c r="E67" s="89" t="n">
        <v>4</v>
      </c>
      <c r="F67" s="108">
        <f>B67+C67+D67+E67</f>
        <v/>
      </c>
      <c r="G67" s="89" t="n">
        <v>0</v>
      </c>
      <c r="H67" s="89" t="n">
        <v>0</v>
      </c>
      <c r="I67" s="89" t="n">
        <v>0</v>
      </c>
      <c r="J67" s="89" t="n">
        <v>0</v>
      </c>
      <c r="K67" s="89" t="n">
        <v>0</v>
      </c>
      <c r="L67" s="108">
        <f>G67+H67+I67+J67+K67</f>
        <v/>
      </c>
      <c r="M67" s="89" t="n">
        <v>0</v>
      </c>
      <c r="N67" s="89" t="n">
        <v>0</v>
      </c>
      <c r="O67" s="89" t="n">
        <v>0</v>
      </c>
      <c r="P67" s="89" t="n">
        <v>0</v>
      </c>
      <c r="Q67" s="108">
        <f>M67+N67+O67+P67</f>
        <v/>
      </c>
      <c r="R67" s="89" t="n">
        <v>0</v>
      </c>
      <c r="S67" s="89" t="n">
        <v>0</v>
      </c>
      <c r="T67" s="89" t="n"/>
      <c r="U67" s="89" t="n"/>
      <c r="V67" s="108">
        <f>R67+S67+T67+U67</f>
        <v/>
      </c>
    </row>
    <row r="68" ht="18" customHeight="1">
      <c r="A68" s="93" t="inlineStr">
        <is>
          <t>ADESIVOS NATAL</t>
        </is>
      </c>
      <c r="B68" s="89" t="n">
        <v>13</v>
      </c>
      <c r="C68" s="89" t="n">
        <v>2</v>
      </c>
      <c r="D68" s="89" t="n">
        <v>9</v>
      </c>
      <c r="E68" s="89" t="n">
        <v>106</v>
      </c>
      <c r="F68" s="108">
        <f>B68+C68+D68+E68</f>
        <v/>
      </c>
      <c r="G68" s="89" t="n">
        <v>0</v>
      </c>
      <c r="H68" s="89" t="n">
        <v>0</v>
      </c>
      <c r="I68" s="89" t="n">
        <v>0</v>
      </c>
      <c r="J68" s="89" t="n">
        <v>0</v>
      </c>
      <c r="K68" s="89" t="n">
        <v>0</v>
      </c>
      <c r="L68" s="108">
        <f>G68+H68+I68+J68+K68</f>
        <v/>
      </c>
      <c r="M68" s="89" t="n">
        <v>0</v>
      </c>
      <c r="N68" s="89" t="n">
        <v>0</v>
      </c>
      <c r="O68" s="89" t="n">
        <v>0</v>
      </c>
      <c r="P68" s="89" t="n">
        <v>0</v>
      </c>
      <c r="Q68" s="108">
        <f>M68+N68+O68+P68</f>
        <v/>
      </c>
      <c r="R68" s="89" t="n">
        <v>0</v>
      </c>
      <c r="S68" s="89" t="n">
        <v>0</v>
      </c>
      <c r="T68" s="89" t="n"/>
      <c r="U68" s="89" t="n"/>
      <c r="V68" s="108">
        <f>R68+S68+T68+U68</f>
        <v/>
      </c>
    </row>
    <row r="69" ht="15.75" customHeight="1">
      <c r="A69" s="109" t="inlineStr">
        <is>
          <t>TOTAL DE SACOLAS</t>
        </is>
      </c>
      <c r="B69" s="110">
        <f>SUM(B60:B63)</f>
        <v/>
      </c>
      <c r="C69" s="110">
        <f>SUM(C60:C63)</f>
        <v/>
      </c>
      <c r="D69" s="110">
        <f>SUM(D60:D63)</f>
        <v/>
      </c>
      <c r="E69" s="110">
        <f>SUM(E60:E63)</f>
        <v/>
      </c>
      <c r="F69" s="110">
        <f>SUM(F60:F63)</f>
        <v/>
      </c>
      <c r="G69" s="110">
        <f>SUM(G60:G64)</f>
        <v/>
      </c>
      <c r="H69" s="110">
        <f>SUM(H60:H64)</f>
        <v/>
      </c>
      <c r="I69" s="110">
        <f>SUM(I60:I64)</f>
        <v/>
      </c>
      <c r="J69" s="110">
        <f>SUM(J60:J64)</f>
        <v/>
      </c>
      <c r="K69" s="110">
        <f>SUM(K60:K64)</f>
        <v/>
      </c>
      <c r="L69" s="110">
        <f>SUM(L60:L64)</f>
        <v/>
      </c>
      <c r="M69" s="110">
        <f>SUM(M60:M64)</f>
        <v/>
      </c>
      <c r="N69" s="110">
        <f>SUM(N60:N64)</f>
        <v/>
      </c>
      <c r="O69" s="110">
        <f>SUM(O60:O64)</f>
        <v/>
      </c>
      <c r="P69" s="110">
        <f>SUM(P60:P64)</f>
        <v/>
      </c>
      <c r="Q69" s="110">
        <f>SUM(Q60:Q64)</f>
        <v/>
      </c>
      <c r="R69" s="110">
        <f>SUM(R60:R64)</f>
        <v/>
      </c>
      <c r="S69" s="110">
        <f>SUM(S60:S64)</f>
        <v/>
      </c>
      <c r="T69" s="110">
        <f>SUM(T60:T64)</f>
        <v/>
      </c>
      <c r="U69" s="110">
        <f>SUM(U60:U64)</f>
        <v/>
      </c>
      <c r="V69" s="110">
        <f>SUM(V60:V64)</f>
        <v/>
      </c>
    </row>
    <row r="70" ht="15.75" customHeight="1">
      <c r="A70" s="103" t="n"/>
      <c r="B70" s="100" t="n"/>
      <c r="C70" s="100" t="n"/>
      <c r="D70" s="100" t="n"/>
      <c r="E70" s="100" t="n"/>
      <c r="F70" s="100" t="n"/>
      <c r="G70" s="100" t="n"/>
      <c r="H70" s="100" t="n"/>
      <c r="I70" s="100" t="n"/>
      <c r="J70" s="100" t="n"/>
      <c r="K70" s="100" t="n"/>
      <c r="L70" s="100" t="n"/>
      <c r="M70" s="100" t="n"/>
      <c r="N70" s="100" t="n"/>
      <c r="O70" s="100" t="n"/>
      <c r="P70" s="100" t="n"/>
      <c r="Q70" s="100" t="n"/>
      <c r="R70" s="100" t="n"/>
      <c r="S70" s="100" t="n"/>
      <c r="T70" s="100" t="n"/>
      <c r="U70" s="100" t="n"/>
      <c r="V70" s="100" t="n"/>
    </row>
    <row r="71" ht="15.75" customHeight="1">
      <c r="A71" s="482" t="inlineStr">
        <is>
          <t>GASTO DE SACOLAS E ITENS DOADOS NATAL/2022 - MENSAIS</t>
        </is>
      </c>
    </row>
    <row r="72" ht="15.75" customHeight="1">
      <c r="A72" s="665" t="inlineStr">
        <is>
          <t>CONFIANÇA</t>
        </is>
      </c>
      <c r="B72" s="665" t="inlineStr">
        <is>
          <t>DEZEMBRO</t>
        </is>
      </c>
      <c r="C72" s="666" t="n"/>
      <c r="D72" s="666" t="n"/>
      <c r="E72" s="666" t="n"/>
      <c r="F72" s="667" t="n"/>
      <c r="G72" s="665" t="inlineStr">
        <is>
          <t>JANEIRO</t>
        </is>
      </c>
      <c r="H72" s="666" t="n"/>
      <c r="I72" s="666" t="n"/>
      <c r="J72" s="666" t="n"/>
      <c r="K72" s="666" t="n"/>
      <c r="L72" s="667" t="n"/>
      <c r="M72" s="665" t="inlineStr">
        <is>
          <t>FEVEREIRO</t>
        </is>
      </c>
      <c r="N72" s="666" t="n"/>
      <c r="O72" s="666" t="n"/>
      <c r="P72" s="666" t="n"/>
      <c r="Q72" s="667" t="n"/>
      <c r="R72" s="665" t="inlineStr">
        <is>
          <t>MARÇO</t>
        </is>
      </c>
      <c r="S72" s="666" t="n"/>
      <c r="T72" s="666" t="n"/>
      <c r="U72" s="666" t="n"/>
      <c r="V72" s="667" t="n"/>
    </row>
    <row r="73" ht="15.75" customHeight="1">
      <c r="A73" s="668" t="n"/>
      <c r="B73" s="98" t="n">
        <v>44900</v>
      </c>
      <c r="C73" s="98" t="n">
        <v>44907</v>
      </c>
      <c r="D73" s="98" t="n">
        <v>44914</v>
      </c>
      <c r="E73" s="98" t="n">
        <v>44921</v>
      </c>
      <c r="F73" s="99" t="inlineStr">
        <is>
          <t>USOU</t>
        </is>
      </c>
      <c r="G73" s="98" t="n">
        <v>44563</v>
      </c>
      <c r="H73" s="98" t="n">
        <v>44570</v>
      </c>
      <c r="I73" s="98" t="n">
        <v>44577</v>
      </c>
      <c r="J73" s="98" t="n">
        <v>44584</v>
      </c>
      <c r="K73" s="98" t="n">
        <v>44591</v>
      </c>
      <c r="L73" s="99" t="inlineStr">
        <is>
          <t>USOU</t>
        </is>
      </c>
      <c r="M73" s="98" t="n">
        <v>44598</v>
      </c>
      <c r="N73" s="98" t="n">
        <v>44605</v>
      </c>
      <c r="O73" s="98" t="n">
        <v>44612</v>
      </c>
      <c r="P73" s="98" t="n">
        <v>44619</v>
      </c>
      <c r="Q73" s="99" t="inlineStr">
        <is>
          <t>USOU</t>
        </is>
      </c>
      <c r="R73" s="98" t="n">
        <v>44626</v>
      </c>
      <c r="S73" s="98" t="n">
        <v>44633</v>
      </c>
      <c r="T73" s="98" t="n">
        <v>44640</v>
      </c>
      <c r="U73" s="98" t="n">
        <v>44647</v>
      </c>
      <c r="V73" s="99" t="inlineStr">
        <is>
          <t>USOU</t>
        </is>
      </c>
    </row>
    <row r="74" ht="15.75" customHeight="1">
      <c r="A74" s="88" t="inlineStr">
        <is>
          <t>SACOLA PP NATAL</t>
        </is>
      </c>
      <c r="B74" s="107" t="n">
        <v>25</v>
      </c>
      <c r="C74" s="89" t="n">
        <v>75</v>
      </c>
      <c r="D74" s="89" t="n">
        <v>25</v>
      </c>
      <c r="E74" s="89" t="n">
        <v>25</v>
      </c>
      <c r="F74" s="108">
        <f>B74+C74+D74+E74</f>
        <v/>
      </c>
      <c r="G74" s="89" t="n">
        <v>0</v>
      </c>
      <c r="H74" s="89" t="n">
        <v>0</v>
      </c>
      <c r="I74" s="89" t="n">
        <v>0</v>
      </c>
      <c r="J74" s="89" t="n">
        <v>0</v>
      </c>
      <c r="K74" s="89" t="n">
        <v>0</v>
      </c>
      <c r="L74" s="108">
        <f>G74+H74+I74+J74+K74</f>
        <v/>
      </c>
      <c r="M74" s="89" t="n">
        <v>0</v>
      </c>
      <c r="N74" s="89" t="n">
        <v>0</v>
      </c>
      <c r="O74" s="89" t="n">
        <v>0</v>
      </c>
      <c r="P74" s="89" t="n">
        <v>0</v>
      </c>
      <c r="Q74" s="108">
        <f>M74+N74+O74+P74</f>
        <v/>
      </c>
      <c r="R74" s="89" t="n">
        <v>0</v>
      </c>
      <c r="S74" s="89" t="n">
        <v>0</v>
      </c>
      <c r="T74" s="89" t="n"/>
      <c r="U74" s="89" t="n"/>
      <c r="V74" s="108">
        <f>R74+S74+T74+U74</f>
        <v/>
      </c>
    </row>
    <row r="75" ht="15.75" customHeight="1">
      <c r="A75" s="91" t="inlineStr">
        <is>
          <t>SACOLA P NATAL</t>
        </is>
      </c>
      <c r="B75" s="89" t="n">
        <v>40</v>
      </c>
      <c r="C75" s="89" t="n">
        <v>60</v>
      </c>
      <c r="D75" s="89" t="n">
        <v>100</v>
      </c>
      <c r="E75" s="89" t="n">
        <v>0</v>
      </c>
      <c r="F75" s="108">
        <f>B75+C75+D75+E75</f>
        <v/>
      </c>
      <c r="G75" s="89" t="n">
        <v>0</v>
      </c>
      <c r="H75" s="89" t="n">
        <v>0</v>
      </c>
      <c r="I75" s="89" t="n">
        <v>0</v>
      </c>
      <c r="J75" s="89" t="n">
        <v>0</v>
      </c>
      <c r="K75" s="89" t="n">
        <v>0</v>
      </c>
      <c r="L75" s="108">
        <f>G75+H75+I75+J75+K75</f>
        <v/>
      </c>
      <c r="M75" s="89" t="n">
        <v>0</v>
      </c>
      <c r="N75" s="89" t="n">
        <v>0</v>
      </c>
      <c r="O75" s="89" t="n">
        <v>0</v>
      </c>
      <c r="P75" s="89" t="n">
        <v>0</v>
      </c>
      <c r="Q75" s="108">
        <f>M75+N75+O75+P75</f>
        <v/>
      </c>
      <c r="R75" s="89" t="n">
        <v>0</v>
      </c>
      <c r="S75" s="89" t="n">
        <v>0</v>
      </c>
      <c r="T75" s="89" t="n"/>
      <c r="U75" s="89" t="n"/>
      <c r="V75" s="108">
        <f>R75+S75+T75+U75</f>
        <v/>
      </c>
    </row>
    <row r="76" ht="15.75" customHeight="1">
      <c r="A76" s="91" t="inlineStr">
        <is>
          <t>SACOLA M NATAL</t>
        </is>
      </c>
      <c r="B76" s="89" t="n">
        <v>40</v>
      </c>
      <c r="C76" s="89" t="n">
        <v>40</v>
      </c>
      <c r="D76" s="89" t="n">
        <v>60</v>
      </c>
      <c r="E76" s="89" t="n">
        <v>60</v>
      </c>
      <c r="F76" s="108">
        <f>B76+C76+D76+E76</f>
        <v/>
      </c>
      <c r="G76" s="89" t="n">
        <v>0</v>
      </c>
      <c r="H76" s="89" t="n">
        <v>0</v>
      </c>
      <c r="I76" s="89" t="n">
        <v>0</v>
      </c>
      <c r="J76" s="89" t="n">
        <v>0</v>
      </c>
      <c r="K76" s="89" t="n">
        <v>0</v>
      </c>
      <c r="L76" s="108">
        <f>G76+H76+I76+J76+K76</f>
        <v/>
      </c>
      <c r="M76" s="89" t="n">
        <v>0</v>
      </c>
      <c r="N76" s="89" t="n">
        <v>0</v>
      </c>
      <c r="O76" s="89" t="n">
        <v>0</v>
      </c>
      <c r="P76" s="89" t="n">
        <v>0</v>
      </c>
      <c r="Q76" s="108">
        <f>M76+N76+O76+P76</f>
        <v/>
      </c>
      <c r="R76" s="89" t="n">
        <v>0</v>
      </c>
      <c r="S76" s="89" t="n">
        <v>0</v>
      </c>
      <c r="T76" s="89" t="n"/>
      <c r="U76" s="89" t="n"/>
      <c r="V76" s="108">
        <f>R76+S76+T76+U76</f>
        <v/>
      </c>
    </row>
    <row r="77" ht="15.75" customHeight="1">
      <c r="A77" s="91" t="inlineStr">
        <is>
          <t>SACOLA G NATAL</t>
        </is>
      </c>
      <c r="B77" s="89" t="n">
        <v>26</v>
      </c>
      <c r="C77" s="89" t="n">
        <v>0</v>
      </c>
      <c r="D77" s="89" t="n">
        <v>0</v>
      </c>
      <c r="E77" s="89" t="n">
        <v>0</v>
      </c>
      <c r="F77" s="108">
        <f>B77+C77+D77+E77</f>
        <v/>
      </c>
      <c r="G77" s="89" t="n">
        <v>0</v>
      </c>
      <c r="H77" s="89" t="n">
        <v>11</v>
      </c>
      <c r="I77" s="89" t="n">
        <v>3</v>
      </c>
      <c r="J77" s="89" t="n">
        <v>3</v>
      </c>
      <c r="K77" s="89" t="n">
        <v>3</v>
      </c>
      <c r="L77" s="108">
        <f>G77+H77+I77+J77+K77</f>
        <v/>
      </c>
      <c r="M77" s="89" t="n">
        <v>0</v>
      </c>
      <c r="N77" s="89" t="n">
        <v>0</v>
      </c>
      <c r="O77" s="89" t="n">
        <v>0</v>
      </c>
      <c r="P77" s="89" t="n">
        <v>0</v>
      </c>
      <c r="Q77" s="108">
        <f>M77+N77+O77+P77</f>
        <v/>
      </c>
      <c r="R77" s="89" t="n">
        <v>0</v>
      </c>
      <c r="S77" s="89" t="n">
        <v>0</v>
      </c>
      <c r="T77" s="89" t="n"/>
      <c r="U77" s="89" t="n"/>
      <c r="V77" s="108">
        <f>R77+S77+T77+U77</f>
        <v/>
      </c>
    </row>
    <row r="78" ht="15.75" customHeight="1">
      <c r="A78" s="92" t="inlineStr">
        <is>
          <t>AMARRADINHO P NATAL</t>
        </is>
      </c>
      <c r="B78" s="89" t="n">
        <v>0</v>
      </c>
      <c r="C78" s="89" t="n">
        <v>0</v>
      </c>
      <c r="D78" s="89" t="n">
        <v>0</v>
      </c>
      <c r="E78" s="89" t="n">
        <v>0</v>
      </c>
      <c r="F78" s="108">
        <f>B78+C78+D78+E78</f>
        <v/>
      </c>
      <c r="G78" s="89" t="n">
        <v>0</v>
      </c>
      <c r="H78" s="89" t="n">
        <v>0</v>
      </c>
      <c r="I78" s="89" t="n">
        <v>0</v>
      </c>
      <c r="J78" s="89" t="n">
        <v>0</v>
      </c>
      <c r="K78" s="89" t="n">
        <v>0</v>
      </c>
      <c r="L78" s="108">
        <f>G78+H78+I78+J78+K78</f>
        <v/>
      </c>
      <c r="M78" s="89" t="n">
        <v>0</v>
      </c>
      <c r="N78" s="89" t="n">
        <v>0</v>
      </c>
      <c r="O78" s="89" t="n">
        <v>0</v>
      </c>
      <c r="P78" s="89" t="n">
        <v>0</v>
      </c>
      <c r="Q78" s="108">
        <f>M78+N78+O78+P78</f>
        <v/>
      </c>
      <c r="R78" s="89" t="n">
        <v>0</v>
      </c>
      <c r="S78" s="89" t="n">
        <v>0</v>
      </c>
      <c r="T78" s="89" t="n"/>
      <c r="U78" s="89" t="n"/>
      <c r="V78" s="108">
        <f>R78+S78+T78+U78</f>
        <v/>
      </c>
    </row>
    <row r="79" ht="15.75" customHeight="1">
      <c r="A79" s="93" t="inlineStr">
        <is>
          <t>AMARRADINHO M NATAL</t>
        </is>
      </c>
      <c r="B79" s="89" t="n">
        <v>0</v>
      </c>
      <c r="C79" s="89" t="n">
        <v>0</v>
      </c>
      <c r="D79" s="89" t="n">
        <v>0</v>
      </c>
      <c r="E79" s="89" t="n">
        <v>0</v>
      </c>
      <c r="F79" s="108">
        <f>B79+C79+D79+E79</f>
        <v/>
      </c>
      <c r="G79" s="89" t="n">
        <v>0</v>
      </c>
      <c r="H79" s="89" t="n">
        <v>0</v>
      </c>
      <c r="I79" s="89" t="n">
        <v>0</v>
      </c>
      <c r="J79" s="89" t="n">
        <v>0</v>
      </c>
      <c r="K79" s="89" t="n">
        <v>0</v>
      </c>
      <c r="L79" s="108">
        <f>G79+H79+I79+J79+K79</f>
        <v/>
      </c>
      <c r="M79" s="89" t="n">
        <v>0</v>
      </c>
      <c r="N79" s="89" t="n">
        <v>0</v>
      </c>
      <c r="O79" s="89" t="n">
        <v>0</v>
      </c>
      <c r="P79" s="89" t="n">
        <v>0</v>
      </c>
      <c r="Q79" s="108">
        <f>M79+N79+O79+P79</f>
        <v/>
      </c>
      <c r="R79" s="89" t="n">
        <v>0</v>
      </c>
      <c r="S79" s="89" t="n">
        <v>0</v>
      </c>
      <c r="T79" s="89" t="n"/>
      <c r="U79" s="89" t="n"/>
      <c r="V79" s="108">
        <f>R79+S79+T79+U79</f>
        <v/>
      </c>
    </row>
    <row r="80" ht="15.75" customHeight="1">
      <c r="A80" s="93" t="inlineStr">
        <is>
          <t>PAPEL DE SEDA NATAL</t>
        </is>
      </c>
      <c r="B80" s="89" t="n">
        <v>1</v>
      </c>
      <c r="C80" s="89" t="n">
        <v>2</v>
      </c>
      <c r="D80" s="89" t="n">
        <v>0</v>
      </c>
      <c r="E80" s="89" t="n">
        <v>1</v>
      </c>
      <c r="F80" s="108">
        <f>B80+C80+D80+E80</f>
        <v/>
      </c>
      <c r="G80" s="89" t="n">
        <v>0</v>
      </c>
      <c r="H80" s="89" t="n">
        <v>0</v>
      </c>
      <c r="I80" s="89" t="n">
        <v>0</v>
      </c>
      <c r="J80" s="89" t="n">
        <v>0</v>
      </c>
      <c r="K80" s="89" t="n">
        <v>0</v>
      </c>
      <c r="L80" s="108">
        <f>G80+H80+I80+J80+K80</f>
        <v/>
      </c>
      <c r="M80" s="89" t="n">
        <v>0</v>
      </c>
      <c r="N80" s="89" t="n">
        <v>0</v>
      </c>
      <c r="O80" s="89" t="n">
        <v>0</v>
      </c>
      <c r="P80" s="89" t="n">
        <v>0</v>
      </c>
      <c r="Q80" s="108">
        <f>M80+N80+O80+P80</f>
        <v/>
      </c>
      <c r="R80" s="89" t="n">
        <v>0</v>
      </c>
      <c r="S80" s="89" t="n">
        <v>0</v>
      </c>
      <c r="T80" s="89" t="n"/>
      <c r="U80" s="89" t="n"/>
      <c r="V80" s="108">
        <f>R80+S80+T80+U80</f>
        <v/>
      </c>
    </row>
    <row r="81" ht="15.75" customHeight="1">
      <c r="A81" s="93" t="inlineStr">
        <is>
          <t>TAG NATAL</t>
        </is>
      </c>
      <c r="B81" s="89" t="n">
        <v>1</v>
      </c>
      <c r="C81" s="89" t="n">
        <v>0</v>
      </c>
      <c r="D81" s="89" t="n">
        <v>1</v>
      </c>
      <c r="E81" s="89" t="n">
        <v>1</v>
      </c>
      <c r="F81" s="108">
        <f>B81+C81+D81+E81</f>
        <v/>
      </c>
      <c r="G81" s="89" t="n">
        <v>0</v>
      </c>
      <c r="H81" s="89" t="n">
        <v>0</v>
      </c>
      <c r="I81" s="89" t="n">
        <v>0</v>
      </c>
      <c r="J81" s="89" t="n">
        <v>0</v>
      </c>
      <c r="K81" s="89" t="n">
        <v>0</v>
      </c>
      <c r="L81" s="108">
        <f>G81+H81+I81+J81+K81</f>
        <v/>
      </c>
      <c r="M81" s="89" t="n">
        <v>0</v>
      </c>
      <c r="N81" s="89" t="n">
        <v>0</v>
      </c>
      <c r="O81" s="89" t="n">
        <v>0</v>
      </c>
      <c r="P81" s="89" t="n">
        <v>0</v>
      </c>
      <c r="Q81" s="108">
        <f>M81+N81+O81+P81</f>
        <v/>
      </c>
      <c r="R81" s="89" t="n">
        <v>0</v>
      </c>
      <c r="S81" s="89" t="n">
        <v>0</v>
      </c>
      <c r="T81" s="89" t="n"/>
      <c r="U81" s="89" t="n"/>
      <c r="V81" s="108">
        <f>R81+S81+T81+U81</f>
        <v/>
      </c>
    </row>
    <row r="82" ht="15.75" customHeight="1">
      <c r="A82" s="93" t="inlineStr">
        <is>
          <t>ADESIVOS NATAL</t>
        </is>
      </c>
      <c r="B82" s="89" t="n">
        <v>8</v>
      </c>
      <c r="C82" s="89" t="n">
        <v>19</v>
      </c>
      <c r="D82" s="89" t="n">
        <v>14</v>
      </c>
      <c r="E82" s="89" t="n">
        <v>9</v>
      </c>
      <c r="F82" s="108">
        <f>B82+C82+D82+E82</f>
        <v/>
      </c>
      <c r="G82" s="89" t="n">
        <v>0</v>
      </c>
      <c r="H82" s="89" t="n">
        <v>0</v>
      </c>
      <c r="I82" s="89" t="n">
        <v>0</v>
      </c>
      <c r="J82" s="89" t="n">
        <v>0</v>
      </c>
      <c r="K82" s="89" t="n">
        <v>0</v>
      </c>
      <c r="L82" s="108">
        <f>G82+H82+I82+J82+K82</f>
        <v/>
      </c>
      <c r="M82" s="89" t="n">
        <v>0</v>
      </c>
      <c r="N82" s="89" t="n">
        <v>0</v>
      </c>
      <c r="O82" s="89" t="n">
        <v>0</v>
      </c>
      <c r="P82" s="89" t="n">
        <v>0</v>
      </c>
      <c r="Q82" s="108">
        <f>M82+N82+O82+P82</f>
        <v/>
      </c>
      <c r="R82" s="89" t="n">
        <v>0</v>
      </c>
      <c r="S82" s="89" t="n">
        <v>0</v>
      </c>
      <c r="T82" s="89" t="n"/>
      <c r="U82" s="89" t="n"/>
      <c r="V82" s="108">
        <f>R82+S82+T82+U82</f>
        <v/>
      </c>
    </row>
    <row r="83" ht="15.75" customHeight="1">
      <c r="A83" s="109" t="inlineStr">
        <is>
          <t>TOTAL DE SACOLAS</t>
        </is>
      </c>
      <c r="B83" s="110">
        <f>SUM(B74:B77)</f>
        <v/>
      </c>
      <c r="C83" s="110">
        <f>SUM(C74:C77)</f>
        <v/>
      </c>
      <c r="D83" s="110">
        <f>SUM(D74:D77)</f>
        <v/>
      </c>
      <c r="E83" s="110">
        <f>SUM(E74:E77)</f>
        <v/>
      </c>
      <c r="F83" s="110">
        <f>SUM(F74:F77)</f>
        <v/>
      </c>
      <c r="G83" s="110">
        <f>SUM(G74:G78)</f>
        <v/>
      </c>
      <c r="H83" s="110">
        <f>SUM(H74:H78)</f>
        <v/>
      </c>
      <c r="I83" s="110">
        <f>SUM(I74:I78)</f>
        <v/>
      </c>
      <c r="J83" s="110">
        <f>SUM(J74:J78)</f>
        <v/>
      </c>
      <c r="K83" s="110">
        <f>SUM(K74:K78)</f>
        <v/>
      </c>
      <c r="L83" s="110">
        <f>SUM(L74:L78)</f>
        <v/>
      </c>
      <c r="M83" s="110">
        <f>SUM(M74:M78)</f>
        <v/>
      </c>
      <c r="N83" s="110">
        <f>SUM(N74:N78)</f>
        <v/>
      </c>
      <c r="O83" s="110">
        <f>SUM(O74:O78)</f>
        <v/>
      </c>
      <c r="P83" s="110">
        <f>SUM(P74:P78)</f>
        <v/>
      </c>
      <c r="Q83" s="110">
        <f>SUM(Q74:Q78)</f>
        <v/>
      </c>
      <c r="R83" s="110">
        <f>SUM(R74:R78)</f>
        <v/>
      </c>
      <c r="S83" s="110">
        <f>SUM(S74:S78)</f>
        <v/>
      </c>
      <c r="T83" s="110">
        <f>SUM(T74:T78)</f>
        <v/>
      </c>
      <c r="U83" s="110">
        <f>SUM(U74:U78)</f>
        <v/>
      </c>
      <c r="V83" s="110">
        <f>SUM(V74:V78)</f>
        <v/>
      </c>
    </row>
    <row r="84" ht="18" customHeight="1">
      <c r="A84" s="106" t="n"/>
      <c r="B84" s="106" t="n"/>
      <c r="C84" s="106" t="n"/>
      <c r="D84" s="106" t="n"/>
      <c r="E84" s="106" t="n"/>
      <c r="F84" s="106" t="n"/>
      <c r="G84" s="106" t="n"/>
      <c r="H84" s="106" t="n"/>
      <c r="I84" s="106" t="n"/>
      <c r="J84" s="106" t="n"/>
      <c r="K84" s="106" t="n"/>
      <c r="L84" s="106" t="n"/>
      <c r="M84" s="106" t="n"/>
      <c r="N84" s="106" t="n"/>
      <c r="O84" s="106" t="n"/>
      <c r="P84" s="106" t="n"/>
      <c r="Q84" s="106" t="n"/>
      <c r="R84" s="106" t="n"/>
      <c r="S84" s="106" t="n"/>
      <c r="T84" s="106" t="n"/>
      <c r="U84" s="106" t="n"/>
      <c r="V84" s="106" t="n"/>
    </row>
    <row r="85" ht="18" customHeight="1">
      <c r="A85" s="482" t="inlineStr">
        <is>
          <t>GASTO DE SACOLAS E ITENS DOADOS NATAL/2022 - MENSAIS</t>
        </is>
      </c>
    </row>
    <row r="86" ht="15.75" customHeight="1">
      <c r="A86" s="665" t="inlineStr">
        <is>
          <t>DOIS CORREGOS</t>
        </is>
      </c>
      <c r="B86" s="665" t="inlineStr">
        <is>
          <t>DEZEMBRO</t>
        </is>
      </c>
      <c r="C86" s="666" t="n"/>
      <c r="D86" s="666" t="n"/>
      <c r="E86" s="666" t="n"/>
      <c r="F86" s="667" t="n"/>
      <c r="G86" s="665" t="inlineStr">
        <is>
          <t>JANEIRO</t>
        </is>
      </c>
      <c r="H86" s="666" t="n"/>
      <c r="I86" s="666" t="n"/>
      <c r="J86" s="666" t="n"/>
      <c r="K86" s="666" t="n"/>
      <c r="L86" s="667" t="n"/>
      <c r="M86" s="665" t="inlineStr">
        <is>
          <t>FEVEREIRO</t>
        </is>
      </c>
      <c r="N86" s="666" t="n"/>
      <c r="O86" s="666" t="n"/>
      <c r="P86" s="666" t="n"/>
      <c r="Q86" s="667" t="n"/>
      <c r="R86" s="665" t="inlineStr">
        <is>
          <t>MARÇO</t>
        </is>
      </c>
      <c r="S86" s="666" t="n"/>
      <c r="T86" s="666" t="n"/>
      <c r="U86" s="666" t="n"/>
      <c r="V86" s="667" t="n"/>
    </row>
    <row r="87" ht="15.75" customHeight="1">
      <c r="A87" s="668" t="n"/>
      <c r="B87" s="98" t="n">
        <v>44900</v>
      </c>
      <c r="C87" s="98" t="n">
        <v>44907</v>
      </c>
      <c r="D87" s="98" t="n">
        <v>44914</v>
      </c>
      <c r="E87" s="98" t="n">
        <v>44921</v>
      </c>
      <c r="F87" s="99" t="inlineStr">
        <is>
          <t>USOU</t>
        </is>
      </c>
      <c r="G87" s="98" t="n">
        <v>44563</v>
      </c>
      <c r="H87" s="98" t="n">
        <v>44570</v>
      </c>
      <c r="I87" s="98" t="n">
        <v>44577</v>
      </c>
      <c r="J87" s="98" t="n">
        <v>44584</v>
      </c>
      <c r="K87" s="98" t="n">
        <v>44591</v>
      </c>
      <c r="L87" s="99" t="inlineStr">
        <is>
          <t>USOU</t>
        </is>
      </c>
      <c r="M87" s="98" t="n">
        <v>44598</v>
      </c>
      <c r="N87" s="98" t="n">
        <v>44605</v>
      </c>
      <c r="O87" s="98" t="n">
        <v>44612</v>
      </c>
      <c r="P87" s="98" t="n">
        <v>44619</v>
      </c>
      <c r="Q87" s="99" t="inlineStr">
        <is>
          <t>USOU</t>
        </is>
      </c>
      <c r="R87" s="98" t="n">
        <v>44626</v>
      </c>
      <c r="S87" s="98" t="n">
        <v>44633</v>
      </c>
      <c r="T87" s="98" t="n">
        <v>44640</v>
      </c>
      <c r="U87" s="98" t="n">
        <v>44647</v>
      </c>
      <c r="V87" s="99" t="inlineStr">
        <is>
          <t>USOU</t>
        </is>
      </c>
    </row>
    <row r="88" ht="15.75" customHeight="1">
      <c r="A88" s="88" t="inlineStr">
        <is>
          <t>SACOLA PP NATAL</t>
        </is>
      </c>
      <c r="B88" s="107" t="n">
        <v>90</v>
      </c>
      <c r="C88" s="89" t="n">
        <v>30</v>
      </c>
      <c r="D88" s="89" t="n">
        <v>130</v>
      </c>
      <c r="E88" s="89" t="n">
        <v>150</v>
      </c>
      <c r="F88" s="108">
        <f>B88+C88+D88+E88</f>
        <v/>
      </c>
      <c r="G88" s="89" t="n">
        <v>0</v>
      </c>
      <c r="H88" s="89" t="n">
        <v>0</v>
      </c>
      <c r="I88" s="89" t="n">
        <v>0</v>
      </c>
      <c r="J88" s="89" t="n">
        <v>0</v>
      </c>
      <c r="K88" s="89" t="n">
        <v>0</v>
      </c>
      <c r="L88" s="108">
        <f>G88+H88+I88+J88+K88</f>
        <v/>
      </c>
      <c r="M88" s="89" t="n">
        <v>0</v>
      </c>
      <c r="N88" s="89" t="n">
        <v>0</v>
      </c>
      <c r="O88" s="89" t="n">
        <v>0</v>
      </c>
      <c r="P88" s="89" t="n">
        <v>0</v>
      </c>
      <c r="Q88" s="108">
        <f>M88+N88+O88+P88</f>
        <v/>
      </c>
      <c r="R88" s="89" t="n">
        <v>0</v>
      </c>
      <c r="S88" s="89" t="n">
        <v>0</v>
      </c>
      <c r="T88" s="89" t="n"/>
      <c r="U88" s="89" t="n"/>
      <c r="V88" s="108">
        <f>R88+S88+T88+U88</f>
        <v/>
      </c>
    </row>
    <row r="89" ht="15.75" customHeight="1">
      <c r="A89" s="91" t="inlineStr">
        <is>
          <t>SACOLA P NATAL</t>
        </is>
      </c>
      <c r="B89" s="89" t="n">
        <v>100</v>
      </c>
      <c r="C89" s="89" t="n">
        <v>200</v>
      </c>
      <c r="D89" s="89" t="n">
        <v>70</v>
      </c>
      <c r="E89" s="89" t="n">
        <v>230</v>
      </c>
      <c r="F89" s="108">
        <f>B89+C89+D89+E89</f>
        <v/>
      </c>
      <c r="G89" s="89" t="n">
        <v>0</v>
      </c>
      <c r="H89" s="89" t="n">
        <v>0</v>
      </c>
      <c r="I89" s="89" t="n">
        <v>0</v>
      </c>
      <c r="J89" s="89" t="n">
        <v>0</v>
      </c>
      <c r="K89" s="89" t="n">
        <v>0</v>
      </c>
      <c r="L89" s="108">
        <f>G89+H89+I89+J89+K89</f>
        <v/>
      </c>
      <c r="M89" s="89" t="n">
        <v>0</v>
      </c>
      <c r="N89" s="89" t="n">
        <v>0</v>
      </c>
      <c r="O89" s="89" t="n">
        <v>0</v>
      </c>
      <c r="P89" s="89" t="n">
        <v>0</v>
      </c>
      <c r="Q89" s="108">
        <f>M89+N89+O89+P89</f>
        <v/>
      </c>
      <c r="R89" s="89" t="n">
        <v>0</v>
      </c>
      <c r="S89" s="89" t="n">
        <v>0</v>
      </c>
      <c r="T89" s="89" t="n"/>
      <c r="U89" s="89" t="n"/>
      <c r="V89" s="108">
        <f>R89+S89+T89+U89</f>
        <v/>
      </c>
    </row>
    <row r="90" ht="15.75" customHeight="1">
      <c r="A90" s="91" t="inlineStr">
        <is>
          <t>SACOLA M NATAL</t>
        </is>
      </c>
      <c r="B90" s="89" t="n">
        <v>100</v>
      </c>
      <c r="C90" s="89" t="n">
        <v>50</v>
      </c>
      <c r="D90" s="89" t="n">
        <v>50</v>
      </c>
      <c r="E90" s="89" t="n">
        <v>120</v>
      </c>
      <c r="F90" s="108">
        <f>B90+C90+D90+E90</f>
        <v/>
      </c>
      <c r="G90" s="89" t="n">
        <v>0</v>
      </c>
      <c r="H90" s="89" t="n">
        <v>0</v>
      </c>
      <c r="I90" s="89" t="n">
        <v>0</v>
      </c>
      <c r="J90" s="89" t="n">
        <v>0</v>
      </c>
      <c r="K90" s="89" t="n">
        <v>0</v>
      </c>
      <c r="L90" s="108">
        <f>G90+H90+I90+J90+K90</f>
        <v/>
      </c>
      <c r="M90" s="89" t="n">
        <v>0</v>
      </c>
      <c r="N90" s="89" t="n">
        <v>0</v>
      </c>
      <c r="O90" s="89" t="n">
        <v>0</v>
      </c>
      <c r="P90" s="89" t="n">
        <v>0</v>
      </c>
      <c r="Q90" s="108">
        <f>M90+N90+O90+P90</f>
        <v/>
      </c>
      <c r="R90" s="89" t="n">
        <v>0</v>
      </c>
      <c r="S90" s="89" t="n">
        <v>0</v>
      </c>
      <c r="T90" s="89" t="n"/>
      <c r="U90" s="89" t="n"/>
      <c r="V90" s="108">
        <f>R90+S90+T90+U90</f>
        <v/>
      </c>
    </row>
    <row r="91" ht="15.75" customHeight="1">
      <c r="A91" s="91" t="inlineStr">
        <is>
          <t>SACOLA G NATAL</t>
        </is>
      </c>
      <c r="B91" s="89" t="n">
        <v>20</v>
      </c>
      <c r="C91" s="89" t="n">
        <v>30</v>
      </c>
      <c r="D91" s="89" t="n">
        <v>24</v>
      </c>
      <c r="E91" s="89" t="n">
        <v>0</v>
      </c>
      <c r="F91" s="108">
        <f>B91+C91+D91+E91</f>
        <v/>
      </c>
      <c r="G91" s="89" t="n">
        <v>0</v>
      </c>
      <c r="H91" s="89" t="n">
        <v>0</v>
      </c>
      <c r="I91" s="89" t="n">
        <v>0</v>
      </c>
      <c r="J91" s="89" t="n">
        <v>0</v>
      </c>
      <c r="K91" s="89" t="n">
        <v>0</v>
      </c>
      <c r="L91" s="108">
        <f>G91+H91+I91+J91+K91</f>
        <v/>
      </c>
      <c r="M91" s="89" t="n">
        <v>0</v>
      </c>
      <c r="N91" s="89" t="n">
        <v>0</v>
      </c>
      <c r="O91" s="89" t="n">
        <v>0</v>
      </c>
      <c r="P91" s="89" t="n">
        <v>0</v>
      </c>
      <c r="Q91" s="108">
        <f>M91+N91+O91+P91</f>
        <v/>
      </c>
      <c r="R91" s="89" t="n">
        <v>0</v>
      </c>
      <c r="S91" s="89" t="n">
        <v>0</v>
      </c>
      <c r="T91" s="89" t="n"/>
      <c r="U91" s="89" t="n"/>
      <c r="V91" s="108">
        <f>R91+S91+T91+U91</f>
        <v/>
      </c>
    </row>
    <row r="92" ht="15.75" customHeight="1">
      <c r="A92" s="92" t="inlineStr">
        <is>
          <t>AMARRADINHO P NATAL</t>
        </is>
      </c>
      <c r="B92" s="89" t="n">
        <v>0</v>
      </c>
      <c r="C92" s="89" t="n">
        <v>0</v>
      </c>
      <c r="D92" s="89" t="n">
        <v>0</v>
      </c>
      <c r="E92" s="89" t="n">
        <v>0</v>
      </c>
      <c r="F92" s="108">
        <f>B92+C92+D92+E92</f>
        <v/>
      </c>
      <c r="G92" s="89" t="n">
        <v>0</v>
      </c>
      <c r="H92" s="89" t="n">
        <v>0</v>
      </c>
      <c r="I92" s="89" t="n">
        <v>0</v>
      </c>
      <c r="J92" s="89" t="n">
        <v>0</v>
      </c>
      <c r="K92" s="89" t="n">
        <v>0</v>
      </c>
      <c r="L92" s="108">
        <f>G92+H92+I92+J92+K92</f>
        <v/>
      </c>
      <c r="M92" s="89" t="n">
        <v>0</v>
      </c>
      <c r="N92" s="89" t="n">
        <v>0</v>
      </c>
      <c r="O92" s="89" t="n">
        <v>0</v>
      </c>
      <c r="P92" s="89" t="n">
        <v>0</v>
      </c>
      <c r="Q92" s="108">
        <f>M92+N92+O92+P92</f>
        <v/>
      </c>
      <c r="R92" s="89" t="n">
        <v>0</v>
      </c>
      <c r="S92" s="89" t="n">
        <v>0</v>
      </c>
      <c r="T92" s="89" t="n"/>
      <c r="U92" s="89" t="n"/>
      <c r="V92" s="108">
        <f>R92+S92+T92+U92</f>
        <v/>
      </c>
    </row>
    <row r="93" ht="15.75" customHeight="1">
      <c r="A93" s="93" t="inlineStr">
        <is>
          <t>AMARRADINHO M NATAL</t>
        </is>
      </c>
      <c r="B93" s="89" t="n">
        <v>0</v>
      </c>
      <c r="C93" s="89" t="n">
        <v>0</v>
      </c>
      <c r="D93" s="89" t="n">
        <v>0</v>
      </c>
      <c r="E93" s="89" t="n">
        <v>0</v>
      </c>
      <c r="F93" s="108">
        <f>B93+C93+D93+E93</f>
        <v/>
      </c>
      <c r="G93" s="89" t="n">
        <v>0</v>
      </c>
      <c r="H93" s="89" t="n">
        <v>0</v>
      </c>
      <c r="I93" s="89" t="n">
        <v>0</v>
      </c>
      <c r="J93" s="89" t="n">
        <v>0</v>
      </c>
      <c r="K93" s="89" t="n">
        <v>0</v>
      </c>
      <c r="L93" s="108">
        <f>G93+H93+I93+J93+K93</f>
        <v/>
      </c>
      <c r="M93" s="89" t="n">
        <v>0</v>
      </c>
      <c r="N93" s="89" t="n">
        <v>0</v>
      </c>
      <c r="O93" s="89" t="n">
        <v>0</v>
      </c>
      <c r="P93" s="89" t="n">
        <v>0</v>
      </c>
      <c r="Q93" s="108">
        <f>M93+N93+O93+P93</f>
        <v/>
      </c>
      <c r="R93" s="89" t="n">
        <v>0</v>
      </c>
      <c r="S93" s="89" t="n">
        <v>0</v>
      </c>
      <c r="T93" s="89" t="n"/>
      <c r="U93" s="89" t="n"/>
      <c r="V93" s="108">
        <f>R93+S93+T93+U93</f>
        <v/>
      </c>
    </row>
    <row r="94" ht="15.75" customHeight="1">
      <c r="A94" s="93" t="inlineStr">
        <is>
          <t>PAPEL DE SEDA NATAL</t>
        </is>
      </c>
      <c r="B94" s="89" t="n">
        <v>3</v>
      </c>
      <c r="C94" s="89" t="n">
        <v>1</v>
      </c>
      <c r="D94" s="89" t="n">
        <v>1</v>
      </c>
      <c r="E94" s="89" t="n">
        <v>0</v>
      </c>
      <c r="F94" s="108">
        <f>B94+C94+D94+E94</f>
        <v/>
      </c>
      <c r="G94" s="89" t="n">
        <v>0</v>
      </c>
      <c r="H94" s="89" t="n">
        <v>0</v>
      </c>
      <c r="I94" s="89" t="n">
        <v>0</v>
      </c>
      <c r="J94" s="89" t="n">
        <v>0</v>
      </c>
      <c r="K94" s="89" t="n">
        <v>0</v>
      </c>
      <c r="L94" s="108">
        <f>G94+H94+I94+J94+K94</f>
        <v/>
      </c>
      <c r="M94" s="89" t="n">
        <v>0</v>
      </c>
      <c r="N94" s="89" t="n">
        <v>0</v>
      </c>
      <c r="O94" s="89" t="n">
        <v>0</v>
      </c>
      <c r="P94" s="89" t="n">
        <v>0</v>
      </c>
      <c r="Q94" s="108">
        <f>M94+N94+O94+P94</f>
        <v/>
      </c>
      <c r="R94" s="89" t="n">
        <v>0</v>
      </c>
      <c r="S94" s="89" t="n">
        <v>0</v>
      </c>
      <c r="T94" s="89" t="n"/>
      <c r="U94" s="89" t="n"/>
      <c r="V94" s="108">
        <f>R94+S94+T94+U94</f>
        <v/>
      </c>
    </row>
    <row r="95" ht="15.75" customHeight="1">
      <c r="A95" s="93" t="inlineStr">
        <is>
          <t>TAG NATAL</t>
        </is>
      </c>
      <c r="B95" s="89" t="n">
        <v>1</v>
      </c>
      <c r="C95" s="89" t="n">
        <v>0</v>
      </c>
      <c r="D95" s="89" t="n">
        <v>1</v>
      </c>
      <c r="E95" s="89" t="n">
        <v>2</v>
      </c>
      <c r="F95" s="108">
        <f>B95+C95+D95+E95</f>
        <v/>
      </c>
      <c r="G95" s="89" t="n">
        <v>0</v>
      </c>
      <c r="H95" s="89" t="n">
        <v>0</v>
      </c>
      <c r="I95" s="89" t="n">
        <v>0</v>
      </c>
      <c r="J95" s="89" t="n">
        <v>0</v>
      </c>
      <c r="K95" s="89" t="n">
        <v>0</v>
      </c>
      <c r="L95" s="108">
        <f>G95+H95+I95+J95+K95</f>
        <v/>
      </c>
      <c r="M95" s="89" t="n">
        <v>0</v>
      </c>
      <c r="N95" s="89" t="n">
        <v>0</v>
      </c>
      <c r="O95" s="89" t="n">
        <v>0</v>
      </c>
      <c r="P95" s="89" t="n">
        <v>0</v>
      </c>
      <c r="Q95" s="108">
        <f>M95+N95+O95+P95</f>
        <v/>
      </c>
      <c r="R95" s="89" t="n">
        <v>0</v>
      </c>
      <c r="S95" s="89" t="n">
        <v>0</v>
      </c>
      <c r="T95" s="89" t="n"/>
      <c r="U95" s="89" t="n"/>
      <c r="V95" s="108">
        <f>R95+S95+T95+U95</f>
        <v/>
      </c>
    </row>
    <row r="96" ht="15.75" customHeight="1">
      <c r="A96" s="93" t="inlineStr">
        <is>
          <t>ADESIVOS NATAL</t>
        </is>
      </c>
      <c r="B96" s="89" t="n">
        <v>0</v>
      </c>
      <c r="C96" s="89" t="n">
        <v>10</v>
      </c>
      <c r="D96" s="89" t="n">
        <v>10</v>
      </c>
      <c r="E96" s="89" t="n">
        <v>30</v>
      </c>
      <c r="F96" s="108">
        <f>B96+C96+D96+E96</f>
        <v/>
      </c>
      <c r="G96" s="89" t="n">
        <v>0</v>
      </c>
      <c r="H96" s="89" t="n">
        <v>0</v>
      </c>
      <c r="I96" s="89" t="n">
        <v>0</v>
      </c>
      <c r="J96" s="89" t="n">
        <v>0</v>
      </c>
      <c r="K96" s="89" t="n">
        <v>0</v>
      </c>
      <c r="L96" s="108">
        <f>G96+H96+I96+J96+K96</f>
        <v/>
      </c>
      <c r="M96" s="89" t="n">
        <v>0</v>
      </c>
      <c r="N96" s="89" t="n">
        <v>0</v>
      </c>
      <c r="O96" s="89" t="n">
        <v>0</v>
      </c>
      <c r="P96" s="89" t="n">
        <v>0</v>
      </c>
      <c r="Q96" s="108">
        <f>M96+N96+O96+P96</f>
        <v/>
      </c>
      <c r="R96" s="89" t="n">
        <v>0</v>
      </c>
      <c r="S96" s="89" t="n">
        <v>0</v>
      </c>
      <c r="T96" s="89" t="n"/>
      <c r="U96" s="89" t="n"/>
      <c r="V96" s="108">
        <f>R96+S96+T96+U96</f>
        <v/>
      </c>
    </row>
    <row r="97" ht="15.75" customHeight="1">
      <c r="A97" s="109" t="inlineStr">
        <is>
          <t>TOTAL DE SACOLAS</t>
        </is>
      </c>
      <c r="B97" s="110">
        <f>SUM(B88:B91)</f>
        <v/>
      </c>
      <c r="C97" s="110">
        <f>SUM(C88:C91)</f>
        <v/>
      </c>
      <c r="D97" s="110">
        <f>SUM(D88:D91)</f>
        <v/>
      </c>
      <c r="E97" s="110">
        <f>SUM(E88:E91)</f>
        <v/>
      </c>
      <c r="F97" s="110">
        <f>SUM(F88:F91)</f>
        <v/>
      </c>
      <c r="G97" s="110">
        <f>SUM(G88:G92)</f>
        <v/>
      </c>
      <c r="H97" s="110">
        <f>SUM(H88:H92)</f>
        <v/>
      </c>
      <c r="I97" s="110">
        <f>SUM(I88:I92)</f>
        <v/>
      </c>
      <c r="J97" s="110">
        <f>SUM(J88:J92)</f>
        <v/>
      </c>
      <c r="K97" s="110">
        <f>SUM(K88:K92)</f>
        <v/>
      </c>
      <c r="L97" s="110">
        <f>SUM(L88:L92)</f>
        <v/>
      </c>
      <c r="M97" s="110">
        <f>SUM(M88:M92)</f>
        <v/>
      </c>
      <c r="N97" s="110">
        <f>SUM(N88:N92)</f>
        <v/>
      </c>
      <c r="O97" s="110">
        <f>SUM(O88:O92)</f>
        <v/>
      </c>
      <c r="P97" s="110">
        <f>SUM(P88:P92)</f>
        <v/>
      </c>
      <c r="Q97" s="110">
        <f>SUM(Q88:Q92)</f>
        <v/>
      </c>
      <c r="R97" s="110">
        <f>SUM(R88:R92)</f>
        <v/>
      </c>
      <c r="S97" s="110">
        <f>SUM(S88:S92)</f>
        <v/>
      </c>
      <c r="T97" s="110">
        <f>SUM(T88:T92)</f>
        <v/>
      </c>
      <c r="U97" s="110">
        <f>SUM(U88:U92)</f>
        <v/>
      </c>
      <c r="V97" s="110">
        <f>SUM(V88:V92)</f>
        <v/>
      </c>
    </row>
    <row r="98" ht="15.75" customHeight="1">
      <c r="A98" s="103" t="n"/>
      <c r="B98" s="100" t="n"/>
      <c r="C98" s="100" t="n"/>
      <c r="D98" s="100" t="n"/>
      <c r="E98" s="100" t="n"/>
      <c r="F98" s="100" t="n"/>
      <c r="G98" s="100" t="n"/>
      <c r="H98" s="100" t="n"/>
      <c r="I98" s="100" t="n"/>
      <c r="J98" s="100" t="n"/>
      <c r="K98" s="100" t="n"/>
      <c r="L98" s="100" t="n"/>
      <c r="M98" s="100" t="n"/>
      <c r="N98" s="100" t="n"/>
      <c r="O98" s="100" t="n"/>
      <c r="P98" s="100" t="n"/>
      <c r="Q98" s="100" t="n"/>
      <c r="R98" s="100" t="n"/>
      <c r="S98" s="100" t="n"/>
      <c r="T98" s="100" t="n"/>
      <c r="U98" s="100" t="n"/>
      <c r="V98" s="100" t="n"/>
    </row>
    <row r="99" ht="15.75" customHeight="1">
      <c r="A99" s="482" t="inlineStr">
        <is>
          <t>GASTO DE SACOLAS E ITENS DOADOS NATAL/2022 - MENSAIS</t>
        </is>
      </c>
    </row>
    <row r="100" ht="15.75" customHeight="1">
      <c r="A100" s="665" t="inlineStr">
        <is>
          <t>ITIRAPINA</t>
        </is>
      </c>
      <c r="B100" s="665" t="inlineStr">
        <is>
          <t>DEZEMBRO</t>
        </is>
      </c>
      <c r="C100" s="666" t="n"/>
      <c r="D100" s="666" t="n"/>
      <c r="E100" s="666" t="n"/>
      <c r="F100" s="667" t="n"/>
      <c r="G100" s="665" t="inlineStr">
        <is>
          <t>JANEIRO</t>
        </is>
      </c>
      <c r="H100" s="666" t="n"/>
      <c r="I100" s="666" t="n"/>
      <c r="J100" s="666" t="n"/>
      <c r="K100" s="666" t="n"/>
      <c r="L100" s="667" t="n"/>
      <c r="M100" s="665" t="inlineStr">
        <is>
          <t>FEVEREIRO</t>
        </is>
      </c>
      <c r="N100" s="666" t="n"/>
      <c r="O100" s="666" t="n"/>
      <c r="P100" s="666" t="n"/>
      <c r="Q100" s="667" t="n"/>
      <c r="R100" s="665" t="inlineStr">
        <is>
          <t>MARÇO</t>
        </is>
      </c>
      <c r="S100" s="666" t="n"/>
      <c r="T100" s="666" t="n"/>
      <c r="U100" s="666" t="n"/>
      <c r="V100" s="667" t="n"/>
    </row>
    <row r="101" ht="15.75" customHeight="1">
      <c r="A101" s="668" t="n"/>
      <c r="B101" s="98" t="n">
        <v>44900</v>
      </c>
      <c r="C101" s="98" t="n">
        <v>44907</v>
      </c>
      <c r="D101" s="98" t="n">
        <v>44914</v>
      </c>
      <c r="E101" s="98" t="n">
        <v>44921</v>
      </c>
      <c r="F101" s="99" t="inlineStr">
        <is>
          <t>USOU</t>
        </is>
      </c>
      <c r="G101" s="98" t="n">
        <v>44563</v>
      </c>
      <c r="H101" s="98" t="n">
        <v>44570</v>
      </c>
      <c r="I101" s="98" t="n">
        <v>44577</v>
      </c>
      <c r="J101" s="98" t="n">
        <v>44584</v>
      </c>
      <c r="K101" s="98" t="n">
        <v>44591</v>
      </c>
      <c r="L101" s="99" t="inlineStr">
        <is>
          <t>USOU</t>
        </is>
      </c>
      <c r="M101" s="98" t="n">
        <v>44598</v>
      </c>
      <c r="N101" s="98" t="n">
        <v>44605</v>
      </c>
      <c r="O101" s="98" t="n">
        <v>44612</v>
      </c>
      <c r="P101" s="98" t="n">
        <v>44619</v>
      </c>
      <c r="Q101" s="99" t="inlineStr">
        <is>
          <t>USOU</t>
        </is>
      </c>
      <c r="R101" s="98" t="n">
        <v>44626</v>
      </c>
      <c r="S101" s="98" t="n">
        <v>44633</v>
      </c>
      <c r="T101" s="98" t="n">
        <v>44640</v>
      </c>
      <c r="U101" s="98" t="n">
        <v>44647</v>
      </c>
      <c r="V101" s="99" t="inlineStr">
        <is>
          <t>USOU</t>
        </is>
      </c>
    </row>
    <row r="102" ht="18" customHeight="1">
      <c r="A102" s="88" t="inlineStr">
        <is>
          <t>SACOLA PP NATAL</t>
        </is>
      </c>
      <c r="B102" s="107" t="n">
        <v>10</v>
      </c>
      <c r="C102" s="89" t="n">
        <v>55</v>
      </c>
      <c r="D102" s="89" t="n">
        <v>45</v>
      </c>
      <c r="E102" s="89" t="n">
        <v>132</v>
      </c>
      <c r="F102" s="108">
        <f>B102+C102+D102+E102</f>
        <v/>
      </c>
      <c r="G102" s="89" t="n">
        <v>0</v>
      </c>
      <c r="H102" s="89" t="n">
        <v>8</v>
      </c>
      <c r="I102" s="89" t="n">
        <v>0</v>
      </c>
      <c r="J102" s="89" t="n">
        <v>0</v>
      </c>
      <c r="K102" s="89" t="n">
        <v>0</v>
      </c>
      <c r="L102" s="108">
        <f>G102+H102+I102+J102+K102</f>
        <v/>
      </c>
      <c r="M102" s="89" t="n">
        <v>0</v>
      </c>
      <c r="N102" s="89" t="n">
        <v>0</v>
      </c>
      <c r="O102" s="89" t="n">
        <v>0</v>
      </c>
      <c r="P102" s="89" t="n">
        <v>0</v>
      </c>
      <c r="Q102" s="108">
        <f>M102+N102+O102+P102</f>
        <v/>
      </c>
      <c r="R102" s="89" t="n">
        <v>0</v>
      </c>
      <c r="S102" s="89" t="n">
        <v>0</v>
      </c>
      <c r="T102" s="89" t="n"/>
      <c r="U102" s="89" t="n"/>
      <c r="V102" s="108">
        <f>R102+S102+T102+U102</f>
        <v/>
      </c>
    </row>
    <row r="103" ht="18" customHeight="1">
      <c r="A103" s="91" t="inlineStr">
        <is>
          <t>SACOLA P NATAL</t>
        </is>
      </c>
      <c r="B103" s="89" t="n">
        <v>30</v>
      </c>
      <c r="C103" s="89" t="n">
        <v>70</v>
      </c>
      <c r="D103" s="89" t="n">
        <v>10</v>
      </c>
      <c r="E103" s="89" t="n">
        <v>60</v>
      </c>
      <c r="F103" s="108">
        <f>B103+C103+D103+E103</f>
        <v/>
      </c>
      <c r="G103" s="89" t="n">
        <v>0</v>
      </c>
      <c r="H103" s="89" t="n">
        <v>0</v>
      </c>
      <c r="I103" s="89" t="n">
        <v>0</v>
      </c>
      <c r="J103" s="89" t="n">
        <v>0</v>
      </c>
      <c r="K103" s="89" t="n">
        <v>0</v>
      </c>
      <c r="L103" s="108">
        <f>G103+H103+I103+J103+K103</f>
        <v/>
      </c>
      <c r="M103" s="89" t="n">
        <v>0</v>
      </c>
      <c r="N103" s="89" t="n">
        <v>0</v>
      </c>
      <c r="O103" s="89" t="n">
        <v>0</v>
      </c>
      <c r="P103" s="89" t="n">
        <v>0</v>
      </c>
      <c r="Q103" s="108">
        <f>M103+N103+O103+P103</f>
        <v/>
      </c>
      <c r="R103" s="89" t="n">
        <v>0</v>
      </c>
      <c r="S103" s="89" t="n">
        <v>0</v>
      </c>
      <c r="T103" s="89" t="n"/>
      <c r="U103" s="89" t="n"/>
      <c r="V103" s="108">
        <f>R103+S103+T103+U103</f>
        <v/>
      </c>
    </row>
    <row r="104" ht="15.75" customHeight="1">
      <c r="A104" s="91" t="inlineStr">
        <is>
          <t>SACOLA M NATAL</t>
        </is>
      </c>
      <c r="B104" s="89" t="n">
        <v>10</v>
      </c>
      <c r="C104" s="89" t="n">
        <v>20</v>
      </c>
      <c r="D104" s="89" t="n">
        <v>38</v>
      </c>
      <c r="E104" s="89" t="n">
        <v>132</v>
      </c>
      <c r="F104" s="108">
        <f>B104+C104+D104+E104</f>
        <v/>
      </c>
      <c r="G104" s="89" t="n">
        <v>0</v>
      </c>
      <c r="H104" s="89" t="n">
        <v>0</v>
      </c>
      <c r="I104" s="89" t="n">
        <v>0</v>
      </c>
      <c r="J104" s="89" t="n">
        <v>0</v>
      </c>
      <c r="K104" s="89" t="n">
        <v>0</v>
      </c>
      <c r="L104" s="108">
        <f>G104+H104+I104+J104+K104</f>
        <v/>
      </c>
      <c r="M104" s="89" t="n">
        <v>0</v>
      </c>
      <c r="N104" s="89" t="n">
        <v>0</v>
      </c>
      <c r="O104" s="89" t="n">
        <v>0</v>
      </c>
      <c r="P104" s="89" t="n">
        <v>0</v>
      </c>
      <c r="Q104" s="108">
        <f>M104+N104+O104+P104</f>
        <v/>
      </c>
      <c r="R104" s="89" t="n">
        <v>0</v>
      </c>
      <c r="S104" s="89" t="n">
        <v>0</v>
      </c>
      <c r="T104" s="89" t="n"/>
      <c r="U104" s="89" t="n"/>
      <c r="V104" s="108">
        <f>R104+S104+T104+U104</f>
        <v/>
      </c>
    </row>
    <row r="105" ht="15.75" customHeight="1">
      <c r="A105" s="91" t="inlineStr">
        <is>
          <t>SACOLA G NATAL</t>
        </is>
      </c>
      <c r="B105" s="89" t="n">
        <v>2</v>
      </c>
      <c r="C105" s="89" t="n">
        <v>7</v>
      </c>
      <c r="D105" s="89" t="n">
        <v>1</v>
      </c>
      <c r="E105" s="89" t="n">
        <v>47</v>
      </c>
      <c r="F105" s="108">
        <f>B105+C105+D105+E105</f>
        <v/>
      </c>
      <c r="G105" s="89" t="n">
        <v>23</v>
      </c>
      <c r="H105" s="89" t="n">
        <v>3</v>
      </c>
      <c r="I105" s="89" t="n">
        <v>0</v>
      </c>
      <c r="J105" s="89" t="n">
        <v>0</v>
      </c>
      <c r="K105" s="89" t="n">
        <v>0</v>
      </c>
      <c r="L105" s="108">
        <f>G105+H105+I105+J105+K105</f>
        <v/>
      </c>
      <c r="M105" s="89" t="n">
        <v>0</v>
      </c>
      <c r="N105" s="89" t="n">
        <v>0</v>
      </c>
      <c r="O105" s="89" t="n">
        <v>0</v>
      </c>
      <c r="P105" s="89" t="n">
        <v>0</v>
      </c>
      <c r="Q105" s="108">
        <f>M105+N105+O105+P105</f>
        <v/>
      </c>
      <c r="R105" s="89" t="n">
        <v>0</v>
      </c>
      <c r="S105" s="89" t="n">
        <v>0</v>
      </c>
      <c r="T105" s="89" t="n"/>
      <c r="U105" s="89" t="n"/>
      <c r="V105" s="108">
        <f>R105+S105+T105+U105</f>
        <v/>
      </c>
    </row>
    <row r="106" ht="15.75" customHeight="1">
      <c r="A106" s="92" t="inlineStr">
        <is>
          <t>AMARRADINHO P NATAL</t>
        </is>
      </c>
      <c r="B106" s="89" t="n">
        <v>0</v>
      </c>
      <c r="C106" s="89" t="n">
        <v>0</v>
      </c>
      <c r="D106" s="89" t="n">
        <v>0</v>
      </c>
      <c r="E106" s="89" t="n">
        <v>0</v>
      </c>
      <c r="F106" s="108">
        <f>B106+C106+D106+E106</f>
        <v/>
      </c>
      <c r="G106" s="89" t="n">
        <v>0</v>
      </c>
      <c r="H106" s="89" t="n">
        <v>0</v>
      </c>
      <c r="I106" s="89" t="n">
        <v>0</v>
      </c>
      <c r="J106" s="89" t="n">
        <v>0</v>
      </c>
      <c r="K106" s="89" t="n">
        <v>0</v>
      </c>
      <c r="L106" s="108">
        <f>G106+H106+I106+J106+K106</f>
        <v/>
      </c>
      <c r="M106" s="89" t="n">
        <v>0</v>
      </c>
      <c r="N106" s="89" t="n">
        <v>0</v>
      </c>
      <c r="O106" s="89" t="n">
        <v>0</v>
      </c>
      <c r="P106" s="89" t="n">
        <v>0</v>
      </c>
      <c r="Q106" s="108">
        <f>M106+N106+O106+P106</f>
        <v/>
      </c>
      <c r="R106" s="89" t="n">
        <v>0</v>
      </c>
      <c r="S106" s="89" t="n">
        <v>0</v>
      </c>
      <c r="T106" s="89" t="n"/>
      <c r="U106" s="89" t="n"/>
      <c r="V106" s="108">
        <f>R106+S106+T106+U106</f>
        <v/>
      </c>
    </row>
    <row r="107" ht="15.75" customHeight="1">
      <c r="A107" s="93" t="inlineStr">
        <is>
          <t>AMARRADINHO M NATAL</t>
        </is>
      </c>
      <c r="B107" s="89" t="n">
        <v>0</v>
      </c>
      <c r="C107" s="89" t="n">
        <v>0</v>
      </c>
      <c r="D107" s="89" t="n">
        <v>0</v>
      </c>
      <c r="E107" s="89" t="n">
        <v>0</v>
      </c>
      <c r="F107" s="108">
        <f>B107+C107+D107+E107</f>
        <v/>
      </c>
      <c r="G107" s="89" t="n">
        <v>0</v>
      </c>
      <c r="H107" s="89" t="n">
        <v>0</v>
      </c>
      <c r="I107" s="89" t="n">
        <v>0</v>
      </c>
      <c r="J107" s="89" t="n">
        <v>0</v>
      </c>
      <c r="K107" s="89" t="n">
        <v>0</v>
      </c>
      <c r="L107" s="108">
        <f>G107+H107+I107+J107+K107</f>
        <v/>
      </c>
      <c r="M107" s="89" t="n">
        <v>0</v>
      </c>
      <c r="N107" s="89" t="n">
        <v>0</v>
      </c>
      <c r="O107" s="89" t="n">
        <v>0</v>
      </c>
      <c r="P107" s="89" t="n">
        <v>0</v>
      </c>
      <c r="Q107" s="108">
        <f>M107+N107+O107+P107</f>
        <v/>
      </c>
      <c r="R107" s="89" t="n">
        <v>0</v>
      </c>
      <c r="S107" s="89" t="n">
        <v>0</v>
      </c>
      <c r="T107" s="89" t="n"/>
      <c r="U107" s="89" t="n"/>
      <c r="V107" s="108">
        <f>R107+S107+T107+U107</f>
        <v/>
      </c>
    </row>
    <row r="108" ht="15.75" customHeight="1">
      <c r="A108" s="93" t="inlineStr">
        <is>
          <t>PAPEL DE SEDA NATAL</t>
        </is>
      </c>
      <c r="B108" s="89" t="n">
        <v>2</v>
      </c>
      <c r="C108" s="89" t="n">
        <v>1</v>
      </c>
      <c r="D108" s="89" t="n">
        <v>1</v>
      </c>
      <c r="E108" s="89" t="n">
        <v>0</v>
      </c>
      <c r="F108" s="108">
        <f>B108+C108+D108+E108</f>
        <v/>
      </c>
      <c r="G108" s="89" t="n">
        <v>0</v>
      </c>
      <c r="H108" s="89" t="n">
        <v>0</v>
      </c>
      <c r="I108" s="89" t="n">
        <v>0</v>
      </c>
      <c r="J108" s="89" t="n">
        <v>0</v>
      </c>
      <c r="K108" s="89" t="n">
        <v>0</v>
      </c>
      <c r="L108" s="108">
        <f>G108+H108+I108+J108+K108</f>
        <v/>
      </c>
      <c r="M108" s="89" t="n">
        <v>0</v>
      </c>
      <c r="N108" s="89" t="n">
        <v>0</v>
      </c>
      <c r="O108" s="89" t="n">
        <v>0</v>
      </c>
      <c r="P108" s="89" t="n">
        <v>0</v>
      </c>
      <c r="Q108" s="108">
        <f>M108+N108+O108+P108</f>
        <v/>
      </c>
      <c r="R108" s="89" t="n">
        <v>0</v>
      </c>
      <c r="S108" s="89" t="n">
        <v>0</v>
      </c>
      <c r="T108" s="89" t="n"/>
      <c r="U108" s="89" t="n"/>
      <c r="V108" s="108">
        <f>R108+S108+T108+U108</f>
        <v/>
      </c>
    </row>
    <row r="109" ht="15.75" customHeight="1">
      <c r="A109" s="93" t="inlineStr">
        <is>
          <t>TAG NATAL</t>
        </is>
      </c>
      <c r="B109" s="89" t="n">
        <v>1</v>
      </c>
      <c r="C109" s="89" t="n">
        <v>0</v>
      </c>
      <c r="D109" s="89" t="n">
        <v>1</v>
      </c>
      <c r="E109" s="89" t="n">
        <v>1</v>
      </c>
      <c r="F109" s="108">
        <f>B109+C109+D109+E109</f>
        <v/>
      </c>
      <c r="G109" s="89" t="n">
        <v>0</v>
      </c>
      <c r="H109" s="89" t="n">
        <v>0</v>
      </c>
      <c r="I109" s="89" t="n">
        <v>0</v>
      </c>
      <c r="J109" s="89" t="n">
        <v>0</v>
      </c>
      <c r="K109" s="89" t="n">
        <v>0</v>
      </c>
      <c r="L109" s="108">
        <f>G109+H109+I109+J109+K109</f>
        <v/>
      </c>
      <c r="M109" s="89" t="n">
        <v>0</v>
      </c>
      <c r="N109" s="89" t="n">
        <v>0</v>
      </c>
      <c r="O109" s="89" t="n">
        <v>0</v>
      </c>
      <c r="P109" s="89" t="n">
        <v>0</v>
      </c>
      <c r="Q109" s="108">
        <f>M109+N109+O109+P109</f>
        <v/>
      </c>
      <c r="R109" s="89" t="n">
        <v>0</v>
      </c>
      <c r="S109" s="89" t="n">
        <v>0</v>
      </c>
      <c r="T109" s="89" t="n"/>
      <c r="U109" s="89" t="n"/>
      <c r="V109" s="108">
        <f>R109+S109+T109+U109</f>
        <v/>
      </c>
    </row>
    <row r="110" ht="15.75" customHeight="1">
      <c r="A110" s="93" t="inlineStr">
        <is>
          <t>ADESIVOS NATAL</t>
        </is>
      </c>
      <c r="B110" s="89" t="n">
        <v>0</v>
      </c>
      <c r="C110" s="89" t="n">
        <v>4</v>
      </c>
      <c r="D110" s="89" t="n">
        <v>16</v>
      </c>
      <c r="E110" s="89" t="n">
        <v>30</v>
      </c>
      <c r="F110" s="108">
        <f>B110+C110+D110+E110</f>
        <v/>
      </c>
      <c r="G110" s="89" t="n">
        <v>0</v>
      </c>
      <c r="H110" s="89" t="n">
        <v>0</v>
      </c>
      <c r="I110" s="89" t="n">
        <v>0</v>
      </c>
      <c r="J110" s="89" t="n">
        <v>0</v>
      </c>
      <c r="K110" s="89" t="n">
        <v>0</v>
      </c>
      <c r="L110" s="108">
        <f>G110+H110+I110+J110+K110</f>
        <v/>
      </c>
      <c r="M110" s="89" t="n">
        <v>0</v>
      </c>
      <c r="N110" s="89" t="n">
        <v>0</v>
      </c>
      <c r="O110" s="89" t="n">
        <v>0</v>
      </c>
      <c r="P110" s="89" t="n">
        <v>0</v>
      </c>
      <c r="Q110" s="108">
        <f>M110+N110+O110+P110</f>
        <v/>
      </c>
      <c r="R110" s="89" t="n">
        <v>0</v>
      </c>
      <c r="S110" s="89" t="n">
        <v>0</v>
      </c>
      <c r="T110" s="89" t="n"/>
      <c r="U110" s="89" t="n"/>
      <c r="V110" s="108">
        <f>R110+S110+T110+U110</f>
        <v/>
      </c>
    </row>
    <row r="111" ht="15.75" customHeight="1">
      <c r="A111" s="109" t="inlineStr">
        <is>
          <t>TOTAL DE SACOLAS</t>
        </is>
      </c>
      <c r="B111" s="110">
        <f>SUM(B102:B105)</f>
        <v/>
      </c>
      <c r="C111" s="110">
        <f>SUM(C102:C105)</f>
        <v/>
      </c>
      <c r="D111" s="110">
        <f>SUM(D102:D105)</f>
        <v/>
      </c>
      <c r="E111" s="110">
        <f>SUM(E102:E105)</f>
        <v/>
      </c>
      <c r="F111" s="110">
        <f>SUM(F102:F105)</f>
        <v/>
      </c>
      <c r="G111" s="110">
        <f>SUM(G102:G106)</f>
        <v/>
      </c>
      <c r="H111" s="110">
        <f>SUM(H102:H106)</f>
        <v/>
      </c>
      <c r="I111" s="110">
        <f>SUM(I102:I106)</f>
        <v/>
      </c>
      <c r="J111" s="110">
        <f>SUM(J102:J106)</f>
        <v/>
      </c>
      <c r="K111" s="110">
        <f>SUM(K102:K106)</f>
        <v/>
      </c>
      <c r="L111" s="110">
        <f>SUM(L102:L106)</f>
        <v/>
      </c>
      <c r="M111" s="110">
        <f>SUM(M102:M106)</f>
        <v/>
      </c>
      <c r="N111" s="110">
        <f>SUM(N102:N106)</f>
        <v/>
      </c>
      <c r="O111" s="110">
        <f>SUM(O102:O106)</f>
        <v/>
      </c>
      <c r="P111" s="110">
        <f>SUM(P102:P106)</f>
        <v/>
      </c>
      <c r="Q111" s="110">
        <f>SUM(Q102:Q106)</f>
        <v/>
      </c>
      <c r="R111" s="110">
        <f>SUM(R102:R106)</f>
        <v/>
      </c>
      <c r="S111" s="110">
        <f>SUM(S102:S106)</f>
        <v/>
      </c>
      <c r="T111" s="110">
        <f>SUM(T102:T106)</f>
        <v/>
      </c>
      <c r="U111" s="110">
        <f>SUM(U102:U106)</f>
        <v/>
      </c>
      <c r="V111" s="110">
        <f>SUM(V102:V106)</f>
        <v/>
      </c>
    </row>
    <row r="112" ht="15.75" customHeight="1">
      <c r="A112" s="103" t="n"/>
      <c r="B112" s="100" t="n"/>
      <c r="C112" s="100" t="n"/>
      <c r="D112" s="100" t="n"/>
      <c r="E112" s="100" t="n"/>
      <c r="F112" s="100" t="n"/>
      <c r="G112" s="100" t="n"/>
      <c r="H112" s="100" t="n"/>
      <c r="I112" s="100" t="n"/>
      <c r="J112" s="100" t="n"/>
      <c r="K112" s="100" t="n"/>
      <c r="L112" s="100" t="n"/>
      <c r="M112" s="100" t="n"/>
      <c r="N112" s="100" t="n"/>
      <c r="O112" s="100" t="n"/>
      <c r="P112" s="100" t="n"/>
      <c r="Q112" s="100" t="n"/>
      <c r="R112" s="100" t="n"/>
      <c r="S112" s="100" t="n"/>
      <c r="T112" s="100" t="n"/>
      <c r="U112" s="100" t="n"/>
      <c r="V112" s="100" t="n"/>
    </row>
    <row r="113" ht="15.75" customHeight="1">
      <c r="A113" s="482" t="inlineStr">
        <is>
          <t>GASTO DE SACOLAS E ITENS DOADOS NATAL/2022 - MENSAIS</t>
        </is>
      </c>
    </row>
    <row r="114" ht="15.75" customHeight="1">
      <c r="A114" s="665" t="inlineStr">
        <is>
          <t>BROTAS</t>
        </is>
      </c>
      <c r="B114" s="665" t="inlineStr">
        <is>
          <t>DEZEMBRO</t>
        </is>
      </c>
      <c r="C114" s="666" t="n"/>
      <c r="D114" s="666" t="n"/>
      <c r="E114" s="666" t="n"/>
      <c r="F114" s="667" t="n"/>
      <c r="G114" s="665" t="inlineStr">
        <is>
          <t>JANEIRO</t>
        </is>
      </c>
      <c r="H114" s="666" t="n"/>
      <c r="I114" s="666" t="n"/>
      <c r="J114" s="666" t="n"/>
      <c r="K114" s="666" t="n"/>
      <c r="L114" s="667" t="n"/>
      <c r="M114" s="665" t="inlineStr">
        <is>
          <t>FEVEREIRO</t>
        </is>
      </c>
      <c r="N114" s="666" t="n"/>
      <c r="O114" s="666" t="n"/>
      <c r="P114" s="666" t="n"/>
      <c r="Q114" s="667" t="n"/>
      <c r="R114" s="665" t="inlineStr">
        <is>
          <t>MARÇO</t>
        </is>
      </c>
      <c r="S114" s="666" t="n"/>
      <c r="T114" s="666" t="n"/>
      <c r="U114" s="666" t="n"/>
      <c r="V114" s="667" t="n"/>
    </row>
    <row r="115" ht="15.75" customHeight="1">
      <c r="A115" s="668" t="n"/>
      <c r="B115" s="98" t="n">
        <v>44900</v>
      </c>
      <c r="C115" s="98" t="n">
        <v>44907</v>
      </c>
      <c r="D115" s="98" t="n">
        <v>44914</v>
      </c>
      <c r="E115" s="98" t="n">
        <v>44921</v>
      </c>
      <c r="F115" s="99" t="inlineStr">
        <is>
          <t>USOU</t>
        </is>
      </c>
      <c r="G115" s="98" t="n">
        <v>44563</v>
      </c>
      <c r="H115" s="98" t="n">
        <v>44570</v>
      </c>
      <c r="I115" s="98" t="n">
        <v>44577</v>
      </c>
      <c r="J115" s="98" t="n">
        <v>44584</v>
      </c>
      <c r="K115" s="98" t="n">
        <v>44591</v>
      </c>
      <c r="L115" s="99" t="inlineStr">
        <is>
          <t>USOU</t>
        </is>
      </c>
      <c r="M115" s="98" t="n">
        <v>44598</v>
      </c>
      <c r="N115" s="98" t="n">
        <v>44605</v>
      </c>
      <c r="O115" s="98" t="n">
        <v>44612</v>
      </c>
      <c r="P115" s="98" t="n">
        <v>44619</v>
      </c>
      <c r="Q115" s="99" t="inlineStr">
        <is>
          <t>USOU</t>
        </is>
      </c>
      <c r="R115" s="98" t="n">
        <v>44626</v>
      </c>
      <c r="S115" s="98" t="n">
        <v>44633</v>
      </c>
      <c r="T115" s="98" t="n">
        <v>44640</v>
      </c>
      <c r="U115" s="98" t="n">
        <v>44647</v>
      </c>
      <c r="V115" s="99" t="inlineStr">
        <is>
          <t>USOU</t>
        </is>
      </c>
    </row>
    <row r="116" ht="15.75" customHeight="1">
      <c r="A116" s="88" t="inlineStr">
        <is>
          <t>SACOLA PP NATAL</t>
        </is>
      </c>
      <c r="B116" s="107" t="n">
        <v>180</v>
      </c>
      <c r="C116" s="89" t="n">
        <v>80</v>
      </c>
      <c r="D116" s="89" t="n">
        <v>120</v>
      </c>
      <c r="E116" s="89" t="n">
        <v>20</v>
      </c>
      <c r="F116" s="108">
        <f>B116+C116+D116+E116</f>
        <v/>
      </c>
      <c r="G116" s="89" t="n">
        <v>0</v>
      </c>
      <c r="H116" s="89" t="n">
        <v>0</v>
      </c>
      <c r="I116" s="89" t="n">
        <v>0</v>
      </c>
      <c r="J116" s="89" t="n">
        <v>0</v>
      </c>
      <c r="K116" s="89" t="n">
        <v>0</v>
      </c>
      <c r="L116" s="108">
        <f>G116+H116+I116+J116+K116</f>
        <v/>
      </c>
      <c r="M116" s="89" t="n">
        <v>0</v>
      </c>
      <c r="N116" s="89" t="n">
        <v>0</v>
      </c>
      <c r="O116" s="89" t="n">
        <v>0</v>
      </c>
      <c r="P116" s="89" t="n">
        <v>0</v>
      </c>
      <c r="Q116" s="108">
        <f>M116+N116+O116+P116</f>
        <v/>
      </c>
      <c r="R116" s="89" t="n">
        <v>0</v>
      </c>
      <c r="S116" s="89" t="n">
        <v>0</v>
      </c>
      <c r="T116" s="89" t="n"/>
      <c r="U116" s="89" t="n"/>
      <c r="V116" s="108">
        <f>R116+S116+T116+U116</f>
        <v/>
      </c>
    </row>
    <row r="117" ht="15.75" customHeight="1">
      <c r="A117" s="91" t="inlineStr">
        <is>
          <t>SACOLA P NATAL</t>
        </is>
      </c>
      <c r="B117" s="89" t="n">
        <v>164</v>
      </c>
      <c r="C117" s="89" t="n">
        <v>176</v>
      </c>
      <c r="D117" s="89" t="n">
        <v>260</v>
      </c>
      <c r="E117" s="89" t="n">
        <v>0</v>
      </c>
      <c r="F117" s="108">
        <f>B117+C117+D117+E117</f>
        <v/>
      </c>
      <c r="G117" s="89" t="n">
        <v>0</v>
      </c>
      <c r="H117" s="89" t="n">
        <v>0</v>
      </c>
      <c r="I117" s="89" t="n">
        <v>0</v>
      </c>
      <c r="J117" s="89" t="n">
        <v>0</v>
      </c>
      <c r="K117" s="89" t="n">
        <v>0</v>
      </c>
      <c r="L117" s="108">
        <f>G117+H117+I117+J117+K117</f>
        <v/>
      </c>
      <c r="M117" s="89" t="n">
        <v>0</v>
      </c>
      <c r="N117" s="89" t="n">
        <v>0</v>
      </c>
      <c r="O117" s="89" t="n">
        <v>0</v>
      </c>
      <c r="P117" s="89" t="n">
        <v>0</v>
      </c>
      <c r="Q117" s="108">
        <f>M117+N117+O117+P117</f>
        <v/>
      </c>
      <c r="R117" s="89" t="n">
        <v>0</v>
      </c>
      <c r="S117" s="89" t="n">
        <v>0</v>
      </c>
      <c r="T117" s="89" t="n"/>
      <c r="U117" s="89" t="n"/>
      <c r="V117" s="108">
        <f>R117+S117+T117+U117</f>
        <v/>
      </c>
    </row>
    <row r="118" ht="15.75" customHeight="1">
      <c r="A118" s="91" t="inlineStr">
        <is>
          <t>SACOLA M NATAL</t>
        </is>
      </c>
      <c r="B118" s="89" t="n">
        <v>170</v>
      </c>
      <c r="C118" s="89" t="n">
        <v>110</v>
      </c>
      <c r="D118" s="89" t="n">
        <v>120</v>
      </c>
      <c r="E118" s="89" t="n">
        <v>0</v>
      </c>
      <c r="F118" s="108">
        <f>B118+C118+D118+E118</f>
        <v/>
      </c>
      <c r="G118" s="89" t="n">
        <v>0</v>
      </c>
      <c r="H118" s="89" t="n">
        <v>0</v>
      </c>
      <c r="I118" s="89" t="n">
        <v>0</v>
      </c>
      <c r="J118" s="89" t="n">
        <v>0</v>
      </c>
      <c r="K118" s="89" t="n">
        <v>0</v>
      </c>
      <c r="L118" s="108">
        <f>G118+H118+I118+J118+K118</f>
        <v/>
      </c>
      <c r="M118" s="89" t="n">
        <v>0</v>
      </c>
      <c r="N118" s="89" t="n">
        <v>0</v>
      </c>
      <c r="O118" s="89" t="n">
        <v>0</v>
      </c>
      <c r="P118" s="89" t="n">
        <v>0</v>
      </c>
      <c r="Q118" s="108">
        <f>M118+N118+O118+P118</f>
        <v/>
      </c>
      <c r="R118" s="89" t="n">
        <v>0</v>
      </c>
      <c r="S118" s="89" t="n">
        <v>0</v>
      </c>
      <c r="T118" s="89" t="n"/>
      <c r="U118" s="89" t="n"/>
      <c r="V118" s="108">
        <f>R118+S118+T118+U118</f>
        <v/>
      </c>
    </row>
    <row r="119" ht="18" customHeight="1">
      <c r="A119" s="91" t="inlineStr">
        <is>
          <t>SACOLA G NATAL</t>
        </is>
      </c>
      <c r="B119" s="89" t="n">
        <v>100</v>
      </c>
      <c r="C119" s="89" t="n">
        <v>0</v>
      </c>
      <c r="D119" s="89" t="n">
        <v>100</v>
      </c>
      <c r="E119" s="89" t="n">
        <v>100</v>
      </c>
      <c r="F119" s="108">
        <f>B119+C119+D119+E119</f>
        <v/>
      </c>
      <c r="G119" s="89" t="n">
        <v>0</v>
      </c>
      <c r="H119" s="89" t="n">
        <v>0</v>
      </c>
      <c r="I119" s="89" t="n">
        <v>0</v>
      </c>
      <c r="J119" s="89" t="n">
        <v>0</v>
      </c>
      <c r="K119" s="89" t="n">
        <v>0</v>
      </c>
      <c r="L119" s="108">
        <f>G119+H119+I119+J119+K119</f>
        <v/>
      </c>
      <c r="M119" s="89" t="n">
        <v>0</v>
      </c>
      <c r="N119" s="89" t="n">
        <v>0</v>
      </c>
      <c r="O119" s="89" t="n">
        <v>0</v>
      </c>
      <c r="P119" s="89" t="n">
        <v>0</v>
      </c>
      <c r="Q119" s="108">
        <f>M119+N119+O119+P119</f>
        <v/>
      </c>
      <c r="R119" s="89" t="n">
        <v>0</v>
      </c>
      <c r="S119" s="89" t="n">
        <v>0</v>
      </c>
      <c r="T119" s="89" t="n"/>
      <c r="U119" s="89" t="n"/>
      <c r="V119" s="108">
        <f>R119+S119+T119+U119</f>
        <v/>
      </c>
    </row>
    <row r="120" ht="18" customHeight="1">
      <c r="A120" s="92" t="inlineStr">
        <is>
          <t>AMARRADINHO P NATAL</t>
        </is>
      </c>
      <c r="B120" s="89" t="n">
        <v>0</v>
      </c>
      <c r="C120" s="89" t="n">
        <v>0</v>
      </c>
      <c r="D120" s="89" t="n">
        <v>0</v>
      </c>
      <c r="E120" s="89" t="n">
        <v>0</v>
      </c>
      <c r="F120" s="108">
        <f>B120+C120+D120+E120</f>
        <v/>
      </c>
      <c r="G120" s="89" t="n">
        <v>0</v>
      </c>
      <c r="H120" s="89" t="n">
        <v>0</v>
      </c>
      <c r="I120" s="89" t="n">
        <v>0</v>
      </c>
      <c r="J120" s="89" t="n">
        <v>0</v>
      </c>
      <c r="K120" s="89" t="n">
        <v>0</v>
      </c>
      <c r="L120" s="108">
        <f>G120+H120+I120+J120+K120</f>
        <v/>
      </c>
      <c r="M120" s="89" t="n">
        <v>0</v>
      </c>
      <c r="N120" s="89" t="n">
        <v>0</v>
      </c>
      <c r="O120" s="89" t="n">
        <v>0</v>
      </c>
      <c r="P120" s="89" t="n">
        <v>0</v>
      </c>
      <c r="Q120" s="108">
        <f>M120+N120+O120+P120</f>
        <v/>
      </c>
      <c r="R120" s="89" t="n">
        <v>0</v>
      </c>
      <c r="S120" s="89" t="n">
        <v>0</v>
      </c>
      <c r="T120" s="89" t="n"/>
      <c r="U120" s="89" t="n"/>
      <c r="V120" s="108">
        <f>R120+S120+T120+U120</f>
        <v/>
      </c>
    </row>
    <row r="121" ht="15.75" customHeight="1">
      <c r="A121" s="93" t="inlineStr">
        <is>
          <t>AMARRADINHO M NATAL</t>
        </is>
      </c>
      <c r="B121" s="89" t="n">
        <v>0</v>
      </c>
      <c r="C121" s="89" t="n">
        <v>0</v>
      </c>
      <c r="D121" s="89" t="n">
        <v>0</v>
      </c>
      <c r="E121" s="89" t="n">
        <v>0</v>
      </c>
      <c r="F121" s="108">
        <f>B121+C121+D121+E121</f>
        <v/>
      </c>
      <c r="G121" s="89" t="n">
        <v>0</v>
      </c>
      <c r="H121" s="89" t="n">
        <v>0</v>
      </c>
      <c r="I121" s="89" t="n">
        <v>0</v>
      </c>
      <c r="J121" s="89" t="n">
        <v>0</v>
      </c>
      <c r="K121" s="89" t="n">
        <v>0</v>
      </c>
      <c r="L121" s="108">
        <f>G121+H121+I121+J121+K121</f>
        <v/>
      </c>
      <c r="M121" s="89" t="n">
        <v>0</v>
      </c>
      <c r="N121" s="89" t="n">
        <v>0</v>
      </c>
      <c r="O121" s="89" t="n">
        <v>0</v>
      </c>
      <c r="P121" s="89" t="n">
        <v>0</v>
      </c>
      <c r="Q121" s="108">
        <f>M121+N121+O121+P121</f>
        <v/>
      </c>
      <c r="R121" s="89" t="n">
        <v>0</v>
      </c>
      <c r="S121" s="89" t="n">
        <v>0</v>
      </c>
      <c r="T121" s="89" t="n"/>
      <c r="U121" s="89" t="n"/>
      <c r="V121" s="108">
        <f>R121+S121+T121+U121</f>
        <v/>
      </c>
    </row>
    <row r="122" ht="15.75" customHeight="1">
      <c r="A122" s="93" t="inlineStr">
        <is>
          <t>PAPEL DE SEDA NATAL</t>
        </is>
      </c>
      <c r="B122" s="89" t="n">
        <v>1</v>
      </c>
      <c r="C122" s="89" t="n">
        <v>2</v>
      </c>
      <c r="D122" s="89" t="n">
        <v>2</v>
      </c>
      <c r="E122" s="89" t="n">
        <v>0</v>
      </c>
      <c r="F122" s="108">
        <f>B122+C122+D122+E122</f>
        <v/>
      </c>
      <c r="G122" s="89" t="n">
        <v>0</v>
      </c>
      <c r="H122" s="89" t="n">
        <v>0</v>
      </c>
      <c r="I122" s="89" t="n">
        <v>0</v>
      </c>
      <c r="J122" s="89" t="n">
        <v>0</v>
      </c>
      <c r="K122" s="89" t="n">
        <v>0</v>
      </c>
      <c r="L122" s="108">
        <f>G122+H122+I122+J122+K122</f>
        <v/>
      </c>
      <c r="M122" s="89" t="n">
        <v>0</v>
      </c>
      <c r="N122" s="89" t="n">
        <v>0</v>
      </c>
      <c r="O122" s="89" t="n">
        <v>0</v>
      </c>
      <c r="P122" s="89" t="n">
        <v>0</v>
      </c>
      <c r="Q122" s="108">
        <f>M122+N122+O122+P122</f>
        <v/>
      </c>
      <c r="R122" s="89" t="n">
        <v>0</v>
      </c>
      <c r="S122" s="89" t="n">
        <v>0</v>
      </c>
      <c r="T122" s="89" t="n"/>
      <c r="U122" s="89" t="n"/>
      <c r="V122" s="108">
        <f>R122+S122+T122+U122</f>
        <v/>
      </c>
    </row>
    <row r="123" ht="15.75" customHeight="1">
      <c r="A123" s="93" t="inlineStr">
        <is>
          <t>TAG NATAL</t>
        </is>
      </c>
      <c r="B123" s="89" t="n">
        <v>1</v>
      </c>
      <c r="C123" s="89" t="n">
        <v>1</v>
      </c>
      <c r="D123" s="89" t="n">
        <v>2</v>
      </c>
      <c r="E123" s="89" t="n">
        <v>2</v>
      </c>
      <c r="F123" s="108">
        <f>B123+C123+D123+E123</f>
        <v/>
      </c>
      <c r="G123" s="89" t="n">
        <v>0</v>
      </c>
      <c r="H123" s="89" t="n">
        <v>0</v>
      </c>
      <c r="I123" s="89" t="n">
        <v>0</v>
      </c>
      <c r="J123" s="89" t="n">
        <v>0</v>
      </c>
      <c r="K123" s="89" t="n">
        <v>0</v>
      </c>
      <c r="L123" s="108">
        <f>G123+H123+I123+J123+K123</f>
        <v/>
      </c>
      <c r="M123" s="89" t="n">
        <v>0</v>
      </c>
      <c r="N123" s="89" t="n">
        <v>0</v>
      </c>
      <c r="O123" s="89" t="n">
        <v>0</v>
      </c>
      <c r="P123" s="89" t="n">
        <v>0</v>
      </c>
      <c r="Q123" s="108">
        <f>M123+N123+O123+P123</f>
        <v/>
      </c>
      <c r="R123" s="89" t="n">
        <v>0</v>
      </c>
      <c r="S123" s="89" t="n">
        <v>0</v>
      </c>
      <c r="T123" s="89" t="n"/>
      <c r="U123" s="89" t="n"/>
      <c r="V123" s="108">
        <f>R123+S123+T123+U123</f>
        <v/>
      </c>
    </row>
    <row r="124" ht="15.75" customHeight="1">
      <c r="A124" s="93" t="inlineStr">
        <is>
          <t>ADESIVOS NATAL</t>
        </is>
      </c>
      <c r="B124" s="89" t="n">
        <v>0</v>
      </c>
      <c r="C124" s="89" t="n">
        <v>0</v>
      </c>
      <c r="D124" s="89" t="n">
        <v>50</v>
      </c>
      <c r="E124" s="89" t="n">
        <v>0</v>
      </c>
      <c r="F124" s="108">
        <f>B124+C124+D124+E124</f>
        <v/>
      </c>
      <c r="G124" s="89" t="n">
        <v>0</v>
      </c>
      <c r="H124" s="89" t="n">
        <v>0</v>
      </c>
      <c r="I124" s="89" t="n">
        <v>0</v>
      </c>
      <c r="J124" s="89" t="n">
        <v>0</v>
      </c>
      <c r="K124" s="89" t="n">
        <v>0</v>
      </c>
      <c r="L124" s="108">
        <f>G124+H124+I124+J124+K124</f>
        <v/>
      </c>
      <c r="M124" s="89" t="n">
        <v>0</v>
      </c>
      <c r="N124" s="89" t="n">
        <v>0</v>
      </c>
      <c r="O124" s="89" t="n">
        <v>0</v>
      </c>
      <c r="P124" s="89" t="n">
        <v>0</v>
      </c>
      <c r="Q124" s="108">
        <f>M124+N124+O124+P124</f>
        <v/>
      </c>
      <c r="R124" s="89" t="n">
        <v>0</v>
      </c>
      <c r="S124" s="89" t="n">
        <v>0</v>
      </c>
      <c r="T124" s="89" t="n"/>
      <c r="U124" s="89" t="n"/>
      <c r="V124" s="108">
        <f>R124+S124+T124+U124</f>
        <v/>
      </c>
    </row>
    <row r="125" ht="15.75" customHeight="1">
      <c r="A125" s="109" t="inlineStr">
        <is>
          <t>TOTAL DE SACOLAS</t>
        </is>
      </c>
      <c r="B125" s="110">
        <f>SUM(B116:B119)</f>
        <v/>
      </c>
      <c r="C125" s="110">
        <f>SUM(C116:C119)</f>
        <v/>
      </c>
      <c r="D125" s="110">
        <f>SUM(D116:D119)</f>
        <v/>
      </c>
      <c r="E125" s="110">
        <f>SUM(E116:E119)</f>
        <v/>
      </c>
      <c r="F125" s="110">
        <f>SUM(F116:F119)</f>
        <v/>
      </c>
      <c r="G125" s="110">
        <f>SUM(G116:G120)</f>
        <v/>
      </c>
      <c r="H125" s="110">
        <f>SUM(H116:H120)</f>
        <v/>
      </c>
      <c r="I125" s="110">
        <f>SUM(I116:I120)</f>
        <v/>
      </c>
      <c r="J125" s="110">
        <f>SUM(J116:J120)</f>
        <v/>
      </c>
      <c r="K125" s="110">
        <f>SUM(K116:K120)</f>
        <v/>
      </c>
      <c r="L125" s="110">
        <f>SUM(L116:L120)</f>
        <v/>
      </c>
      <c r="M125" s="110">
        <f>SUM(M116:M120)</f>
        <v/>
      </c>
      <c r="N125" s="110">
        <f>SUM(N116:N120)</f>
        <v/>
      </c>
      <c r="O125" s="110">
        <f>SUM(O116:O120)</f>
        <v/>
      </c>
      <c r="P125" s="110">
        <f>SUM(P116:P120)</f>
        <v/>
      </c>
      <c r="Q125" s="110">
        <f>SUM(Q116:Q120)</f>
        <v/>
      </c>
      <c r="R125" s="110">
        <f>SUM(R116:R120)</f>
        <v/>
      </c>
      <c r="S125" s="110">
        <f>SUM(S116:S120)</f>
        <v/>
      </c>
      <c r="T125" s="110">
        <f>SUM(T116:T120)</f>
        <v/>
      </c>
      <c r="U125" s="110">
        <f>SUM(U116:U120)</f>
        <v/>
      </c>
      <c r="V125" s="110">
        <f>SUM(V116:V120)</f>
        <v/>
      </c>
    </row>
    <row r="126" ht="15.75" customHeight="1">
      <c r="A126" s="103" t="n"/>
      <c r="B126" s="100" t="n"/>
      <c r="C126" s="100" t="n"/>
      <c r="D126" s="100" t="n"/>
      <c r="E126" s="100" t="n"/>
      <c r="F126" s="100" t="n"/>
      <c r="G126" s="100" t="n"/>
      <c r="H126" s="100" t="n"/>
      <c r="I126" s="100" t="n"/>
      <c r="J126" s="100" t="n"/>
      <c r="K126" s="100" t="n"/>
      <c r="L126" s="100" t="n"/>
      <c r="M126" s="100" t="n"/>
      <c r="N126" s="100" t="n"/>
      <c r="O126" s="100" t="n"/>
      <c r="P126" s="100" t="n"/>
      <c r="Q126" s="100" t="n"/>
      <c r="R126" s="100" t="n"/>
      <c r="S126" s="100" t="n"/>
      <c r="T126" s="100" t="n"/>
      <c r="U126" s="100" t="n"/>
      <c r="V126" s="100" t="n"/>
    </row>
    <row r="127" ht="15.75" customHeight="1">
      <c r="A127" s="482" t="inlineStr">
        <is>
          <t>GASTO DE SACOLAS E ITENS DOADOS NATAL/2022 - MENSAIS</t>
        </is>
      </c>
    </row>
    <row r="128" ht="15.75" customHeight="1">
      <c r="A128" s="665" t="inlineStr">
        <is>
          <t>VD JAÚ</t>
        </is>
      </c>
      <c r="B128" s="665" t="inlineStr">
        <is>
          <t>DEZEMBRO</t>
        </is>
      </c>
      <c r="C128" s="666" t="n"/>
      <c r="D128" s="666" t="n"/>
      <c r="E128" s="666" t="n"/>
      <c r="F128" s="667" t="n"/>
      <c r="G128" s="665" t="inlineStr">
        <is>
          <t>JANEIRO</t>
        </is>
      </c>
      <c r="H128" s="666" t="n"/>
      <c r="I128" s="666" t="n"/>
      <c r="J128" s="666" t="n"/>
      <c r="K128" s="666" t="n"/>
      <c r="L128" s="667" t="n"/>
      <c r="M128" s="665" t="inlineStr">
        <is>
          <t>FEVEREIRO</t>
        </is>
      </c>
      <c r="N128" s="666" t="n"/>
      <c r="O128" s="666" t="n"/>
      <c r="P128" s="666" t="n"/>
      <c r="Q128" s="667" t="n"/>
      <c r="R128" s="665" t="inlineStr">
        <is>
          <t>MARÇO</t>
        </is>
      </c>
      <c r="S128" s="666" t="n"/>
      <c r="T128" s="666" t="n"/>
      <c r="U128" s="666" t="n"/>
      <c r="V128" s="667" t="n"/>
    </row>
    <row r="129" ht="15.75" customHeight="1">
      <c r="A129" s="668" t="n"/>
      <c r="B129" s="98" t="n">
        <v>44900</v>
      </c>
      <c r="C129" s="98" t="n">
        <v>44907</v>
      </c>
      <c r="D129" s="98" t="n">
        <v>44914</v>
      </c>
      <c r="E129" s="98" t="n">
        <v>44921</v>
      </c>
      <c r="F129" s="99" t="inlineStr">
        <is>
          <t>USOU</t>
        </is>
      </c>
      <c r="G129" s="98" t="n">
        <v>44563</v>
      </c>
      <c r="H129" s="98" t="n">
        <v>44570</v>
      </c>
      <c r="I129" s="98" t="n">
        <v>44577</v>
      </c>
      <c r="J129" s="98" t="n">
        <v>44584</v>
      </c>
      <c r="K129" s="98" t="n">
        <v>44591</v>
      </c>
      <c r="L129" s="99" t="inlineStr">
        <is>
          <t>USOU</t>
        </is>
      </c>
      <c r="M129" s="98" t="n">
        <v>44598</v>
      </c>
      <c r="N129" s="98" t="n">
        <v>44605</v>
      </c>
      <c r="O129" s="98" t="n">
        <v>44612</v>
      </c>
      <c r="P129" s="98" t="n">
        <v>44619</v>
      </c>
      <c r="Q129" s="99" t="inlineStr">
        <is>
          <t>USOU</t>
        </is>
      </c>
      <c r="R129" s="98" t="n">
        <v>44626</v>
      </c>
      <c r="S129" s="98" t="n">
        <v>44633</v>
      </c>
      <c r="T129" s="98" t="n">
        <v>44640</v>
      </c>
      <c r="U129" s="98" t="n">
        <v>44647</v>
      </c>
      <c r="V129" s="99" t="inlineStr">
        <is>
          <t>USOU</t>
        </is>
      </c>
    </row>
    <row r="130" ht="15.75" customHeight="1">
      <c r="A130" s="88" t="inlineStr">
        <is>
          <t>SACOLA PP NATAL</t>
        </is>
      </c>
      <c r="B130" s="107" t="n">
        <v>690</v>
      </c>
      <c r="C130" s="89" t="n">
        <v>510</v>
      </c>
      <c r="D130" s="89" t="n">
        <v>0</v>
      </c>
      <c r="E130" s="89" t="n">
        <v>0</v>
      </c>
      <c r="F130" s="108">
        <f>B130+C130+D130+E130</f>
        <v/>
      </c>
      <c r="G130" s="89" t="n">
        <v>0</v>
      </c>
      <c r="H130" s="89" t="n">
        <v>0</v>
      </c>
      <c r="I130" s="89" t="n">
        <v>0</v>
      </c>
      <c r="J130" s="89" t="n">
        <v>0</v>
      </c>
      <c r="K130" s="89" t="n">
        <v>0</v>
      </c>
      <c r="L130" s="108">
        <f>G130+H130+I130+J130+K130</f>
        <v/>
      </c>
      <c r="M130" s="89" t="n">
        <v>0</v>
      </c>
      <c r="N130" s="89" t="n">
        <v>0</v>
      </c>
      <c r="O130" s="89" t="n">
        <v>0</v>
      </c>
      <c r="P130" s="89" t="n">
        <v>0</v>
      </c>
      <c r="Q130" s="108">
        <f>M130+N130+O130+P130</f>
        <v/>
      </c>
      <c r="R130" s="89" t="n">
        <v>0</v>
      </c>
      <c r="S130" s="89" t="n">
        <v>0</v>
      </c>
      <c r="T130" s="89" t="n"/>
      <c r="U130" s="89" t="n"/>
      <c r="V130" s="108">
        <f>R130+S130+T130+U130</f>
        <v/>
      </c>
    </row>
    <row r="131" ht="15.75" customHeight="1">
      <c r="A131" s="91" t="inlineStr">
        <is>
          <t>SACOLA P NATAL</t>
        </is>
      </c>
      <c r="B131" s="89" t="n">
        <v>1211</v>
      </c>
      <c r="C131" s="89" t="n">
        <v>389</v>
      </c>
      <c r="D131" s="89" t="n">
        <v>0</v>
      </c>
      <c r="E131" s="89" t="n">
        <v>0</v>
      </c>
      <c r="F131" s="108">
        <f>B131+C131+D131+E131</f>
        <v/>
      </c>
      <c r="G131" s="89" t="n">
        <v>0</v>
      </c>
      <c r="H131" s="89" t="n">
        <v>0</v>
      </c>
      <c r="I131" s="89" t="n">
        <v>0</v>
      </c>
      <c r="J131" s="89" t="n">
        <v>0</v>
      </c>
      <c r="K131" s="89" t="n">
        <v>0</v>
      </c>
      <c r="L131" s="108">
        <f>G131+H131+I131+J131+K131</f>
        <v/>
      </c>
      <c r="M131" s="89" t="n">
        <v>0</v>
      </c>
      <c r="N131" s="89" t="n">
        <v>0</v>
      </c>
      <c r="O131" s="89" t="n">
        <v>0</v>
      </c>
      <c r="P131" s="89" t="n">
        <v>0</v>
      </c>
      <c r="Q131" s="108">
        <f>M131+N131+O131+P131</f>
        <v/>
      </c>
      <c r="R131" s="89" t="n">
        <v>0</v>
      </c>
      <c r="S131" s="89" t="n">
        <v>0</v>
      </c>
      <c r="T131" s="89" t="n"/>
      <c r="U131" s="89" t="n"/>
      <c r="V131" s="108">
        <f>R131+S131+T131+U131</f>
        <v/>
      </c>
    </row>
    <row r="132" ht="15.75" customHeight="1">
      <c r="A132" s="91" t="inlineStr">
        <is>
          <t>SACOLA M NATAL</t>
        </is>
      </c>
      <c r="B132" s="89" t="n">
        <v>1156</v>
      </c>
      <c r="C132" s="89" t="n">
        <v>202</v>
      </c>
      <c r="D132" s="89" t="n">
        <v>442</v>
      </c>
      <c r="E132" s="89" t="n">
        <v>0</v>
      </c>
      <c r="F132" s="108">
        <f>B132+C132+D132+E132</f>
        <v/>
      </c>
      <c r="G132" s="89" t="n">
        <v>0</v>
      </c>
      <c r="H132" s="89" t="n">
        <v>0</v>
      </c>
      <c r="I132" s="89" t="n">
        <v>0</v>
      </c>
      <c r="J132" s="89" t="n">
        <v>0</v>
      </c>
      <c r="K132" s="89" t="n">
        <v>0</v>
      </c>
      <c r="L132" s="108">
        <f>G132+H132+I132+J132+K132</f>
        <v/>
      </c>
      <c r="M132" s="89" t="n">
        <v>0</v>
      </c>
      <c r="N132" s="89" t="n">
        <v>0</v>
      </c>
      <c r="O132" s="89" t="n">
        <v>0</v>
      </c>
      <c r="P132" s="89" t="n">
        <v>0</v>
      </c>
      <c r="Q132" s="108">
        <f>M132+N132+O132+P132</f>
        <v/>
      </c>
      <c r="R132" s="89" t="n">
        <v>0</v>
      </c>
      <c r="S132" s="89" t="n">
        <v>0</v>
      </c>
      <c r="T132" s="89" t="n"/>
      <c r="U132" s="89" t="n"/>
      <c r="V132" s="108">
        <f>R132+S132+T132+U132</f>
        <v/>
      </c>
    </row>
    <row r="133" ht="15.75" customHeight="1">
      <c r="A133" s="91" t="inlineStr">
        <is>
          <t>SACOLA G NATAL</t>
        </is>
      </c>
      <c r="B133" s="89" t="n">
        <v>653</v>
      </c>
      <c r="C133" s="89" t="n">
        <v>157</v>
      </c>
      <c r="D133" s="89" t="n">
        <v>73</v>
      </c>
      <c r="E133" s="89" t="n">
        <v>260</v>
      </c>
      <c r="F133" s="108">
        <f>B133+C133+D133+E133</f>
        <v/>
      </c>
      <c r="G133" s="89" t="n">
        <v>176</v>
      </c>
      <c r="H133" s="89" t="n">
        <v>288</v>
      </c>
      <c r="I133" s="89" t="n">
        <v>43</v>
      </c>
      <c r="J133" s="89" t="n">
        <v>48</v>
      </c>
      <c r="K133" s="89" t="n">
        <v>204</v>
      </c>
      <c r="L133" s="108">
        <f>G133+H133+I133+J133+K133</f>
        <v/>
      </c>
      <c r="M133" s="89" t="n">
        <v>125</v>
      </c>
      <c r="N133" s="89" t="n">
        <v>186</v>
      </c>
      <c r="O133" s="89" t="n">
        <v>123</v>
      </c>
      <c r="P133" s="89" t="n">
        <v>168</v>
      </c>
      <c r="Q133" s="108">
        <f>M133+N133+O133+P133</f>
        <v/>
      </c>
      <c r="R133" s="89" t="n">
        <v>76</v>
      </c>
      <c r="S133" s="89" t="n">
        <v>53</v>
      </c>
      <c r="T133" s="89" t="n"/>
      <c r="U133" s="89" t="n"/>
      <c r="V133" s="108">
        <f>R133+S133+T133+U133</f>
        <v/>
      </c>
    </row>
    <row r="134" ht="15.75" customHeight="1">
      <c r="A134" s="92" t="inlineStr">
        <is>
          <t>CARTUCHO P NATAL</t>
        </is>
      </c>
      <c r="B134" s="89" t="n">
        <v>200</v>
      </c>
      <c r="C134" s="89" t="n">
        <v>0</v>
      </c>
      <c r="D134" s="89" t="n">
        <v>2</v>
      </c>
      <c r="E134" s="89" t="n">
        <v>48</v>
      </c>
      <c r="F134" s="108">
        <f>B134+C134+D134+E134</f>
        <v/>
      </c>
      <c r="G134" s="89" t="n">
        <v>0</v>
      </c>
      <c r="H134" s="89" t="n">
        <v>0</v>
      </c>
      <c r="I134" s="89" t="n">
        <v>0</v>
      </c>
      <c r="J134" s="89" t="n">
        <v>0</v>
      </c>
      <c r="K134" s="89" t="n">
        <v>0</v>
      </c>
      <c r="L134" s="108">
        <f>G134+H134+I134+J134+K134</f>
        <v/>
      </c>
      <c r="M134" s="89" t="n">
        <v>0</v>
      </c>
      <c r="N134" s="89" t="n">
        <v>0</v>
      </c>
      <c r="O134" s="89" t="n">
        <v>0</v>
      </c>
      <c r="P134" s="89" t="n">
        <v>0</v>
      </c>
      <c r="Q134" s="108">
        <f>M134+N134+O134+P134</f>
        <v/>
      </c>
      <c r="R134" s="89" t="n">
        <v>0</v>
      </c>
      <c r="S134" s="89" t="n">
        <v>0</v>
      </c>
      <c r="T134" s="89" t="n"/>
      <c r="U134" s="89" t="n"/>
      <c r="V134" s="108">
        <f>R134+S134+T134+U134</f>
        <v/>
      </c>
    </row>
    <row r="135" ht="15.75" customHeight="1">
      <c r="A135" s="92" t="inlineStr">
        <is>
          <t>CARTUCHO M NATAL</t>
        </is>
      </c>
      <c r="B135" s="89" t="n">
        <v>150</v>
      </c>
      <c r="C135" s="89" t="n">
        <v>0</v>
      </c>
      <c r="D135" s="89" t="n">
        <v>1</v>
      </c>
      <c r="E135" s="89" t="n">
        <v>48</v>
      </c>
      <c r="F135" s="108">
        <f>B135+C135+D135+E135</f>
        <v/>
      </c>
      <c r="G135" s="89" t="n">
        <v>0</v>
      </c>
      <c r="H135" s="89" t="n">
        <v>0</v>
      </c>
      <c r="I135" s="89" t="n">
        <v>0</v>
      </c>
      <c r="J135" s="89" t="n">
        <v>0</v>
      </c>
      <c r="K135" s="89" t="n">
        <v>0</v>
      </c>
      <c r="L135" s="108">
        <f>G135+H135+I135+J135+K135</f>
        <v/>
      </c>
      <c r="M135" s="89" t="n">
        <v>0</v>
      </c>
      <c r="N135" s="89" t="n">
        <v>0</v>
      </c>
      <c r="O135" s="89" t="n">
        <v>0</v>
      </c>
      <c r="P135" s="89" t="n">
        <v>0</v>
      </c>
      <c r="Q135" s="108">
        <f>M135+N135+O135+P135</f>
        <v/>
      </c>
      <c r="R135" s="89" t="n">
        <v>0</v>
      </c>
      <c r="S135" s="89" t="n">
        <v>0</v>
      </c>
      <c r="T135" s="89" t="n"/>
      <c r="U135" s="89" t="n"/>
      <c r="V135" s="108">
        <f>R135+S135+T135+U135</f>
        <v/>
      </c>
    </row>
    <row r="136" ht="18" customHeight="1">
      <c r="A136" s="93" t="inlineStr">
        <is>
          <t>TAG NATAL/2022</t>
        </is>
      </c>
      <c r="B136" s="89" t="n">
        <v>11</v>
      </c>
      <c r="C136" s="89" t="n">
        <v>2</v>
      </c>
      <c r="D136" s="89" t="n">
        <v>2</v>
      </c>
      <c r="E136" s="89" t="n">
        <v>0</v>
      </c>
      <c r="F136" s="108">
        <f>B136+C136+D136+E136</f>
        <v/>
      </c>
      <c r="G136" s="89" t="n">
        <v>0</v>
      </c>
      <c r="H136" s="89" t="n">
        <v>0</v>
      </c>
      <c r="I136" s="89" t="n">
        <v>0</v>
      </c>
      <c r="J136" s="89" t="n">
        <v>0</v>
      </c>
      <c r="K136" s="89" t="n">
        <v>0</v>
      </c>
      <c r="L136" s="108">
        <f>G136+H136+I136+J136+K136</f>
        <v/>
      </c>
      <c r="M136" s="89" t="n">
        <v>0</v>
      </c>
      <c r="N136" s="89" t="n">
        <v>0</v>
      </c>
      <c r="O136" s="89" t="n">
        <v>0</v>
      </c>
      <c r="P136" s="89" t="n">
        <v>0</v>
      </c>
      <c r="Q136" s="108">
        <f>M136+N136+O136+P136</f>
        <v/>
      </c>
      <c r="R136" s="89" t="n">
        <v>0</v>
      </c>
      <c r="S136" s="89" t="n">
        <v>0</v>
      </c>
      <c r="T136" s="89" t="n"/>
      <c r="U136" s="89" t="n"/>
      <c r="V136" s="108">
        <f>R136+S136+T136+U136</f>
        <v/>
      </c>
    </row>
    <row r="137" ht="18" customHeight="1">
      <c r="A137" s="93" t="inlineStr">
        <is>
          <t>PAPEL DE SEDA NATAL/2022</t>
        </is>
      </c>
      <c r="B137" s="89" t="n">
        <v>0</v>
      </c>
      <c r="C137" s="89" t="n">
        <v>0</v>
      </c>
      <c r="D137" s="89" t="n">
        <v>0</v>
      </c>
      <c r="E137" s="89" t="n">
        <v>0</v>
      </c>
      <c r="F137" s="108">
        <f>B137+C137+D137+E137</f>
        <v/>
      </c>
      <c r="G137" s="89" t="n">
        <v>0</v>
      </c>
      <c r="H137" s="89" t="n">
        <v>0</v>
      </c>
      <c r="I137" s="89" t="n">
        <v>0</v>
      </c>
      <c r="J137" s="89" t="n">
        <v>0</v>
      </c>
      <c r="K137" s="89" t="n">
        <v>0</v>
      </c>
      <c r="L137" s="108">
        <f>G137+H137+I137+J137+K137</f>
        <v/>
      </c>
      <c r="M137" s="89" t="n">
        <v>0</v>
      </c>
      <c r="N137" s="89" t="n">
        <v>0</v>
      </c>
      <c r="O137" s="89" t="n">
        <v>0</v>
      </c>
      <c r="P137" s="89" t="n">
        <v>0</v>
      </c>
      <c r="Q137" s="108">
        <f>M137+N137+O137+P137</f>
        <v/>
      </c>
      <c r="R137" s="89" t="n">
        <v>0</v>
      </c>
      <c r="S137" s="89" t="n">
        <v>0</v>
      </c>
      <c r="T137" s="89" t="n"/>
      <c r="U137" s="89" t="n"/>
      <c r="V137" s="108">
        <f>R137+S137+T137+U137</f>
        <v/>
      </c>
    </row>
    <row r="138" ht="15.75" customHeight="1">
      <c r="A138" s="93" t="inlineStr">
        <is>
          <t>KIT PAPEL DE SEDA NATAL/2022</t>
        </is>
      </c>
      <c r="B138" s="89" t="n">
        <v>40</v>
      </c>
      <c r="C138" s="89" t="n">
        <v>0</v>
      </c>
      <c r="D138" s="89" t="n">
        <v>0</v>
      </c>
      <c r="E138" s="89" t="n">
        <v>0</v>
      </c>
      <c r="F138" s="108">
        <f>B138+C138+D138+E138</f>
        <v/>
      </c>
      <c r="G138" s="89" t="n">
        <v>0</v>
      </c>
      <c r="H138" s="89" t="n">
        <v>0</v>
      </c>
      <c r="I138" s="89" t="n">
        <v>0</v>
      </c>
      <c r="J138" s="89" t="n">
        <v>0</v>
      </c>
      <c r="K138" s="89" t="n">
        <v>0</v>
      </c>
      <c r="L138" s="108">
        <f>G138+H138+I138+J138+K138</f>
        <v/>
      </c>
      <c r="M138" s="89" t="n">
        <v>0</v>
      </c>
      <c r="N138" s="89" t="n">
        <v>0</v>
      </c>
      <c r="O138" s="89" t="n">
        <v>0</v>
      </c>
      <c r="P138" s="89" t="n">
        <v>0</v>
      </c>
      <c r="Q138" s="108">
        <f>M138+N138+O138+P138</f>
        <v/>
      </c>
      <c r="R138" s="89" t="n">
        <v>0</v>
      </c>
      <c r="S138" s="89" t="n">
        <v>0</v>
      </c>
      <c r="T138" s="89" t="n"/>
      <c r="U138" s="89" t="n"/>
      <c r="V138" s="108">
        <f>R138+S138+T138+U138</f>
        <v/>
      </c>
    </row>
    <row r="139" ht="15.75" customHeight="1">
      <c r="A139" s="93" t="inlineStr">
        <is>
          <t>KIT DE TAG NATAL/2022</t>
        </is>
      </c>
      <c r="B139" s="89" t="n">
        <v>14</v>
      </c>
      <c r="C139" s="89" t="n">
        <v>5</v>
      </c>
      <c r="D139" s="89" t="n">
        <v>4</v>
      </c>
      <c r="E139" s="89" t="n">
        <v>13</v>
      </c>
      <c r="F139" s="108">
        <f>B139+C139+D139+E139</f>
        <v/>
      </c>
      <c r="G139" s="89" t="n">
        <v>0</v>
      </c>
      <c r="H139" s="89" t="n">
        <v>0</v>
      </c>
      <c r="I139" s="89" t="n">
        <v>0</v>
      </c>
      <c r="J139" s="89" t="n">
        <v>0</v>
      </c>
      <c r="K139" s="89" t="n">
        <v>0</v>
      </c>
      <c r="L139" s="108" t="n"/>
      <c r="M139" s="89" t="n">
        <v>0</v>
      </c>
      <c r="N139" s="89" t="n">
        <v>0</v>
      </c>
      <c r="O139" s="89" t="n">
        <v>0</v>
      </c>
      <c r="P139" s="89" t="n">
        <v>0</v>
      </c>
      <c r="Q139" s="108">
        <f>M139+N139+O139+P139</f>
        <v/>
      </c>
      <c r="R139" s="89" t="n">
        <v>0</v>
      </c>
      <c r="S139" s="89" t="n">
        <v>0</v>
      </c>
      <c r="T139" s="89" t="n"/>
      <c r="U139" s="89" t="n"/>
      <c r="V139" s="108">
        <f>R139+S139+T139+U139</f>
        <v/>
      </c>
    </row>
    <row r="140" ht="15.75" customHeight="1">
      <c r="A140" s="112" t="inlineStr">
        <is>
          <t>KIT DE TAG NATAL/2021</t>
        </is>
      </c>
      <c r="B140" s="89" t="n">
        <v>3</v>
      </c>
      <c r="C140" s="89" t="n">
        <v>0</v>
      </c>
      <c r="D140" s="89" t="n">
        <v>0</v>
      </c>
      <c r="E140" s="89" t="n">
        <v>0</v>
      </c>
      <c r="F140" s="108">
        <f>B140+C140+D140+E140</f>
        <v/>
      </c>
      <c r="G140" s="89" t="n">
        <v>0</v>
      </c>
      <c r="H140" s="89" t="n">
        <v>0</v>
      </c>
      <c r="I140" s="89" t="n">
        <v>0</v>
      </c>
      <c r="J140" s="89" t="n">
        <v>0</v>
      </c>
      <c r="K140" s="89" t="n">
        <v>0</v>
      </c>
      <c r="L140" s="108" t="n"/>
      <c r="M140" s="89" t="n">
        <v>0</v>
      </c>
      <c r="N140" s="89" t="n">
        <v>0</v>
      </c>
      <c r="O140" s="89" t="n">
        <v>0</v>
      </c>
      <c r="P140" s="89" t="n">
        <v>0</v>
      </c>
      <c r="Q140" s="108">
        <f>M140+N140+O140+P140</f>
        <v/>
      </c>
      <c r="R140" s="89" t="n">
        <v>0</v>
      </c>
      <c r="S140" s="89" t="n">
        <v>0</v>
      </c>
      <c r="T140" s="89" t="n"/>
      <c r="U140" s="89" t="n"/>
      <c r="V140" s="108">
        <f>R140+S140+T140+U140</f>
        <v/>
      </c>
    </row>
    <row r="141" ht="15.75" customHeight="1">
      <c r="A141" s="109" t="inlineStr">
        <is>
          <t>TOTAL DE SACOLAS</t>
        </is>
      </c>
      <c r="B141" s="110">
        <f>SUM(B130:B133)</f>
        <v/>
      </c>
      <c r="C141" s="110">
        <f>SUM(C130:C133)</f>
        <v/>
      </c>
      <c r="D141" s="110">
        <f>SUM(D130:D133)</f>
        <v/>
      </c>
      <c r="E141" s="110">
        <f>SUM(E130:E133)</f>
        <v/>
      </c>
      <c r="F141" s="110">
        <f>SUM(F130:F133)</f>
        <v/>
      </c>
      <c r="G141" s="110">
        <f>SUM(G130:G134)</f>
        <v/>
      </c>
      <c r="H141" s="110">
        <f>SUM(H130:H134)</f>
        <v/>
      </c>
      <c r="I141" s="110">
        <f>SUM(I130:I134)</f>
        <v/>
      </c>
      <c r="J141" s="110">
        <f>SUM(J130:J134)</f>
        <v/>
      </c>
      <c r="K141" s="110">
        <f>SUM(K130:K134)</f>
        <v/>
      </c>
      <c r="L141" s="110">
        <f>SUM(L130:L134)</f>
        <v/>
      </c>
      <c r="M141" s="110">
        <f>SUM(M130:M134)</f>
        <v/>
      </c>
      <c r="N141" s="110">
        <f>SUM(N130:N134)</f>
        <v/>
      </c>
      <c r="O141" s="110">
        <f>SUM(O130:O134)</f>
        <v/>
      </c>
      <c r="P141" s="110">
        <f>SUM(P130:P134)</f>
        <v/>
      </c>
      <c r="Q141" s="110">
        <f>SUM(Q130:Q134)</f>
        <v/>
      </c>
      <c r="R141" s="110">
        <f>SUM(R130:R134)</f>
        <v/>
      </c>
      <c r="S141" s="110">
        <f>SUM(S130:S134)</f>
        <v/>
      </c>
      <c r="T141" s="110">
        <f>SUM(T130:T134)</f>
        <v/>
      </c>
      <c r="U141" s="110">
        <f>SUM(U130:U134)</f>
        <v/>
      </c>
      <c r="V141" s="110">
        <f>SUM(V130:V134)</f>
        <v/>
      </c>
    </row>
    <row r="142" ht="15.75" customHeight="1">
      <c r="A142" s="103" t="n"/>
      <c r="B142" s="100" t="n"/>
      <c r="C142" s="100" t="n"/>
      <c r="D142" s="100" t="n"/>
      <c r="E142" s="100" t="n"/>
      <c r="F142" s="100" t="n"/>
      <c r="G142" s="100" t="n"/>
      <c r="H142" s="100" t="n"/>
      <c r="I142" s="100" t="n"/>
      <c r="J142" s="100" t="n"/>
      <c r="K142" s="100" t="n"/>
      <c r="L142" s="100" t="n"/>
      <c r="M142" s="100" t="n"/>
      <c r="N142" s="100" t="n"/>
      <c r="O142" s="100" t="n"/>
      <c r="P142" s="100" t="n"/>
      <c r="Q142" s="100" t="n"/>
      <c r="R142" s="100" t="n"/>
      <c r="S142" s="100" t="n"/>
      <c r="T142" s="100" t="n"/>
      <c r="U142" s="100" t="n"/>
      <c r="V142" s="100" t="n"/>
    </row>
    <row r="143" ht="15.75" customHeight="1">
      <c r="A143" s="103" t="n"/>
      <c r="B143" s="100" t="n"/>
      <c r="C143" s="100" t="n"/>
      <c r="D143" s="100" t="n"/>
      <c r="E143" s="100" t="n"/>
      <c r="F143" s="100" t="n"/>
      <c r="G143" s="100" t="n"/>
      <c r="H143" s="100" t="n"/>
      <c r="I143" s="100" t="n"/>
      <c r="J143" s="100" t="n"/>
      <c r="K143" s="100" t="n"/>
      <c r="L143" s="100" t="n"/>
      <c r="M143" s="100" t="n"/>
      <c r="N143" s="100" t="n"/>
      <c r="O143" s="100" t="n"/>
      <c r="P143" s="100" t="n"/>
      <c r="Q143" s="100" t="n"/>
      <c r="R143" s="100" t="n"/>
      <c r="S143" s="100" t="n"/>
      <c r="T143" s="100" t="n"/>
      <c r="U143" s="100" t="n"/>
      <c r="V143" s="100" t="n"/>
    </row>
    <row r="144" ht="15.75" customHeight="1">
      <c r="A144" s="103" t="n"/>
      <c r="B144" s="100" t="n"/>
      <c r="C144" s="100" t="n"/>
      <c r="D144" s="100" t="n"/>
      <c r="E144" s="100" t="n"/>
      <c r="F144" s="100" t="n"/>
      <c r="G144" s="100" t="n"/>
      <c r="H144" s="100" t="n"/>
      <c r="I144" s="100" t="n"/>
      <c r="J144" s="100" t="n"/>
      <c r="K144" s="100" t="n"/>
      <c r="L144" s="100" t="n"/>
      <c r="M144" s="100" t="n"/>
      <c r="N144" s="100" t="n"/>
      <c r="O144" s="100" t="n"/>
      <c r="P144" s="100" t="n"/>
      <c r="Q144" s="100" t="n"/>
      <c r="R144" s="100" t="n"/>
      <c r="S144" s="100" t="n"/>
      <c r="T144" s="100" t="n"/>
      <c r="U144" s="100" t="n"/>
      <c r="V144" s="100" t="n"/>
    </row>
    <row r="145" ht="15.75" customHeight="1">
      <c r="A145" s="103" t="n"/>
      <c r="B145" s="100" t="n"/>
      <c r="C145" s="100" t="n"/>
      <c r="D145" s="100" t="n"/>
      <c r="E145" s="100" t="n"/>
      <c r="F145" s="100" t="n"/>
      <c r="G145" s="100" t="n"/>
      <c r="H145" s="100" t="n"/>
      <c r="I145" s="100" t="n"/>
      <c r="J145" s="100" t="n"/>
      <c r="K145" s="100" t="n"/>
      <c r="L145" s="100" t="n"/>
      <c r="M145" s="100" t="n"/>
      <c r="N145" s="100" t="n"/>
      <c r="O145" s="100" t="n"/>
      <c r="P145" s="100" t="n"/>
      <c r="Q145" s="100" t="n"/>
      <c r="R145" s="100" t="n"/>
      <c r="S145" s="100" t="n"/>
      <c r="T145" s="100" t="n"/>
      <c r="U145" s="100" t="n"/>
      <c r="V145" s="100" t="n"/>
    </row>
    <row r="146" ht="15.75" customHeight="1">
      <c r="A146" s="103" t="n"/>
      <c r="B146" s="100" t="n"/>
      <c r="C146" s="100" t="n"/>
      <c r="D146" s="100" t="n"/>
      <c r="E146" s="100" t="n"/>
      <c r="F146" s="100" t="n"/>
      <c r="G146" s="100" t="n"/>
      <c r="H146" s="100" t="n"/>
      <c r="I146" s="100" t="n"/>
      <c r="J146" s="100" t="n"/>
      <c r="K146" s="100" t="n"/>
      <c r="L146" s="100" t="n"/>
      <c r="M146" s="100" t="n"/>
      <c r="N146" s="100" t="n"/>
      <c r="O146" s="100" t="n"/>
      <c r="P146" s="100" t="n"/>
      <c r="Q146" s="100" t="n"/>
      <c r="R146" s="100" t="n"/>
      <c r="S146" s="100" t="n"/>
      <c r="T146" s="100" t="n"/>
      <c r="U146" s="100" t="n"/>
      <c r="V146" s="100" t="n"/>
    </row>
    <row r="147" ht="15.75" customHeight="1">
      <c r="A147" s="103" t="n"/>
      <c r="B147" s="100" t="n"/>
      <c r="C147" s="100" t="n"/>
      <c r="D147" s="100" t="n"/>
      <c r="E147" s="100" t="n"/>
      <c r="F147" s="100" t="n"/>
      <c r="G147" s="100" t="n"/>
      <c r="H147" s="100" t="n"/>
      <c r="I147" s="100" t="n"/>
      <c r="J147" s="100" t="n"/>
      <c r="K147" s="100" t="n"/>
      <c r="L147" s="100" t="n"/>
      <c r="M147" s="100" t="n"/>
      <c r="N147" s="100" t="n"/>
      <c r="O147" s="100" t="n"/>
      <c r="P147" s="100" t="n"/>
      <c r="Q147" s="100" t="n"/>
      <c r="R147" s="100" t="n"/>
      <c r="S147" s="100" t="n"/>
      <c r="T147" s="100" t="n"/>
      <c r="U147" s="100" t="n"/>
      <c r="V147" s="100" t="n"/>
    </row>
    <row r="148" ht="15.75" customHeight="1">
      <c r="A148" s="103" t="n"/>
      <c r="B148" s="100" t="n"/>
      <c r="C148" s="100" t="n"/>
      <c r="D148" s="100" t="n"/>
      <c r="E148" s="100" t="n"/>
      <c r="F148" s="100" t="n"/>
      <c r="G148" s="100" t="n"/>
      <c r="H148" s="100" t="n"/>
      <c r="I148" s="100" t="n"/>
      <c r="J148" s="100" t="n"/>
      <c r="K148" s="100" t="n"/>
      <c r="L148" s="100" t="n"/>
      <c r="M148" s="100" t="n"/>
      <c r="N148" s="100" t="n"/>
      <c r="O148" s="100" t="n"/>
      <c r="P148" s="100" t="n"/>
      <c r="Q148" s="100" t="n"/>
      <c r="R148" s="100" t="n"/>
      <c r="S148" s="100" t="n"/>
      <c r="T148" s="100" t="n"/>
      <c r="U148" s="100" t="n"/>
      <c r="V148" s="100" t="n"/>
    </row>
    <row r="149" ht="15.75" customHeight="1">
      <c r="A149" s="103" t="n"/>
      <c r="B149" s="100" t="n"/>
      <c r="C149" s="100" t="n"/>
      <c r="D149" s="100" t="n"/>
      <c r="E149" s="100" t="n"/>
      <c r="F149" s="100" t="n"/>
      <c r="G149" s="100" t="n"/>
      <c r="H149" s="100" t="n"/>
      <c r="I149" s="100" t="n"/>
      <c r="J149" s="100" t="n"/>
      <c r="K149" s="100" t="n"/>
      <c r="L149" s="100" t="n"/>
      <c r="M149" s="100" t="n"/>
      <c r="N149" s="100" t="n"/>
      <c r="O149" s="100" t="n"/>
      <c r="P149" s="100" t="n"/>
      <c r="Q149" s="100" t="n"/>
      <c r="R149" s="100" t="n"/>
      <c r="S149" s="100" t="n"/>
      <c r="T149" s="100" t="n"/>
      <c r="U149" s="100" t="n"/>
      <c r="V149" s="100" t="n"/>
    </row>
    <row r="150" ht="15.75" customHeight="1">
      <c r="A150" s="103" t="n"/>
      <c r="B150" s="100" t="n"/>
      <c r="C150" s="100" t="n"/>
      <c r="D150" s="100" t="n"/>
      <c r="E150" s="100" t="n"/>
      <c r="F150" s="100" t="n"/>
      <c r="G150" s="100" t="n"/>
      <c r="H150" s="100" t="n"/>
      <c r="I150" s="100" t="n"/>
      <c r="J150" s="100" t="n"/>
      <c r="K150" s="100" t="n"/>
      <c r="L150" s="100" t="n"/>
      <c r="M150" s="100" t="n"/>
      <c r="N150" s="100" t="n"/>
      <c r="O150" s="100" t="n"/>
      <c r="P150" s="100" t="n"/>
      <c r="Q150" s="100" t="n"/>
      <c r="R150" s="100" t="n"/>
      <c r="S150" s="100" t="n"/>
      <c r="T150" s="100" t="n"/>
      <c r="U150" s="100" t="n"/>
      <c r="V150" s="100" t="n"/>
    </row>
    <row r="151" ht="15.75" customHeight="1">
      <c r="A151" s="103" t="n"/>
      <c r="B151" s="100" t="n"/>
      <c r="C151" s="100" t="n"/>
      <c r="D151" s="100" t="n"/>
      <c r="E151" s="100" t="n"/>
      <c r="F151" s="100" t="n"/>
      <c r="G151" s="100" t="n"/>
      <c r="H151" s="100" t="n"/>
      <c r="I151" s="100" t="n"/>
      <c r="J151" s="100" t="n"/>
      <c r="K151" s="100" t="n"/>
      <c r="L151" s="100" t="n"/>
      <c r="M151" s="100" t="n"/>
      <c r="N151" s="100" t="n"/>
      <c r="O151" s="100" t="n"/>
      <c r="P151" s="100" t="n"/>
      <c r="Q151" s="100" t="n"/>
      <c r="R151" s="100" t="n"/>
      <c r="S151" s="100" t="n"/>
      <c r="T151" s="100" t="n"/>
      <c r="U151" s="100" t="n"/>
      <c r="V151" s="100" t="n"/>
    </row>
    <row r="152" ht="15.75" customHeight="1">
      <c r="A152" s="103" t="n"/>
      <c r="B152" s="100" t="n"/>
      <c r="C152" s="100" t="n"/>
      <c r="D152" s="100" t="n"/>
      <c r="E152" s="100" t="n"/>
      <c r="F152" s="100" t="n"/>
      <c r="G152" s="100" t="n"/>
      <c r="H152" s="100" t="n"/>
      <c r="I152" s="100" t="n"/>
      <c r="J152" s="100" t="n"/>
      <c r="K152" s="100" t="n"/>
      <c r="L152" s="100" t="n"/>
      <c r="M152" s="100" t="n"/>
      <c r="N152" s="100" t="n"/>
      <c r="O152" s="100" t="n"/>
      <c r="P152" s="100" t="n"/>
      <c r="Q152" s="100" t="n"/>
      <c r="R152" s="100" t="n"/>
      <c r="S152" s="100" t="n"/>
      <c r="T152" s="100" t="n"/>
      <c r="U152" s="100" t="n"/>
      <c r="V152" s="100" t="n"/>
    </row>
    <row r="153" ht="15.75" customHeight="1">
      <c r="A153" s="104" t="n"/>
      <c r="B153" s="105" t="n"/>
      <c r="C153" s="105" t="n"/>
      <c r="D153" s="105" t="n"/>
      <c r="E153" s="105" t="n"/>
      <c r="F153" s="105" t="n"/>
      <c r="G153" s="105" t="n"/>
      <c r="H153" s="105" t="n"/>
      <c r="I153" s="105" t="n"/>
      <c r="J153" s="105" t="n"/>
      <c r="K153" s="105" t="n"/>
      <c r="L153" s="105" t="n"/>
      <c r="M153" s="105" t="n"/>
      <c r="N153" s="105" t="n"/>
      <c r="O153" s="105" t="n"/>
      <c r="P153" s="105" t="n"/>
      <c r="Q153" s="105" t="n"/>
      <c r="R153" s="105" t="n"/>
      <c r="S153" s="105" t="n"/>
      <c r="T153" s="105" t="n"/>
      <c r="U153" s="105" t="n"/>
      <c r="V153" s="105" t="n"/>
    </row>
    <row r="155" ht="18" customHeight="1">
      <c r="A155" s="106" t="n"/>
      <c r="B155" s="106" t="n"/>
      <c r="C155" s="106" t="n"/>
      <c r="D155" s="106" t="n"/>
      <c r="E155" s="106" t="n"/>
      <c r="F155" s="106" t="n"/>
      <c r="G155" s="106" t="n"/>
      <c r="H155" s="106" t="n"/>
      <c r="I155" s="106" t="n"/>
      <c r="J155" s="106" t="n"/>
      <c r="K155" s="106" t="n"/>
      <c r="L155" s="106" t="n"/>
      <c r="M155" s="106" t="n"/>
      <c r="N155" s="106" t="n"/>
      <c r="O155" s="106" t="n"/>
      <c r="P155" s="106" t="n"/>
      <c r="Q155" s="106" t="n"/>
      <c r="R155" s="106" t="n"/>
      <c r="S155" s="106" t="n"/>
      <c r="T155" s="106" t="n"/>
      <c r="U155" s="106" t="n"/>
      <c r="V155" s="106" t="n"/>
    </row>
    <row r="156" ht="18" customHeight="1">
      <c r="A156" s="106" t="n"/>
      <c r="B156" s="106" t="n"/>
      <c r="C156" s="106" t="n"/>
      <c r="D156" s="106" t="n"/>
      <c r="E156" s="106" t="n"/>
      <c r="F156" s="106" t="n"/>
      <c r="G156" s="106" t="n"/>
      <c r="H156" s="106" t="n"/>
      <c r="I156" s="106" t="n"/>
      <c r="J156" s="106" t="n"/>
      <c r="K156" s="106" t="n"/>
      <c r="L156" s="106" t="n"/>
      <c r="M156" s="106" t="n"/>
      <c r="N156" s="106" t="n"/>
      <c r="O156" s="106" t="n"/>
      <c r="P156" s="106" t="n"/>
      <c r="Q156" s="106" t="n"/>
      <c r="R156" s="106" t="n"/>
      <c r="S156" s="106" t="n"/>
      <c r="T156" s="106" t="n"/>
      <c r="U156" s="106" t="n"/>
      <c r="V156" s="106" t="n"/>
    </row>
    <row r="157" ht="15.75" customHeight="1">
      <c r="A157" s="106" t="n"/>
      <c r="B157" s="101" t="n"/>
      <c r="C157" s="101" t="n"/>
      <c r="D157" s="101" t="n"/>
      <c r="E157" s="101" t="n"/>
      <c r="F157" s="102" t="n"/>
      <c r="G157" s="101" t="n"/>
      <c r="H157" s="101" t="n"/>
      <c r="I157" s="101" t="n"/>
      <c r="J157" s="101" t="n"/>
      <c r="K157" s="101" t="n"/>
      <c r="L157" s="102" t="n"/>
      <c r="M157" s="101" t="n"/>
      <c r="N157" s="101" t="n"/>
      <c r="O157" s="101" t="n"/>
      <c r="P157" s="101" t="n"/>
      <c r="Q157" s="102" t="n"/>
      <c r="R157" s="101" t="n"/>
      <c r="S157" s="101" t="n"/>
      <c r="T157" s="101" t="n"/>
      <c r="U157" s="101" t="n"/>
      <c r="V157" s="102" t="n"/>
    </row>
    <row r="158" ht="15.75" customHeight="1">
      <c r="A158" s="103" t="n"/>
      <c r="B158" s="100" t="n"/>
      <c r="C158" s="100" t="n"/>
      <c r="D158" s="100" t="n"/>
      <c r="E158" s="100" t="n"/>
      <c r="F158" s="100" t="n"/>
      <c r="G158" s="100" t="n"/>
      <c r="H158" s="100" t="n"/>
      <c r="I158" s="100" t="n"/>
      <c r="J158" s="100" t="n"/>
      <c r="K158" s="100" t="n"/>
      <c r="L158" s="100" t="n"/>
      <c r="M158" s="100" t="n"/>
      <c r="N158" s="100" t="n"/>
      <c r="O158" s="100" t="n"/>
      <c r="P158" s="100" t="n"/>
      <c r="Q158" s="100" t="n"/>
      <c r="R158" s="100" t="n"/>
      <c r="S158" s="100" t="n"/>
      <c r="T158" s="100" t="n"/>
      <c r="U158" s="100" t="n"/>
      <c r="V158" s="100" t="n"/>
    </row>
    <row r="159" ht="15.75" customHeight="1">
      <c r="A159" s="103" t="n"/>
      <c r="B159" s="100" t="n"/>
      <c r="C159" s="100" t="n"/>
      <c r="D159" s="100" t="n"/>
      <c r="E159" s="100" t="n"/>
      <c r="F159" s="100" t="n"/>
      <c r="G159" s="100" t="n"/>
      <c r="H159" s="100" t="n"/>
      <c r="I159" s="100" t="n"/>
      <c r="J159" s="100" t="n"/>
      <c r="K159" s="100" t="n"/>
      <c r="L159" s="100" t="n"/>
      <c r="M159" s="100" t="n"/>
      <c r="N159" s="100" t="n"/>
      <c r="O159" s="100" t="n"/>
      <c r="P159" s="100" t="n"/>
      <c r="Q159" s="100" t="n"/>
      <c r="R159" s="100" t="n"/>
      <c r="S159" s="100" t="n"/>
      <c r="T159" s="100" t="n"/>
      <c r="U159" s="100" t="n"/>
      <c r="V159" s="100" t="n"/>
    </row>
    <row r="160" ht="15.75" customHeight="1">
      <c r="A160" s="103" t="n"/>
      <c r="B160" s="100" t="n"/>
      <c r="C160" s="100" t="n"/>
      <c r="D160" s="100" t="n"/>
      <c r="E160" s="100" t="n"/>
      <c r="F160" s="100" t="n"/>
      <c r="G160" s="100" t="n"/>
      <c r="H160" s="100" t="n"/>
      <c r="I160" s="100" t="n"/>
      <c r="J160" s="100" t="n"/>
      <c r="K160" s="100" t="n"/>
      <c r="L160" s="100" t="n"/>
      <c r="M160" s="100" t="n"/>
      <c r="N160" s="100" t="n"/>
      <c r="O160" s="100" t="n"/>
      <c r="P160" s="100" t="n"/>
      <c r="Q160" s="100" t="n"/>
      <c r="R160" s="100" t="n"/>
      <c r="S160" s="100" t="n"/>
      <c r="T160" s="100" t="n"/>
      <c r="U160" s="100" t="n"/>
      <c r="V160" s="100" t="n"/>
    </row>
    <row r="161" ht="15.75" customHeight="1">
      <c r="A161" s="103" t="n"/>
      <c r="B161" s="100" t="n"/>
      <c r="C161" s="100" t="n"/>
      <c r="D161" s="100" t="n"/>
      <c r="E161" s="100" t="n"/>
      <c r="F161" s="100" t="n"/>
      <c r="G161" s="100" t="n"/>
      <c r="H161" s="100" t="n"/>
      <c r="I161" s="100" t="n"/>
      <c r="J161" s="100" t="n"/>
      <c r="K161" s="100" t="n"/>
      <c r="L161" s="100" t="n"/>
      <c r="M161" s="100" t="n"/>
      <c r="N161" s="100" t="n"/>
      <c r="O161" s="100" t="n"/>
      <c r="P161" s="100" t="n"/>
      <c r="Q161" s="100" t="n"/>
      <c r="R161" s="100" t="n"/>
      <c r="S161" s="100" t="n"/>
      <c r="T161" s="100" t="n"/>
      <c r="U161" s="100" t="n"/>
      <c r="V161" s="100" t="n"/>
    </row>
    <row r="162" ht="15.75" customHeight="1">
      <c r="A162" s="103" t="n"/>
      <c r="B162" s="100" t="n"/>
      <c r="C162" s="100" t="n"/>
      <c r="D162" s="100" t="n"/>
      <c r="E162" s="100" t="n"/>
      <c r="F162" s="100" t="n"/>
      <c r="G162" s="100" t="n"/>
      <c r="H162" s="100" t="n"/>
      <c r="I162" s="100" t="n"/>
      <c r="J162" s="100" t="n"/>
      <c r="K162" s="100" t="n"/>
      <c r="L162" s="100" t="n"/>
      <c r="M162" s="100" t="n"/>
      <c r="N162" s="100" t="n"/>
      <c r="O162" s="100" t="n"/>
      <c r="P162" s="100" t="n"/>
      <c r="Q162" s="100" t="n"/>
      <c r="R162" s="100" t="n"/>
      <c r="S162" s="100" t="n"/>
      <c r="T162" s="100" t="n"/>
      <c r="U162" s="100" t="n"/>
      <c r="V162" s="100" t="n"/>
    </row>
    <row r="163" ht="15.75" customHeight="1">
      <c r="A163" s="103" t="n"/>
      <c r="B163" s="100" t="n"/>
      <c r="C163" s="100" t="n"/>
      <c r="D163" s="100" t="n"/>
      <c r="E163" s="100" t="n"/>
      <c r="F163" s="100" t="n"/>
      <c r="G163" s="100" t="n"/>
      <c r="H163" s="100" t="n"/>
      <c r="I163" s="100" t="n"/>
      <c r="J163" s="100" t="n"/>
      <c r="K163" s="100" t="n"/>
      <c r="L163" s="100" t="n"/>
      <c r="M163" s="100" t="n"/>
      <c r="N163" s="100" t="n"/>
      <c r="O163" s="100" t="n"/>
      <c r="P163" s="100" t="n"/>
      <c r="Q163" s="100" t="n"/>
      <c r="R163" s="100" t="n"/>
      <c r="S163" s="100" t="n"/>
      <c r="T163" s="100" t="n"/>
      <c r="U163" s="100" t="n"/>
      <c r="V163" s="100" t="n"/>
    </row>
    <row r="164" ht="15.75" customHeight="1">
      <c r="A164" s="103" t="n"/>
      <c r="B164" s="100" t="n"/>
      <c r="C164" s="100" t="n"/>
      <c r="D164" s="100" t="n"/>
      <c r="E164" s="100" t="n"/>
      <c r="F164" s="100" t="n"/>
      <c r="G164" s="100" t="n"/>
      <c r="H164" s="100" t="n"/>
      <c r="I164" s="100" t="n"/>
      <c r="J164" s="100" t="n"/>
      <c r="K164" s="100" t="n"/>
      <c r="L164" s="100" t="n"/>
      <c r="M164" s="100" t="n"/>
      <c r="N164" s="100" t="n"/>
      <c r="O164" s="100" t="n"/>
      <c r="P164" s="100" t="n"/>
      <c r="Q164" s="100" t="n"/>
      <c r="R164" s="100" t="n"/>
      <c r="S164" s="100" t="n"/>
      <c r="T164" s="100" t="n"/>
      <c r="U164" s="100" t="n"/>
      <c r="V164" s="100" t="n"/>
    </row>
    <row r="165" ht="15.75" customHeight="1">
      <c r="A165" s="103" t="n"/>
      <c r="B165" s="100" t="n"/>
      <c r="C165" s="100" t="n"/>
      <c r="D165" s="100" t="n"/>
      <c r="E165" s="100" t="n"/>
      <c r="F165" s="100" t="n"/>
      <c r="G165" s="100" t="n"/>
      <c r="H165" s="100" t="n"/>
      <c r="I165" s="100" t="n"/>
      <c r="J165" s="100" t="n"/>
      <c r="K165" s="100" t="n"/>
      <c r="L165" s="100" t="n"/>
      <c r="M165" s="100" t="n"/>
      <c r="N165" s="100" t="n"/>
      <c r="O165" s="100" t="n"/>
      <c r="P165" s="100" t="n"/>
      <c r="Q165" s="100" t="n"/>
      <c r="R165" s="100" t="n"/>
      <c r="S165" s="100" t="n"/>
      <c r="T165" s="100" t="n"/>
      <c r="U165" s="100" t="n"/>
      <c r="V165" s="100" t="n"/>
    </row>
    <row r="166" ht="15.75" customHeight="1">
      <c r="A166" s="103" t="n"/>
      <c r="B166" s="100" t="n"/>
      <c r="C166" s="100" t="n"/>
      <c r="D166" s="100" t="n"/>
      <c r="E166" s="100" t="n"/>
      <c r="F166" s="100" t="n"/>
      <c r="G166" s="100" t="n"/>
      <c r="H166" s="100" t="n"/>
      <c r="I166" s="100" t="n"/>
      <c r="J166" s="100" t="n"/>
      <c r="K166" s="100" t="n"/>
      <c r="L166" s="100" t="n"/>
      <c r="M166" s="100" t="n"/>
      <c r="N166" s="100" t="n"/>
      <c r="O166" s="100" t="n"/>
      <c r="P166" s="100" t="n"/>
      <c r="Q166" s="100" t="n"/>
      <c r="R166" s="100" t="n"/>
      <c r="S166" s="100" t="n"/>
      <c r="T166" s="100" t="n"/>
      <c r="U166" s="100" t="n"/>
      <c r="V166" s="100" t="n"/>
    </row>
    <row r="167" ht="15.75" customHeight="1">
      <c r="A167" s="103" t="n"/>
      <c r="B167" s="100" t="n"/>
      <c r="C167" s="100" t="n"/>
      <c r="D167" s="100" t="n"/>
      <c r="E167" s="100" t="n"/>
      <c r="F167" s="100" t="n"/>
      <c r="G167" s="100" t="n"/>
      <c r="H167" s="100" t="n"/>
      <c r="I167" s="100" t="n"/>
      <c r="J167" s="100" t="n"/>
      <c r="K167" s="100" t="n"/>
      <c r="L167" s="100" t="n"/>
      <c r="M167" s="100" t="n"/>
      <c r="N167" s="100" t="n"/>
      <c r="O167" s="100" t="n"/>
      <c r="P167" s="100" t="n"/>
      <c r="Q167" s="100" t="n"/>
      <c r="R167" s="100" t="n"/>
      <c r="S167" s="100" t="n"/>
      <c r="T167" s="100" t="n"/>
      <c r="U167" s="100" t="n"/>
      <c r="V167" s="100" t="n"/>
    </row>
    <row r="168" ht="15.75" customHeight="1">
      <c r="A168" s="104" t="n"/>
      <c r="B168" s="105" t="n"/>
      <c r="C168" s="105" t="n"/>
      <c r="D168" s="105" t="n"/>
      <c r="E168" s="105" t="n"/>
      <c r="F168" s="105" t="n"/>
      <c r="G168" s="105" t="n"/>
      <c r="H168" s="105" t="n"/>
      <c r="I168" s="105" t="n"/>
      <c r="J168" s="105" t="n"/>
      <c r="K168" s="105" t="n"/>
      <c r="L168" s="105" t="n"/>
      <c r="M168" s="105" t="n"/>
      <c r="N168" s="105" t="n"/>
      <c r="O168" s="105" t="n"/>
      <c r="P168" s="105" t="n"/>
      <c r="Q168" s="105" t="n"/>
      <c r="R168" s="105" t="n"/>
      <c r="S168" s="105" t="n"/>
      <c r="T168" s="105" t="n"/>
      <c r="U168" s="105" t="n"/>
      <c r="V168" s="105" t="n"/>
    </row>
  </sheetData>
  <mergeCells count="60">
    <mergeCell ref="M58:Q58"/>
    <mergeCell ref="A128:A129"/>
    <mergeCell ref="A71:V71"/>
    <mergeCell ref="B16:F16"/>
    <mergeCell ref="B100:F100"/>
    <mergeCell ref="A85:V85"/>
    <mergeCell ref="R44:V44"/>
    <mergeCell ref="B72:F72"/>
    <mergeCell ref="M114:Q114"/>
    <mergeCell ref="G128:L128"/>
    <mergeCell ref="M44:Q44"/>
    <mergeCell ref="A16:A17"/>
    <mergeCell ref="A30:A31"/>
    <mergeCell ref="A29:V29"/>
    <mergeCell ref="R128:V128"/>
    <mergeCell ref="B58:F58"/>
    <mergeCell ref="A43:V43"/>
    <mergeCell ref="G30:L30"/>
    <mergeCell ref="M2:Q2"/>
    <mergeCell ref="B2:F2"/>
    <mergeCell ref="R16:V16"/>
    <mergeCell ref="G58:L58"/>
    <mergeCell ref="R30:V30"/>
    <mergeCell ref="B86:F86"/>
    <mergeCell ref="A86:A87"/>
    <mergeCell ref="G114:L114"/>
    <mergeCell ref="A127:V127"/>
    <mergeCell ref="A2:A3"/>
    <mergeCell ref="M128:Q128"/>
    <mergeCell ref="A113:V113"/>
    <mergeCell ref="A15:V15"/>
    <mergeCell ref="R114:V114"/>
    <mergeCell ref="G100:L100"/>
    <mergeCell ref="B44:F44"/>
    <mergeCell ref="M16:Q16"/>
    <mergeCell ref="G16:L16"/>
    <mergeCell ref="M30:Q30"/>
    <mergeCell ref="R86:V86"/>
    <mergeCell ref="A100:A101"/>
    <mergeCell ref="A1:V1"/>
    <mergeCell ref="G44:L44"/>
    <mergeCell ref="M86:Q86"/>
    <mergeCell ref="R100:V100"/>
    <mergeCell ref="A72:A73"/>
    <mergeCell ref="B128:F128"/>
    <mergeCell ref="G72:L72"/>
    <mergeCell ref="A44:A45"/>
    <mergeCell ref="G86:L86"/>
    <mergeCell ref="B30:F30"/>
    <mergeCell ref="A99:V99"/>
    <mergeCell ref="G2:L2"/>
    <mergeCell ref="M100:Q100"/>
    <mergeCell ref="R72:V72"/>
    <mergeCell ref="B114:F114"/>
    <mergeCell ref="M72:Q72"/>
    <mergeCell ref="R2:V2"/>
    <mergeCell ref="A58:A59"/>
    <mergeCell ref="R58:V58"/>
    <mergeCell ref="A57:V57"/>
    <mergeCell ref="A114:A115"/>
  </mergeCells>
  <pageMargins left="0.511811024" right="0.511811024" top="0.787401575" bottom="0.787401575" header="0.31496062" footer="0.31496062"/>
  <pageSetup orientation="portrait" paperSize="9" horizontalDpi="0" verticalDpi="0"/>
</worksheet>
</file>

<file path=xl/worksheets/sheet24.xml><?xml version="1.0" encoding="utf-8"?>
<worksheet xmlns="http://schemas.openxmlformats.org/spreadsheetml/2006/main">
  <sheetPr codeName="Planilha14">
    <tabColor rgb="FFFFCCFF"/>
    <outlinePr summaryBelow="1" summaryRight="1"/>
    <pageSetUpPr/>
  </sheetPr>
  <dimension ref="A1:S120"/>
  <sheetViews>
    <sheetView topLeftCell="A88" zoomScaleNormal="100" workbookViewId="0">
      <pane xSplit="1" topLeftCell="B1" activePane="topRight" state="frozen"/>
      <selection pane="topRight" activeCell="N92" sqref="N92:N97"/>
    </sheetView>
  </sheetViews>
  <sheetFormatPr baseColWidth="8" defaultRowHeight="15"/>
  <cols>
    <col width="32.85546875" customWidth="1" min="1" max="1"/>
    <col hidden="1" width="13" customWidth="1" min="2" max="13"/>
    <col width="14.5703125" customWidth="1" min="15" max="15"/>
    <col width="12.140625" customWidth="1" min="16" max="16"/>
    <col width="10.85546875" bestFit="1" customWidth="1" min="19" max="19"/>
  </cols>
  <sheetData>
    <row r="1" ht="18" customHeight="1">
      <c r="A1" s="493" t="inlineStr">
        <is>
          <t>GASTO DE SACOLAS E ITENS DOADOS MÃES/2025 - MENSAIS</t>
        </is>
      </c>
      <c r="B1" s="669" t="n"/>
      <c r="C1" s="669" t="n"/>
      <c r="D1" s="669" t="n"/>
      <c r="E1" s="669" t="n"/>
      <c r="F1" s="669" t="n"/>
      <c r="G1" s="669" t="n"/>
      <c r="H1" s="669" t="n"/>
      <c r="I1" s="669" t="n"/>
      <c r="J1" s="669" t="n"/>
      <c r="K1" s="669" t="n"/>
      <c r="L1" s="669" t="n"/>
      <c r="M1" s="669" t="n"/>
      <c r="N1" s="669" t="n"/>
      <c r="O1" s="669" t="n"/>
      <c r="P1" s="670" t="n"/>
    </row>
    <row r="2" ht="18" customHeight="1">
      <c r="A2" s="493" t="inlineStr">
        <is>
          <t>JAÚ CENTRO</t>
        </is>
      </c>
      <c r="B2" s="493" t="inlineStr">
        <is>
          <t>MARÇO</t>
        </is>
      </c>
      <c r="C2" s="669" t="n"/>
      <c r="D2" s="670" t="n"/>
      <c r="E2" s="493" t="inlineStr">
        <is>
          <t>ABRIL</t>
        </is>
      </c>
      <c r="F2" s="669" t="n"/>
      <c r="G2" s="669" t="n"/>
      <c r="H2" s="669" t="n"/>
      <c r="I2" s="670" t="n"/>
      <c r="J2" s="493" t="inlineStr">
        <is>
          <t>MAIO</t>
        </is>
      </c>
      <c r="K2" s="669" t="n"/>
      <c r="L2" s="669" t="n"/>
      <c r="M2" s="669" t="n"/>
      <c r="N2" s="670" t="n"/>
      <c r="O2" s="489" t="inlineStr">
        <is>
          <t>USOU ATÉ MÃES</t>
        </is>
      </c>
      <c r="P2" s="489" t="inlineStr">
        <is>
          <t>TOTAL GERAL</t>
        </is>
      </c>
      <c r="R2" s="671" t="inlineStr">
        <is>
          <t>INÍCIO UTILIZAÇÃO</t>
        </is>
      </c>
      <c r="S2" s="641" t="n"/>
    </row>
    <row r="3" ht="15.75" customHeight="1">
      <c r="A3" s="672" t="n"/>
      <c r="B3" s="218" t="n">
        <v>45740</v>
      </c>
      <c r="C3" s="218" t="n">
        <v>45747</v>
      </c>
      <c r="D3" s="489" t="inlineStr">
        <is>
          <t>USOU</t>
        </is>
      </c>
      <c r="E3" s="218" t="n">
        <v>45754</v>
      </c>
      <c r="F3" s="218" t="n">
        <v>45761</v>
      </c>
      <c r="G3" s="218" t="n">
        <v>45768</v>
      </c>
      <c r="H3" s="218" t="n">
        <v>45775</v>
      </c>
      <c r="I3" s="489" t="inlineStr">
        <is>
          <t>USOU</t>
        </is>
      </c>
      <c r="J3" s="218" t="n">
        <v>45782</v>
      </c>
      <c r="K3" s="218" t="n">
        <v>45789</v>
      </c>
      <c r="L3" s="218" t="n">
        <v>45796</v>
      </c>
      <c r="M3" s="218" t="n">
        <v>45803</v>
      </c>
      <c r="N3" s="489" t="inlineStr">
        <is>
          <t>USOU</t>
        </is>
      </c>
      <c r="O3" s="672" t="n"/>
      <c r="P3" s="672" t="n"/>
      <c r="R3" s="213" t="inlineStr">
        <is>
          <t>LOJA</t>
        </is>
      </c>
      <c r="S3" s="214" t="n">
        <v>45761</v>
      </c>
    </row>
    <row r="4" ht="15.75" customHeight="1">
      <c r="A4" s="164" t="inlineStr">
        <is>
          <t>SACOLA P</t>
        </is>
      </c>
      <c r="B4" s="89" t="n"/>
      <c r="C4" s="89" t="n"/>
      <c r="D4" s="166">
        <f>B4+C4</f>
        <v/>
      </c>
      <c r="E4" s="89" t="n"/>
      <c r="F4" s="89" t="n">
        <v>460</v>
      </c>
      <c r="G4" s="89" t="n">
        <v>140</v>
      </c>
      <c r="H4" s="89" t="n">
        <v>120</v>
      </c>
      <c r="I4" s="166">
        <f>E4+F4+G4+H4</f>
        <v/>
      </c>
      <c r="J4" s="89" t="n">
        <v>200</v>
      </c>
      <c r="K4" s="89" t="n">
        <v>280</v>
      </c>
      <c r="L4" s="89" t="n">
        <v>0</v>
      </c>
      <c r="M4" s="89" t="n">
        <v>0</v>
      </c>
      <c r="N4" s="166">
        <f>J4+K4+L4+M4</f>
        <v/>
      </c>
      <c r="O4" s="174">
        <f>B4+C4+E4+F4+G4+H4+J4+K4</f>
        <v/>
      </c>
      <c r="P4" s="215">
        <f>D4+I4+N4</f>
        <v/>
      </c>
      <c r="R4" s="213" t="inlineStr">
        <is>
          <t>VD</t>
        </is>
      </c>
      <c r="S4" s="214" t="n">
        <v>45740</v>
      </c>
    </row>
    <row r="5" ht="15.75" customHeight="1">
      <c r="A5" s="164" t="inlineStr">
        <is>
          <t>SACOLA M</t>
        </is>
      </c>
      <c r="B5" s="89" t="n"/>
      <c r="C5" s="89" t="n"/>
      <c r="D5" s="166">
        <f>B5+C5</f>
        <v/>
      </c>
      <c r="E5" s="89" t="n"/>
      <c r="F5" s="89" t="n">
        <v>280</v>
      </c>
      <c r="G5" s="89" t="n">
        <v>40</v>
      </c>
      <c r="H5" s="89" t="n">
        <v>0</v>
      </c>
      <c r="I5" s="166">
        <f>E5+F5+G5+H5</f>
        <v/>
      </c>
      <c r="J5" s="89" t="n">
        <v>0</v>
      </c>
      <c r="K5" s="89" t="n">
        <v>280</v>
      </c>
      <c r="L5" s="89" t="n">
        <v>0</v>
      </c>
      <c r="M5" s="89" t="n">
        <v>0</v>
      </c>
      <c r="N5" s="166">
        <f>J5+K5+L5+M5</f>
        <v/>
      </c>
      <c r="O5" s="174">
        <f>B5+C5+E5+F5+G5+H5+J5+K5</f>
        <v/>
      </c>
      <c r="P5" s="215">
        <f>D5+I5+N5</f>
        <v/>
      </c>
    </row>
    <row r="6" ht="15.75" customHeight="1">
      <c r="A6" s="164" t="inlineStr">
        <is>
          <t>SACOLA G</t>
        </is>
      </c>
      <c r="B6" s="89" t="n"/>
      <c r="C6" s="89" t="n"/>
      <c r="D6" s="166">
        <f>B6+C6</f>
        <v/>
      </c>
      <c r="E6" s="89" t="n"/>
      <c r="F6" s="89" t="n">
        <v>100</v>
      </c>
      <c r="G6" s="89" t="n">
        <v>0</v>
      </c>
      <c r="H6" s="89" t="n">
        <v>0</v>
      </c>
      <c r="I6" s="166">
        <f>E6+F6+G6+H6</f>
        <v/>
      </c>
      <c r="J6" s="89" t="n">
        <v>0</v>
      </c>
      <c r="K6" s="89" t="n">
        <v>0</v>
      </c>
      <c r="L6" s="89" t="n">
        <v>0</v>
      </c>
      <c r="M6" s="89" t="n">
        <v>0</v>
      </c>
      <c r="N6" s="166">
        <f>J6+K6+L6+M6</f>
        <v/>
      </c>
      <c r="O6" s="174">
        <f>B6+C6+E6+F6+G6+H6+J6+K6</f>
        <v/>
      </c>
      <c r="P6" s="215">
        <f>D6+I6+N6</f>
        <v/>
      </c>
    </row>
    <row r="7" ht="15.75" customHeight="1">
      <c r="A7" s="115" t="inlineStr">
        <is>
          <t xml:space="preserve">PAPEL DE SEDA </t>
        </is>
      </c>
      <c r="B7" s="89" t="n"/>
      <c r="C7" s="89" t="n"/>
      <c r="D7" s="166">
        <f>B7+C7</f>
        <v/>
      </c>
      <c r="E7" s="89" t="n"/>
      <c r="F7" s="89" t="n">
        <v>2</v>
      </c>
      <c r="G7" s="89" t="n">
        <v>1</v>
      </c>
      <c r="H7" s="89" t="n">
        <v>1</v>
      </c>
      <c r="I7" s="166">
        <f>E7+F7+G7+H7</f>
        <v/>
      </c>
      <c r="J7" s="89" t="n">
        <v>0</v>
      </c>
      <c r="K7" s="89" t="n">
        <v>2</v>
      </c>
      <c r="L7" s="89" t="n">
        <v>0</v>
      </c>
      <c r="M7" s="89" t="n">
        <v>0</v>
      </c>
      <c r="N7" s="166">
        <f>J7+K7+L7+M7</f>
        <v/>
      </c>
      <c r="O7" s="174">
        <f>B7+C7+E7+F7+G7+H7+J7+K7</f>
        <v/>
      </c>
      <c r="P7" s="215">
        <f>D7+I7+N7</f>
        <v/>
      </c>
    </row>
    <row r="8" ht="15.75" customHeight="1">
      <c r="A8" s="115" t="inlineStr">
        <is>
          <t>ADESIVOS</t>
        </is>
      </c>
      <c r="B8" s="89" t="n"/>
      <c r="C8" s="89" t="n"/>
      <c r="D8" s="166">
        <f>B8+C8</f>
        <v/>
      </c>
      <c r="E8" s="89" t="n"/>
      <c r="F8" s="89" t="n">
        <v>0</v>
      </c>
      <c r="G8" s="89" t="n">
        <v>0</v>
      </c>
      <c r="H8" s="89" t="n">
        <v>0</v>
      </c>
      <c r="I8" s="166">
        <f>E8+F8+G8+H8</f>
        <v/>
      </c>
      <c r="J8" s="89" t="n">
        <v>0</v>
      </c>
      <c r="K8" s="89" t="n">
        <v>0</v>
      </c>
      <c r="L8" s="89" t="n">
        <v>0</v>
      </c>
      <c r="M8" s="89" t="n">
        <v>0</v>
      </c>
      <c r="N8" s="166">
        <f>J8+K8+L8+M8</f>
        <v/>
      </c>
      <c r="O8" s="174">
        <f>B8+C8+E8+F8+G8+H8+J8+K8</f>
        <v/>
      </c>
      <c r="P8" s="215">
        <f>D8+I8+N8</f>
        <v/>
      </c>
    </row>
    <row r="9" ht="15.75" customHeight="1">
      <c r="A9" s="115" t="inlineStr">
        <is>
          <t xml:space="preserve">TAGS </t>
        </is>
      </c>
      <c r="B9" s="89" t="n"/>
      <c r="C9" s="89" t="n"/>
      <c r="D9" s="166">
        <f>B9+C9</f>
        <v/>
      </c>
      <c r="E9" s="89" t="n"/>
      <c r="F9" s="89" t="n">
        <v>1</v>
      </c>
      <c r="G9" s="89" t="n">
        <v>0</v>
      </c>
      <c r="H9" s="89" t="n">
        <v>0</v>
      </c>
      <c r="I9" s="166">
        <f>E9+F9+G9+H9</f>
        <v/>
      </c>
      <c r="J9" s="89" t="n">
        <v>0</v>
      </c>
      <c r="K9" s="89" t="n">
        <v>0</v>
      </c>
      <c r="L9" s="89" t="n">
        <v>0</v>
      </c>
      <c r="M9" s="89" t="n">
        <v>0</v>
      </c>
      <c r="N9" s="166">
        <f>J9+K9+L9+M9</f>
        <v/>
      </c>
      <c r="O9" s="174">
        <f>B9+C9+E9+F9+G9+H9+J9+K9</f>
        <v/>
      </c>
      <c r="P9" s="215">
        <f>D9+I9+N9</f>
        <v/>
      </c>
    </row>
    <row r="10" ht="15.75" customHeight="1">
      <c r="A10" s="109" t="inlineStr">
        <is>
          <t>TOTAL DE SACOLAS</t>
        </is>
      </c>
      <c r="B10" s="110">
        <f>B4+B5+B6</f>
        <v/>
      </c>
      <c r="C10" s="110">
        <f>C4+C5+C6</f>
        <v/>
      </c>
      <c r="D10" s="110">
        <f>D4+D5+D6</f>
        <v/>
      </c>
      <c r="E10" s="110">
        <f>E4+E5+E6</f>
        <v/>
      </c>
      <c r="F10" s="110">
        <f>F4+F5+F6</f>
        <v/>
      </c>
      <c r="G10" s="110">
        <f>G4+G5+G6</f>
        <v/>
      </c>
      <c r="H10" s="110">
        <f>H4+H5+H6</f>
        <v/>
      </c>
      <c r="I10" s="110">
        <f>I4+I5+I6</f>
        <v/>
      </c>
      <c r="J10" s="110">
        <f>J4+J5+J6</f>
        <v/>
      </c>
      <c r="K10" s="110">
        <f>K4+K5+K6</f>
        <v/>
      </c>
      <c r="L10" s="110">
        <f>L4+L5+L6</f>
        <v/>
      </c>
      <c r="M10" s="110">
        <f>M4+M5+M6</f>
        <v/>
      </c>
      <c r="N10" s="110">
        <f>N4+N5+N6</f>
        <v/>
      </c>
      <c r="O10" s="216">
        <f>O4+O5+O6</f>
        <v/>
      </c>
      <c r="P10" s="216">
        <f>P4+P5+P6</f>
        <v/>
      </c>
    </row>
    <row r="12" ht="15.75" customHeight="1">
      <c r="A12" s="493" t="inlineStr">
        <is>
          <t>GASTO DE SACOLAS E ITENS DOADOS MÃES/2025 - MENSAIS</t>
        </is>
      </c>
      <c r="B12" s="669" t="n"/>
      <c r="C12" s="669" t="n"/>
      <c r="D12" s="669" t="n"/>
      <c r="E12" s="669" t="n"/>
      <c r="F12" s="669" t="n"/>
      <c r="G12" s="669" t="n"/>
      <c r="H12" s="669" t="n"/>
      <c r="I12" s="669" t="n"/>
      <c r="J12" s="669" t="n"/>
      <c r="K12" s="669" t="n"/>
      <c r="L12" s="669" t="n"/>
      <c r="M12" s="669" t="n"/>
      <c r="N12" s="669" t="n"/>
      <c r="O12" s="669" t="n"/>
      <c r="P12" s="670" t="n"/>
    </row>
    <row r="13" ht="18" customHeight="1">
      <c r="A13" s="493" t="inlineStr">
        <is>
          <t>JARDIM</t>
        </is>
      </c>
      <c r="B13" s="493" t="inlineStr">
        <is>
          <t>MARÇO</t>
        </is>
      </c>
      <c r="C13" s="669" t="n"/>
      <c r="D13" s="670" t="n"/>
      <c r="E13" s="493" t="inlineStr">
        <is>
          <t>ABRIL</t>
        </is>
      </c>
      <c r="F13" s="669" t="n"/>
      <c r="G13" s="669" t="n"/>
      <c r="H13" s="669" t="n"/>
      <c r="I13" s="670" t="n"/>
      <c r="J13" s="493" t="inlineStr">
        <is>
          <t>MAIO</t>
        </is>
      </c>
      <c r="K13" s="669" t="n"/>
      <c r="L13" s="669" t="n"/>
      <c r="M13" s="669" t="n"/>
      <c r="N13" s="670" t="n"/>
      <c r="O13" s="489" t="inlineStr">
        <is>
          <t>USOU ATÉ MÃES</t>
        </is>
      </c>
      <c r="P13" s="489" t="inlineStr">
        <is>
          <t>TOTAL GERAL</t>
        </is>
      </c>
    </row>
    <row r="14" ht="18" customHeight="1">
      <c r="A14" s="672" t="n"/>
      <c r="B14" s="218" t="n">
        <v>45740</v>
      </c>
      <c r="C14" s="218" t="n">
        <v>45747</v>
      </c>
      <c r="D14" s="489" t="inlineStr">
        <is>
          <t>USOU</t>
        </is>
      </c>
      <c r="E14" s="218" t="n">
        <v>45754</v>
      </c>
      <c r="F14" s="218" t="n">
        <v>45761</v>
      </c>
      <c r="G14" s="218" t="n">
        <v>45768</v>
      </c>
      <c r="H14" s="218" t="n">
        <v>45775</v>
      </c>
      <c r="I14" s="489" t="inlineStr">
        <is>
          <t>USOU</t>
        </is>
      </c>
      <c r="J14" s="218" t="n">
        <v>45782</v>
      </c>
      <c r="K14" s="218" t="n">
        <v>45789</v>
      </c>
      <c r="L14" s="218" t="n">
        <v>45796</v>
      </c>
      <c r="M14" s="218" t="n">
        <v>45803</v>
      </c>
      <c r="N14" s="489" t="inlineStr">
        <is>
          <t>USOU</t>
        </is>
      </c>
      <c r="O14" s="672" t="n"/>
      <c r="P14" s="672" t="n"/>
    </row>
    <row r="15" ht="15.75" customHeight="1">
      <c r="A15" s="164" t="inlineStr">
        <is>
          <t>SACOLA P</t>
        </is>
      </c>
      <c r="B15" s="89" t="n"/>
      <c r="C15" s="89" t="n"/>
      <c r="D15" s="166">
        <f>B15+C15</f>
        <v/>
      </c>
      <c r="E15" s="89" t="n"/>
      <c r="F15" s="89" t="n">
        <v>200</v>
      </c>
      <c r="G15" s="89" t="n">
        <v>140</v>
      </c>
      <c r="H15" s="89" t="n">
        <v>100</v>
      </c>
      <c r="I15" s="166">
        <f>E15+F15+G15+H15</f>
        <v/>
      </c>
      <c r="J15" s="89" t="n">
        <v>140</v>
      </c>
      <c r="K15" s="89" t="n">
        <v>380</v>
      </c>
      <c r="L15" s="89" t="n">
        <v>40</v>
      </c>
      <c r="M15" s="89" t="n">
        <v>0</v>
      </c>
      <c r="N15" s="166">
        <f>J15+K15+L15+M15</f>
        <v/>
      </c>
      <c r="O15" s="174">
        <f>B15+C15+E15+F15+G15+H15+J15+K15</f>
        <v/>
      </c>
      <c r="P15" s="215">
        <f>D15+I15+N15</f>
        <v/>
      </c>
    </row>
    <row r="16" ht="15.75" customHeight="1">
      <c r="A16" s="164" t="inlineStr">
        <is>
          <t>SACOLA M</t>
        </is>
      </c>
      <c r="B16" s="89" t="n"/>
      <c r="C16" s="89" t="n"/>
      <c r="D16" s="166">
        <f>B16+C16</f>
        <v/>
      </c>
      <c r="E16" s="89" t="n"/>
      <c r="F16" s="89" t="n">
        <v>140</v>
      </c>
      <c r="G16" s="89" t="n">
        <v>60</v>
      </c>
      <c r="H16" s="89" t="n">
        <v>80</v>
      </c>
      <c r="I16" s="166">
        <f>E16+F16+G16+H16</f>
        <v/>
      </c>
      <c r="J16" s="89" t="n">
        <v>100</v>
      </c>
      <c r="K16" s="89" t="n">
        <v>220</v>
      </c>
      <c r="L16" s="89" t="n">
        <v>0</v>
      </c>
      <c r="M16" s="89" t="n">
        <v>0</v>
      </c>
      <c r="N16" s="166">
        <f>J16+K16+L16+M16</f>
        <v/>
      </c>
      <c r="O16" s="174">
        <f>B16+C16+E16+F16+G16+H16+J16+K16</f>
        <v/>
      </c>
      <c r="P16" s="215">
        <f>D16+I16+N16</f>
        <v/>
      </c>
    </row>
    <row r="17" ht="15.75" customHeight="1">
      <c r="A17" s="164" t="inlineStr">
        <is>
          <t>SACOLA G</t>
        </is>
      </c>
      <c r="B17" s="89" t="n"/>
      <c r="C17" s="89" t="n"/>
      <c r="D17" s="166">
        <f>B17+C17</f>
        <v/>
      </c>
      <c r="E17" s="89" t="n"/>
      <c r="F17" s="89" t="n">
        <v>100</v>
      </c>
      <c r="G17" s="89" t="n">
        <v>0</v>
      </c>
      <c r="H17" s="89" t="n">
        <v>0</v>
      </c>
      <c r="I17" s="166">
        <f>E17+F17+G17+H17</f>
        <v/>
      </c>
      <c r="J17" s="89" t="n">
        <v>0</v>
      </c>
      <c r="K17" s="89" t="n">
        <v>0</v>
      </c>
      <c r="L17" s="89" t="n">
        <v>0</v>
      </c>
      <c r="M17" s="89" t="n">
        <v>0</v>
      </c>
      <c r="N17" s="166">
        <f>J17+K17+L17+M17</f>
        <v/>
      </c>
      <c r="O17" s="174">
        <f>B17+C17+E17+F17+G17+H17+J17+K17</f>
        <v/>
      </c>
      <c r="P17" s="215">
        <f>D17+I17+N17</f>
        <v/>
      </c>
    </row>
    <row r="18" ht="15.75" customHeight="1">
      <c r="A18" s="115" t="inlineStr">
        <is>
          <t xml:space="preserve">PAPEL DE SEDA </t>
        </is>
      </c>
      <c r="B18" s="89" t="n"/>
      <c r="C18" s="89" t="n"/>
      <c r="D18" s="166">
        <f>B18+C18</f>
        <v/>
      </c>
      <c r="E18" s="89" t="n"/>
      <c r="F18" s="89" t="n">
        <v>4</v>
      </c>
      <c r="G18" s="89" t="n">
        <v>1</v>
      </c>
      <c r="H18" s="89" t="n">
        <v>1</v>
      </c>
      <c r="I18" s="166">
        <f>E18+F18+G18+H18</f>
        <v/>
      </c>
      <c r="J18" s="89" t="n">
        <v>0</v>
      </c>
      <c r="K18" s="89" t="n">
        <v>0</v>
      </c>
      <c r="L18" s="89" t="n">
        <v>0</v>
      </c>
      <c r="M18" s="89" t="n">
        <v>0</v>
      </c>
      <c r="N18" s="166">
        <f>J18+K18+L18+M18</f>
        <v/>
      </c>
      <c r="O18" s="174">
        <f>B18+C18+E18+F18+G18+H18+J18+K18</f>
        <v/>
      </c>
      <c r="P18" s="215">
        <f>D18+I18+N18</f>
        <v/>
      </c>
    </row>
    <row r="19" ht="15.75" customHeight="1">
      <c r="A19" s="115" t="inlineStr">
        <is>
          <t>ADESIVOS</t>
        </is>
      </c>
      <c r="B19" s="89" t="n"/>
      <c r="C19" s="89" t="n"/>
      <c r="D19" s="166">
        <f>B19+C19</f>
        <v/>
      </c>
      <c r="E19" s="89" t="n"/>
      <c r="F19" s="89" t="n">
        <v>0</v>
      </c>
      <c r="G19" s="89" t="n">
        <v>0</v>
      </c>
      <c r="H19" s="89" t="n">
        <v>0</v>
      </c>
      <c r="I19" s="166">
        <f>E19+F19+G19+H19</f>
        <v/>
      </c>
      <c r="J19" s="89" t="n">
        <v>0</v>
      </c>
      <c r="K19" s="89" t="n">
        <v>0</v>
      </c>
      <c r="L19" s="89" t="n">
        <v>0</v>
      </c>
      <c r="M19" s="89" t="n">
        <v>0</v>
      </c>
      <c r="N19" s="166">
        <f>J19+K19+L19+M19</f>
        <v/>
      </c>
      <c r="O19" s="174">
        <f>B19+C19+E19+F19+G19+H19+J19+K19</f>
        <v/>
      </c>
      <c r="P19" s="215">
        <f>D19+I19+N19</f>
        <v/>
      </c>
    </row>
    <row r="20" ht="15.75" customHeight="1">
      <c r="A20" s="115" t="inlineStr">
        <is>
          <t xml:space="preserve">TAGS </t>
        </is>
      </c>
      <c r="B20" s="89" t="n"/>
      <c r="C20" s="89" t="n"/>
      <c r="D20" s="166">
        <f>B20+C20</f>
        <v/>
      </c>
      <c r="E20" s="89" t="n"/>
      <c r="F20" s="89" t="n">
        <v>1</v>
      </c>
      <c r="G20" s="89" t="n">
        <v>0</v>
      </c>
      <c r="H20" s="89" t="n">
        <v>0</v>
      </c>
      <c r="I20" s="166">
        <f>E20+F20+G20+H20</f>
        <v/>
      </c>
      <c r="J20" s="89" t="n">
        <v>1</v>
      </c>
      <c r="K20" s="89" t="n">
        <v>0</v>
      </c>
      <c r="L20" s="89" t="n">
        <v>0</v>
      </c>
      <c r="M20" s="89" t="n">
        <v>0</v>
      </c>
      <c r="N20" s="166">
        <f>J20+K20+L20+M20</f>
        <v/>
      </c>
      <c r="O20" s="174">
        <f>B20+C20+E20+F20+G20+H20+J20+K20</f>
        <v/>
      </c>
      <c r="P20" s="215">
        <f>D20+I20+N20</f>
        <v/>
      </c>
    </row>
    <row r="21" ht="15.75" customHeight="1">
      <c r="A21" s="109" t="inlineStr">
        <is>
          <t>TOTAL DE SACOLAS</t>
        </is>
      </c>
      <c r="B21" s="110">
        <f>B15+B16+B17</f>
        <v/>
      </c>
      <c r="C21" s="110">
        <f>C15+C16+C17</f>
        <v/>
      </c>
      <c r="D21" s="110">
        <f>D15+D16+D17</f>
        <v/>
      </c>
      <c r="E21" s="110">
        <f>E15+E16+E17</f>
        <v/>
      </c>
      <c r="F21" s="110">
        <f>F15+F16+F17</f>
        <v/>
      </c>
      <c r="G21" s="110">
        <f>G15+G16+G17</f>
        <v/>
      </c>
      <c r="H21" s="110">
        <f>H15+H16+H17</f>
        <v/>
      </c>
      <c r="I21" s="110">
        <f>I15+I16+I17</f>
        <v/>
      </c>
      <c r="J21" s="110">
        <f>J15+J16+J17</f>
        <v/>
      </c>
      <c r="K21" s="110">
        <f>K15+K16+K17</f>
        <v/>
      </c>
      <c r="L21" s="110">
        <f>L15+L16+L17</f>
        <v/>
      </c>
      <c r="M21" s="110">
        <f>M15+M16+M17</f>
        <v/>
      </c>
      <c r="N21" s="110">
        <f>N15+N16+N17</f>
        <v/>
      </c>
      <c r="O21" s="216">
        <f>O15+O16+O17</f>
        <v/>
      </c>
      <c r="P21" s="216">
        <f>P15+P16+P17</f>
        <v/>
      </c>
    </row>
    <row r="23" ht="15.75" customHeight="1">
      <c r="A23" s="493" t="inlineStr">
        <is>
          <t>GASTO DE SACOLAS E ITENS DOADOS MÃES/2025 - MENSAIS</t>
        </is>
      </c>
      <c r="B23" s="669" t="n"/>
      <c r="C23" s="669" t="n"/>
      <c r="D23" s="669" t="n"/>
      <c r="E23" s="669" t="n"/>
      <c r="F23" s="669" t="n"/>
      <c r="G23" s="669" t="n"/>
      <c r="H23" s="669" t="n"/>
      <c r="I23" s="669" t="n"/>
      <c r="J23" s="669" t="n"/>
      <c r="K23" s="669" t="n"/>
      <c r="L23" s="669" t="n"/>
      <c r="M23" s="669" t="n"/>
      <c r="N23" s="669" t="n"/>
      <c r="O23" s="669" t="n"/>
      <c r="P23" s="670" t="n"/>
    </row>
    <row r="24" ht="15.75" customHeight="1">
      <c r="A24" s="493" t="inlineStr">
        <is>
          <t>BARRA BONITA</t>
        </is>
      </c>
      <c r="B24" s="493" t="inlineStr">
        <is>
          <t>MARÇO</t>
        </is>
      </c>
      <c r="C24" s="669" t="n"/>
      <c r="D24" s="670" t="n"/>
      <c r="E24" s="493" t="inlineStr">
        <is>
          <t>ABRIL</t>
        </is>
      </c>
      <c r="F24" s="669" t="n"/>
      <c r="G24" s="669" t="n"/>
      <c r="H24" s="669" t="n"/>
      <c r="I24" s="670" t="n"/>
      <c r="J24" s="493" t="inlineStr">
        <is>
          <t>MAIO</t>
        </is>
      </c>
      <c r="K24" s="669" t="n"/>
      <c r="L24" s="669" t="n"/>
      <c r="M24" s="669" t="n"/>
      <c r="N24" s="670" t="n"/>
      <c r="O24" s="489" t="inlineStr">
        <is>
          <t>USOU ATÉ MÃES</t>
        </is>
      </c>
      <c r="P24" s="489" t="inlineStr">
        <is>
          <t>TOTAL GERAL</t>
        </is>
      </c>
    </row>
    <row r="25" ht="15.75" customHeight="1">
      <c r="A25" s="672" t="n"/>
      <c r="B25" s="218" t="n">
        <v>45740</v>
      </c>
      <c r="C25" s="218" t="n">
        <v>45747</v>
      </c>
      <c r="D25" s="489" t="inlineStr">
        <is>
          <t>USOU</t>
        </is>
      </c>
      <c r="E25" s="218" t="n">
        <v>45754</v>
      </c>
      <c r="F25" s="218" t="n">
        <v>45761</v>
      </c>
      <c r="G25" s="218" t="n">
        <v>45768</v>
      </c>
      <c r="H25" s="218" t="n">
        <v>45775</v>
      </c>
      <c r="I25" s="489" t="inlineStr">
        <is>
          <t>USOU</t>
        </is>
      </c>
      <c r="J25" s="218" t="n">
        <v>45782</v>
      </c>
      <c r="K25" s="218" t="n">
        <v>45789</v>
      </c>
      <c r="L25" s="218" t="n">
        <v>45796</v>
      </c>
      <c r="M25" s="218" t="n">
        <v>45803</v>
      </c>
      <c r="N25" s="489" t="inlineStr">
        <is>
          <t>USOU</t>
        </is>
      </c>
      <c r="O25" s="672" t="n"/>
      <c r="P25" s="672" t="n"/>
    </row>
    <row r="26" ht="15.75" customHeight="1">
      <c r="A26" s="164" t="inlineStr">
        <is>
          <t>SACOLA P</t>
        </is>
      </c>
      <c r="B26" s="89" t="n"/>
      <c r="C26" s="89" t="n"/>
      <c r="D26" s="166">
        <f>B26+C26</f>
        <v/>
      </c>
      <c r="E26" s="89" t="n"/>
      <c r="F26" s="89" t="n">
        <v>60</v>
      </c>
      <c r="G26" s="89" t="n">
        <v>0</v>
      </c>
      <c r="H26" s="89" t="n">
        <v>540</v>
      </c>
      <c r="I26" s="166">
        <f>E26+F26+G26+H26</f>
        <v/>
      </c>
      <c r="J26" s="89" t="n">
        <v>60</v>
      </c>
      <c r="K26" s="89" t="n">
        <v>540</v>
      </c>
      <c r="L26" s="89" t="n">
        <v>0</v>
      </c>
      <c r="M26" s="89" t="n">
        <v>0</v>
      </c>
      <c r="N26" s="166">
        <f>J26+K26+L26+M26</f>
        <v/>
      </c>
      <c r="O26" s="174">
        <f>B26+C26+E26+F26+G26+H26+J26+K26</f>
        <v/>
      </c>
      <c r="P26" s="215">
        <f>D26+I26+N26</f>
        <v/>
      </c>
    </row>
    <row r="27" ht="15.75" customHeight="1">
      <c r="A27" s="164" t="inlineStr">
        <is>
          <t>SACOLA M</t>
        </is>
      </c>
      <c r="B27" s="89" t="n"/>
      <c r="C27" s="89" t="n"/>
      <c r="D27" s="166">
        <f>B27+C27</f>
        <v/>
      </c>
      <c r="E27" s="89" t="n"/>
      <c r="F27" s="89" t="n">
        <v>0</v>
      </c>
      <c r="G27" s="89" t="n">
        <v>0</v>
      </c>
      <c r="H27" s="89" t="n">
        <v>0</v>
      </c>
      <c r="I27" s="166">
        <f>E27+F27+G27+H27</f>
        <v/>
      </c>
      <c r="J27" s="89" t="n">
        <v>360</v>
      </c>
      <c r="K27" s="89" t="n">
        <v>440</v>
      </c>
      <c r="L27" s="89" t="n">
        <v>0</v>
      </c>
      <c r="M27" s="89" t="n">
        <v>0</v>
      </c>
      <c r="N27" s="166">
        <f>J27+K27+L27+M27</f>
        <v/>
      </c>
      <c r="O27" s="174">
        <f>B27+C27+E27+F27+G27+H27+J27+K27</f>
        <v/>
      </c>
      <c r="P27" s="215">
        <f>D27+I27+N27</f>
        <v/>
      </c>
    </row>
    <row r="28" ht="15.75" customHeight="1">
      <c r="A28" s="164" t="inlineStr">
        <is>
          <t>SACOLA G</t>
        </is>
      </c>
      <c r="B28" s="89" t="n"/>
      <c r="C28" s="89" t="n"/>
      <c r="D28" s="166">
        <f>B28+C28</f>
        <v/>
      </c>
      <c r="E28" s="89" t="n"/>
      <c r="F28" s="89" t="n">
        <v>40</v>
      </c>
      <c r="G28" s="89" t="n">
        <v>20</v>
      </c>
      <c r="H28" s="89" t="n">
        <v>0</v>
      </c>
      <c r="I28" s="166">
        <f>E28+F28+G28+H28</f>
        <v/>
      </c>
      <c r="J28" s="89" t="n">
        <v>40</v>
      </c>
      <c r="K28" s="89" t="n">
        <v>0</v>
      </c>
      <c r="L28" s="89" t="n">
        <v>0</v>
      </c>
      <c r="M28" s="89" t="n">
        <v>0</v>
      </c>
      <c r="N28" s="166">
        <f>J28+K28+L28+M28</f>
        <v/>
      </c>
      <c r="O28" s="174">
        <f>B28+C28+E28+F28+G28+H28+J28+K28</f>
        <v/>
      </c>
      <c r="P28" s="215">
        <f>D28+I28+N28</f>
        <v/>
      </c>
    </row>
    <row r="29" ht="15.75" customHeight="1">
      <c r="A29" s="115" t="inlineStr">
        <is>
          <t xml:space="preserve">PAPEL DE SEDA </t>
        </is>
      </c>
      <c r="B29" s="89" t="n"/>
      <c r="C29" s="89" t="n"/>
      <c r="D29" s="166">
        <f>B29+C29</f>
        <v/>
      </c>
      <c r="E29" s="89" t="n"/>
      <c r="F29" s="89" t="n">
        <v>2</v>
      </c>
      <c r="G29" s="89" t="n">
        <v>0</v>
      </c>
      <c r="H29" s="89" t="n">
        <v>2</v>
      </c>
      <c r="I29" s="166">
        <f>E29+F29+G29+H29</f>
        <v/>
      </c>
      <c r="J29" s="89" t="n">
        <v>1</v>
      </c>
      <c r="K29" s="89" t="n">
        <v>1</v>
      </c>
      <c r="L29" s="89" t="n">
        <v>0</v>
      </c>
      <c r="M29" s="89" t="n">
        <v>0</v>
      </c>
      <c r="N29" s="166">
        <f>J29+K29+L29+M29</f>
        <v/>
      </c>
      <c r="O29" s="174">
        <f>B29+C29+E29+F29+G29+H29+J29+K29</f>
        <v/>
      </c>
      <c r="P29" s="215">
        <f>D29+I29+N29</f>
        <v/>
      </c>
    </row>
    <row r="30" ht="15.75" customHeight="1">
      <c r="A30" s="115" t="inlineStr">
        <is>
          <t>ADESIVOS</t>
        </is>
      </c>
      <c r="B30" s="89" t="n"/>
      <c r="C30" s="89" t="n"/>
      <c r="D30" s="166">
        <f>B30+C30</f>
        <v/>
      </c>
      <c r="E30" s="89" t="n"/>
      <c r="F30" s="89" t="n">
        <v>1</v>
      </c>
      <c r="G30" s="89" t="n">
        <v>0</v>
      </c>
      <c r="H30" s="89" t="n">
        <v>0</v>
      </c>
      <c r="I30" s="166">
        <f>E30+F30+G30+H30</f>
        <v/>
      </c>
      <c r="J30" s="89" t="n">
        <v>0</v>
      </c>
      <c r="K30" s="89" t="n">
        <v>0</v>
      </c>
      <c r="L30" s="89" t="n">
        <v>0</v>
      </c>
      <c r="M30" s="89" t="n">
        <v>0</v>
      </c>
      <c r="N30" s="166">
        <f>J30+K30+L30+M30</f>
        <v/>
      </c>
      <c r="O30" s="174">
        <f>B30+C30+E30+F30+G30+H30+J30+K30</f>
        <v/>
      </c>
      <c r="P30" s="215">
        <f>D30+I30+N30</f>
        <v/>
      </c>
    </row>
    <row r="31" ht="15.75" customHeight="1">
      <c r="A31" s="115" t="inlineStr">
        <is>
          <t xml:space="preserve">TAGS </t>
        </is>
      </c>
      <c r="B31" s="89" t="n"/>
      <c r="C31" s="89" t="n"/>
      <c r="D31" s="166">
        <f>B31+C31</f>
        <v/>
      </c>
      <c r="E31" s="89" t="n"/>
      <c r="F31" s="89" t="n">
        <v>1</v>
      </c>
      <c r="G31" s="89" t="n">
        <v>0</v>
      </c>
      <c r="H31" s="89" t="n">
        <v>0</v>
      </c>
      <c r="I31" s="166">
        <f>E31+F31+G31+H31</f>
        <v/>
      </c>
      <c r="J31" s="89" t="n">
        <v>2</v>
      </c>
      <c r="K31" s="89" t="n">
        <v>0</v>
      </c>
      <c r="L31" s="89" t="n">
        <v>0</v>
      </c>
      <c r="M31" s="89" t="n">
        <v>0</v>
      </c>
      <c r="N31" s="166">
        <f>J31+K31+L31+M31</f>
        <v/>
      </c>
      <c r="O31" s="174">
        <f>B31+C31+E31+F31+G31+H31+J31+K31</f>
        <v/>
      </c>
      <c r="P31" s="215">
        <f>D31+I31+N31</f>
        <v/>
      </c>
    </row>
    <row r="32" ht="15.75" customHeight="1">
      <c r="A32" s="109" t="inlineStr">
        <is>
          <t>TOTAL DE SACOLAS</t>
        </is>
      </c>
      <c r="B32" s="110">
        <f>B26+B27+B28</f>
        <v/>
      </c>
      <c r="C32" s="110">
        <f>C26+C27+C28</f>
        <v/>
      </c>
      <c r="D32" s="110">
        <f>D26+D27+D28</f>
        <v/>
      </c>
      <c r="E32" s="110">
        <f>E26+E27+E28</f>
        <v/>
      </c>
      <c r="F32" s="110">
        <f>F26+F27+F28</f>
        <v/>
      </c>
      <c r="G32" s="110">
        <f>G26+G27+G28</f>
        <v/>
      </c>
      <c r="H32" s="110">
        <f>H26+H27+H28</f>
        <v/>
      </c>
      <c r="I32" s="110">
        <f>I26+I27+I28</f>
        <v/>
      </c>
      <c r="J32" s="110">
        <f>J26+J27+J28</f>
        <v/>
      </c>
      <c r="K32" s="110">
        <f>K26+K27+K28</f>
        <v/>
      </c>
      <c r="L32" s="110">
        <f>L26+L27+L28</f>
        <v/>
      </c>
      <c r="M32" s="110">
        <f>M26+M27+M28</f>
        <v/>
      </c>
      <c r="N32" s="110">
        <f>N26+N27+N28</f>
        <v/>
      </c>
      <c r="O32" s="216">
        <f>O26+O27+O28</f>
        <v/>
      </c>
      <c r="P32" s="216">
        <f>P26+P27+P28</f>
        <v/>
      </c>
    </row>
    <row r="34" ht="15.75" customHeight="1">
      <c r="A34" s="493" t="inlineStr">
        <is>
          <t>GASTO DE SACOLAS E ITENS DOADOS MÃES/2025 - MENSAIS</t>
        </is>
      </c>
      <c r="B34" s="669" t="n"/>
      <c r="C34" s="669" t="n"/>
      <c r="D34" s="669" t="n"/>
      <c r="E34" s="669" t="n"/>
      <c r="F34" s="669" t="n"/>
      <c r="G34" s="669" t="n"/>
      <c r="H34" s="669" t="n"/>
      <c r="I34" s="669" t="n"/>
      <c r="J34" s="669" t="n"/>
      <c r="K34" s="669" t="n"/>
      <c r="L34" s="669" t="n"/>
      <c r="M34" s="669" t="n"/>
      <c r="N34" s="669" t="n"/>
      <c r="O34" s="669" t="n"/>
      <c r="P34" s="670" t="n"/>
    </row>
    <row r="35" ht="15.75" customHeight="1">
      <c r="A35" s="493" t="inlineStr">
        <is>
          <t>SÃO MANUEL</t>
        </is>
      </c>
      <c r="B35" s="493" t="inlineStr">
        <is>
          <t>MARÇO</t>
        </is>
      </c>
      <c r="C35" s="669" t="n"/>
      <c r="D35" s="670" t="n"/>
      <c r="E35" s="493" t="inlineStr">
        <is>
          <t>ABRIL</t>
        </is>
      </c>
      <c r="F35" s="669" t="n"/>
      <c r="G35" s="669" t="n"/>
      <c r="H35" s="669" t="n"/>
      <c r="I35" s="670" t="n"/>
      <c r="J35" s="493" t="inlineStr">
        <is>
          <t>MAIO</t>
        </is>
      </c>
      <c r="K35" s="669" t="n"/>
      <c r="L35" s="669" t="n"/>
      <c r="M35" s="669" t="n"/>
      <c r="N35" s="670" t="n"/>
      <c r="O35" s="489" t="inlineStr">
        <is>
          <t>USOU ATÉ MÃES</t>
        </is>
      </c>
      <c r="P35" s="489" t="inlineStr">
        <is>
          <t>TOTAL GERAL</t>
        </is>
      </c>
    </row>
    <row r="36" ht="15.75" customHeight="1">
      <c r="A36" s="672" t="n"/>
      <c r="B36" s="218" t="n">
        <v>45740</v>
      </c>
      <c r="C36" s="218" t="n">
        <v>45747</v>
      </c>
      <c r="D36" s="489" t="inlineStr">
        <is>
          <t>USOU</t>
        </is>
      </c>
      <c r="E36" s="218" t="n">
        <v>45754</v>
      </c>
      <c r="F36" s="218" t="n">
        <v>45761</v>
      </c>
      <c r="G36" s="218" t="n">
        <v>45768</v>
      </c>
      <c r="H36" s="218" t="n">
        <v>45775</v>
      </c>
      <c r="I36" s="489" t="inlineStr">
        <is>
          <t>USOU</t>
        </is>
      </c>
      <c r="J36" s="218" t="n">
        <v>45782</v>
      </c>
      <c r="K36" s="218" t="n">
        <v>45789</v>
      </c>
      <c r="L36" s="218" t="n">
        <v>45796</v>
      </c>
      <c r="M36" s="218" t="n">
        <v>45803</v>
      </c>
      <c r="N36" s="489" t="inlineStr">
        <is>
          <t>USOU</t>
        </is>
      </c>
      <c r="O36" s="672" t="n"/>
      <c r="P36" s="672" t="n"/>
    </row>
    <row r="37" ht="15.75" customHeight="1">
      <c r="A37" s="164" t="inlineStr">
        <is>
          <t>SACOLA P</t>
        </is>
      </c>
      <c r="B37" s="89" t="n"/>
      <c r="C37" s="89" t="n"/>
      <c r="D37" s="166">
        <f>B37+C37</f>
        <v/>
      </c>
      <c r="E37" s="89" t="n"/>
      <c r="F37" s="89" t="n">
        <v>265</v>
      </c>
      <c r="G37" s="89" t="n">
        <v>90</v>
      </c>
      <c r="H37" s="89" t="n">
        <v>110</v>
      </c>
      <c r="I37" s="166">
        <f>E37+F37+G37+H37</f>
        <v/>
      </c>
      <c r="J37" s="89" t="n">
        <v>135</v>
      </c>
      <c r="K37" s="89" t="n">
        <v>0</v>
      </c>
      <c r="L37" s="89" t="n">
        <v>0</v>
      </c>
      <c r="M37" s="89" t="n">
        <v>0</v>
      </c>
      <c r="N37" s="166">
        <f>J37+K37+L37+M37</f>
        <v/>
      </c>
      <c r="O37" s="174">
        <f>B37+C37+E37+F37+G37+H37+J37+K37</f>
        <v/>
      </c>
      <c r="P37" s="215">
        <f>D37+I37+N37</f>
        <v/>
      </c>
    </row>
    <row r="38" ht="15.75" customHeight="1">
      <c r="A38" s="164" t="inlineStr">
        <is>
          <t>SACOLA M</t>
        </is>
      </c>
      <c r="B38" s="89" t="n"/>
      <c r="C38" s="89" t="n"/>
      <c r="D38" s="166">
        <f>B38+C38</f>
        <v/>
      </c>
      <c r="E38" s="89" t="n"/>
      <c r="F38" s="89" t="n">
        <v>140</v>
      </c>
      <c r="G38" s="89" t="n">
        <v>45</v>
      </c>
      <c r="H38" s="89" t="n">
        <v>35</v>
      </c>
      <c r="I38" s="166">
        <f>E38+F38+G38+H38</f>
        <v/>
      </c>
      <c r="J38" s="89" t="n">
        <v>60</v>
      </c>
      <c r="K38" s="89" t="n">
        <v>320</v>
      </c>
      <c r="L38" s="89" t="n">
        <v>0</v>
      </c>
      <c r="M38" s="89" t="n">
        <v>0</v>
      </c>
      <c r="N38" s="166">
        <f>J38+K38+L38+M38</f>
        <v/>
      </c>
      <c r="O38" s="174">
        <f>B38+C38+E38+F38+G38+H38+J38+K38</f>
        <v/>
      </c>
      <c r="P38" s="215">
        <f>D38+I38+N38</f>
        <v/>
      </c>
    </row>
    <row r="39" ht="15.75" customHeight="1">
      <c r="A39" s="164" t="inlineStr">
        <is>
          <t>SACOLA G</t>
        </is>
      </c>
      <c r="B39" s="89" t="n"/>
      <c r="C39" s="89" t="n"/>
      <c r="D39" s="166">
        <f>B39+C39</f>
        <v/>
      </c>
      <c r="E39" s="89" t="n"/>
      <c r="F39" s="89" t="n">
        <v>100</v>
      </c>
      <c r="G39" s="89" t="n">
        <v>0</v>
      </c>
      <c r="H39" s="89" t="n">
        <v>0</v>
      </c>
      <c r="I39" s="166">
        <f>E39+F39+G39+H39</f>
        <v/>
      </c>
      <c r="J39" s="89" t="n">
        <v>0</v>
      </c>
      <c r="K39" s="89" t="n">
        <v>0</v>
      </c>
      <c r="L39" s="89" t="n">
        <v>0</v>
      </c>
      <c r="M39" s="89" t="n">
        <v>0</v>
      </c>
      <c r="N39" s="166">
        <f>J39+K39+L39+M39</f>
        <v/>
      </c>
      <c r="O39" s="174">
        <f>B39+C39+E39+F39+G39+H39+J39+K39</f>
        <v/>
      </c>
      <c r="P39" s="215">
        <f>D39+I39+N39</f>
        <v/>
      </c>
    </row>
    <row r="40" ht="15.75" customHeight="1">
      <c r="A40" s="115" t="inlineStr">
        <is>
          <t xml:space="preserve">PAPEL DE SEDA </t>
        </is>
      </c>
      <c r="B40" s="89" t="n"/>
      <c r="C40" s="89" t="n"/>
      <c r="D40" s="166">
        <f>B40+C40</f>
        <v/>
      </c>
      <c r="E40" s="89" t="n"/>
      <c r="F40" s="89" t="n">
        <v>2</v>
      </c>
      <c r="G40" s="89" t="n">
        <v>1</v>
      </c>
      <c r="H40" s="89" t="n">
        <v>0</v>
      </c>
      <c r="I40" s="166">
        <f>E40+F40+G40+H40</f>
        <v/>
      </c>
      <c r="J40" s="89" t="n">
        <v>1</v>
      </c>
      <c r="K40" s="89" t="n">
        <v>2</v>
      </c>
      <c r="L40" s="89" t="n">
        <v>0</v>
      </c>
      <c r="M40" s="89" t="n">
        <v>0</v>
      </c>
      <c r="N40" s="166">
        <f>J40+K40+L40+M40</f>
        <v/>
      </c>
      <c r="O40" s="174">
        <f>B40+C40+E40+F40+G40+H40+J40+K40</f>
        <v/>
      </c>
      <c r="P40" s="215">
        <f>D40+I40+N40</f>
        <v/>
      </c>
    </row>
    <row r="41" ht="15.75" customHeight="1">
      <c r="A41" s="115" t="inlineStr">
        <is>
          <t>ADESIVOS</t>
        </is>
      </c>
      <c r="B41" s="89" t="n"/>
      <c r="C41" s="89" t="n"/>
      <c r="D41" s="166">
        <f>B41+C41</f>
        <v/>
      </c>
      <c r="E41" s="89" t="n"/>
      <c r="F41" s="89" t="n">
        <v>0</v>
      </c>
      <c r="G41" s="89" t="n">
        <v>0</v>
      </c>
      <c r="H41" s="89" t="n">
        <v>0</v>
      </c>
      <c r="I41" s="166">
        <f>E41+F41+G41+H41</f>
        <v/>
      </c>
      <c r="J41" s="89" t="n">
        <v>0</v>
      </c>
      <c r="K41" s="89" t="n">
        <v>0</v>
      </c>
      <c r="L41" s="89" t="n">
        <v>0</v>
      </c>
      <c r="M41" s="89" t="n">
        <v>0</v>
      </c>
      <c r="N41" s="166">
        <f>J41+K41+L41+M41</f>
        <v/>
      </c>
      <c r="O41" s="174">
        <f>B41+C41+E41+F41+G41+H41+J41+K41</f>
        <v/>
      </c>
      <c r="P41" s="215">
        <f>D41+I41+N41</f>
        <v/>
      </c>
    </row>
    <row r="42" ht="15.75" customHeight="1">
      <c r="A42" s="115" t="inlineStr">
        <is>
          <t xml:space="preserve">TAGS </t>
        </is>
      </c>
      <c r="B42" s="89" t="n"/>
      <c r="C42" s="89" t="n"/>
      <c r="D42" s="166">
        <f>B42+C42</f>
        <v/>
      </c>
      <c r="E42" s="89" t="n"/>
      <c r="F42" s="89" t="n">
        <v>1</v>
      </c>
      <c r="G42" s="89" t="n">
        <v>0</v>
      </c>
      <c r="H42" s="89" t="n">
        <v>0</v>
      </c>
      <c r="I42" s="166">
        <f>E42+F42+G42+H42</f>
        <v/>
      </c>
      <c r="J42" s="89" t="n">
        <v>0</v>
      </c>
      <c r="K42" s="89" t="n">
        <v>1</v>
      </c>
      <c r="L42" s="89" t="n">
        <v>0</v>
      </c>
      <c r="M42" s="89" t="n">
        <v>0</v>
      </c>
      <c r="N42" s="166">
        <f>J42+K42+L42+M42</f>
        <v/>
      </c>
      <c r="O42" s="174">
        <f>B42+C42+E42+F42+G42+H42+J42+K42</f>
        <v/>
      </c>
      <c r="P42" s="215">
        <f>D42+I42+N42</f>
        <v/>
      </c>
    </row>
    <row r="43" ht="15.75" customHeight="1">
      <c r="A43" s="109" t="inlineStr">
        <is>
          <t>TOTAL DE SACOLAS</t>
        </is>
      </c>
      <c r="B43" s="110">
        <f>B37+B38+B39</f>
        <v/>
      </c>
      <c r="C43" s="110">
        <f>C37+C38+C39</f>
        <v/>
      </c>
      <c r="D43" s="110">
        <f>D37+D38+D39</f>
        <v/>
      </c>
      <c r="E43" s="110">
        <f>E37+E38+E39</f>
        <v/>
      </c>
      <c r="F43" s="110">
        <f>F37+F38+F39</f>
        <v/>
      </c>
      <c r="G43" s="110">
        <f>G37+G38+G39</f>
        <v/>
      </c>
      <c r="H43" s="110">
        <f>H37+H38+H39</f>
        <v/>
      </c>
      <c r="I43" s="110">
        <f>I37+I38+I39</f>
        <v/>
      </c>
      <c r="J43" s="110">
        <f>J37+J38+J39</f>
        <v/>
      </c>
      <c r="K43" s="110">
        <f>K37+K38+K39</f>
        <v/>
      </c>
      <c r="L43" s="110">
        <f>L37+L38+L39</f>
        <v/>
      </c>
      <c r="M43" s="110">
        <f>M37+M38+M39</f>
        <v/>
      </c>
      <c r="N43" s="110">
        <f>N37+N38+N39</f>
        <v/>
      </c>
      <c r="O43" s="216">
        <f>O37+O38+O39</f>
        <v/>
      </c>
      <c r="P43" s="216">
        <f>P37+P38+P39</f>
        <v/>
      </c>
    </row>
    <row r="45" ht="15.75" customHeight="1">
      <c r="A45" s="493" t="inlineStr">
        <is>
          <t>GASTO DE SACOLAS E ITENS DOADOS MÃES/2025 - MENSAIS</t>
        </is>
      </c>
      <c r="B45" s="669" t="n"/>
      <c r="C45" s="669" t="n"/>
      <c r="D45" s="669" t="n"/>
      <c r="E45" s="669" t="n"/>
      <c r="F45" s="669" t="n"/>
      <c r="G45" s="669" t="n"/>
      <c r="H45" s="669" t="n"/>
      <c r="I45" s="669" t="n"/>
      <c r="J45" s="669" t="n"/>
      <c r="K45" s="669" t="n"/>
      <c r="L45" s="669" t="n"/>
      <c r="M45" s="669" t="n"/>
      <c r="N45" s="669" t="n"/>
      <c r="O45" s="669" t="n"/>
      <c r="P45" s="670" t="n"/>
    </row>
    <row r="46" ht="15.75" customHeight="1">
      <c r="A46" s="493" t="inlineStr">
        <is>
          <t>JAÚ SHOPPING</t>
        </is>
      </c>
      <c r="B46" s="493" t="inlineStr">
        <is>
          <t>MARÇO</t>
        </is>
      </c>
      <c r="C46" s="669" t="n"/>
      <c r="D46" s="670" t="n"/>
      <c r="E46" s="493" t="inlineStr">
        <is>
          <t>ABRIL</t>
        </is>
      </c>
      <c r="F46" s="669" t="n"/>
      <c r="G46" s="669" t="n"/>
      <c r="H46" s="669" t="n"/>
      <c r="I46" s="670" t="n"/>
      <c r="J46" s="493" t="inlineStr">
        <is>
          <t>MAIO</t>
        </is>
      </c>
      <c r="K46" s="669" t="n"/>
      <c r="L46" s="669" t="n"/>
      <c r="M46" s="669" t="n"/>
      <c r="N46" s="670" t="n"/>
      <c r="O46" s="489" t="inlineStr">
        <is>
          <t>USOU ATÉ MÃES</t>
        </is>
      </c>
      <c r="P46" s="489" t="inlineStr">
        <is>
          <t>TOTAL GERAL</t>
        </is>
      </c>
    </row>
    <row r="47" ht="15.75" customHeight="1">
      <c r="A47" s="672" t="n"/>
      <c r="B47" s="218" t="n">
        <v>45740</v>
      </c>
      <c r="C47" s="218" t="n">
        <v>45747</v>
      </c>
      <c r="D47" s="489" t="inlineStr">
        <is>
          <t>USOU</t>
        </is>
      </c>
      <c r="E47" s="218" t="n">
        <v>45754</v>
      </c>
      <c r="F47" s="218" t="n">
        <v>45761</v>
      </c>
      <c r="G47" s="218" t="n">
        <v>45768</v>
      </c>
      <c r="H47" s="218" t="n">
        <v>45775</v>
      </c>
      <c r="I47" s="489" t="inlineStr">
        <is>
          <t>USOU</t>
        </is>
      </c>
      <c r="J47" s="218" t="n">
        <v>45782</v>
      </c>
      <c r="K47" s="218" t="n">
        <v>45789</v>
      </c>
      <c r="L47" s="218" t="n">
        <v>45796</v>
      </c>
      <c r="M47" s="218" t="n">
        <v>45803</v>
      </c>
      <c r="N47" s="489" t="inlineStr">
        <is>
          <t>USOU</t>
        </is>
      </c>
      <c r="O47" s="672" t="n"/>
      <c r="P47" s="672" t="n"/>
    </row>
    <row r="48" ht="15.75" customHeight="1">
      <c r="A48" s="164" t="inlineStr">
        <is>
          <t>SACOLA P</t>
        </is>
      </c>
      <c r="B48" s="89" t="n"/>
      <c r="C48" s="89" t="n"/>
      <c r="D48" s="166">
        <f>B48+C48</f>
        <v/>
      </c>
      <c r="E48" s="89" t="n"/>
      <c r="F48" s="89" t="n">
        <v>10</v>
      </c>
      <c r="G48" s="89" t="n">
        <v>420</v>
      </c>
      <c r="H48" s="89" t="n">
        <v>329</v>
      </c>
      <c r="I48" s="166">
        <f>E48+F48+G48+H48</f>
        <v/>
      </c>
      <c r="J48" s="89" t="n">
        <v>344</v>
      </c>
      <c r="K48" s="89" t="n">
        <v>897</v>
      </c>
      <c r="L48" s="89" t="n">
        <v>0</v>
      </c>
      <c r="M48" s="89" t="n">
        <v>0</v>
      </c>
      <c r="N48" s="166">
        <f>J48+K48+L48+M48</f>
        <v/>
      </c>
      <c r="O48" s="174">
        <f>B48+C48+E48+F48+G48+H48+J48+K48</f>
        <v/>
      </c>
      <c r="P48" s="215">
        <f>D48+I48+N48</f>
        <v/>
      </c>
    </row>
    <row r="49" ht="15.75" customHeight="1">
      <c r="A49" s="164" t="inlineStr">
        <is>
          <t>SACOLA M</t>
        </is>
      </c>
      <c r="B49" s="89" t="n"/>
      <c r="C49" s="89" t="n"/>
      <c r="D49" s="166">
        <f>B49+C49</f>
        <v/>
      </c>
      <c r="E49" s="89" t="n"/>
      <c r="F49" s="89" t="n">
        <v>5</v>
      </c>
      <c r="G49" s="89" t="n">
        <v>245</v>
      </c>
      <c r="H49" s="89" t="n">
        <v>309</v>
      </c>
      <c r="I49" s="166">
        <f>E49+F49+G49+H49</f>
        <v/>
      </c>
      <c r="J49" s="89" t="n">
        <v>131</v>
      </c>
      <c r="K49" s="89" t="n">
        <v>710</v>
      </c>
      <c r="L49" s="89" t="n">
        <v>0</v>
      </c>
      <c r="M49" s="89" t="n">
        <v>0</v>
      </c>
      <c r="N49" s="166">
        <f>J49+K49+L49+M49</f>
        <v/>
      </c>
      <c r="O49" s="174">
        <f>B49+C49+E49+F49+G49+H49+J49+K49</f>
        <v/>
      </c>
      <c r="P49" s="215">
        <f>D49+I49+N49</f>
        <v/>
      </c>
    </row>
    <row r="50" ht="15.75" customHeight="1">
      <c r="A50" s="164" t="inlineStr">
        <is>
          <t>SACOLA G</t>
        </is>
      </c>
      <c r="B50" s="89" t="n"/>
      <c r="C50" s="89" t="n"/>
      <c r="D50" s="166">
        <f>B50+C50</f>
        <v/>
      </c>
      <c r="E50" s="89" t="n"/>
      <c r="F50" s="89" t="n">
        <v>0</v>
      </c>
      <c r="G50" s="89" t="n">
        <v>0</v>
      </c>
      <c r="H50" s="89" t="n">
        <v>0</v>
      </c>
      <c r="I50" s="166">
        <f>E50+F50+G50+H50</f>
        <v/>
      </c>
      <c r="J50" s="89" t="n">
        <v>162</v>
      </c>
      <c r="K50" s="89" t="n">
        <v>38</v>
      </c>
      <c r="L50" s="89" t="n">
        <v>0</v>
      </c>
      <c r="M50" s="89" t="n">
        <v>0</v>
      </c>
      <c r="N50" s="166">
        <f>J50+K50+L50+M50</f>
        <v/>
      </c>
      <c r="O50" s="174">
        <f>B50+C50+E50+F50+G50+H50+J50+K50</f>
        <v/>
      </c>
      <c r="P50" s="215">
        <f>D50+I50+N50</f>
        <v/>
      </c>
    </row>
    <row r="51" ht="15.75" customHeight="1">
      <c r="A51" s="115" t="inlineStr">
        <is>
          <t xml:space="preserve">PAPEL DE SEDA </t>
        </is>
      </c>
      <c r="B51" s="89" t="n"/>
      <c r="C51" s="89" t="n"/>
      <c r="D51" s="166">
        <f>B51+C51</f>
        <v/>
      </c>
      <c r="E51" s="89" t="n"/>
      <c r="F51" s="89" t="n">
        <v>3</v>
      </c>
      <c r="G51" s="89" t="n">
        <v>3</v>
      </c>
      <c r="H51" s="89" t="n">
        <v>2</v>
      </c>
      <c r="I51" s="166">
        <f>E51+F51+G51+H51</f>
        <v/>
      </c>
      <c r="J51" s="89" t="n">
        <v>3</v>
      </c>
      <c r="K51" s="89" t="n">
        <v>3</v>
      </c>
      <c r="L51" s="89" t="n">
        <v>0</v>
      </c>
      <c r="M51" s="89" t="n">
        <v>0</v>
      </c>
      <c r="N51" s="166">
        <f>J51+K51+L51+M51</f>
        <v/>
      </c>
      <c r="O51" s="174">
        <f>B51+C51+E51+F51+G51+H51+J51+K51</f>
        <v/>
      </c>
      <c r="P51" s="215">
        <f>D51+I51+N51</f>
        <v/>
      </c>
    </row>
    <row r="52" ht="15.75" customHeight="1">
      <c r="A52" s="115" t="inlineStr">
        <is>
          <t>ADESIVOS</t>
        </is>
      </c>
      <c r="B52" s="89" t="n"/>
      <c r="C52" s="89" t="n"/>
      <c r="D52" s="166">
        <f>B52+C52</f>
        <v/>
      </c>
      <c r="E52" s="89" t="n"/>
      <c r="F52" s="89" t="n">
        <v>0</v>
      </c>
      <c r="G52" s="89" t="n">
        <v>0</v>
      </c>
      <c r="H52" s="89" t="n">
        <v>0</v>
      </c>
      <c r="I52" s="166">
        <f>E52+F52+G52+H52</f>
        <v/>
      </c>
      <c r="J52" s="89" t="n">
        <v>0</v>
      </c>
      <c r="K52" s="89" t="n">
        <v>0</v>
      </c>
      <c r="L52" s="89" t="n">
        <v>0</v>
      </c>
      <c r="M52" s="89" t="n">
        <v>0</v>
      </c>
      <c r="N52" s="166">
        <f>J52+K52+L52+M52</f>
        <v/>
      </c>
      <c r="O52" s="174">
        <f>B52+C52+E52+F52+G52+H52+J52+K52</f>
        <v/>
      </c>
      <c r="P52" s="215">
        <f>D52+I52+N52</f>
        <v/>
      </c>
    </row>
    <row r="53" ht="15.75" customHeight="1">
      <c r="A53" s="115" t="inlineStr">
        <is>
          <t xml:space="preserve">TAGS </t>
        </is>
      </c>
      <c r="B53" s="89" t="n"/>
      <c r="C53" s="89" t="n"/>
      <c r="D53" s="166">
        <f>B53+C53</f>
        <v/>
      </c>
      <c r="E53" s="89" t="n"/>
      <c r="F53" s="89" t="n">
        <v>1</v>
      </c>
      <c r="G53" s="89" t="n">
        <v>0</v>
      </c>
      <c r="H53" s="89" t="n">
        <v>0</v>
      </c>
      <c r="I53" s="166">
        <f>E53+F53+G53+H53</f>
        <v/>
      </c>
      <c r="J53" s="89" t="n">
        <v>0</v>
      </c>
      <c r="K53" s="89" t="n">
        <v>3</v>
      </c>
      <c r="L53" s="89" t="n">
        <v>0</v>
      </c>
      <c r="M53" s="89" t="n">
        <v>0</v>
      </c>
      <c r="N53" s="166">
        <f>J53+K53+L53+M53</f>
        <v/>
      </c>
      <c r="O53" s="174">
        <f>B53+C53+E53+F53+G53+H53+J53+K53</f>
        <v/>
      </c>
      <c r="P53" s="215">
        <f>D53+I53+N53</f>
        <v/>
      </c>
    </row>
    <row r="54" ht="15.75" customHeight="1">
      <c r="A54" s="109" t="inlineStr">
        <is>
          <t>TOTAL DE SACOLAS</t>
        </is>
      </c>
      <c r="B54" s="110">
        <f>B48+B49+B50</f>
        <v/>
      </c>
      <c r="C54" s="110">
        <f>C48+C49+C50</f>
        <v/>
      </c>
      <c r="D54" s="110">
        <f>D48+D49+D50</f>
        <v/>
      </c>
      <c r="E54" s="110">
        <f>E48+E49+E50</f>
        <v/>
      </c>
      <c r="F54" s="110">
        <f>F48+F49+F50</f>
        <v/>
      </c>
      <c r="G54" s="110">
        <f>G48+G49+G50</f>
        <v/>
      </c>
      <c r="H54" s="110">
        <f>H48+H49+H50</f>
        <v/>
      </c>
      <c r="I54" s="110">
        <f>I48+I49+I50</f>
        <v/>
      </c>
      <c r="J54" s="110">
        <f>J48+J49+J50</f>
        <v/>
      </c>
      <c r="K54" s="110">
        <f>K48+K49+K50</f>
        <v/>
      </c>
      <c r="L54" s="110">
        <f>L48+L49+L50</f>
        <v/>
      </c>
      <c r="M54" s="110">
        <f>M48+M49+M50</f>
        <v/>
      </c>
      <c r="N54" s="110">
        <f>N48+N49+N50</f>
        <v/>
      </c>
      <c r="O54" s="216">
        <f>O48+O49+O50</f>
        <v/>
      </c>
      <c r="P54" s="216">
        <f>P48+P49+P50</f>
        <v/>
      </c>
    </row>
    <row r="56" ht="15.75" customHeight="1">
      <c r="A56" s="493" t="inlineStr">
        <is>
          <t>GASTO DE SACOLAS E ITENS DOADOS MÃES/2025 - MENSAIS</t>
        </is>
      </c>
      <c r="B56" s="669" t="n"/>
      <c r="C56" s="669" t="n"/>
      <c r="D56" s="669" t="n"/>
      <c r="E56" s="669" t="n"/>
      <c r="F56" s="669" t="n"/>
      <c r="G56" s="669" t="n"/>
      <c r="H56" s="669" t="n"/>
      <c r="I56" s="669" t="n"/>
      <c r="J56" s="669" t="n"/>
      <c r="K56" s="669" t="n"/>
      <c r="L56" s="669" t="n"/>
      <c r="M56" s="669" t="n"/>
      <c r="N56" s="669" t="n"/>
      <c r="O56" s="669" t="n"/>
      <c r="P56" s="670" t="n"/>
    </row>
    <row r="57" ht="15.75" customHeight="1">
      <c r="A57" s="493" t="inlineStr">
        <is>
          <t>CONFIANÇA</t>
        </is>
      </c>
      <c r="B57" s="493" t="inlineStr">
        <is>
          <t>MARÇO</t>
        </is>
      </c>
      <c r="C57" s="669" t="n"/>
      <c r="D57" s="670" t="n"/>
      <c r="E57" s="493" t="inlineStr">
        <is>
          <t>ABRIL</t>
        </is>
      </c>
      <c r="F57" s="669" t="n"/>
      <c r="G57" s="669" t="n"/>
      <c r="H57" s="669" t="n"/>
      <c r="I57" s="670" t="n"/>
      <c r="J57" s="493" t="inlineStr">
        <is>
          <t>MAIO</t>
        </is>
      </c>
      <c r="K57" s="669" t="n"/>
      <c r="L57" s="669" t="n"/>
      <c r="M57" s="669" t="n"/>
      <c r="N57" s="670" t="n"/>
      <c r="O57" s="489" t="inlineStr">
        <is>
          <t>USOU ATÉ MÃES</t>
        </is>
      </c>
      <c r="P57" s="489" t="inlineStr">
        <is>
          <t>TOTAL GERAL</t>
        </is>
      </c>
    </row>
    <row r="58" ht="15.75" customHeight="1">
      <c r="A58" s="672" t="n"/>
      <c r="B58" s="218" t="n">
        <v>45740</v>
      </c>
      <c r="C58" s="218" t="n">
        <v>45747</v>
      </c>
      <c r="D58" s="489" t="inlineStr">
        <is>
          <t>USOU</t>
        </is>
      </c>
      <c r="E58" s="218" t="n">
        <v>45754</v>
      </c>
      <c r="F58" s="218" t="n">
        <v>45761</v>
      </c>
      <c r="G58" s="218" t="n">
        <v>45768</v>
      </c>
      <c r="H58" s="218" t="n">
        <v>45775</v>
      </c>
      <c r="I58" s="489" t="inlineStr">
        <is>
          <t>USOU</t>
        </is>
      </c>
      <c r="J58" s="218" t="n">
        <v>45782</v>
      </c>
      <c r="K58" s="218" t="n">
        <v>45789</v>
      </c>
      <c r="L58" s="218" t="n">
        <v>45796</v>
      </c>
      <c r="M58" s="218" t="n">
        <v>45803</v>
      </c>
      <c r="N58" s="489" t="inlineStr">
        <is>
          <t>USOU</t>
        </is>
      </c>
      <c r="O58" s="672" t="n"/>
      <c r="P58" s="672" t="n"/>
    </row>
    <row r="59" ht="15.75" customHeight="1">
      <c r="A59" s="164" t="inlineStr">
        <is>
          <t>SACOLA P</t>
        </is>
      </c>
      <c r="B59" s="89" t="n"/>
      <c r="C59" s="89" t="n"/>
      <c r="D59" s="166">
        <f>B59+C59</f>
        <v/>
      </c>
      <c r="E59" s="89" t="n"/>
      <c r="F59" s="89" t="n">
        <v>80</v>
      </c>
      <c r="G59" s="89" t="n">
        <v>60</v>
      </c>
      <c r="H59" s="89" t="n">
        <v>80</v>
      </c>
      <c r="I59" s="166">
        <f>E59+F59+G59+H59</f>
        <v/>
      </c>
      <c r="J59" s="89" t="n">
        <v>0</v>
      </c>
      <c r="K59" s="89" t="n">
        <v>100</v>
      </c>
      <c r="L59" s="89" t="n">
        <v>280</v>
      </c>
      <c r="M59" s="89" t="n">
        <v>0</v>
      </c>
      <c r="N59" s="166">
        <f>J59+K59+L59+M59</f>
        <v/>
      </c>
      <c r="O59" s="174">
        <f>B59+C59+E59+F59+G59+H59+J59+K59</f>
        <v/>
      </c>
      <c r="P59" s="215">
        <f>D59+I59+N59</f>
        <v/>
      </c>
    </row>
    <row r="60" ht="15.75" customHeight="1">
      <c r="A60" s="164" t="inlineStr">
        <is>
          <t>SACOLA M</t>
        </is>
      </c>
      <c r="B60" s="89" t="n"/>
      <c r="C60" s="89" t="n"/>
      <c r="D60" s="166">
        <f>B60+C60</f>
        <v/>
      </c>
      <c r="E60" s="89" t="n"/>
      <c r="F60" s="89" t="n">
        <v>80</v>
      </c>
      <c r="G60" s="89" t="n">
        <v>10</v>
      </c>
      <c r="H60" s="89" t="n">
        <v>40</v>
      </c>
      <c r="I60" s="166">
        <f>E60+F60+G60+H60</f>
        <v/>
      </c>
      <c r="J60" s="89" t="n">
        <v>40</v>
      </c>
      <c r="K60" s="89" t="n">
        <v>30</v>
      </c>
      <c r="L60" s="89" t="n">
        <v>0</v>
      </c>
      <c r="M60" s="89" t="n">
        <v>0</v>
      </c>
      <c r="N60" s="166">
        <f>J60+K60+L60+M60</f>
        <v/>
      </c>
      <c r="O60" s="174">
        <f>B60+C60+E60+F60+G60+H60+J60+K60</f>
        <v/>
      </c>
      <c r="P60" s="215">
        <f>D60+I60+N60</f>
        <v/>
      </c>
    </row>
    <row r="61" ht="15.75" customHeight="1">
      <c r="A61" s="164" t="inlineStr">
        <is>
          <t>SACOLA G</t>
        </is>
      </c>
      <c r="B61" s="89" t="n"/>
      <c r="C61" s="89" t="n"/>
      <c r="D61" s="166">
        <f>B61+C61</f>
        <v/>
      </c>
      <c r="E61" s="89" t="n"/>
      <c r="F61" s="89" t="n">
        <v>0</v>
      </c>
      <c r="G61" s="89" t="n">
        <v>0</v>
      </c>
      <c r="H61" s="89" t="n">
        <v>0</v>
      </c>
      <c r="I61" s="166">
        <f>E61+F61+G61+H61</f>
        <v/>
      </c>
      <c r="J61" s="89" t="n">
        <v>0</v>
      </c>
      <c r="K61" s="89" t="n">
        <v>20</v>
      </c>
      <c r="L61" s="89" t="n">
        <v>80</v>
      </c>
      <c r="M61" s="89" t="n">
        <v>0</v>
      </c>
      <c r="N61" s="166">
        <f>J61+K61+L61+M61</f>
        <v/>
      </c>
      <c r="O61" s="174">
        <f>B61+C61+E61+F61+G61+H61+J61+K61</f>
        <v/>
      </c>
      <c r="P61" s="215">
        <f>D61+I61+N61</f>
        <v/>
      </c>
    </row>
    <row r="62" ht="15.75" customHeight="1">
      <c r="A62" s="115" t="inlineStr">
        <is>
          <t xml:space="preserve">PAPEL DE SEDA </t>
        </is>
      </c>
      <c r="B62" s="89" t="n"/>
      <c r="C62" s="89" t="n"/>
      <c r="D62" s="166">
        <f>B62+C62</f>
        <v/>
      </c>
      <c r="E62" s="89" t="n"/>
      <c r="F62" s="89" t="n">
        <v>2</v>
      </c>
      <c r="G62" s="89" t="n">
        <v>1</v>
      </c>
      <c r="H62" s="89" t="n">
        <v>0</v>
      </c>
      <c r="I62" s="166">
        <f>E62+F62+G62+H62</f>
        <v/>
      </c>
      <c r="J62" s="89" t="n">
        <v>0</v>
      </c>
      <c r="K62" s="89" t="n">
        <v>0</v>
      </c>
      <c r="L62" s="89" t="n">
        <v>0</v>
      </c>
      <c r="M62" s="89" t="n">
        <v>1</v>
      </c>
      <c r="N62" s="166">
        <f>J62+K62+L62+M62</f>
        <v/>
      </c>
      <c r="O62" s="174">
        <f>B62+C62+E62+F62+G62+H62+J62+K62</f>
        <v/>
      </c>
      <c r="P62" s="215">
        <f>D62+I62+N62</f>
        <v/>
      </c>
    </row>
    <row r="63" ht="15.75" customHeight="1">
      <c r="A63" s="115" t="inlineStr">
        <is>
          <t>ADESIVOS</t>
        </is>
      </c>
      <c r="B63" s="89" t="n"/>
      <c r="C63" s="89" t="n"/>
      <c r="D63" s="166">
        <f>B63+C63</f>
        <v/>
      </c>
      <c r="E63" s="89" t="n"/>
      <c r="F63" s="89" t="n">
        <v>0</v>
      </c>
      <c r="G63" s="89" t="n">
        <v>0</v>
      </c>
      <c r="H63" s="89" t="n">
        <v>0</v>
      </c>
      <c r="I63" s="166">
        <f>E63+F63+G63+H63</f>
        <v/>
      </c>
      <c r="J63" s="89" t="n">
        <v>0</v>
      </c>
      <c r="K63" s="89" t="n">
        <v>0</v>
      </c>
      <c r="L63" s="89" t="n">
        <v>0</v>
      </c>
      <c r="M63" s="89" t="n">
        <v>0</v>
      </c>
      <c r="N63" s="166">
        <f>J63+K63+L63+M63</f>
        <v/>
      </c>
      <c r="O63" s="174">
        <f>B63+C63+E63+F63+G63+H63+J63+K63</f>
        <v/>
      </c>
      <c r="P63" s="215">
        <f>D63+I63+N63</f>
        <v/>
      </c>
    </row>
    <row r="64" ht="15.75" customHeight="1">
      <c r="A64" s="115" t="inlineStr">
        <is>
          <t xml:space="preserve">TAGS </t>
        </is>
      </c>
      <c r="B64" s="89" t="n"/>
      <c r="C64" s="89" t="n"/>
      <c r="D64" s="166">
        <f>B64+C64</f>
        <v/>
      </c>
      <c r="E64" s="89" t="n"/>
      <c r="F64" s="89" t="n">
        <v>1</v>
      </c>
      <c r="G64" s="89" t="n">
        <v>0</v>
      </c>
      <c r="H64" s="89" t="n">
        <v>0</v>
      </c>
      <c r="I64" s="166">
        <f>E64+F64+G64+H64</f>
        <v/>
      </c>
      <c r="J64" s="89" t="n">
        <v>0</v>
      </c>
      <c r="K64" s="89" t="n">
        <v>0</v>
      </c>
      <c r="L64" s="89" t="n">
        <v>0</v>
      </c>
      <c r="M64" s="89" t="n">
        <v>0</v>
      </c>
      <c r="N64" s="166">
        <f>J64+K64+L64+M64</f>
        <v/>
      </c>
      <c r="O64" s="174">
        <f>B64+C64+E64+F64+G64+H64+J64+K64</f>
        <v/>
      </c>
      <c r="P64" s="215">
        <f>D64+I64+N64</f>
        <v/>
      </c>
    </row>
    <row r="65" ht="15.75" customHeight="1">
      <c r="A65" s="109" t="inlineStr">
        <is>
          <t>TOTAL DE SACOLAS</t>
        </is>
      </c>
      <c r="B65" s="110">
        <f>B59+B60+B61</f>
        <v/>
      </c>
      <c r="C65" s="110">
        <f>C59+C60+C61</f>
        <v/>
      </c>
      <c r="D65" s="110">
        <f>D59+D60+D61</f>
        <v/>
      </c>
      <c r="E65" s="110">
        <f>E59+E60+E61</f>
        <v/>
      </c>
      <c r="F65" s="110">
        <f>F59+F60+F61</f>
        <v/>
      </c>
      <c r="G65" s="110">
        <f>G59+G60+G61</f>
        <v/>
      </c>
      <c r="H65" s="110">
        <f>H59+H60+H61</f>
        <v/>
      </c>
      <c r="I65" s="110">
        <f>I59+I60+I61</f>
        <v/>
      </c>
      <c r="J65" s="110">
        <f>J59+J60+J61</f>
        <v/>
      </c>
      <c r="K65" s="110">
        <f>K59+K60+K61</f>
        <v/>
      </c>
      <c r="L65" s="110">
        <f>L59+L60+L61</f>
        <v/>
      </c>
      <c r="M65" s="110">
        <f>M59+M60+M61</f>
        <v/>
      </c>
      <c r="N65" s="110">
        <f>N59+N60+N61</f>
        <v/>
      </c>
      <c r="O65" s="216">
        <f>O59+O60+O61</f>
        <v/>
      </c>
      <c r="P65" s="216">
        <f>P59+P60+P61</f>
        <v/>
      </c>
    </row>
    <row r="67" ht="15.75" customHeight="1">
      <c r="A67" s="493" t="inlineStr">
        <is>
          <t>GASTO DE SACOLAS E ITENS DOADOS MÃES/2025 - MENSAIS</t>
        </is>
      </c>
      <c r="B67" s="669" t="n"/>
      <c r="C67" s="669" t="n"/>
      <c r="D67" s="669" t="n"/>
      <c r="E67" s="669" t="n"/>
      <c r="F67" s="669" t="n"/>
      <c r="G67" s="669" t="n"/>
      <c r="H67" s="669" t="n"/>
      <c r="I67" s="669" t="n"/>
      <c r="J67" s="669" t="n"/>
      <c r="K67" s="669" t="n"/>
      <c r="L67" s="669" t="n"/>
      <c r="M67" s="669" t="n"/>
      <c r="N67" s="669" t="n"/>
      <c r="O67" s="669" t="n"/>
      <c r="P67" s="670" t="n"/>
    </row>
    <row r="68" ht="15.75" customHeight="1">
      <c r="A68" s="493" t="inlineStr">
        <is>
          <t>DOIS CÓRREGOS</t>
        </is>
      </c>
      <c r="B68" s="493" t="inlineStr">
        <is>
          <t>MARÇO</t>
        </is>
      </c>
      <c r="C68" s="669" t="n"/>
      <c r="D68" s="670" t="n"/>
      <c r="E68" s="493" t="inlineStr">
        <is>
          <t>ABRIL</t>
        </is>
      </c>
      <c r="F68" s="669" t="n"/>
      <c r="G68" s="669" t="n"/>
      <c r="H68" s="669" t="n"/>
      <c r="I68" s="670" t="n"/>
      <c r="J68" s="493" t="inlineStr">
        <is>
          <t>MAIO</t>
        </is>
      </c>
      <c r="K68" s="669" t="n"/>
      <c r="L68" s="669" t="n"/>
      <c r="M68" s="669" t="n"/>
      <c r="N68" s="670" t="n"/>
      <c r="O68" s="489" t="inlineStr">
        <is>
          <t>USOU ATÉ MÃES</t>
        </is>
      </c>
      <c r="P68" s="489" t="inlineStr">
        <is>
          <t>TOTAL GERAL</t>
        </is>
      </c>
    </row>
    <row r="69" ht="15.75" customHeight="1">
      <c r="A69" s="672" t="n"/>
      <c r="B69" s="218" t="n">
        <v>45740</v>
      </c>
      <c r="C69" s="218" t="n">
        <v>45747</v>
      </c>
      <c r="D69" s="489" t="inlineStr">
        <is>
          <t>USOU</t>
        </is>
      </c>
      <c r="E69" s="218" t="n">
        <v>45754</v>
      </c>
      <c r="F69" s="218" t="n">
        <v>45761</v>
      </c>
      <c r="G69" s="218" t="n">
        <v>45768</v>
      </c>
      <c r="H69" s="218" t="n">
        <v>45775</v>
      </c>
      <c r="I69" s="489" t="inlineStr">
        <is>
          <t>USOU</t>
        </is>
      </c>
      <c r="J69" s="218" t="n">
        <v>45782</v>
      </c>
      <c r="K69" s="218" t="n">
        <v>45789</v>
      </c>
      <c r="L69" s="218" t="n">
        <v>45796</v>
      </c>
      <c r="M69" s="218" t="n">
        <v>45803</v>
      </c>
      <c r="N69" s="489" t="inlineStr">
        <is>
          <t>USOU</t>
        </is>
      </c>
      <c r="O69" s="672" t="n"/>
      <c r="P69" s="672" t="n"/>
    </row>
    <row r="70" ht="15.75" customHeight="1">
      <c r="A70" s="164" t="inlineStr">
        <is>
          <t>SACOLA P</t>
        </is>
      </c>
      <c r="B70" s="89" t="n"/>
      <c r="C70" s="89" t="n"/>
      <c r="D70" s="166">
        <f>B70+C70</f>
        <v/>
      </c>
      <c r="E70" s="89" t="n"/>
      <c r="F70" s="89" t="n">
        <v>50</v>
      </c>
      <c r="G70" s="89" t="n">
        <v>40</v>
      </c>
      <c r="H70" s="89" t="n">
        <v>40</v>
      </c>
      <c r="I70" s="166">
        <f>E70+F70+G70+H70</f>
        <v/>
      </c>
      <c r="J70" s="89" t="n">
        <v>70</v>
      </c>
      <c r="K70" s="89" t="n">
        <v>200</v>
      </c>
      <c r="L70" s="89" t="n">
        <v>0</v>
      </c>
      <c r="M70" s="89" t="n">
        <v>0</v>
      </c>
      <c r="N70" s="166">
        <f>J70+K70+L70+M70</f>
        <v/>
      </c>
      <c r="O70" s="174">
        <f>B70+C70+E70+F70+G70+H70+J70+K70</f>
        <v/>
      </c>
      <c r="P70" s="215">
        <f>D70+I70+N70</f>
        <v/>
      </c>
    </row>
    <row r="71" ht="15.75" customHeight="1">
      <c r="A71" s="164" t="inlineStr">
        <is>
          <t>SACOLA M</t>
        </is>
      </c>
      <c r="B71" s="89" t="n"/>
      <c r="C71" s="89" t="n"/>
      <c r="D71" s="166">
        <f>B71+C71</f>
        <v/>
      </c>
      <c r="E71" s="89" t="n"/>
      <c r="F71" s="89" t="n">
        <v>50</v>
      </c>
      <c r="G71" s="89" t="n">
        <v>0</v>
      </c>
      <c r="H71" s="89" t="n">
        <v>20</v>
      </c>
      <c r="I71" s="166">
        <f>E71+F71+G71+H71</f>
        <v/>
      </c>
      <c r="J71" s="89" t="n">
        <v>0</v>
      </c>
      <c r="K71" s="89" t="n">
        <v>280</v>
      </c>
      <c r="L71" s="89" t="n">
        <v>30</v>
      </c>
      <c r="M71" s="89" t="n">
        <v>20</v>
      </c>
      <c r="N71" s="166">
        <f>J71+K71+L71+M71</f>
        <v/>
      </c>
      <c r="O71" s="174">
        <f>B71+C71+E71+F71+G71+H71+J71+K71</f>
        <v/>
      </c>
      <c r="P71" s="215">
        <f>D71+I71+N71</f>
        <v/>
      </c>
    </row>
    <row r="72" ht="15.75" customHeight="1">
      <c r="A72" s="164" t="inlineStr">
        <is>
          <t>SACOLA G</t>
        </is>
      </c>
      <c r="B72" s="89" t="n"/>
      <c r="C72" s="89" t="n"/>
      <c r="D72" s="166">
        <f>B72+C72</f>
        <v/>
      </c>
      <c r="E72" s="89" t="n"/>
      <c r="F72" s="89" t="n">
        <v>50</v>
      </c>
      <c r="G72" s="89" t="n">
        <v>0</v>
      </c>
      <c r="H72" s="89" t="n">
        <v>0</v>
      </c>
      <c r="I72" s="166">
        <f>E72+F72+G72+H72</f>
        <v/>
      </c>
      <c r="J72" s="89" t="n">
        <v>0</v>
      </c>
      <c r="K72" s="89" t="n">
        <v>0</v>
      </c>
      <c r="L72" s="89" t="n">
        <v>0</v>
      </c>
      <c r="M72" s="89" t="n">
        <v>0</v>
      </c>
      <c r="N72" s="166">
        <f>J72+K72+L72+M72</f>
        <v/>
      </c>
      <c r="O72" s="174">
        <f>B72+C72+E72+F72+G72+H72+J72+K72</f>
        <v/>
      </c>
      <c r="P72" s="215">
        <f>D72+I72+N72</f>
        <v/>
      </c>
    </row>
    <row r="73" ht="15.75" customHeight="1">
      <c r="A73" s="115" t="inlineStr">
        <is>
          <t xml:space="preserve">PAPEL DE SEDA </t>
        </is>
      </c>
      <c r="B73" s="89" t="n"/>
      <c r="C73" s="89" t="n"/>
      <c r="D73" s="166">
        <f>B73+C73</f>
        <v/>
      </c>
      <c r="E73" s="89" t="n"/>
      <c r="F73" s="89" t="n">
        <v>1</v>
      </c>
      <c r="G73" s="89" t="n">
        <v>0</v>
      </c>
      <c r="H73" s="89" t="n">
        <v>0</v>
      </c>
      <c r="I73" s="166">
        <f>E73+F73+G73+H73</f>
        <v/>
      </c>
      <c r="J73" s="89" t="n">
        <v>1</v>
      </c>
      <c r="K73" s="89" t="n">
        <v>2</v>
      </c>
      <c r="L73" s="89" t="n">
        <v>0</v>
      </c>
      <c r="M73" s="89" t="n">
        <v>0</v>
      </c>
      <c r="N73" s="166">
        <f>J73+K73+L73+M73</f>
        <v/>
      </c>
      <c r="O73" s="174">
        <f>B73+C73+E73+F73+G73+H73+J73+K73</f>
        <v/>
      </c>
      <c r="P73" s="215">
        <f>D73+I73+N73</f>
        <v/>
      </c>
    </row>
    <row r="74" ht="15.75" customHeight="1">
      <c r="A74" s="115" t="inlineStr">
        <is>
          <t>ADESIVOS</t>
        </is>
      </c>
      <c r="B74" s="89" t="n"/>
      <c r="C74" s="89" t="n"/>
      <c r="D74" s="166">
        <f>B74+C74</f>
        <v/>
      </c>
      <c r="E74" s="89" t="n"/>
      <c r="F74" s="89" t="n">
        <v>0</v>
      </c>
      <c r="G74" s="89" t="n">
        <v>0</v>
      </c>
      <c r="H74" s="89" t="n">
        <v>0</v>
      </c>
      <c r="I74" s="166">
        <f>E74+F74+G74+H74</f>
        <v/>
      </c>
      <c r="J74" s="89" t="n">
        <v>0</v>
      </c>
      <c r="K74" s="89" t="n">
        <v>0</v>
      </c>
      <c r="L74" s="89" t="n">
        <v>0</v>
      </c>
      <c r="M74" s="89" t="n">
        <v>0</v>
      </c>
      <c r="N74" s="166">
        <f>J74+K74+L74+M74</f>
        <v/>
      </c>
      <c r="O74" s="174">
        <f>B74+C74+E74+F74+G74+H74+J74+K74</f>
        <v/>
      </c>
      <c r="P74" s="215">
        <f>D74+I74+N74</f>
        <v/>
      </c>
    </row>
    <row r="75" ht="15.75" customHeight="1">
      <c r="A75" s="115" t="inlineStr">
        <is>
          <t xml:space="preserve">TAGS </t>
        </is>
      </c>
      <c r="B75" s="89" t="n"/>
      <c r="C75" s="89" t="n"/>
      <c r="D75" s="166">
        <f>B75+C75</f>
        <v/>
      </c>
      <c r="E75" s="89" t="n"/>
      <c r="F75" s="89" t="n">
        <v>0</v>
      </c>
      <c r="G75" s="89" t="n">
        <v>0</v>
      </c>
      <c r="H75" s="89" t="n">
        <v>0</v>
      </c>
      <c r="I75" s="166">
        <f>E75+F75+G75+H75</f>
        <v/>
      </c>
      <c r="J75" s="89" t="n">
        <v>0</v>
      </c>
      <c r="K75" s="89" t="n">
        <v>1</v>
      </c>
      <c r="L75" s="89" t="n">
        <v>0</v>
      </c>
      <c r="M75" s="89" t="n">
        <v>0</v>
      </c>
      <c r="N75" s="166">
        <f>J75+K75+L75+M75</f>
        <v/>
      </c>
      <c r="O75" s="174">
        <f>B75+C75+E75+F75+G75+H75+J75+K75</f>
        <v/>
      </c>
      <c r="P75" s="215">
        <f>D75+I75+N75</f>
        <v/>
      </c>
    </row>
    <row r="76" ht="15.75" customHeight="1">
      <c r="A76" s="109" t="inlineStr">
        <is>
          <t>TOTAL DE SACOLAS</t>
        </is>
      </c>
      <c r="B76" s="110">
        <f>B70+B71+B72</f>
        <v/>
      </c>
      <c r="C76" s="110">
        <f>C70+C71+C72</f>
        <v/>
      </c>
      <c r="D76" s="110">
        <f>D70+D71+D72</f>
        <v/>
      </c>
      <c r="E76" s="110">
        <f>E70+E71+E72</f>
        <v/>
      </c>
      <c r="F76" s="110">
        <f>F70+F71+F72</f>
        <v/>
      </c>
      <c r="G76" s="110">
        <f>G70+G71+G72</f>
        <v/>
      </c>
      <c r="H76" s="110">
        <f>H70+H71+H72</f>
        <v/>
      </c>
      <c r="I76" s="110">
        <f>I70+I71+I72</f>
        <v/>
      </c>
      <c r="J76" s="110">
        <f>J70+J71+J72</f>
        <v/>
      </c>
      <c r="K76" s="110">
        <f>K70+K71+K72</f>
        <v/>
      </c>
      <c r="L76" s="110">
        <f>L70+L71+L72</f>
        <v/>
      </c>
      <c r="M76" s="110">
        <f>M70+M71+M72</f>
        <v/>
      </c>
      <c r="N76" s="110">
        <f>N70+N71+N72</f>
        <v/>
      </c>
      <c r="O76" s="216">
        <f>O70+O71+O72</f>
        <v/>
      </c>
      <c r="P76" s="216">
        <f>P70+P71+P72</f>
        <v/>
      </c>
    </row>
    <row r="78" ht="15.75" customHeight="1">
      <c r="A78" s="493" t="inlineStr">
        <is>
          <t>GASTO DE SACOLAS E ITENS DOADOS MÃES/2025 - MENSAIS</t>
        </is>
      </c>
      <c r="B78" s="669" t="n"/>
      <c r="C78" s="669" t="n"/>
      <c r="D78" s="669" t="n"/>
      <c r="E78" s="669" t="n"/>
      <c r="F78" s="669" t="n"/>
      <c r="G78" s="669" t="n"/>
      <c r="H78" s="669" t="n"/>
      <c r="I78" s="669" t="n"/>
      <c r="J78" s="669" t="n"/>
      <c r="K78" s="669" t="n"/>
      <c r="L78" s="669" t="n"/>
      <c r="M78" s="669" t="n"/>
      <c r="N78" s="669" t="n"/>
      <c r="O78" s="669" t="n"/>
      <c r="P78" s="670" t="n"/>
    </row>
    <row r="79" ht="15.75" customHeight="1">
      <c r="A79" s="493" t="inlineStr">
        <is>
          <t>ITIRAPINA</t>
        </is>
      </c>
      <c r="B79" s="493" t="inlineStr">
        <is>
          <t>MARÇO</t>
        </is>
      </c>
      <c r="C79" s="669" t="n"/>
      <c r="D79" s="670" t="n"/>
      <c r="E79" s="493" t="inlineStr">
        <is>
          <t>ABRIL</t>
        </is>
      </c>
      <c r="F79" s="669" t="n"/>
      <c r="G79" s="669" t="n"/>
      <c r="H79" s="669" t="n"/>
      <c r="I79" s="670" t="n"/>
      <c r="J79" s="493" t="inlineStr">
        <is>
          <t>MAIO</t>
        </is>
      </c>
      <c r="K79" s="669" t="n"/>
      <c r="L79" s="669" t="n"/>
      <c r="M79" s="669" t="n"/>
      <c r="N79" s="670" t="n"/>
      <c r="O79" s="489" t="inlineStr">
        <is>
          <t>USOU ATÉ MÃES</t>
        </is>
      </c>
      <c r="P79" s="489" t="inlineStr">
        <is>
          <t>TOTAL GERAL</t>
        </is>
      </c>
    </row>
    <row r="80" ht="15.75" customHeight="1">
      <c r="A80" s="672" t="n"/>
      <c r="B80" s="218" t="n">
        <v>45740</v>
      </c>
      <c r="C80" s="218" t="n">
        <v>45747</v>
      </c>
      <c r="D80" s="489" t="inlineStr">
        <is>
          <t>USOU</t>
        </is>
      </c>
      <c r="E80" s="218" t="n">
        <v>45754</v>
      </c>
      <c r="F80" s="218" t="n">
        <v>45761</v>
      </c>
      <c r="G80" s="218" t="n">
        <v>45768</v>
      </c>
      <c r="H80" s="218" t="n">
        <v>45775</v>
      </c>
      <c r="I80" s="489" t="inlineStr">
        <is>
          <t>USOU</t>
        </is>
      </c>
      <c r="J80" s="218" t="n">
        <v>45782</v>
      </c>
      <c r="K80" s="218" t="n">
        <v>45789</v>
      </c>
      <c r="L80" s="218" t="n">
        <v>45796</v>
      </c>
      <c r="M80" s="218" t="n">
        <v>45803</v>
      </c>
      <c r="N80" s="489" t="inlineStr">
        <is>
          <t>USOU</t>
        </is>
      </c>
      <c r="O80" s="672" t="n"/>
      <c r="P80" s="672" t="n"/>
    </row>
    <row r="81" ht="15.75" customHeight="1">
      <c r="A81" s="164" t="inlineStr">
        <is>
          <t>SACOLA P</t>
        </is>
      </c>
      <c r="B81" s="89" t="n"/>
      <c r="C81" s="89" t="n"/>
      <c r="D81" s="166">
        <f>B81+C81</f>
        <v/>
      </c>
      <c r="E81" s="89" t="n"/>
      <c r="F81" s="89" t="n">
        <v>0</v>
      </c>
      <c r="G81" s="89" t="n">
        <v>100</v>
      </c>
      <c r="H81" s="89" t="n">
        <v>15</v>
      </c>
      <c r="I81" s="166">
        <f>E81+F81+G81+H81</f>
        <v/>
      </c>
      <c r="J81" s="89" t="n">
        <v>41</v>
      </c>
      <c r="K81" s="89" t="n">
        <v>44</v>
      </c>
      <c r="L81" s="89" t="n">
        <v>0</v>
      </c>
      <c r="M81" s="89" t="n">
        <v>0</v>
      </c>
      <c r="N81" s="166">
        <f>J81+K81+L81+M81</f>
        <v/>
      </c>
      <c r="O81" s="174">
        <f>B81+C81+E81+F81+G81+H81+J81+K81</f>
        <v/>
      </c>
      <c r="P81" s="215">
        <f>D81+I81+N81</f>
        <v/>
      </c>
    </row>
    <row r="82" ht="15.75" customHeight="1">
      <c r="A82" s="164" t="inlineStr">
        <is>
          <t>SACOLA M</t>
        </is>
      </c>
      <c r="B82" s="89" t="n"/>
      <c r="C82" s="89" t="n"/>
      <c r="D82" s="166">
        <f>B82+C82</f>
        <v/>
      </c>
      <c r="E82" s="89" t="n"/>
      <c r="F82" s="89" t="n">
        <v>0</v>
      </c>
      <c r="G82" s="89" t="n">
        <v>60</v>
      </c>
      <c r="H82" s="89" t="n">
        <v>10</v>
      </c>
      <c r="I82" s="166">
        <f>E82+F82+G82+H82</f>
        <v/>
      </c>
      <c r="J82" s="89" t="n">
        <v>54</v>
      </c>
      <c r="K82" s="89" t="n">
        <v>76</v>
      </c>
      <c r="L82" s="89" t="n">
        <v>0</v>
      </c>
      <c r="M82" s="89" t="n">
        <v>0</v>
      </c>
      <c r="N82" s="166">
        <f>J82+K82+L82+M82</f>
        <v/>
      </c>
      <c r="O82" s="174">
        <f>B82+C82+E82+F82+G82+H82+J82+K82</f>
        <v/>
      </c>
      <c r="P82" s="215">
        <f>D82+I82+N82</f>
        <v/>
      </c>
    </row>
    <row r="83" ht="15.75" customHeight="1">
      <c r="A83" s="164" t="inlineStr">
        <is>
          <t>SACOLA G</t>
        </is>
      </c>
      <c r="B83" s="89" t="n"/>
      <c r="C83" s="89" t="n"/>
      <c r="D83" s="166">
        <f>B83+C83</f>
        <v/>
      </c>
      <c r="E83" s="89" t="n"/>
      <c r="F83" s="89" t="n">
        <v>0</v>
      </c>
      <c r="G83" s="89" t="n">
        <v>25</v>
      </c>
      <c r="H83" s="89" t="n">
        <v>0</v>
      </c>
      <c r="I83" s="166">
        <f>E83+F83+G83+H83</f>
        <v/>
      </c>
      <c r="J83" s="89" t="n">
        <v>0</v>
      </c>
      <c r="K83" s="89" t="n">
        <v>19</v>
      </c>
      <c r="L83" s="89" t="n">
        <v>0</v>
      </c>
      <c r="M83" s="89" t="n">
        <v>0</v>
      </c>
      <c r="N83" s="166">
        <f>J83+K83+L83+M83</f>
        <v/>
      </c>
      <c r="O83" s="174">
        <f>B83+C83+E83+F83+G83+H83+J83+K83</f>
        <v/>
      </c>
      <c r="P83" s="215">
        <f>D83+I83+N83</f>
        <v/>
      </c>
    </row>
    <row r="84" ht="15.75" customHeight="1">
      <c r="A84" s="115" t="inlineStr">
        <is>
          <t xml:space="preserve">PAPEL DE SEDA </t>
        </is>
      </c>
      <c r="B84" s="89" t="n"/>
      <c r="C84" s="89" t="n"/>
      <c r="D84" s="166">
        <f>B84+C84</f>
        <v/>
      </c>
      <c r="E84" s="89" t="n"/>
      <c r="F84" s="89" t="n">
        <v>0</v>
      </c>
      <c r="G84" s="89" t="n">
        <v>1</v>
      </c>
      <c r="H84" s="89" t="n">
        <v>0</v>
      </c>
      <c r="I84" s="166">
        <f>E84+F84+G84+H84</f>
        <v/>
      </c>
      <c r="J84" s="89" t="n">
        <v>0</v>
      </c>
      <c r="K84" s="89" t="n">
        <v>2</v>
      </c>
      <c r="L84" s="89" t="n">
        <v>0</v>
      </c>
      <c r="M84" s="89" t="n">
        <v>0</v>
      </c>
      <c r="N84" s="166">
        <f>J84+K84+L84+M84</f>
        <v/>
      </c>
      <c r="O84" s="174">
        <f>B84+C84+E84+F84+G84+H84+J84+K84</f>
        <v/>
      </c>
      <c r="P84" s="215">
        <f>D84+I84+N84</f>
        <v/>
      </c>
    </row>
    <row r="85" ht="15.75" customHeight="1">
      <c r="A85" s="115" t="inlineStr">
        <is>
          <t>ADESIVOS</t>
        </is>
      </c>
      <c r="B85" s="89" t="n"/>
      <c r="C85" s="89" t="n"/>
      <c r="D85" s="166">
        <f>B85+C85</f>
        <v/>
      </c>
      <c r="E85" s="89" t="n"/>
      <c r="F85" s="89" t="n">
        <v>0</v>
      </c>
      <c r="G85" s="89" t="n">
        <v>0</v>
      </c>
      <c r="H85" s="89" t="n">
        <v>0</v>
      </c>
      <c r="I85" s="166">
        <f>E85+F85+G85+H85</f>
        <v/>
      </c>
      <c r="J85" s="89" t="n">
        <v>0</v>
      </c>
      <c r="K85" s="89" t="n">
        <v>0</v>
      </c>
      <c r="L85" s="89" t="n">
        <v>0</v>
      </c>
      <c r="M85" s="89" t="n">
        <v>0</v>
      </c>
      <c r="N85" s="166">
        <f>J85+K85+L85+M85</f>
        <v/>
      </c>
      <c r="O85" s="174">
        <f>B85+C85+E85+F85+G85+H85+J85+K85</f>
        <v/>
      </c>
      <c r="P85" s="215">
        <f>D85+I85+N85</f>
        <v/>
      </c>
    </row>
    <row r="86" ht="15.75" customHeight="1">
      <c r="A86" s="115" t="inlineStr">
        <is>
          <t xml:space="preserve">TAGS </t>
        </is>
      </c>
      <c r="B86" s="89" t="n"/>
      <c r="C86" s="89" t="n"/>
      <c r="D86" s="166">
        <f>B86+C86</f>
        <v/>
      </c>
      <c r="E86" s="89" t="n"/>
      <c r="F86" s="89" t="n">
        <v>0</v>
      </c>
      <c r="G86" s="89" t="n">
        <v>0</v>
      </c>
      <c r="H86" s="89" t="n">
        <v>0</v>
      </c>
      <c r="I86" s="166">
        <f>E86+F86+G86+H86</f>
        <v/>
      </c>
      <c r="J86" s="89" t="n">
        <v>0</v>
      </c>
      <c r="K86" s="89" t="n">
        <v>0</v>
      </c>
      <c r="L86" s="89" t="n">
        <v>0</v>
      </c>
      <c r="M86" s="89" t="n">
        <v>0</v>
      </c>
      <c r="N86" s="166">
        <f>J86+K86+L86+M86</f>
        <v/>
      </c>
      <c r="O86" s="174">
        <f>B86+C86+E86+F86+G86+H86+J86+K86</f>
        <v/>
      </c>
      <c r="P86" s="215">
        <f>D86+I86+N86</f>
        <v/>
      </c>
    </row>
    <row r="87" ht="15.75" customHeight="1">
      <c r="A87" s="109" t="inlineStr">
        <is>
          <t>TOTAL DE SACOLAS</t>
        </is>
      </c>
      <c r="B87" s="110">
        <f>B81+B82+B83</f>
        <v/>
      </c>
      <c r="C87" s="110">
        <f>C81+C82+C83</f>
        <v/>
      </c>
      <c r="D87" s="110">
        <f>D81+D82+D83</f>
        <v/>
      </c>
      <c r="E87" s="110">
        <f>E81+E82+E83</f>
        <v/>
      </c>
      <c r="F87" s="110">
        <f>F81+F82+F83</f>
        <v/>
      </c>
      <c r="G87" s="110">
        <f>G81+G82+G83</f>
        <v/>
      </c>
      <c r="H87" s="110">
        <f>H81+H82+H83</f>
        <v/>
      </c>
      <c r="I87" s="110">
        <f>I81+I82+I83</f>
        <v/>
      </c>
      <c r="J87" s="110">
        <f>J81+J82+J83</f>
        <v/>
      </c>
      <c r="K87" s="110">
        <f>K81+K82+K83</f>
        <v/>
      </c>
      <c r="L87" s="110">
        <f>L81+L82+L83</f>
        <v/>
      </c>
      <c r="M87" s="110">
        <f>M81+M82+M83</f>
        <v/>
      </c>
      <c r="N87" s="110">
        <f>N81+N82+N83</f>
        <v/>
      </c>
      <c r="O87" s="216">
        <f>O81+O82+O83</f>
        <v/>
      </c>
      <c r="P87" s="216">
        <f>P81+P82+P83</f>
        <v/>
      </c>
    </row>
    <row r="89" ht="15.75" customHeight="1">
      <c r="A89" s="493" t="inlineStr">
        <is>
          <t>GASTO DE SACOLAS E ITENS DOADOS MÃES/2025 - MENSAIS</t>
        </is>
      </c>
      <c r="B89" s="669" t="n"/>
      <c r="C89" s="669" t="n"/>
      <c r="D89" s="669" t="n"/>
      <c r="E89" s="669" t="n"/>
      <c r="F89" s="669" t="n"/>
      <c r="G89" s="669" t="n"/>
      <c r="H89" s="669" t="n"/>
      <c r="I89" s="669" t="n"/>
      <c r="J89" s="669" t="n"/>
      <c r="K89" s="669" t="n"/>
      <c r="L89" s="669" t="n"/>
      <c r="M89" s="669" t="n"/>
      <c r="N89" s="669" t="n"/>
      <c r="O89" s="669" t="n"/>
      <c r="P89" s="670" t="n"/>
    </row>
    <row r="90" ht="15.75" customHeight="1">
      <c r="A90" s="493" t="inlineStr">
        <is>
          <t>BROTAS</t>
        </is>
      </c>
      <c r="B90" s="493" t="inlineStr">
        <is>
          <t>MARÇO</t>
        </is>
      </c>
      <c r="C90" s="669" t="n"/>
      <c r="D90" s="670" t="n"/>
      <c r="E90" s="493" t="inlineStr">
        <is>
          <t>ABRIL</t>
        </is>
      </c>
      <c r="F90" s="669" t="n"/>
      <c r="G90" s="669" t="n"/>
      <c r="H90" s="669" t="n"/>
      <c r="I90" s="670" t="n"/>
      <c r="J90" s="493" t="inlineStr">
        <is>
          <t>MAIO</t>
        </is>
      </c>
      <c r="K90" s="669" t="n"/>
      <c r="L90" s="669" t="n"/>
      <c r="M90" s="669" t="n"/>
      <c r="N90" s="670" t="n"/>
      <c r="O90" s="489" t="inlineStr">
        <is>
          <t>USOU ATÉ MÃES</t>
        </is>
      </c>
      <c r="P90" s="489" t="inlineStr">
        <is>
          <t>TOTAL GERAL</t>
        </is>
      </c>
    </row>
    <row r="91" ht="15.75" customHeight="1">
      <c r="A91" s="672" t="n"/>
      <c r="B91" s="218" t="n">
        <v>45740</v>
      </c>
      <c r="C91" s="218" t="n">
        <v>45747</v>
      </c>
      <c r="D91" s="489" t="inlineStr">
        <is>
          <t>USOU</t>
        </is>
      </c>
      <c r="E91" s="218" t="n">
        <v>45754</v>
      </c>
      <c r="F91" s="218" t="n">
        <v>45761</v>
      </c>
      <c r="G91" s="218" t="n">
        <v>45768</v>
      </c>
      <c r="H91" s="218" t="n">
        <v>45775</v>
      </c>
      <c r="I91" s="489" t="inlineStr">
        <is>
          <t>USOU</t>
        </is>
      </c>
      <c r="J91" s="218" t="n">
        <v>45782</v>
      </c>
      <c r="K91" s="218" t="n">
        <v>45789</v>
      </c>
      <c r="L91" s="218" t="n">
        <v>45796</v>
      </c>
      <c r="M91" s="218" t="n">
        <v>45803</v>
      </c>
      <c r="N91" s="489" t="inlineStr">
        <is>
          <t>USOU</t>
        </is>
      </c>
      <c r="O91" s="672" t="n"/>
      <c r="P91" s="672" t="n"/>
    </row>
    <row r="92" ht="15.75" customHeight="1">
      <c r="A92" s="164" t="inlineStr">
        <is>
          <t>SACOLA P</t>
        </is>
      </c>
      <c r="B92" s="89" t="n"/>
      <c r="C92" s="89" t="n"/>
      <c r="D92" s="166">
        <f>B92+C92</f>
        <v/>
      </c>
      <c r="E92" s="89" t="n"/>
      <c r="F92" s="89" t="n">
        <v>140</v>
      </c>
      <c r="G92" s="89" t="n">
        <v>120</v>
      </c>
      <c r="H92" s="89" t="n">
        <v>120</v>
      </c>
      <c r="I92" s="166">
        <f>E92+F92+G92+H92</f>
        <v/>
      </c>
      <c r="J92" s="89" t="n">
        <v>40</v>
      </c>
      <c r="K92" s="89" t="n">
        <v>180</v>
      </c>
      <c r="L92" s="89" t="n">
        <v>0</v>
      </c>
      <c r="M92" s="89" t="n">
        <v>0</v>
      </c>
      <c r="N92" s="166">
        <f>J92+K92+L92+M92</f>
        <v/>
      </c>
      <c r="O92" s="174">
        <f>B92+C92+E92+F92+G92+H92+J92+K92</f>
        <v/>
      </c>
      <c r="P92" s="215">
        <f>D92+I92+N92</f>
        <v/>
      </c>
    </row>
    <row r="93" ht="15.75" customHeight="1">
      <c r="A93" s="164" t="inlineStr">
        <is>
          <t>SACOLA M</t>
        </is>
      </c>
      <c r="B93" s="89" t="n"/>
      <c r="C93" s="89" t="n"/>
      <c r="D93" s="166">
        <f>B93+C93</f>
        <v/>
      </c>
      <c r="E93" s="89" t="n"/>
      <c r="F93" s="89" t="n">
        <v>80</v>
      </c>
      <c r="G93" s="89" t="n">
        <v>60</v>
      </c>
      <c r="H93" s="89" t="n">
        <v>60</v>
      </c>
      <c r="I93" s="166">
        <f>E93+F93+G93+H93</f>
        <v/>
      </c>
      <c r="J93" s="89" t="n">
        <v>40</v>
      </c>
      <c r="K93" s="89" t="n">
        <v>160</v>
      </c>
      <c r="L93" s="89" t="n">
        <v>0</v>
      </c>
      <c r="M93" s="89" t="n">
        <v>0</v>
      </c>
      <c r="N93" s="166">
        <f>J93+K93+L93+M93</f>
        <v/>
      </c>
      <c r="O93" s="174">
        <f>B93+C93+E93+F93+G93+H93+J93+K93</f>
        <v/>
      </c>
      <c r="P93" s="215">
        <f>D93+I93+N93</f>
        <v/>
      </c>
    </row>
    <row r="94" ht="15.75" customHeight="1">
      <c r="A94" s="164" t="inlineStr">
        <is>
          <t>SACOLA G</t>
        </is>
      </c>
      <c r="B94" s="89" t="n"/>
      <c r="C94" s="89" t="n"/>
      <c r="D94" s="166">
        <f>B94+C94</f>
        <v/>
      </c>
      <c r="E94" s="89" t="n"/>
      <c r="F94" s="89" t="n">
        <v>40</v>
      </c>
      <c r="G94" s="89" t="n">
        <v>0</v>
      </c>
      <c r="H94" s="89" t="n">
        <v>0</v>
      </c>
      <c r="I94" s="166">
        <f>E94+F94+G94+H94</f>
        <v/>
      </c>
      <c r="J94" s="89" t="n">
        <v>60</v>
      </c>
      <c r="K94" s="89" t="n">
        <v>0</v>
      </c>
      <c r="L94" s="89" t="n">
        <v>0</v>
      </c>
      <c r="M94" s="89" t="n">
        <v>0</v>
      </c>
      <c r="N94" s="166">
        <f>J94+K94+L94+M94</f>
        <v/>
      </c>
      <c r="O94" s="174">
        <f>B94+C94+E94+F94+G94+H94+J94+K94</f>
        <v/>
      </c>
      <c r="P94" s="215">
        <f>D94+I94+N94</f>
        <v/>
      </c>
    </row>
    <row r="95" ht="15.75" customHeight="1">
      <c r="A95" s="115" t="inlineStr">
        <is>
          <t xml:space="preserve">PAPEL DE SEDA </t>
        </is>
      </c>
      <c r="B95" s="89" t="n"/>
      <c r="C95" s="89" t="n"/>
      <c r="D95" s="166">
        <f>B95+C95</f>
        <v/>
      </c>
      <c r="E95" s="89" t="n"/>
      <c r="F95" s="89" t="n">
        <v>0</v>
      </c>
      <c r="G95" s="89" t="n">
        <v>1</v>
      </c>
      <c r="H95" s="89" t="n">
        <v>1</v>
      </c>
      <c r="I95" s="166">
        <f>E95+F95+G95+H95</f>
        <v/>
      </c>
      <c r="J95" s="89" t="n">
        <v>1</v>
      </c>
      <c r="K95" s="89" t="n">
        <v>2</v>
      </c>
      <c r="L95" s="89" t="n">
        <v>0</v>
      </c>
      <c r="M95" s="89" t="n">
        <v>0</v>
      </c>
      <c r="N95" s="166">
        <f>J95+K95+L95+M95</f>
        <v/>
      </c>
      <c r="O95" s="174">
        <f>B95+C95+E95+F95+G95+H95+J95+K95</f>
        <v/>
      </c>
      <c r="P95" s="215">
        <f>D95+I95+N95</f>
        <v/>
      </c>
    </row>
    <row r="96" ht="15.75" customHeight="1">
      <c r="A96" s="115" t="inlineStr">
        <is>
          <t>ADESIVOS</t>
        </is>
      </c>
      <c r="B96" s="89" t="n"/>
      <c r="C96" s="89" t="n"/>
      <c r="D96" s="166">
        <f>B96+C96</f>
        <v/>
      </c>
      <c r="E96" s="89" t="n"/>
      <c r="F96" s="89" t="n">
        <v>0</v>
      </c>
      <c r="G96" s="89" t="n">
        <v>0</v>
      </c>
      <c r="H96" s="89" t="n">
        <v>0</v>
      </c>
      <c r="I96" s="166">
        <f>E96+F96+G96+H96</f>
        <v/>
      </c>
      <c r="J96" s="89" t="n">
        <v>0</v>
      </c>
      <c r="K96" s="89" t="n">
        <v>0</v>
      </c>
      <c r="L96" s="89" t="n">
        <v>0</v>
      </c>
      <c r="M96" s="89" t="n">
        <v>0</v>
      </c>
      <c r="N96" s="166">
        <f>J96+K96+L96+M96</f>
        <v/>
      </c>
      <c r="O96" s="174">
        <f>B96+C96+E96+F96+G96+H96+J96+K96</f>
        <v/>
      </c>
      <c r="P96" s="215">
        <f>D96+I96+N96</f>
        <v/>
      </c>
    </row>
    <row r="97" ht="15.75" customHeight="1">
      <c r="A97" s="115" t="inlineStr">
        <is>
          <t xml:space="preserve">TAGS </t>
        </is>
      </c>
      <c r="B97" s="89" t="n"/>
      <c r="C97" s="89" t="n"/>
      <c r="D97" s="166">
        <f>B97+C97</f>
        <v/>
      </c>
      <c r="E97" s="89" t="n"/>
      <c r="F97" s="89" t="n">
        <v>0</v>
      </c>
      <c r="G97" s="89" t="n">
        <v>1</v>
      </c>
      <c r="H97" s="89" t="n">
        <v>0</v>
      </c>
      <c r="I97" s="166">
        <f>E97+F97+G97+H97</f>
        <v/>
      </c>
      <c r="J97" s="89" t="n">
        <v>0</v>
      </c>
      <c r="K97" s="89" t="n">
        <v>0</v>
      </c>
      <c r="L97" s="89" t="n">
        <v>0</v>
      </c>
      <c r="M97" s="89" t="n">
        <v>0</v>
      </c>
      <c r="N97" s="166">
        <f>J97+K97+L97+M97</f>
        <v/>
      </c>
      <c r="O97" s="174">
        <f>B97+C97+E97+F97+G97+H97+J97+K97</f>
        <v/>
      </c>
      <c r="P97" s="215">
        <f>D97+I97+N97</f>
        <v/>
      </c>
    </row>
    <row r="98" ht="15.75" customHeight="1">
      <c r="A98" s="109" t="inlineStr">
        <is>
          <t>TOTAL DE SACOLAS</t>
        </is>
      </c>
      <c r="B98" s="110">
        <f>B92+B93+B94</f>
        <v/>
      </c>
      <c r="C98" s="110">
        <f>C92+C93+C94</f>
        <v/>
      </c>
      <c r="D98" s="110">
        <f>D92+D93+D94</f>
        <v/>
      </c>
      <c r="E98" s="110">
        <f>E92+E93+E94</f>
        <v/>
      </c>
      <c r="F98" s="110">
        <f>F92+F93+F94</f>
        <v/>
      </c>
      <c r="G98" s="110">
        <f>G92+G93+G94</f>
        <v/>
      </c>
      <c r="H98" s="110">
        <f>H92+H93+H94</f>
        <v/>
      </c>
      <c r="I98" s="110">
        <f>I92+I93+I94</f>
        <v/>
      </c>
      <c r="J98" s="110">
        <f>J92+J93+J94</f>
        <v/>
      </c>
      <c r="K98" s="110">
        <f>K92+K93+K94</f>
        <v/>
      </c>
      <c r="L98" s="110">
        <f>L92+L93+L94</f>
        <v/>
      </c>
      <c r="M98" s="110">
        <f>M92+M93+M94</f>
        <v/>
      </c>
      <c r="N98" s="110">
        <f>N92+N93+N94</f>
        <v/>
      </c>
      <c r="O98" s="216">
        <f>O92+O93+O94</f>
        <v/>
      </c>
      <c r="P98" s="216">
        <f>P92+P93+P94</f>
        <v/>
      </c>
    </row>
    <row r="100" ht="15.75" customHeight="1">
      <c r="A100" s="493" t="inlineStr">
        <is>
          <t>GASTO DE SACOLAS E ITENS DOADOS MÃES/2025 - MENSAIS</t>
        </is>
      </c>
      <c r="B100" s="669" t="n"/>
      <c r="C100" s="669" t="n"/>
      <c r="D100" s="669" t="n"/>
      <c r="E100" s="669" t="n"/>
      <c r="F100" s="669" t="n"/>
      <c r="G100" s="669" t="n"/>
      <c r="H100" s="669" t="n"/>
      <c r="I100" s="669" t="n"/>
      <c r="J100" s="669" t="n"/>
      <c r="K100" s="669" t="n"/>
      <c r="L100" s="669" t="n"/>
      <c r="M100" s="669" t="n"/>
      <c r="N100" s="669" t="n"/>
      <c r="O100" s="669" t="n"/>
      <c r="P100" s="670" t="n"/>
    </row>
    <row r="101" ht="15.75" customHeight="1">
      <c r="A101" s="493" t="inlineStr">
        <is>
          <t>CD JAÚ</t>
        </is>
      </c>
      <c r="B101" s="493" t="inlineStr">
        <is>
          <t>MARÇO</t>
        </is>
      </c>
      <c r="C101" s="669" t="n"/>
      <c r="D101" s="670" t="n"/>
      <c r="E101" s="493" t="inlineStr">
        <is>
          <t>ABRIL</t>
        </is>
      </c>
      <c r="F101" s="669" t="n"/>
      <c r="G101" s="669" t="n"/>
      <c r="H101" s="669" t="n"/>
      <c r="I101" s="670" t="n"/>
      <c r="J101" s="493" t="inlineStr">
        <is>
          <t>MAIO</t>
        </is>
      </c>
      <c r="K101" s="669" t="n"/>
      <c r="L101" s="669" t="n"/>
      <c r="M101" s="669" t="n"/>
      <c r="N101" s="670" t="n"/>
      <c r="O101" s="489" t="inlineStr">
        <is>
          <t>USOU ATÉ MÃES</t>
        </is>
      </c>
      <c r="P101" s="489" t="inlineStr">
        <is>
          <t>TOTAL GERAL</t>
        </is>
      </c>
    </row>
    <row r="102" ht="15.75" customHeight="1">
      <c r="A102" s="672" t="n"/>
      <c r="B102" s="218" t="n">
        <v>45740</v>
      </c>
      <c r="C102" s="218" t="n">
        <v>45747</v>
      </c>
      <c r="D102" s="489" t="inlineStr">
        <is>
          <t>USOU</t>
        </is>
      </c>
      <c r="E102" s="218" t="n">
        <v>45754</v>
      </c>
      <c r="F102" s="218" t="n">
        <v>45761</v>
      </c>
      <c r="G102" s="218" t="n">
        <v>45768</v>
      </c>
      <c r="H102" s="218" t="n">
        <v>45775</v>
      </c>
      <c r="I102" s="489" t="inlineStr">
        <is>
          <t>USOU</t>
        </is>
      </c>
      <c r="J102" s="218" t="n">
        <v>45782</v>
      </c>
      <c r="K102" s="218" t="n">
        <v>45789</v>
      </c>
      <c r="L102" s="218" t="n">
        <v>45796</v>
      </c>
      <c r="M102" s="218" t="n">
        <v>45803</v>
      </c>
      <c r="N102" s="489" t="inlineStr">
        <is>
          <t>USOU</t>
        </is>
      </c>
      <c r="O102" s="672" t="n"/>
      <c r="P102" s="672" t="n"/>
    </row>
    <row r="103" ht="15.75" customHeight="1">
      <c r="A103" s="164" t="inlineStr">
        <is>
          <t>SACOLA P</t>
        </is>
      </c>
      <c r="B103" s="89" t="n"/>
      <c r="C103" s="89" t="n"/>
      <c r="D103" s="166">
        <f>B103+C103</f>
        <v/>
      </c>
      <c r="E103" s="89" t="n"/>
      <c r="F103" s="89" t="n">
        <v>0</v>
      </c>
      <c r="G103" s="89" t="n">
        <v>0</v>
      </c>
      <c r="H103" s="89" t="n">
        <v>0</v>
      </c>
      <c r="I103" s="166">
        <f>E103+F103+G103+H103</f>
        <v/>
      </c>
      <c r="J103" s="89" t="n">
        <v>0</v>
      </c>
      <c r="K103" s="89" t="n">
        <v>0</v>
      </c>
      <c r="L103" s="89" t="n">
        <v>0</v>
      </c>
      <c r="M103" s="89" t="n">
        <v>0</v>
      </c>
      <c r="N103" s="166">
        <f>J103+K103+L103+M103</f>
        <v/>
      </c>
      <c r="O103" s="174">
        <f>B103+C103+E103+F103+G103+H103+J103+K103</f>
        <v/>
      </c>
      <c r="P103" s="215">
        <f>D103+I103+N103</f>
        <v/>
      </c>
    </row>
    <row r="104" ht="15.75" customHeight="1">
      <c r="A104" s="164" t="inlineStr">
        <is>
          <t>SACOLA M</t>
        </is>
      </c>
      <c r="B104" s="89" t="n"/>
      <c r="C104" s="89" t="n"/>
      <c r="D104" s="166">
        <f>B104+C104</f>
        <v/>
      </c>
      <c r="E104" s="89" t="n"/>
      <c r="F104" s="89" t="n">
        <v>125</v>
      </c>
      <c r="G104" s="89" t="n">
        <v>141</v>
      </c>
      <c r="H104" s="89" t="n">
        <v>184</v>
      </c>
      <c r="I104" s="166">
        <f>E104+F104+G104+H104</f>
        <v/>
      </c>
      <c r="J104" s="89" t="n">
        <v>31</v>
      </c>
      <c r="K104" s="89" t="n">
        <v>827</v>
      </c>
      <c r="L104" s="89" t="n">
        <v>0</v>
      </c>
      <c r="M104" s="89" t="n">
        <v>0</v>
      </c>
      <c r="N104" s="166">
        <f>J104+K104+L104+M104</f>
        <v/>
      </c>
      <c r="O104" s="174">
        <f>B104+C104+E104+F104+G104+H104+J104+K104</f>
        <v/>
      </c>
      <c r="P104" s="215">
        <f>D104+I104+N104</f>
        <v/>
      </c>
    </row>
    <row r="105" ht="15.75" customHeight="1">
      <c r="A105" s="164" t="inlineStr">
        <is>
          <t>SACOLA G</t>
        </is>
      </c>
      <c r="B105" s="89" t="n"/>
      <c r="C105" s="89" t="n"/>
      <c r="D105" s="166">
        <f>B105+C105</f>
        <v/>
      </c>
      <c r="E105" s="89" t="n"/>
      <c r="F105" s="89" t="n">
        <v>0</v>
      </c>
      <c r="G105" s="89" t="n">
        <v>0</v>
      </c>
      <c r="H105" s="89" t="n">
        <v>0</v>
      </c>
      <c r="I105" s="166">
        <f>E105+F105+G105+H105</f>
        <v/>
      </c>
      <c r="J105" s="89" t="n">
        <v>0</v>
      </c>
      <c r="K105" s="89" t="n">
        <v>0</v>
      </c>
      <c r="L105" s="89" t="n">
        <v>0</v>
      </c>
      <c r="M105" s="89" t="n">
        <v>0</v>
      </c>
      <c r="N105" s="166">
        <f>J105+K105+L105+M105</f>
        <v/>
      </c>
      <c r="O105" s="174">
        <f>B105+C105+E105+F105+G105+H105+J105+K105</f>
        <v/>
      </c>
      <c r="P105" s="215">
        <f>D105+I105+N105</f>
        <v/>
      </c>
    </row>
    <row r="106" ht="15.75" customHeight="1">
      <c r="A106" s="115" t="inlineStr">
        <is>
          <t xml:space="preserve">PAPEL DE SEDA </t>
        </is>
      </c>
      <c r="B106" s="89" t="n"/>
      <c r="C106" s="89" t="n"/>
      <c r="D106" s="166">
        <f>B106+C106</f>
        <v/>
      </c>
      <c r="E106" s="89" t="n"/>
      <c r="F106" s="89" t="n">
        <v>0</v>
      </c>
      <c r="G106" s="89" t="n">
        <v>0</v>
      </c>
      <c r="H106" s="89" t="n">
        <v>0</v>
      </c>
      <c r="I106" s="166">
        <f>E106+F106+G106+H106</f>
        <v/>
      </c>
      <c r="J106" s="89" t="n">
        <v>0</v>
      </c>
      <c r="K106" s="89" t="n">
        <v>0</v>
      </c>
      <c r="L106" s="89" t="n">
        <v>0</v>
      </c>
      <c r="M106" s="89" t="n">
        <v>0</v>
      </c>
      <c r="N106" s="166">
        <f>J106+K106+L106+M106</f>
        <v/>
      </c>
      <c r="O106" s="174">
        <f>B106+C106+E106+F106+G106+H106+J106+K106</f>
        <v/>
      </c>
      <c r="P106" s="215">
        <f>D106+I106+N106</f>
        <v/>
      </c>
    </row>
    <row r="107" ht="15.75" customHeight="1">
      <c r="A107" s="115" t="inlineStr">
        <is>
          <t>ADESIVOS</t>
        </is>
      </c>
      <c r="B107" s="89" t="n"/>
      <c r="C107" s="89" t="n"/>
      <c r="D107" s="166">
        <f>B107+C107</f>
        <v/>
      </c>
      <c r="E107" s="89" t="n"/>
      <c r="F107" s="89" t="n">
        <v>0</v>
      </c>
      <c r="G107" s="89" t="n">
        <v>0</v>
      </c>
      <c r="H107" s="89" t="n">
        <v>0</v>
      </c>
      <c r="I107" s="166">
        <f>E107+F107+G107+H107</f>
        <v/>
      </c>
      <c r="J107" s="89" t="n">
        <v>0</v>
      </c>
      <c r="K107" s="89" t="n">
        <v>0</v>
      </c>
      <c r="L107" s="89" t="n">
        <v>0</v>
      </c>
      <c r="M107" s="89" t="n">
        <v>0</v>
      </c>
      <c r="N107" s="166">
        <f>J107+K107+L107+M107</f>
        <v/>
      </c>
      <c r="O107" s="174">
        <f>B107+C107+E107+F107+G107+H107+J107+K107</f>
        <v/>
      </c>
      <c r="P107" s="215">
        <f>D107+I107+N107</f>
        <v/>
      </c>
    </row>
    <row r="108" ht="15.75" customHeight="1">
      <c r="A108" s="115" t="inlineStr">
        <is>
          <t xml:space="preserve">TAGS </t>
        </is>
      </c>
      <c r="B108" s="89" t="n"/>
      <c r="C108" s="89" t="n"/>
      <c r="D108" s="166">
        <f>B108+C108</f>
        <v/>
      </c>
      <c r="E108" s="89" t="n"/>
      <c r="F108" s="89" t="n">
        <v>0</v>
      </c>
      <c r="G108" s="89" t="n">
        <v>0</v>
      </c>
      <c r="H108" s="89" t="n">
        <v>0</v>
      </c>
      <c r="I108" s="166">
        <f>E108+F108+G108+H108</f>
        <v/>
      </c>
      <c r="J108" s="89" t="n">
        <v>0</v>
      </c>
      <c r="K108" s="89" t="n">
        <v>0</v>
      </c>
      <c r="L108" s="89" t="n">
        <v>0</v>
      </c>
      <c r="M108" s="89" t="n">
        <v>0</v>
      </c>
      <c r="N108" s="166">
        <f>J108+K108+L108+M108</f>
        <v/>
      </c>
      <c r="O108" s="174">
        <f>B108+C108+E108+F108+G108+H108+J108+K108</f>
        <v/>
      </c>
      <c r="P108" s="215">
        <f>D108+I108+N108</f>
        <v/>
      </c>
    </row>
    <row r="109" ht="15.75" customHeight="1">
      <c r="A109" s="109" t="inlineStr">
        <is>
          <t>TOTAL DE SACOLAS</t>
        </is>
      </c>
      <c r="B109" s="110">
        <f>B103+B104+B105</f>
        <v/>
      </c>
      <c r="C109" s="110">
        <f>C103+C104+C105</f>
        <v/>
      </c>
      <c r="D109" s="110">
        <f>D103+D104+D105</f>
        <v/>
      </c>
      <c r="E109" s="110">
        <f>E103+E104+E105</f>
        <v/>
      </c>
      <c r="F109" s="110">
        <f>F103+F104+F105</f>
        <v/>
      </c>
      <c r="G109" s="110">
        <f>G103+G104+G105</f>
        <v/>
      </c>
      <c r="H109" s="110">
        <f>H103+H104+H105</f>
        <v/>
      </c>
      <c r="I109" s="110">
        <f>I103+I104+I105</f>
        <v/>
      </c>
      <c r="J109" s="110">
        <f>J103+J104+J105</f>
        <v/>
      </c>
      <c r="K109" s="110">
        <f>K103+K104+K105</f>
        <v/>
      </c>
      <c r="L109" s="110">
        <f>L103+L104+L105</f>
        <v/>
      </c>
      <c r="M109" s="110">
        <f>M103+M104+M105</f>
        <v/>
      </c>
      <c r="N109" s="110">
        <f>N103+N104+N105</f>
        <v/>
      </c>
      <c r="O109" s="216">
        <f>O103+O104+O105</f>
        <v/>
      </c>
      <c r="P109" s="216">
        <f>P103+P104+P105</f>
        <v/>
      </c>
    </row>
    <row r="111" ht="15.75" customHeight="1">
      <c r="A111" s="493" t="inlineStr">
        <is>
          <t>GASTO DE SACOLAS E ITENS DOADOS MÃES/2025 - MENSAIS</t>
        </is>
      </c>
      <c r="B111" s="669" t="n"/>
      <c r="C111" s="669" t="n"/>
      <c r="D111" s="669" t="n"/>
      <c r="E111" s="669" t="n"/>
      <c r="F111" s="669" t="n"/>
      <c r="G111" s="669" t="n"/>
      <c r="H111" s="669" t="n"/>
      <c r="I111" s="669" t="n"/>
      <c r="J111" s="669" t="n"/>
      <c r="K111" s="669" t="n"/>
      <c r="L111" s="669" t="n"/>
      <c r="M111" s="669" t="n"/>
      <c r="N111" s="669" t="n"/>
      <c r="O111" s="669" t="n"/>
      <c r="P111" s="670" t="n"/>
    </row>
    <row r="112" ht="15.75" customHeight="1">
      <c r="A112" s="493" t="inlineStr">
        <is>
          <t>ER JAÚ</t>
        </is>
      </c>
      <c r="B112" s="493" t="inlineStr">
        <is>
          <t>MARÇO</t>
        </is>
      </c>
      <c r="C112" s="669" t="n"/>
      <c r="D112" s="670" t="n"/>
      <c r="E112" s="493" t="inlineStr">
        <is>
          <t>ABRIL</t>
        </is>
      </c>
      <c r="F112" s="669" t="n"/>
      <c r="G112" s="669" t="n"/>
      <c r="H112" s="669" t="n"/>
      <c r="I112" s="670" t="n"/>
      <c r="J112" s="493" t="inlineStr">
        <is>
          <t>MAIO</t>
        </is>
      </c>
      <c r="K112" s="669" t="n"/>
      <c r="L112" s="669" t="n"/>
      <c r="M112" s="669" t="n"/>
      <c r="N112" s="670" t="n"/>
      <c r="O112" s="489" t="inlineStr">
        <is>
          <t>USOU ATÉ MÃES</t>
        </is>
      </c>
      <c r="P112" s="489" t="inlineStr">
        <is>
          <t>TOTAL GERAL</t>
        </is>
      </c>
    </row>
    <row r="113" ht="15.75" customHeight="1">
      <c r="A113" s="672" t="n"/>
      <c r="B113" s="218" t="n">
        <v>45740</v>
      </c>
      <c r="C113" s="218" t="n">
        <v>45747</v>
      </c>
      <c r="D113" s="489" t="inlineStr">
        <is>
          <t>USOU</t>
        </is>
      </c>
      <c r="E113" s="218" t="n">
        <v>45754</v>
      </c>
      <c r="F113" s="218" t="n">
        <v>45761</v>
      </c>
      <c r="G113" s="218" t="n">
        <v>45768</v>
      </c>
      <c r="H113" s="218" t="n">
        <v>45775</v>
      </c>
      <c r="I113" s="489" t="inlineStr">
        <is>
          <t>USOU</t>
        </is>
      </c>
      <c r="J113" s="218" t="n">
        <v>45782</v>
      </c>
      <c r="K113" s="218" t="n">
        <v>45789</v>
      </c>
      <c r="L113" s="218" t="n">
        <v>45796</v>
      </c>
      <c r="M113" s="218" t="n">
        <v>45803</v>
      </c>
      <c r="N113" s="489" t="inlineStr">
        <is>
          <t>USOU</t>
        </is>
      </c>
      <c r="O113" s="672" t="n"/>
      <c r="P113" s="672" t="n"/>
    </row>
    <row r="114" ht="15.75" customHeight="1">
      <c r="A114" s="164" t="inlineStr">
        <is>
          <t>SACOLA P</t>
        </is>
      </c>
      <c r="B114" s="89" t="n"/>
      <c r="C114" s="89" t="n"/>
      <c r="D114" s="166">
        <f>B114+C114</f>
        <v/>
      </c>
      <c r="E114" s="89" t="n"/>
      <c r="F114" s="89" t="n">
        <v>0</v>
      </c>
      <c r="G114" s="89" t="n">
        <v>600</v>
      </c>
      <c r="H114" s="89" t="n">
        <v>800</v>
      </c>
      <c r="I114" s="166">
        <f>E114+F114+G114+H114</f>
        <v/>
      </c>
      <c r="J114" s="89" t="n">
        <v>0</v>
      </c>
      <c r="K114" s="89" t="n">
        <v>0</v>
      </c>
      <c r="L114" s="89" t="n">
        <v>0</v>
      </c>
      <c r="M114" s="89" t="n">
        <v>0</v>
      </c>
      <c r="N114" s="166">
        <f>J114+K114+L114+M114</f>
        <v/>
      </c>
      <c r="O114" s="174">
        <f>B114+C114+E114+F114+G114+H114+J114+K114</f>
        <v/>
      </c>
      <c r="P114" s="215">
        <f>D114+I114+N114</f>
        <v/>
      </c>
    </row>
    <row r="115" ht="15.75" customHeight="1">
      <c r="A115" s="164" t="inlineStr">
        <is>
          <t>SACOLA M</t>
        </is>
      </c>
      <c r="B115" s="89" t="n"/>
      <c r="C115" s="89" t="n"/>
      <c r="D115" s="166">
        <f>B115+C115</f>
        <v/>
      </c>
      <c r="E115" s="89" t="n"/>
      <c r="F115" s="89" t="n">
        <v>0</v>
      </c>
      <c r="G115" s="89" t="n">
        <v>200</v>
      </c>
      <c r="H115" s="89" t="n">
        <v>200</v>
      </c>
      <c r="I115" s="166">
        <f>E115+F115+G115+H115</f>
        <v/>
      </c>
      <c r="J115" s="89" t="n">
        <v>0</v>
      </c>
      <c r="K115" s="89" t="n">
        <v>0</v>
      </c>
      <c r="L115" s="89" t="n">
        <v>0</v>
      </c>
      <c r="M115" s="89" t="n">
        <v>0</v>
      </c>
      <c r="N115" s="166">
        <f>J115+K115+L115+M115</f>
        <v/>
      </c>
      <c r="O115" s="174">
        <f>B115+C115+E115+F115+G115+H115+J115+K115</f>
        <v/>
      </c>
      <c r="P115" s="215">
        <f>D115+I115+N115</f>
        <v/>
      </c>
    </row>
    <row r="116" ht="15.75" customHeight="1">
      <c r="A116" s="164" t="inlineStr">
        <is>
          <t>SACOLA G</t>
        </is>
      </c>
      <c r="B116" s="89" t="n"/>
      <c r="C116" s="89" t="n"/>
      <c r="D116" s="166">
        <f>B116+C116</f>
        <v/>
      </c>
      <c r="E116" s="89" t="n"/>
      <c r="F116" s="89" t="n">
        <v>0</v>
      </c>
      <c r="G116" s="89" t="n">
        <v>0</v>
      </c>
      <c r="H116" s="89" t="n">
        <v>0</v>
      </c>
      <c r="I116" s="166">
        <f>E116+F116+G116+H116</f>
        <v/>
      </c>
      <c r="J116" s="89" t="n">
        <v>0</v>
      </c>
      <c r="K116" s="89" t="n">
        <v>0</v>
      </c>
      <c r="L116" s="89" t="n">
        <v>0</v>
      </c>
      <c r="M116" s="89" t="n">
        <v>83</v>
      </c>
      <c r="N116" s="166">
        <f>J116+K116+L116+M116</f>
        <v/>
      </c>
      <c r="O116" s="174">
        <f>B116+C116+E116+F116+G116+H116+J116+K116</f>
        <v/>
      </c>
      <c r="P116" s="215">
        <f>D116+I116+N116</f>
        <v/>
      </c>
    </row>
    <row r="117" ht="15.75" customHeight="1">
      <c r="A117" s="115" t="inlineStr">
        <is>
          <t xml:space="preserve">PAPEL DE SEDA </t>
        </is>
      </c>
      <c r="B117" s="89" t="n"/>
      <c r="C117" s="89" t="n"/>
      <c r="D117" s="166">
        <f>B117+C117</f>
        <v/>
      </c>
      <c r="E117" s="89" t="n"/>
      <c r="F117" s="89" t="n">
        <v>0</v>
      </c>
      <c r="G117" s="89" t="n">
        <v>0</v>
      </c>
      <c r="H117" s="89" t="n">
        <v>0</v>
      </c>
      <c r="I117" s="166">
        <f>E117+F117+G117+H117</f>
        <v/>
      </c>
      <c r="J117" s="89" t="n">
        <v>0</v>
      </c>
      <c r="K117" s="89" t="n">
        <v>0</v>
      </c>
      <c r="L117" s="89" t="n">
        <v>0</v>
      </c>
      <c r="M117" s="89" t="n">
        <v>0</v>
      </c>
      <c r="N117" s="166">
        <f>J117+K117+L117+M117</f>
        <v/>
      </c>
      <c r="O117" s="174">
        <f>B117+C117+E117+F117+G117+H117+J117+K117</f>
        <v/>
      </c>
      <c r="P117" s="215">
        <f>D117+I117+N117</f>
        <v/>
      </c>
    </row>
    <row r="118" ht="15.75" customHeight="1">
      <c r="A118" s="115" t="inlineStr">
        <is>
          <t>ADESIVOS</t>
        </is>
      </c>
      <c r="B118" s="89" t="n"/>
      <c r="C118" s="89" t="n"/>
      <c r="D118" s="166">
        <f>B118+C118</f>
        <v/>
      </c>
      <c r="E118" s="89" t="n"/>
      <c r="F118" s="89" t="n">
        <v>0</v>
      </c>
      <c r="G118" s="89" t="n">
        <v>0</v>
      </c>
      <c r="H118" s="89" t="n">
        <v>0</v>
      </c>
      <c r="I118" s="166">
        <f>E118+F118+G118+H118</f>
        <v/>
      </c>
      <c r="J118" s="89" t="n">
        <v>0</v>
      </c>
      <c r="K118" s="89" t="n">
        <v>0</v>
      </c>
      <c r="L118" s="89" t="n">
        <v>0</v>
      </c>
      <c r="M118" s="89" t="n">
        <v>0</v>
      </c>
      <c r="N118" s="166">
        <f>J118+K118+L118+M118</f>
        <v/>
      </c>
      <c r="O118" s="174">
        <f>B118+C118+E118+F118+G118+H118+J118+K118</f>
        <v/>
      </c>
      <c r="P118" s="215">
        <f>D118+I118+N118</f>
        <v/>
      </c>
    </row>
    <row r="119" ht="15.75" customHeight="1">
      <c r="A119" s="115" t="inlineStr">
        <is>
          <t xml:space="preserve">TAGS </t>
        </is>
      </c>
      <c r="B119" s="89" t="n"/>
      <c r="C119" s="89" t="n"/>
      <c r="D119" s="166">
        <f>B119+C119</f>
        <v/>
      </c>
      <c r="E119" s="89" t="n"/>
      <c r="F119" s="89" t="n">
        <v>0</v>
      </c>
      <c r="G119" s="89" t="n">
        <v>1</v>
      </c>
      <c r="H119" s="89" t="n">
        <v>0</v>
      </c>
      <c r="I119" s="166">
        <f>E119+F119+G119+H119</f>
        <v/>
      </c>
      <c r="J119" s="89" t="n">
        <v>0</v>
      </c>
      <c r="K119" s="89" t="n">
        <v>0</v>
      </c>
      <c r="L119" s="89" t="n">
        <v>0</v>
      </c>
      <c r="M119" s="89" t="n">
        <v>0</v>
      </c>
      <c r="N119" s="166">
        <f>J119+K119+L119+M119</f>
        <v/>
      </c>
      <c r="O119" s="174">
        <f>B119+C119+E119+F119+G119+H119+J119+K119</f>
        <v/>
      </c>
      <c r="P119" s="215">
        <f>D119+I119+N119</f>
        <v/>
      </c>
    </row>
    <row r="120" ht="15.75" customHeight="1">
      <c r="A120" s="109" t="inlineStr">
        <is>
          <t>TOTAL DE SACOLAS</t>
        </is>
      </c>
      <c r="B120" s="110">
        <f>B114+B115+B116</f>
        <v/>
      </c>
      <c r="C120" s="110">
        <f>C114+C115+C116</f>
        <v/>
      </c>
      <c r="D120" s="110">
        <f>D114+D115+D116</f>
        <v/>
      </c>
      <c r="E120" s="110">
        <f>E114+E115+E116</f>
        <v/>
      </c>
      <c r="F120" s="110">
        <f>F114+F115+F116</f>
        <v/>
      </c>
      <c r="G120" s="110">
        <f>G114+G115+G116</f>
        <v/>
      </c>
      <c r="H120" s="110">
        <f>H114+H115+H116</f>
        <v/>
      </c>
      <c r="I120" s="110">
        <f>I114+I115+I116</f>
        <v/>
      </c>
      <c r="J120" s="110">
        <f>J114+J115+J116</f>
        <v/>
      </c>
      <c r="K120" s="110">
        <f>K114+K115+K116</f>
        <v/>
      </c>
      <c r="L120" s="110">
        <f>L114+L115+L116</f>
        <v/>
      </c>
      <c r="M120" s="110">
        <f>M114+M115+M116</f>
        <v/>
      </c>
      <c r="N120" s="110">
        <f>N114+N115+N116</f>
        <v/>
      </c>
      <c r="O120" s="216">
        <f>O114+O115+O116</f>
        <v/>
      </c>
      <c r="P120" s="216">
        <f>P114+P115+P116</f>
        <v/>
      </c>
    </row>
  </sheetData>
  <mergeCells count="78">
    <mergeCell ref="P35:P36"/>
    <mergeCell ref="E68:I68"/>
    <mergeCell ref="B57:D57"/>
    <mergeCell ref="J57:N57"/>
    <mergeCell ref="A111:P111"/>
    <mergeCell ref="E13:I13"/>
    <mergeCell ref="A2:A3"/>
    <mergeCell ref="J35:N35"/>
    <mergeCell ref="J101:N101"/>
    <mergeCell ref="P112:P113"/>
    <mergeCell ref="P24:P25"/>
    <mergeCell ref="A35:A36"/>
    <mergeCell ref="A89:P89"/>
    <mergeCell ref="J46:N46"/>
    <mergeCell ref="A79:A80"/>
    <mergeCell ref="A100:P100"/>
    <mergeCell ref="J13:N13"/>
    <mergeCell ref="P90:P91"/>
    <mergeCell ref="P2:P3"/>
    <mergeCell ref="A90:A91"/>
    <mergeCell ref="O112:O113"/>
    <mergeCell ref="J24:N24"/>
    <mergeCell ref="A46:A47"/>
    <mergeCell ref="A34:P34"/>
    <mergeCell ref="B68:D68"/>
    <mergeCell ref="P101:P102"/>
    <mergeCell ref="J79:N79"/>
    <mergeCell ref="A57:A58"/>
    <mergeCell ref="P13:P14"/>
    <mergeCell ref="A1:P1"/>
    <mergeCell ref="A45:P45"/>
    <mergeCell ref="E46:I46"/>
    <mergeCell ref="O2:O3"/>
    <mergeCell ref="A78:P78"/>
    <mergeCell ref="A68:A69"/>
    <mergeCell ref="O57:O58"/>
    <mergeCell ref="E57:I57"/>
    <mergeCell ref="B46:D46"/>
    <mergeCell ref="P79:P80"/>
    <mergeCell ref="J2:N2"/>
    <mergeCell ref="E112:I112"/>
    <mergeCell ref="A12:P12"/>
    <mergeCell ref="O68:O69"/>
    <mergeCell ref="O101:O102"/>
    <mergeCell ref="A23:P23"/>
    <mergeCell ref="E24:I24"/>
    <mergeCell ref="B13:D13"/>
    <mergeCell ref="J112:N112"/>
    <mergeCell ref="P46:P47"/>
    <mergeCell ref="O35:O36"/>
    <mergeCell ref="E35:I35"/>
    <mergeCell ref="A67:P67"/>
    <mergeCell ref="A13:A14"/>
    <mergeCell ref="B35:D35"/>
    <mergeCell ref="E2:I2"/>
    <mergeCell ref="O46:O47"/>
    <mergeCell ref="A112:A113"/>
    <mergeCell ref="J90:N90"/>
    <mergeCell ref="O90:O91"/>
    <mergeCell ref="A24:A25"/>
    <mergeCell ref="B101:D101"/>
    <mergeCell ref="O24:O25"/>
    <mergeCell ref="B112:D112"/>
    <mergeCell ref="E79:I79"/>
    <mergeCell ref="J68:N68"/>
    <mergeCell ref="B24:D24"/>
    <mergeCell ref="A101:A102"/>
    <mergeCell ref="P57:P58"/>
    <mergeCell ref="E90:I90"/>
    <mergeCell ref="B79:D79"/>
    <mergeCell ref="O79:O80"/>
    <mergeCell ref="P68:P69"/>
    <mergeCell ref="E101:I101"/>
    <mergeCell ref="B90:D90"/>
    <mergeCell ref="O13:O14"/>
    <mergeCell ref="A56:P56"/>
    <mergeCell ref="R2:S2"/>
    <mergeCell ref="B2:D2"/>
  </mergeCells>
  <pageMargins left="0.511811024" right="0.511811024" top="0.787401575" bottom="0.787401575" header="0.31496062" footer="0.31496062"/>
  <pageSetup orientation="portrait" paperSize="9"/>
</worksheet>
</file>

<file path=xl/worksheets/sheet25.xml><?xml version="1.0" encoding="utf-8"?>
<worksheet xmlns="http://schemas.openxmlformats.org/spreadsheetml/2006/main">
  <sheetPr codeName="Planilha63">
    <tabColor theme="9"/>
    <outlinePr summaryBelow="1" summaryRight="1"/>
    <pageSetUpPr/>
  </sheetPr>
  <dimension ref="A1:BD117"/>
  <sheetViews>
    <sheetView showGridLines="0" zoomScale="80" zoomScaleNormal="80" workbookViewId="0">
      <selection activeCell="AA14" activeCellId="1" sqref="AA8:AA11 AA14:AA17"/>
    </sheetView>
  </sheetViews>
  <sheetFormatPr baseColWidth="8" defaultColWidth="9.140625" defaultRowHeight="18.75"/>
  <cols>
    <col width="24.7109375" customWidth="1" style="62" min="1" max="1"/>
    <col width="8.7109375" customWidth="1" style="11" min="2" max="2"/>
    <col width="15.28515625" customWidth="1" style="11" min="3" max="4"/>
    <col width="1.7109375" customWidth="1" style="11" min="5" max="5"/>
    <col hidden="1" width="8.28515625" customWidth="1" style="11" min="6" max="24"/>
    <col width="8.28515625" customWidth="1" style="11" min="25" max="26"/>
    <col width="9.7109375" customWidth="1" style="11" min="27" max="27"/>
    <col width="1.42578125" customWidth="1" style="11" min="28" max="28"/>
    <col width="14.28515625" bestFit="1" customWidth="1" style="71" min="29" max="30"/>
    <col width="1.28515625" customWidth="1" style="11" min="31" max="31"/>
    <col width="15.85546875" bestFit="1" customWidth="1" style="34" min="32" max="32"/>
    <col width="2.140625" customWidth="1" style="11" min="33" max="33"/>
    <col width="8.7109375" customWidth="1" style="71" min="34" max="38"/>
    <col hidden="1" width="8.7109375" customWidth="1" style="71" min="39" max="46"/>
    <col width="9.140625" customWidth="1" style="11" min="47" max="47"/>
    <col width="21.85546875" bestFit="1" customWidth="1" style="11" min="48" max="48"/>
    <col width="9.140625" customWidth="1" style="11" min="49" max="49"/>
    <col hidden="1" width="13" customWidth="1" style="11" min="50" max="53"/>
    <col width="9.140625" customWidth="1" style="11" min="54" max="16384"/>
  </cols>
  <sheetData>
    <row r="1" ht="23.25" customHeight="1">
      <c r="A1" s="501" t="inlineStr">
        <is>
          <t>Controle de Contagem Semanal - Antilhas</t>
        </is>
      </c>
      <c r="B1" s="477" t="n"/>
      <c r="C1" s="477" t="n"/>
      <c r="D1" s="477" t="n"/>
      <c r="E1" s="477" t="n"/>
      <c r="F1" s="477" t="n"/>
      <c r="G1" s="477" t="n"/>
      <c r="H1" s="477" t="n"/>
      <c r="I1" s="477" t="n"/>
      <c r="J1" s="477" t="n"/>
      <c r="K1" s="477" t="n"/>
      <c r="L1" s="477" t="n"/>
      <c r="M1" s="477" t="n"/>
      <c r="N1" s="477" t="n"/>
      <c r="O1" s="477" t="n"/>
      <c r="P1" s="477" t="n"/>
      <c r="Q1" s="477" t="n"/>
      <c r="R1" s="477" t="n"/>
      <c r="S1" s="477" t="n"/>
      <c r="T1" s="477" t="n"/>
      <c r="U1" s="477" t="n"/>
      <c r="V1" s="477" t="n"/>
      <c r="W1" s="477" t="n"/>
      <c r="X1" s="477" t="n"/>
      <c r="Y1" s="477" t="n"/>
      <c r="Z1" s="477" t="n"/>
      <c r="AA1" s="477" t="n"/>
      <c r="AB1" s="477" t="n"/>
      <c r="AC1" s="362" t="n"/>
      <c r="AD1" s="362" t="n"/>
      <c r="AE1" s="477" t="n"/>
      <c r="AF1" s="477" t="n"/>
      <c r="AG1" s="477" t="n"/>
      <c r="AH1" s="361" t="n"/>
      <c r="AI1" s="361" t="n"/>
      <c r="AJ1" s="361" t="n"/>
      <c r="AK1" s="361" t="n"/>
      <c r="AL1" s="361" t="n"/>
      <c r="AM1" s="361" t="n"/>
      <c r="AN1" s="361" t="n"/>
      <c r="AO1" s="361" t="n"/>
      <c r="AP1" s="361" t="n"/>
      <c r="AQ1" s="361" t="n"/>
      <c r="AR1" s="361" t="n"/>
      <c r="AS1" s="361" t="n"/>
      <c r="AT1" s="361" t="n"/>
    </row>
    <row r="2">
      <c r="A2" s="63" t="inlineStr">
        <is>
          <t>LOJA:</t>
        </is>
      </c>
      <c r="B2" s="604" t="inlineStr">
        <is>
          <t>BROTAS</t>
        </is>
      </c>
      <c r="C2" s="605" t="n"/>
      <c r="D2" s="606" t="n"/>
      <c r="AC2" s="41" t="n"/>
      <c r="AD2" s="41" t="n"/>
      <c r="AF2" s="11" t="n"/>
    </row>
    <row r="3">
      <c r="A3" s="63" t="inlineStr">
        <is>
          <t>Responsável:</t>
        </is>
      </c>
      <c r="B3" s="607" t="inlineStr">
        <is>
          <t>JULIANA</t>
        </is>
      </c>
      <c r="C3" s="605" t="n"/>
      <c r="D3" s="606" t="n"/>
      <c r="E3" s="608" t="n"/>
      <c r="F3" s="608" t="n"/>
      <c r="G3" s="608" t="n"/>
      <c r="H3" s="608" t="n"/>
      <c r="I3" s="608" t="n"/>
      <c r="J3" s="608" t="n"/>
      <c r="K3" s="608" t="n"/>
      <c r="L3" s="608" t="n"/>
      <c r="M3" s="608" t="n"/>
      <c r="N3" s="608" t="n"/>
      <c r="O3" s="608" t="n"/>
      <c r="P3" s="608" t="n"/>
      <c r="Q3" s="608" t="n"/>
      <c r="R3" s="608" t="n"/>
      <c r="S3" s="608" t="n"/>
      <c r="T3" s="608" t="n"/>
      <c r="U3" s="608" t="n"/>
      <c r="V3" s="608" t="n"/>
      <c r="W3" s="608" t="n"/>
      <c r="X3" s="608" t="n"/>
      <c r="Y3" s="608" t="n"/>
      <c r="Z3" s="608" t="n"/>
      <c r="AA3" s="608" t="n"/>
      <c r="AB3" s="608" t="n"/>
      <c r="AC3" s="41" t="n"/>
      <c r="AD3" s="41" t="n"/>
      <c r="AE3" s="608" t="n"/>
    </row>
    <row r="4">
      <c r="AC4" s="41" t="n"/>
      <c r="AD4" s="41" t="n"/>
      <c r="AF4" s="11" t="n"/>
      <c r="AH4" s="395" t="n"/>
      <c r="AI4" s="395" t="n"/>
      <c r="AJ4" s="395" t="n"/>
      <c r="AK4" s="395" t="n"/>
      <c r="AL4" s="395" t="n"/>
      <c r="AM4" s="395" t="n"/>
      <c r="AN4" s="395" t="n"/>
      <c r="AO4" s="395" t="n"/>
      <c r="AP4" s="395" t="n"/>
      <c r="AQ4" s="395" t="n"/>
      <c r="AR4" s="395" t="n"/>
      <c r="AS4" s="395" t="n"/>
      <c r="AT4" s="395" t="n"/>
    </row>
    <row r="5" ht="18.75" customHeight="1">
      <c r="A5" s="610" t="inlineStr">
        <is>
          <t>Descrição</t>
        </is>
      </c>
      <c r="B5" s="611" t="inlineStr">
        <is>
          <t>PCT</t>
        </is>
      </c>
      <c r="C5" s="611" t="inlineStr">
        <is>
          <t xml:space="preserve">R$ </t>
        </is>
      </c>
      <c r="D5" s="612" t="inlineStr">
        <is>
          <t>Estoque Ideal</t>
        </is>
      </c>
      <c r="F5" s="40" t="n"/>
      <c r="G5" s="40" t="n"/>
      <c r="H5" s="40" t="n"/>
      <c r="I5" s="40" t="n"/>
      <c r="J5" s="40" t="n"/>
      <c r="K5" s="40" t="n"/>
      <c r="L5" s="40" t="n"/>
      <c r="M5" s="40" t="n"/>
      <c r="N5" s="40" t="n"/>
      <c r="O5" s="40" t="n"/>
      <c r="P5" s="40" t="n"/>
      <c r="Q5" s="40" t="n"/>
      <c r="R5" s="40" t="n"/>
      <c r="S5" s="40" t="n"/>
      <c r="T5" s="40" t="n"/>
      <c r="U5" s="40" t="n"/>
      <c r="V5" s="40" t="n"/>
      <c r="W5" s="40" t="n"/>
      <c r="X5" s="40" t="n"/>
      <c r="Y5" s="40" t="n"/>
      <c r="Z5" s="40" t="n"/>
      <c r="AA5" s="40" t="n"/>
      <c r="AC5" s="29" t="inlineStr">
        <is>
          <t>Pendências</t>
        </is>
      </c>
      <c r="AD5" s="29" t="inlineStr">
        <is>
          <t>Pendências</t>
        </is>
      </c>
      <c r="AF5" s="9" t="inlineStr">
        <is>
          <t>Novo Pedido</t>
        </is>
      </c>
      <c r="AH5" s="614" t="n"/>
      <c r="AI5" s="614" t="n">
        <v>46142</v>
      </c>
      <c r="AJ5" s="614" t="n">
        <v>46114</v>
      </c>
      <c r="AK5" s="616" t="n">
        <v>46065</v>
      </c>
      <c r="AL5" s="614" t="n">
        <v>46099</v>
      </c>
      <c r="AM5" s="614" t="n">
        <v>46084</v>
      </c>
      <c r="AN5" s="614" t="n">
        <v>46048</v>
      </c>
      <c r="AO5" s="614" t="n">
        <v>46035</v>
      </c>
      <c r="AP5" s="614" t="n">
        <v>46029</v>
      </c>
      <c r="AQ5" s="614" t="n">
        <v>46017</v>
      </c>
      <c r="AR5" s="614" t="n">
        <v>46007</v>
      </c>
      <c r="AS5" s="614" t="n">
        <v>46001</v>
      </c>
      <c r="AT5" s="614" t="n">
        <v>45951</v>
      </c>
    </row>
    <row r="6" customFormat="1" s="3">
      <c r="A6" s="618" t="n"/>
      <c r="B6" s="618" t="n"/>
      <c r="C6" s="618" t="n"/>
      <c r="D6" s="618" t="n"/>
      <c r="E6" s="30" t="n"/>
      <c r="F6" s="619" t="n">
        <v>46013</v>
      </c>
      <c r="G6" s="619" t="n">
        <v>46020</v>
      </c>
      <c r="H6" s="619" t="n">
        <v>46027</v>
      </c>
      <c r="I6" s="619" t="n">
        <v>46034</v>
      </c>
      <c r="J6" s="619" t="n">
        <v>46041</v>
      </c>
      <c r="K6" s="619" t="n">
        <v>46048</v>
      </c>
      <c r="L6" s="619" t="n">
        <v>46055</v>
      </c>
      <c r="M6" s="619" t="n">
        <v>46062</v>
      </c>
      <c r="N6" s="619" t="n">
        <v>46069</v>
      </c>
      <c r="O6" s="619" t="n">
        <v>46076</v>
      </c>
      <c r="P6" s="619" t="n">
        <v>46083</v>
      </c>
      <c r="Q6" s="619" t="n">
        <v>46090</v>
      </c>
      <c r="R6" s="619" t="n">
        <v>46097</v>
      </c>
      <c r="S6" s="619" t="n">
        <v>46104</v>
      </c>
      <c r="T6" s="619" t="n">
        <v>46111</v>
      </c>
      <c r="U6" s="619" t="n">
        <v>46118</v>
      </c>
      <c r="V6" s="619" t="n">
        <v>46125</v>
      </c>
      <c r="W6" s="619" t="n">
        <v>46132</v>
      </c>
      <c r="X6" s="619" t="n">
        <v>46139</v>
      </c>
      <c r="Y6" s="619" t="n">
        <v>46146</v>
      </c>
      <c r="Z6" s="619" t="n">
        <v>46154</v>
      </c>
      <c r="AA6" s="621" t="inlineStr">
        <is>
          <t>USOU</t>
        </is>
      </c>
      <c r="AB6" s="623" t="n"/>
      <c r="AC6" s="664" t="n"/>
      <c r="AD6" s="664" t="n"/>
      <c r="AE6" s="623" t="n"/>
      <c r="AF6" s="624" t="n">
        <v>46155</v>
      </c>
      <c r="AG6" s="623" t="n"/>
      <c r="AH6" s="614" t="n"/>
      <c r="AI6" s="614" t="n">
        <v>46149</v>
      </c>
      <c r="AJ6" s="614" t="n">
        <v>46126</v>
      </c>
      <c r="AK6" s="616" t="n">
        <v>46107</v>
      </c>
      <c r="AL6" s="614" t="n">
        <v>46106</v>
      </c>
      <c r="AM6" s="614" t="n">
        <v>46091</v>
      </c>
      <c r="AN6" s="614" t="n">
        <v>46056</v>
      </c>
      <c r="AO6" s="614" t="n">
        <v>46042</v>
      </c>
      <c r="AP6" s="614" t="n">
        <v>46037</v>
      </c>
      <c r="AQ6" s="614" t="n">
        <v>46028</v>
      </c>
      <c r="AR6" s="614" t="n">
        <v>46386</v>
      </c>
      <c r="AS6" s="614" t="n">
        <v>46009</v>
      </c>
      <c r="AT6" s="614" t="n">
        <v>45960</v>
      </c>
      <c r="AV6" s="11" t="n"/>
      <c r="AW6" s="11" t="n"/>
      <c r="AX6" s="11" t="n"/>
      <c r="AY6" s="11" t="n"/>
      <c r="AZ6" s="11" t="n"/>
      <c r="BA6" s="11" t="n"/>
      <c r="BB6" s="11" t="n"/>
      <c r="BC6" s="11" t="n"/>
      <c r="BD6" s="11" t="n"/>
    </row>
    <row r="7" ht="21.75" customFormat="1" customHeight="1" s="3">
      <c r="A7" s="20" t="inlineStr">
        <is>
          <t xml:space="preserve">SACOLAS </t>
        </is>
      </c>
      <c r="B7" s="4" t="n"/>
      <c r="C7" s="5" t="n"/>
      <c r="D7" s="239" t="n"/>
      <c r="E7" s="11" t="n"/>
      <c r="F7" s="12" t="n"/>
      <c r="G7" s="12" t="n"/>
      <c r="H7" s="12" t="n"/>
      <c r="I7" s="12" t="n"/>
      <c r="J7" s="12" t="n"/>
      <c r="K7" s="12" t="n"/>
      <c r="L7" s="12" t="n"/>
      <c r="M7" s="12" t="n"/>
      <c r="N7" s="12" t="n"/>
      <c r="O7" s="12" t="n"/>
      <c r="P7" s="12" t="n"/>
      <c r="Q7" s="12" t="n"/>
      <c r="R7" s="12" t="n"/>
      <c r="S7" s="12" t="n"/>
      <c r="T7" s="12" t="n"/>
      <c r="U7" s="12" t="n"/>
      <c r="V7" s="12" t="n"/>
      <c r="W7" s="12" t="n"/>
      <c r="X7" s="12" t="n"/>
      <c r="Y7" s="12" t="n"/>
      <c r="Z7" s="12" t="n"/>
      <c r="AA7" s="12" t="n"/>
      <c r="AB7" s="11" t="n"/>
      <c r="AC7" s="12" t="n"/>
      <c r="AD7" s="12" t="n"/>
      <c r="AE7" s="11" t="n"/>
      <c r="AF7" s="12" t="n"/>
      <c r="AG7" s="11" t="n"/>
      <c r="AH7" s="12" t="n"/>
      <c r="AI7" s="12" t="n"/>
      <c r="AJ7" s="12" t="n"/>
      <c r="AK7" s="12" t="inlineStr">
        <is>
          <t>MÃES</t>
        </is>
      </c>
      <c r="AL7" s="12" t="n"/>
      <c r="AM7" s="12" t="n"/>
      <c r="AN7" s="12" t="n"/>
      <c r="AO7" s="12" t="n"/>
      <c r="AP7" s="12" t="n"/>
      <c r="AQ7" s="12" t="n"/>
      <c r="AR7" s="12" t="n"/>
      <c r="AS7" s="12" t="n"/>
      <c r="AT7" s="12" t="n"/>
      <c r="AV7" s="384" t="inlineStr">
        <is>
          <t>MÃES 2026</t>
        </is>
      </c>
      <c r="AW7" s="625" t="n"/>
      <c r="AX7" s="625" t="n"/>
      <c r="AY7" s="625" t="n"/>
      <c r="AZ7" s="625" t="n"/>
      <c r="BA7" s="625" t="n"/>
      <c r="BB7" s="625" t="n"/>
      <c r="BC7" s="625" t="n"/>
      <c r="BD7" s="641" t="n"/>
    </row>
    <row r="8" customFormat="1" s="3">
      <c r="A8" s="21" t="inlineStr">
        <is>
          <t>SACOLA PP VERDE</t>
        </is>
      </c>
      <c r="B8" s="6" t="n">
        <v>300</v>
      </c>
      <c r="C8" s="627" t="n">
        <v>187.12</v>
      </c>
      <c r="D8" s="240" t="n">
        <v>150</v>
      </c>
      <c r="E8" s="11" t="n"/>
      <c r="F8" s="39" t="n">
        <v>300</v>
      </c>
      <c r="G8" s="39" t="n">
        <v>0</v>
      </c>
      <c r="H8" s="39" t="n">
        <v>300</v>
      </c>
      <c r="I8" s="39" t="n">
        <v>180</v>
      </c>
      <c r="J8" s="39">
        <f>180+AO8</f>
        <v/>
      </c>
      <c r="K8" s="39" t="n">
        <v>480</v>
      </c>
      <c r="L8" s="39" t="n">
        <v>480</v>
      </c>
      <c r="M8" s="39" t="n">
        <v>480</v>
      </c>
      <c r="N8" s="39" t="n">
        <v>480</v>
      </c>
      <c r="O8" s="39" t="n">
        <v>360</v>
      </c>
      <c r="P8" s="39" t="n">
        <v>320</v>
      </c>
      <c r="Q8" s="39" t="n">
        <v>280</v>
      </c>
      <c r="R8" s="39" t="n">
        <v>280</v>
      </c>
      <c r="S8" s="39" t="n">
        <v>280</v>
      </c>
      <c r="T8" s="39" t="n">
        <v>280</v>
      </c>
      <c r="U8" s="39" t="n">
        <v>200</v>
      </c>
      <c r="V8" s="39" t="n">
        <v>160</v>
      </c>
      <c r="W8" s="39" t="n">
        <v>160</v>
      </c>
      <c r="X8" s="39" t="n">
        <v>120</v>
      </c>
      <c r="Y8" s="39">
        <f>120+AI8</f>
        <v/>
      </c>
      <c r="Z8" s="39" t="n">
        <v>360</v>
      </c>
      <c r="AA8" s="380">
        <f>Y8+IF(NOT(ISBLANK(OFFSET(AA8,0,6))),N(OFFSET(AA8,0,6)),N(OFFSET(AA8,0,7)))-Z8</f>
        <v/>
      </c>
      <c r="AB8" s="11" t="n"/>
      <c r="AC8" s="78" t="n"/>
      <c r="AD8" s="78" t="n"/>
      <c r="AE8" s="11" t="n"/>
      <c r="AF8" s="32" t="n"/>
      <c r="AG8" s="41" t="n"/>
      <c r="AH8" s="19" t="n">
        <v>0</v>
      </c>
      <c r="AI8" s="19" t="n">
        <v>300</v>
      </c>
      <c r="AJ8" s="19" t="n"/>
      <c r="AK8" s="19" t="n"/>
      <c r="AL8" s="19" t="n"/>
      <c r="AM8" s="19" t="n"/>
      <c r="AN8" s="19" t="n"/>
      <c r="AO8" s="19" t="n">
        <v>300</v>
      </c>
      <c r="AP8" s="19" t="n"/>
      <c r="AQ8" s="19" t="n"/>
      <c r="AR8" s="19" t="n">
        <v>300</v>
      </c>
      <c r="AS8" s="19" t="n">
        <v>300</v>
      </c>
      <c r="AT8" s="19" t="n"/>
      <c r="AV8" s="397" t="inlineStr">
        <is>
          <t xml:space="preserve">SACOLAS </t>
        </is>
      </c>
      <c r="AW8" s="384" t="inlineStr">
        <is>
          <t>PCT</t>
        </is>
      </c>
      <c r="AX8" s="619" t="n">
        <v>46118</v>
      </c>
      <c r="AY8" s="619" t="n">
        <v>46125</v>
      </c>
      <c r="AZ8" s="619" t="n">
        <v>46132</v>
      </c>
      <c r="BA8" s="619" t="n">
        <v>46139</v>
      </c>
      <c r="BB8" s="619" t="n">
        <v>46146</v>
      </c>
      <c r="BC8" s="619" t="n">
        <v>46154</v>
      </c>
      <c r="BD8" s="621" t="inlineStr">
        <is>
          <t>USOU</t>
        </is>
      </c>
    </row>
    <row r="9" ht="20.25" customFormat="1" customHeight="1" s="3">
      <c r="A9" s="21" t="inlineStr">
        <is>
          <t xml:space="preserve">SACOLA P VERDE </t>
        </is>
      </c>
      <c r="B9" s="6" t="n">
        <v>200</v>
      </c>
      <c r="C9" s="627" t="n">
        <v>193.08</v>
      </c>
      <c r="D9" s="240" t="n">
        <v>400</v>
      </c>
      <c r="E9" s="11" t="n"/>
      <c r="F9" s="39" t="n">
        <v>80</v>
      </c>
      <c r="G9" s="39" t="n">
        <v>0</v>
      </c>
      <c r="H9" s="39" t="n">
        <v>240</v>
      </c>
      <c r="I9" s="39" t="n">
        <v>320</v>
      </c>
      <c r="J9" s="39">
        <f>360+AO9</f>
        <v/>
      </c>
      <c r="K9" s="39" t="n">
        <v>480</v>
      </c>
      <c r="L9" s="39">
        <f>400+AN9</f>
        <v/>
      </c>
      <c r="M9" s="39" t="n">
        <v>480</v>
      </c>
      <c r="N9" s="39" t="n">
        <v>580</v>
      </c>
      <c r="O9" s="39" t="n">
        <v>520</v>
      </c>
      <c r="P9" s="39" t="n">
        <v>160</v>
      </c>
      <c r="Q9" s="39">
        <f>0+AM9</f>
        <v/>
      </c>
      <c r="R9" s="39" t="n">
        <v>220</v>
      </c>
      <c r="S9" s="39">
        <f>120+AL9</f>
        <v/>
      </c>
      <c r="T9" s="39" t="n">
        <v>220</v>
      </c>
      <c r="U9" s="39" t="n">
        <v>100</v>
      </c>
      <c r="V9" s="39">
        <f>40+AI9</f>
        <v/>
      </c>
      <c r="W9" s="39" t="n">
        <v>240</v>
      </c>
      <c r="X9" s="39" t="n">
        <v>240</v>
      </c>
      <c r="Y9" s="39">
        <f>240+AI9</f>
        <v/>
      </c>
      <c r="Z9" s="39" t="n">
        <v>440</v>
      </c>
      <c r="AA9" s="380">
        <f>Y9+IF(NOT(ISBLANK(OFFSET(AA9,0,6))),N(OFFSET(AA9,0,6)),N(OFFSET(AA9,0,7)))-Z9</f>
        <v/>
      </c>
      <c r="AB9" s="11" t="n"/>
      <c r="AC9" s="78" t="n"/>
      <c r="AD9" s="78" t="n"/>
      <c r="AE9" s="11" t="n"/>
      <c r="AF9" s="32" t="n"/>
      <c r="AG9" s="11" t="n"/>
      <c r="AH9" s="19" t="n">
        <v>0</v>
      </c>
      <c r="AI9" s="19" t="n">
        <v>200</v>
      </c>
      <c r="AJ9" s="19" t="n">
        <v>200</v>
      </c>
      <c r="AK9" s="119" t="n">
        <v>600</v>
      </c>
      <c r="AL9" s="19" t="n">
        <v>200</v>
      </c>
      <c r="AM9" s="19" t="n">
        <v>400</v>
      </c>
      <c r="AN9" s="19" t="n">
        <v>200</v>
      </c>
      <c r="AO9" s="19" t="n">
        <v>200</v>
      </c>
      <c r="AP9" s="19" t="n">
        <v>200</v>
      </c>
      <c r="AQ9" s="19" t="n">
        <v>200</v>
      </c>
      <c r="AR9" s="19" t="n">
        <v>400</v>
      </c>
      <c r="AS9" s="19" t="n">
        <v>400</v>
      </c>
      <c r="AT9" s="19" t="n">
        <v>200</v>
      </c>
      <c r="AV9" s="372" t="inlineStr">
        <is>
          <t xml:space="preserve">SACOLA P </t>
        </is>
      </c>
      <c r="AW9" s="139" t="n">
        <v>200</v>
      </c>
      <c r="AX9" s="39">
        <f>AK9</f>
        <v/>
      </c>
      <c r="AY9" s="39" t="n">
        <v>520</v>
      </c>
      <c r="AZ9" s="39" t="n">
        <v>400</v>
      </c>
      <c r="BA9" s="39" t="n">
        <v>320</v>
      </c>
      <c r="BB9" s="39" t="n">
        <v>180</v>
      </c>
      <c r="BC9" s="39" t="n">
        <v>0</v>
      </c>
      <c r="BD9" s="26">
        <f>BB9+IF(NOT(ISBLANK(OFFSET(BD9,0,6))),N(OFFSET(BD9,0,6)),N(OFFSET(BD9,0,7)))-BC9</f>
        <v/>
      </c>
    </row>
    <row r="10" customFormat="1" s="3">
      <c r="A10" s="21" t="inlineStr">
        <is>
          <t>SACOLA M VERDE</t>
        </is>
      </c>
      <c r="B10" s="6" t="n">
        <v>200</v>
      </c>
      <c r="C10" s="627" t="n">
        <v>253.83</v>
      </c>
      <c r="D10" s="240" t="n">
        <v>150</v>
      </c>
      <c r="E10" s="11" t="n"/>
      <c r="F10" s="39" t="n">
        <v>0</v>
      </c>
      <c r="G10" s="39" t="n">
        <v>0</v>
      </c>
      <c r="H10" s="39" t="n">
        <v>80</v>
      </c>
      <c r="I10" s="39" t="n">
        <v>40</v>
      </c>
      <c r="J10" s="39">
        <f>220+AO10</f>
        <v/>
      </c>
      <c r="K10" s="39" t="n">
        <v>400</v>
      </c>
      <c r="L10" s="39" t="n">
        <v>400</v>
      </c>
      <c r="M10" s="39" t="n">
        <v>320</v>
      </c>
      <c r="N10" s="39" t="n">
        <v>320</v>
      </c>
      <c r="O10" s="39" t="n">
        <v>280</v>
      </c>
      <c r="P10" s="39" t="n">
        <v>260</v>
      </c>
      <c r="Q10" s="39" t="n">
        <v>200</v>
      </c>
      <c r="R10" s="39" t="n">
        <v>120</v>
      </c>
      <c r="S10" s="39">
        <f>80+AL10</f>
        <v/>
      </c>
      <c r="T10" s="39" t="n">
        <v>280</v>
      </c>
      <c r="U10" s="39" t="n">
        <v>240</v>
      </c>
      <c r="V10" s="39" t="n">
        <v>320</v>
      </c>
      <c r="W10" s="39" t="n">
        <v>320</v>
      </c>
      <c r="X10" s="39" t="n">
        <v>320</v>
      </c>
      <c r="Y10" s="39" t="n">
        <v>320</v>
      </c>
      <c r="Z10" s="39" t="n">
        <v>320</v>
      </c>
      <c r="AA10" s="380">
        <f>Y10+IF(NOT(ISBLANK(OFFSET(AA10,0,6))),N(OFFSET(AA10,0,6)),N(OFFSET(AA10,0,7)))-Z10</f>
        <v/>
      </c>
      <c r="AB10" s="11" t="n"/>
      <c r="AC10" s="78" t="n"/>
      <c r="AD10" s="78" t="n"/>
      <c r="AE10" s="11" t="n"/>
      <c r="AF10" s="32" t="n"/>
      <c r="AG10" s="11" t="n"/>
      <c r="AH10" s="19" t="n">
        <v>0</v>
      </c>
      <c r="AI10" s="19" t="n">
        <v>0</v>
      </c>
      <c r="AJ10" s="19" t="n"/>
      <c r="AK10" s="119" t="n">
        <v>400</v>
      </c>
      <c r="AL10" s="19" t="n">
        <v>200</v>
      </c>
      <c r="AM10" s="19" t="n"/>
      <c r="AN10" s="19" t="n"/>
      <c r="AO10" s="19" t="n">
        <v>200</v>
      </c>
      <c r="AP10" s="19" t="n">
        <v>200</v>
      </c>
      <c r="AQ10" s="19" t="n"/>
      <c r="AR10" s="19" t="n">
        <v>400</v>
      </c>
      <c r="AS10" s="19" t="n"/>
      <c r="AT10" s="19" t="n"/>
      <c r="AV10" s="21" t="inlineStr">
        <is>
          <t xml:space="preserve">SACOLA M </t>
        </is>
      </c>
      <c r="AW10" s="6" t="n">
        <v>200</v>
      </c>
      <c r="AX10" s="39">
        <f>AK10</f>
        <v/>
      </c>
      <c r="AY10" s="39" t="n">
        <v>300</v>
      </c>
      <c r="AZ10" s="39" t="n">
        <v>260</v>
      </c>
      <c r="BA10" s="39" t="n">
        <v>220</v>
      </c>
      <c r="BB10" s="39" t="n">
        <v>120</v>
      </c>
      <c r="BC10" s="39" t="n">
        <v>0</v>
      </c>
      <c r="BD10" s="26">
        <f>BB10+IF(NOT(ISBLANK(OFFSET(BD10,0,6))),N(OFFSET(BD10,0,6)),N(OFFSET(BD10,0,7)))-BC10</f>
        <v/>
      </c>
    </row>
    <row r="11" customFormat="1" s="3">
      <c r="A11" s="22" t="inlineStr">
        <is>
          <t xml:space="preserve">SACOLA G VERDE </t>
        </is>
      </c>
      <c r="B11" s="6" t="n">
        <v>100</v>
      </c>
      <c r="C11" s="627" t="n">
        <v>184.57</v>
      </c>
      <c r="D11" s="240" t="n">
        <v>30</v>
      </c>
      <c r="E11" s="11" t="n"/>
      <c r="F11" s="39" t="n">
        <v>0</v>
      </c>
      <c r="G11" s="39" t="n">
        <v>0</v>
      </c>
      <c r="H11" s="39" t="n">
        <v>0</v>
      </c>
      <c r="I11" s="39" t="n">
        <v>60</v>
      </c>
      <c r="J11" s="39" t="n">
        <v>60</v>
      </c>
      <c r="K11" s="39" t="n">
        <v>60</v>
      </c>
      <c r="L11" s="39" t="n">
        <v>60</v>
      </c>
      <c r="M11" s="39" t="n">
        <v>60</v>
      </c>
      <c r="N11" s="39" t="n">
        <v>60</v>
      </c>
      <c r="O11" s="39" t="n">
        <v>0</v>
      </c>
      <c r="P11" s="39" t="n">
        <v>0</v>
      </c>
      <c r="Q11" s="39" t="n">
        <v>0</v>
      </c>
      <c r="R11" s="39" t="n">
        <v>0</v>
      </c>
      <c r="S11" s="39" t="n">
        <v>0</v>
      </c>
      <c r="T11" s="39" t="n">
        <v>0</v>
      </c>
      <c r="U11" s="39" t="n">
        <v>0</v>
      </c>
      <c r="V11" s="39" t="n">
        <v>80</v>
      </c>
      <c r="W11" s="39" t="n">
        <v>80</v>
      </c>
      <c r="X11" s="39" t="n">
        <v>80</v>
      </c>
      <c r="Y11" s="39" t="n">
        <v>80</v>
      </c>
      <c r="Z11" s="39" t="n">
        <v>80</v>
      </c>
      <c r="AA11" s="380">
        <f>Y11+IF(NOT(ISBLANK(OFFSET(AA11,0,6))),N(OFFSET(AA11,0,6)),N(OFFSET(AA11,0,7)))-Z11</f>
        <v/>
      </c>
      <c r="AB11" s="11" t="n"/>
      <c r="AC11" s="78" t="n"/>
      <c r="AD11" s="78" t="n"/>
      <c r="AE11" s="11" t="n"/>
      <c r="AF11" s="32" t="n"/>
      <c r="AG11" s="11" t="n"/>
      <c r="AH11" s="19" t="n">
        <v>0</v>
      </c>
      <c r="AI11" s="19" t="n">
        <v>0</v>
      </c>
      <c r="AJ11" s="19" t="n"/>
      <c r="AK11" s="119" t="n">
        <v>100</v>
      </c>
      <c r="AL11" s="19" t="n"/>
      <c r="AM11" s="19" t="n"/>
      <c r="AN11" s="19" t="n"/>
      <c r="AO11" s="19" t="n"/>
      <c r="AP11" s="19" t="n"/>
      <c r="AQ11" s="19" t="n">
        <v>100</v>
      </c>
      <c r="AR11" s="19" t="n"/>
      <c r="AS11" s="19" t="n"/>
      <c r="AT11" s="19" t="n"/>
      <c r="AV11" s="22" t="inlineStr">
        <is>
          <t xml:space="preserve">SACOLA G </t>
        </is>
      </c>
      <c r="AW11" s="6" t="n">
        <v>100</v>
      </c>
      <c r="AX11" s="39">
        <f>AK11</f>
        <v/>
      </c>
      <c r="AY11" s="39" t="n">
        <v>20</v>
      </c>
      <c r="AZ11" s="39" t="n">
        <v>20</v>
      </c>
      <c r="BA11" s="39" t="n">
        <v>20</v>
      </c>
      <c r="BB11" s="39" t="n">
        <v>0</v>
      </c>
      <c r="BC11" s="39" t="n">
        <v>0</v>
      </c>
      <c r="BD11" s="26">
        <f>BB11+IF(NOT(ISBLANK(OFFSET(BD11,0,6))),N(OFFSET(BD11,0,6)),N(OFFSET(BD11,0,7)))-BC11</f>
        <v/>
      </c>
    </row>
    <row r="12" ht="16.5" customFormat="1" customHeight="1" s="3">
      <c r="A12" s="23" t="n"/>
      <c r="B12" s="1" t="n"/>
      <c r="C12" s="630" t="n"/>
      <c r="D12" s="277" t="n"/>
      <c r="E12" s="11" t="n"/>
      <c r="F12" s="2" t="n"/>
      <c r="G12" s="2" t="n"/>
      <c r="H12" s="2" t="n"/>
      <c r="I12" s="2" t="n"/>
      <c r="J12" s="2" t="n"/>
      <c r="K12" s="2" t="n"/>
      <c r="L12" s="2" t="n"/>
      <c r="M12" s="2" t="n"/>
      <c r="N12" s="2" t="n"/>
      <c r="O12" s="2" t="n"/>
      <c r="P12" s="2" t="n"/>
      <c r="Q12" s="2" t="n"/>
      <c r="R12" s="2" t="n"/>
      <c r="S12" s="2" t="n"/>
      <c r="T12" s="2" t="n"/>
      <c r="U12" s="2" t="n"/>
      <c r="V12" s="2" t="n"/>
      <c r="W12" s="2" t="n"/>
      <c r="X12" s="2" t="n"/>
      <c r="Y12" s="2" t="n"/>
      <c r="Z12" s="2" t="n"/>
      <c r="AA12" s="2" t="n"/>
      <c r="AC12" s="350" t="n"/>
      <c r="AD12" s="350" t="n"/>
      <c r="AE12" s="11" t="n"/>
      <c r="AF12" s="33" t="n"/>
      <c r="AG12" s="11" t="n"/>
      <c r="AH12" s="75" t="n"/>
      <c r="AI12" s="75" t="n"/>
      <c r="AJ12" s="75" t="n"/>
      <c r="AK12" s="75" t="n"/>
      <c r="AL12" s="75" t="n"/>
      <c r="AM12" s="75" t="n"/>
      <c r="AN12" s="75" t="n"/>
      <c r="AO12" s="75" t="n"/>
      <c r="AP12" s="75" t="n"/>
      <c r="AQ12" s="75" t="n"/>
      <c r="AR12" s="75" t="n"/>
      <c r="AS12" s="75" t="n"/>
      <c r="AT12" s="75" t="n"/>
      <c r="AV12" s="23" t="n"/>
      <c r="AW12" s="1" t="n"/>
      <c r="AX12" s="2" t="n"/>
      <c r="AY12" s="2" t="n"/>
      <c r="AZ12" s="2" t="n"/>
      <c r="BA12" s="2" t="n"/>
      <c r="BB12" s="2" t="n"/>
      <c r="BC12" s="2" t="n"/>
    </row>
    <row r="13" customFormat="1" s="3">
      <c r="A13" s="548" t="inlineStr">
        <is>
          <t>DIVERSOS</t>
        </is>
      </c>
      <c r="B13" s="12" t="n"/>
      <c r="C13" s="631" t="n"/>
      <c r="D13" s="403" t="n"/>
      <c r="E13" s="608" t="n"/>
      <c r="F13" s="619" t="n">
        <v>46013</v>
      </c>
      <c r="G13" s="619" t="n">
        <v>46020</v>
      </c>
      <c r="H13" s="619" t="n">
        <v>46027</v>
      </c>
      <c r="I13" s="619" t="n">
        <v>46034</v>
      </c>
      <c r="J13" s="619" t="n">
        <v>46041</v>
      </c>
      <c r="K13" s="619" t="n">
        <v>46048</v>
      </c>
      <c r="L13" s="619" t="n">
        <v>46055</v>
      </c>
      <c r="M13" s="619" t="n">
        <v>46062</v>
      </c>
      <c r="N13" s="619" t="n">
        <v>46069</v>
      </c>
      <c r="O13" s="619" t="n">
        <v>46076</v>
      </c>
      <c r="P13" s="619" t="n">
        <v>46083</v>
      </c>
      <c r="Q13" s="619" t="n">
        <v>46090</v>
      </c>
      <c r="R13" s="619" t="n">
        <v>46097</v>
      </c>
      <c r="S13" s="619" t="n">
        <v>46104</v>
      </c>
      <c r="T13" s="619" t="n">
        <v>46111</v>
      </c>
      <c r="U13" s="619" t="n">
        <v>46118</v>
      </c>
      <c r="V13" s="619" t="n">
        <v>46125</v>
      </c>
      <c r="W13" s="619" t="n">
        <v>46132</v>
      </c>
      <c r="X13" s="619" t="n">
        <v>46139</v>
      </c>
      <c r="Y13" s="619" t="n">
        <v>46146</v>
      </c>
      <c r="Z13" s="619" t="n">
        <v>46154</v>
      </c>
      <c r="AA13" s="621" t="inlineStr">
        <is>
          <t>USOU</t>
        </is>
      </c>
      <c r="AB13" s="608" t="n"/>
      <c r="AC13" s="29" t="inlineStr">
        <is>
          <t>Pendências</t>
        </is>
      </c>
      <c r="AD13" s="29" t="inlineStr">
        <is>
          <t>Pendências</t>
        </is>
      </c>
      <c r="AE13" s="11" t="n"/>
      <c r="AF13" s="9" t="inlineStr">
        <is>
          <t>Novo Pedido</t>
        </is>
      </c>
      <c r="AG13" s="608" t="n"/>
      <c r="AH13" s="614" t="n"/>
      <c r="AI13" s="614" t="n">
        <v>46142</v>
      </c>
      <c r="AJ13" s="614" t="n">
        <v>46114</v>
      </c>
      <c r="AK13" s="616" t="n">
        <v>46065</v>
      </c>
      <c r="AL13" s="614" t="n">
        <v>46099</v>
      </c>
      <c r="AM13" s="614" t="n">
        <v>46084</v>
      </c>
      <c r="AN13" s="614" t="n">
        <v>46048</v>
      </c>
      <c r="AO13" s="614" t="n">
        <v>46035</v>
      </c>
      <c r="AP13" s="614" t="n">
        <v>46029</v>
      </c>
      <c r="AQ13" s="614" t="n">
        <v>46017</v>
      </c>
      <c r="AR13" s="614" t="n">
        <v>46007</v>
      </c>
      <c r="AS13" s="614" t="n">
        <v>46001</v>
      </c>
      <c r="AT13" s="614" t="n">
        <v>45951</v>
      </c>
      <c r="AV13" s="397" t="inlineStr">
        <is>
          <t>DIVERSOS</t>
        </is>
      </c>
      <c r="AW13" s="384" t="inlineStr">
        <is>
          <t>PCT</t>
        </is>
      </c>
      <c r="AX13" s="619" t="n">
        <v>46118</v>
      </c>
      <c r="AY13" s="619" t="n">
        <v>46125</v>
      </c>
      <c r="AZ13" s="619" t="n">
        <v>46132</v>
      </c>
      <c r="BA13" s="619" t="n">
        <v>46139</v>
      </c>
      <c r="BB13" s="619" t="n">
        <v>46146</v>
      </c>
      <c r="BC13" s="619" t="n">
        <v>46154</v>
      </c>
      <c r="BD13" s="621" t="inlineStr">
        <is>
          <t>USOU</t>
        </is>
      </c>
    </row>
    <row r="14" customFormat="1" s="3">
      <c r="A14" s="25" t="inlineStr">
        <is>
          <t xml:space="preserve">PAPEL DE SEDA </t>
        </is>
      </c>
      <c r="B14" s="6" t="n">
        <v>500</v>
      </c>
      <c r="C14" s="632" t="n">
        <v>99.26000000000001</v>
      </c>
      <c r="D14" s="240" t="n">
        <v>2</v>
      </c>
      <c r="E14" s="608" t="n"/>
      <c r="F14" s="39" t="n">
        <v>2</v>
      </c>
      <c r="G14" s="39" t="n">
        <v>0</v>
      </c>
      <c r="H14" s="39" t="n">
        <v>0</v>
      </c>
      <c r="I14" s="39" t="n">
        <v>2</v>
      </c>
      <c r="J14" s="39">
        <f>4+AO14</f>
        <v/>
      </c>
      <c r="K14" s="39" t="n">
        <v>6</v>
      </c>
      <c r="L14" s="39" t="n">
        <v>6</v>
      </c>
      <c r="M14" s="39" t="n">
        <v>5</v>
      </c>
      <c r="N14" s="39" t="n">
        <v>5</v>
      </c>
      <c r="O14" s="39" t="n">
        <v>4</v>
      </c>
      <c r="P14" s="39" t="n">
        <v>3</v>
      </c>
      <c r="Q14" s="39">
        <f>2+AM14</f>
        <v/>
      </c>
      <c r="R14" s="39" t="n">
        <v>3</v>
      </c>
      <c r="S14" s="39">
        <f>2+AL14</f>
        <v/>
      </c>
      <c r="T14" s="39" t="n">
        <v>4</v>
      </c>
      <c r="U14" s="39" t="n">
        <v>4</v>
      </c>
      <c r="V14" s="39" t="n">
        <v>3</v>
      </c>
      <c r="W14" s="39" t="n">
        <v>3</v>
      </c>
      <c r="X14" s="39" t="n">
        <v>3</v>
      </c>
      <c r="Y14" s="39">
        <f>3+AI14</f>
        <v/>
      </c>
      <c r="Z14" s="39" t="n">
        <v>6</v>
      </c>
      <c r="AA14" s="380">
        <f>Y14+IF(NOT(ISBLANK(OFFSET(AA14,0,6))),N(OFFSET(AA14,0,6)),N(OFFSET(AA14,0,7)))-Z14</f>
        <v/>
      </c>
      <c r="AB14" s="608" t="n"/>
      <c r="AC14" s="78" t="n"/>
      <c r="AD14" s="78" t="n"/>
      <c r="AE14" s="608" t="n"/>
      <c r="AF14" s="32" t="n"/>
      <c r="AG14" s="608" t="n"/>
      <c r="AH14" s="19" t="n">
        <v>0</v>
      </c>
      <c r="AI14" s="19" t="n">
        <v>3</v>
      </c>
      <c r="AJ14" s="19" t="n"/>
      <c r="AK14" s="119" t="n">
        <v>5</v>
      </c>
      <c r="AL14" s="19" t="n">
        <v>2</v>
      </c>
      <c r="AM14" s="19" t="n">
        <v>2</v>
      </c>
      <c r="AN14" s="19" t="n"/>
      <c r="AO14" s="19" t="n">
        <v>2</v>
      </c>
      <c r="AP14" s="19" t="n">
        <v>2</v>
      </c>
      <c r="AQ14" s="19" t="n">
        <v>2</v>
      </c>
      <c r="AR14" s="19" t="n"/>
      <c r="AS14" s="19" t="n">
        <v>1</v>
      </c>
      <c r="AT14" s="19" t="n"/>
      <c r="AV14" s="372" t="inlineStr">
        <is>
          <t>PAPEL DE SEDA</t>
        </is>
      </c>
      <c r="AW14" s="139" t="n">
        <v>200</v>
      </c>
      <c r="AX14" s="39">
        <f>AK14</f>
        <v/>
      </c>
      <c r="AY14" s="39" t="n">
        <v>4</v>
      </c>
      <c r="AZ14" s="39" t="n">
        <v>4</v>
      </c>
      <c r="BA14" s="39" t="n">
        <v>3</v>
      </c>
      <c r="BB14" s="39" t="n">
        <v>2</v>
      </c>
      <c r="BC14" s="39" t="n">
        <v>0</v>
      </c>
      <c r="BD14" s="26">
        <f>BB14+IF(NOT(ISBLANK(OFFSET(BD14,0,6))),N(OFFSET(BD14,0,6)),N(OFFSET(BD14,0,7)))-BC14</f>
        <v/>
      </c>
    </row>
    <row r="15" customFormat="1" s="3">
      <c r="A15" s="25" t="inlineStr">
        <is>
          <t>ETIQUETAS</t>
        </is>
      </c>
      <c r="B15" s="6" t="n">
        <v>2000</v>
      </c>
      <c r="C15" s="632" t="n">
        <v>55.36</v>
      </c>
      <c r="D15" s="240" t="n">
        <v>1</v>
      </c>
      <c r="E15" s="608" t="n"/>
      <c r="F15" s="39" t="n">
        <v>2</v>
      </c>
      <c r="G15" s="39" t="n">
        <v>1</v>
      </c>
      <c r="H15" s="39" t="n">
        <v>2</v>
      </c>
      <c r="I15" s="39" t="n">
        <v>3</v>
      </c>
      <c r="J15" s="39" t="n">
        <v>3</v>
      </c>
      <c r="K15" s="39" t="n">
        <v>3</v>
      </c>
      <c r="L15" s="39" t="n">
        <v>3</v>
      </c>
      <c r="M15" s="39" t="n">
        <v>1</v>
      </c>
      <c r="N15" s="39" t="n">
        <v>1</v>
      </c>
      <c r="O15" s="39" t="n">
        <v>1</v>
      </c>
      <c r="P15" s="39" t="n">
        <v>1</v>
      </c>
      <c r="Q15" s="39" t="n">
        <v>1</v>
      </c>
      <c r="R15" s="39" t="n">
        <v>1</v>
      </c>
      <c r="S15" s="39" t="n">
        <v>1</v>
      </c>
      <c r="T15" s="39" t="n">
        <v>1</v>
      </c>
      <c r="U15" s="39" t="n">
        <v>3</v>
      </c>
      <c r="V15" s="39" t="n">
        <v>3</v>
      </c>
      <c r="W15" s="39" t="n">
        <v>3</v>
      </c>
      <c r="X15" s="39" t="n">
        <v>3</v>
      </c>
      <c r="Y15" s="39" t="n">
        <v>3</v>
      </c>
      <c r="Z15" s="39" t="n">
        <v>3</v>
      </c>
      <c r="AA15" s="380">
        <f>Y15+IF(NOT(ISBLANK(OFFSET(AA15,0,6))),N(OFFSET(AA15,0,6)),N(OFFSET(AA15,0,7)))-Z15</f>
        <v/>
      </c>
      <c r="AB15" s="608" t="n"/>
      <c r="AC15" s="78" t="n"/>
      <c r="AD15" s="78" t="n"/>
      <c r="AE15" s="608" t="n"/>
      <c r="AF15" s="32" t="n"/>
      <c r="AG15" s="608" t="n"/>
      <c r="AH15" s="19" t="n">
        <v>0</v>
      </c>
      <c r="AI15" s="19" t="n">
        <v>0</v>
      </c>
      <c r="AJ15" s="19" t="n"/>
      <c r="AK15" s="119" t="n">
        <v>1</v>
      </c>
      <c r="AL15" s="19" t="n"/>
      <c r="AM15" s="19" t="n"/>
      <c r="AN15" s="19" t="n"/>
      <c r="AO15" s="19" t="n"/>
      <c r="AP15" s="19" t="n"/>
      <c r="AQ15" s="19" t="n">
        <v>2</v>
      </c>
      <c r="AR15" s="19" t="n">
        <v>1</v>
      </c>
      <c r="AS15" s="19" t="n">
        <v>1</v>
      </c>
      <c r="AT15" s="19" t="n"/>
      <c r="AV15" s="21" t="inlineStr">
        <is>
          <t>ADESIVOS</t>
        </is>
      </c>
      <c r="AW15" s="6" t="n">
        <v>200</v>
      </c>
      <c r="AX15" s="39">
        <f>AK15</f>
        <v/>
      </c>
      <c r="AY15" s="39" t="n">
        <v>1</v>
      </c>
      <c r="AZ15" s="39" t="n">
        <v>1</v>
      </c>
      <c r="BA15" s="39" t="n">
        <v>1</v>
      </c>
      <c r="BB15" s="39" t="n">
        <v>0</v>
      </c>
      <c r="BC15" s="39" t="n">
        <v>0</v>
      </c>
      <c r="BD15" s="26">
        <f>BB15+IF(NOT(ISBLANK(OFFSET(BD15,0,6))),N(OFFSET(BD15,0,6)),N(OFFSET(BD15,0,7)))-BC15</f>
        <v/>
      </c>
    </row>
    <row r="16" customFormat="1" s="3">
      <c r="A16" s="25" t="inlineStr">
        <is>
          <t xml:space="preserve">TAGS </t>
        </is>
      </c>
      <c r="B16" s="6" t="n">
        <v>200</v>
      </c>
      <c r="C16" s="632" t="n">
        <v>10.28</v>
      </c>
      <c r="D16" s="240" t="n">
        <v>2</v>
      </c>
      <c r="E16" s="1" t="n"/>
      <c r="F16" s="39" t="n">
        <v>1</v>
      </c>
      <c r="G16" s="39" t="n">
        <v>0</v>
      </c>
      <c r="H16" s="39" t="n">
        <v>0</v>
      </c>
      <c r="I16" s="39" t="n">
        <v>3</v>
      </c>
      <c r="J16" s="39" t="n">
        <v>4</v>
      </c>
      <c r="K16" s="39" t="n">
        <v>3</v>
      </c>
      <c r="L16" s="39">
        <f>3+AN16</f>
        <v/>
      </c>
      <c r="M16" s="39" t="n">
        <v>4</v>
      </c>
      <c r="N16" s="39" t="n">
        <v>4</v>
      </c>
      <c r="O16" s="39" t="n">
        <v>4</v>
      </c>
      <c r="P16" s="39" t="n">
        <v>3</v>
      </c>
      <c r="Q16" s="39" t="n">
        <v>2</v>
      </c>
      <c r="R16" s="39" t="n">
        <v>2</v>
      </c>
      <c r="S16" s="39" t="n">
        <v>2</v>
      </c>
      <c r="T16" s="39" t="n">
        <v>1</v>
      </c>
      <c r="U16" s="39" t="n">
        <v>1</v>
      </c>
      <c r="V16" s="39">
        <f>1+AI16</f>
        <v/>
      </c>
      <c r="W16" s="39" t="n">
        <v>1</v>
      </c>
      <c r="X16" s="39" t="n">
        <v>1</v>
      </c>
      <c r="Y16" s="39">
        <f>1+AI16</f>
        <v/>
      </c>
      <c r="Z16" s="39" t="n">
        <v>1</v>
      </c>
      <c r="AA16" s="380">
        <f>Y16+IF(NOT(ISBLANK(OFFSET(AA16,0,6))),N(OFFSET(AA16,0,6)),N(OFFSET(AA16,0,7)))-Z16</f>
        <v/>
      </c>
      <c r="AB16" s="1" t="n"/>
      <c r="AC16" s="78" t="inlineStr">
        <is>
          <t>01 DE JSH</t>
        </is>
      </c>
      <c r="AD16" s="78" t="n"/>
      <c r="AE16" s="1" t="n"/>
      <c r="AF16" s="32" t="n"/>
      <c r="AG16" s="1" t="n"/>
      <c r="AH16" s="19" t="n">
        <v>0</v>
      </c>
      <c r="AI16" s="19" t="n">
        <v>1</v>
      </c>
      <c r="AJ16" s="19" t="n">
        <v>1</v>
      </c>
      <c r="AK16" s="19" t="n"/>
      <c r="AL16" s="19" t="n"/>
      <c r="AM16" s="19" t="n"/>
      <c r="AN16" s="19" t="n">
        <v>1</v>
      </c>
      <c r="AO16" s="19" t="n"/>
      <c r="AP16" s="19" t="n">
        <v>1</v>
      </c>
      <c r="AQ16" s="19" t="n">
        <v>3</v>
      </c>
      <c r="AR16" s="19" t="n">
        <v>1</v>
      </c>
      <c r="AS16" s="19" t="n"/>
      <c r="AT16" s="19" t="n">
        <v>1</v>
      </c>
    </row>
    <row r="17" customFormat="1" s="3">
      <c r="A17" s="25" t="inlineStr">
        <is>
          <t>LÂMINA OLFATIVA</t>
        </is>
      </c>
      <c r="B17" s="6" t="n">
        <v>3000</v>
      </c>
      <c r="C17" s="632" t="n">
        <v>71.8</v>
      </c>
      <c r="D17" s="240" t="n">
        <v>1</v>
      </c>
      <c r="E17" s="1" t="n"/>
      <c r="F17" s="125" t="n">
        <v>1</v>
      </c>
      <c r="G17" s="125" t="n">
        <v>1</v>
      </c>
      <c r="H17" s="125" t="n">
        <v>0</v>
      </c>
      <c r="I17" s="125" t="n">
        <v>2</v>
      </c>
      <c r="J17" s="125" t="n">
        <v>2</v>
      </c>
      <c r="K17" s="125" t="n">
        <v>2</v>
      </c>
      <c r="L17" s="125" t="n">
        <v>2</v>
      </c>
      <c r="M17" s="125" t="n">
        <v>2</v>
      </c>
      <c r="N17" s="125" t="n">
        <v>2</v>
      </c>
      <c r="O17" s="125" t="n">
        <v>1</v>
      </c>
      <c r="P17" s="125" t="n">
        <v>1</v>
      </c>
      <c r="Q17" s="125" t="n">
        <v>1</v>
      </c>
      <c r="R17" s="125" t="n">
        <v>1</v>
      </c>
      <c r="S17" s="125" t="n">
        <v>0</v>
      </c>
      <c r="T17" s="125" t="n">
        <v>0</v>
      </c>
      <c r="U17" s="125" t="n">
        <v>0</v>
      </c>
      <c r="V17" s="125">
        <f>0+AI17</f>
        <v/>
      </c>
      <c r="W17" s="125" t="n">
        <v>1</v>
      </c>
      <c r="X17" s="125" t="n">
        <v>1</v>
      </c>
      <c r="Y17" s="125">
        <f>0+AI17</f>
        <v/>
      </c>
      <c r="Z17" s="125" t="n">
        <v>1</v>
      </c>
      <c r="AA17" s="380">
        <f>Y17+IF(NOT(ISBLANK(OFFSET(AA17,0,6))),N(OFFSET(AA17,0,6)),N(OFFSET(AA17,0,7)))-Z17</f>
        <v/>
      </c>
      <c r="AB17" s="1" t="n"/>
      <c r="AC17" s="419" t="inlineStr">
        <is>
          <t>01 DE IT</t>
        </is>
      </c>
      <c r="AD17" s="78" t="n"/>
      <c r="AE17" s="1" t="n"/>
      <c r="AF17" s="32" t="n"/>
      <c r="AG17" s="1" t="n"/>
      <c r="AH17" s="19" t="n">
        <v>0</v>
      </c>
      <c r="AI17" s="19" t="n">
        <v>1</v>
      </c>
      <c r="AJ17" s="19" t="n">
        <v>1</v>
      </c>
      <c r="AK17" s="19" t="n"/>
      <c r="AL17" s="19" t="n"/>
      <c r="AM17" s="19" t="n"/>
      <c r="AN17" s="19" t="n"/>
      <c r="AO17" s="19" t="n"/>
      <c r="AP17" s="19" t="n"/>
      <c r="AQ17" s="19" t="n">
        <v>2</v>
      </c>
      <c r="AR17" s="19" t="n"/>
      <c r="AS17" s="19" t="n">
        <v>2</v>
      </c>
      <c r="AT17" s="19" t="n">
        <v>1</v>
      </c>
    </row>
    <row r="18" ht="14.25" customFormat="1" customHeight="1" s="3">
      <c r="A18" s="23" t="n"/>
      <c r="D18" s="277" t="n"/>
      <c r="AC18" s="349" t="n"/>
      <c r="AD18" s="349" t="n"/>
      <c r="AF18" s="352" t="n"/>
      <c r="AH18" s="396" t="n"/>
      <c r="AI18" s="396" t="n"/>
      <c r="AJ18" s="396" t="n"/>
      <c r="AK18" s="396" t="n"/>
      <c r="AL18" s="396" t="n"/>
      <c r="AM18" s="396" t="n"/>
      <c r="AN18" s="396" t="n"/>
      <c r="AO18" s="396" t="n"/>
      <c r="AP18" s="396" t="n"/>
      <c r="AQ18" s="396" t="n"/>
      <c r="AR18" s="396" t="n"/>
      <c r="AS18" s="396" t="n"/>
      <c r="AT18" s="396" t="n"/>
    </row>
    <row r="19" customFormat="1" s="3">
      <c r="A19" s="548" t="inlineStr">
        <is>
          <t>CAIXAS</t>
        </is>
      </c>
      <c r="B19" s="12" t="inlineStr">
        <is>
          <t>PCT</t>
        </is>
      </c>
      <c r="C19" s="654" t="n"/>
      <c r="D19" s="403" t="n"/>
      <c r="E19" s="1" t="n"/>
      <c r="F19" s="619" t="n">
        <v>46013</v>
      </c>
      <c r="G19" s="619" t="n">
        <v>46020</v>
      </c>
      <c r="H19" s="619" t="n">
        <v>46027</v>
      </c>
      <c r="I19" s="619" t="n">
        <v>46034</v>
      </c>
      <c r="J19" s="619" t="n">
        <v>46041</v>
      </c>
      <c r="K19" s="619" t="n">
        <v>46048</v>
      </c>
      <c r="L19" s="619" t="n">
        <v>46055</v>
      </c>
      <c r="M19" s="619" t="n">
        <v>46062</v>
      </c>
      <c r="N19" s="619" t="n">
        <v>46069</v>
      </c>
      <c r="O19" s="619" t="n">
        <v>46076</v>
      </c>
      <c r="P19" s="619" t="n">
        <v>46083</v>
      </c>
      <c r="Q19" s="619" t="n">
        <v>46090</v>
      </c>
      <c r="R19" s="619" t="n">
        <v>46097</v>
      </c>
      <c r="S19" s="619" t="n">
        <v>46104</v>
      </c>
      <c r="T19" s="619" t="n">
        <v>46111</v>
      </c>
      <c r="U19" s="619" t="n">
        <v>46118</v>
      </c>
      <c r="V19" s="619" t="n">
        <v>46125</v>
      </c>
      <c r="W19" s="619" t="n">
        <v>46132</v>
      </c>
      <c r="X19" s="619" t="n">
        <v>46139</v>
      </c>
      <c r="Y19" s="619" t="n">
        <v>46146</v>
      </c>
      <c r="Z19" s="619" t="n">
        <v>46154</v>
      </c>
      <c r="AA19" s="621" t="inlineStr">
        <is>
          <t>USOU</t>
        </is>
      </c>
      <c r="AB19" s="1" t="n"/>
      <c r="AC19" s="29" t="inlineStr">
        <is>
          <t>Pendências</t>
        </is>
      </c>
      <c r="AD19" s="29" t="inlineStr">
        <is>
          <t>Pendências</t>
        </is>
      </c>
      <c r="AE19" s="11" t="n"/>
      <c r="AF19" s="9" t="inlineStr">
        <is>
          <t>Novo Pedido</t>
        </is>
      </c>
      <c r="AG19" s="1" t="n"/>
      <c r="AH19" s="614" t="n"/>
      <c r="AI19" s="614" t="n">
        <v>46142</v>
      </c>
      <c r="AJ19" s="614" t="n">
        <v>46114</v>
      </c>
      <c r="AK19" s="616" t="n">
        <v>46065</v>
      </c>
      <c r="AL19" s="614" t="n">
        <v>46099</v>
      </c>
      <c r="AM19" s="614" t="n">
        <v>46084</v>
      </c>
      <c r="AN19" s="614" t="n">
        <v>46048</v>
      </c>
      <c r="AO19" s="614" t="n">
        <v>46035</v>
      </c>
      <c r="AP19" s="614" t="n">
        <v>46029</v>
      </c>
      <c r="AQ19" s="614" t="n">
        <v>46017</v>
      </c>
      <c r="AR19" s="614" t="n">
        <v>46007</v>
      </c>
      <c r="AS19" s="614" t="n">
        <v>46001</v>
      </c>
      <c r="AT19" s="614" t="n">
        <v>45951</v>
      </c>
      <c r="AV19" s="397" t="inlineStr">
        <is>
          <t>CAIXAS</t>
        </is>
      </c>
      <c r="AW19" s="384" t="inlineStr">
        <is>
          <t>PCT</t>
        </is>
      </c>
      <c r="AX19" s="619" t="n">
        <v>46118</v>
      </c>
      <c r="AY19" s="619" t="n">
        <v>46125</v>
      </c>
      <c r="AZ19" s="619" t="n">
        <v>46132</v>
      </c>
      <c r="BA19" s="619" t="n">
        <v>46139</v>
      </c>
      <c r="BB19" s="619" t="n">
        <v>46146</v>
      </c>
      <c r="BC19" s="619" t="n">
        <v>46154</v>
      </c>
      <c r="BD19" s="621" t="inlineStr">
        <is>
          <t>USOU</t>
        </is>
      </c>
    </row>
    <row r="20" customFormat="1" s="3">
      <c r="A20" s="25" t="inlineStr">
        <is>
          <t>CAIXA P VERDE</t>
        </is>
      </c>
      <c r="B20" s="6" t="n">
        <v>150</v>
      </c>
      <c r="C20" s="627" t="n">
        <v>334.31</v>
      </c>
      <c r="D20" s="240" t="n">
        <v>70</v>
      </c>
      <c r="E20" s="1" t="n"/>
      <c r="F20" s="39" t="n">
        <v>0</v>
      </c>
      <c r="G20" s="39" t="n">
        <v>0</v>
      </c>
      <c r="H20" s="39" t="n">
        <v>0</v>
      </c>
      <c r="I20" s="39" t="n">
        <v>0</v>
      </c>
      <c r="J20" s="211" t="n">
        <v>132</v>
      </c>
      <c r="K20" s="39" t="n">
        <v>55</v>
      </c>
      <c r="L20" s="39">
        <f>45+AN20</f>
        <v/>
      </c>
      <c r="M20" s="39" t="n">
        <v>183</v>
      </c>
      <c r="N20" s="39" t="n">
        <v>183</v>
      </c>
      <c r="O20" s="39" t="n">
        <v>178</v>
      </c>
      <c r="P20" s="39" t="n">
        <v>168</v>
      </c>
      <c r="Q20" s="39" t="n">
        <v>147</v>
      </c>
      <c r="R20" s="39" t="n">
        <v>138</v>
      </c>
      <c r="S20" s="39" t="n">
        <v>128</v>
      </c>
      <c r="T20" s="39" t="n">
        <v>109</v>
      </c>
      <c r="U20" s="39" t="n"/>
      <c r="V20" s="39" t="n"/>
      <c r="W20" s="39" t="n"/>
      <c r="X20" s="39" t="n">
        <v>88</v>
      </c>
      <c r="Y20" s="39" t="n">
        <v>88</v>
      </c>
      <c r="Z20" s="39" t="n">
        <v>82</v>
      </c>
      <c r="AA20" s="380">
        <f>Y20+IF(NOT(ISBLANK(OFFSET(AA20,0,6))),N(OFFSET(AA20,0,6)),N(OFFSET(AA20,0,7)))-Z20</f>
        <v/>
      </c>
      <c r="AB20" s="1" t="n"/>
      <c r="AC20" s="78" t="n"/>
      <c r="AD20" s="78" t="n"/>
      <c r="AF20" s="32" t="n"/>
      <c r="AH20" s="19" t="n">
        <v>0</v>
      </c>
      <c r="AI20" s="19" t="n">
        <v>0</v>
      </c>
      <c r="AJ20" s="19" t="n"/>
      <c r="AK20" s="119" t="n"/>
      <c r="AL20" s="19" t="n"/>
      <c r="AM20" s="19" t="n"/>
      <c r="AN20" s="19" t="n">
        <v>150</v>
      </c>
      <c r="AO20" s="19" t="n"/>
      <c r="AP20" s="19" t="n"/>
      <c r="AQ20" s="19" t="n"/>
      <c r="AR20" s="19" t="n"/>
      <c r="AS20" s="19" t="n"/>
      <c r="AT20" s="19" t="n"/>
      <c r="AV20" s="372" t="inlineStr">
        <is>
          <t>CAIXA P</t>
        </is>
      </c>
      <c r="AW20" s="139" t="n">
        <v>150</v>
      </c>
      <c r="AX20" s="39" t="n">
        <v>0</v>
      </c>
      <c r="AY20" s="39" t="n"/>
      <c r="AZ20" s="39" t="n"/>
      <c r="BA20" s="39" t="n">
        <v>27</v>
      </c>
      <c r="BB20" s="39" t="n">
        <v>24</v>
      </c>
      <c r="BC20" s="39" t="n">
        <v>-1</v>
      </c>
      <c r="BD20" s="26">
        <f>BB20+IF(NOT(ISBLANK(OFFSET(BD20,0,6))),N(OFFSET(BD20,0,6)),N(OFFSET(BD20,0,7)))-BC20</f>
        <v/>
      </c>
    </row>
    <row r="21" customFormat="1" s="3">
      <c r="A21" s="25" t="inlineStr">
        <is>
          <t>CAIXA M VERDE</t>
        </is>
      </c>
      <c r="B21" s="6" t="n">
        <v>100</v>
      </c>
      <c r="C21" s="634" t="n">
        <v>292.25</v>
      </c>
      <c r="D21" s="243" t="n">
        <v>70</v>
      </c>
      <c r="E21" s="1" t="n"/>
      <c r="F21" s="27" t="n">
        <v>6</v>
      </c>
      <c r="G21" s="27" t="n">
        <v>6</v>
      </c>
      <c r="H21" s="27" t="n">
        <v>5</v>
      </c>
      <c r="I21" s="27" t="n">
        <v>4</v>
      </c>
      <c r="J21" s="298" t="n">
        <v>144</v>
      </c>
      <c r="K21" s="27" t="n">
        <v>74</v>
      </c>
      <c r="L21" s="27">
        <f>73+AN21</f>
        <v/>
      </c>
      <c r="M21" s="27" t="n">
        <v>151</v>
      </c>
      <c r="N21" s="27" t="n">
        <v>144</v>
      </c>
      <c r="O21" s="27" t="n">
        <v>136</v>
      </c>
      <c r="P21" s="27" t="n">
        <v>127</v>
      </c>
      <c r="Q21" s="27" t="n">
        <v>104</v>
      </c>
      <c r="R21" s="27" t="n">
        <v>102</v>
      </c>
      <c r="S21" s="27" t="n">
        <v>86</v>
      </c>
      <c r="T21" s="27" t="n">
        <v>79</v>
      </c>
      <c r="U21" s="27" t="n"/>
      <c r="V21" s="27" t="n"/>
      <c r="W21" s="27" t="n"/>
      <c r="X21" s="27" t="n">
        <v>55</v>
      </c>
      <c r="Y21" s="27" t="n">
        <v>55</v>
      </c>
      <c r="Z21" s="27" t="n">
        <v>36</v>
      </c>
      <c r="AA21" s="380">
        <f>Y21+IF(NOT(ISBLANK(OFFSET(AA21,0,6))),N(OFFSET(AA21,0,6)),N(OFFSET(AA21,0,7)))-Z21</f>
        <v/>
      </c>
      <c r="AB21" s="1" t="n"/>
      <c r="AC21" s="78" t="n"/>
      <c r="AD21" s="78" t="n"/>
      <c r="AF21" s="32" t="n"/>
      <c r="AH21" s="19" t="n">
        <v>0</v>
      </c>
      <c r="AI21" s="19" t="n">
        <v>0</v>
      </c>
      <c r="AJ21" s="19" t="n"/>
      <c r="AK21" s="119" t="n"/>
      <c r="AL21" s="19" t="n"/>
      <c r="AM21" s="19" t="n"/>
      <c r="AN21" s="19" t="n">
        <v>100</v>
      </c>
      <c r="AO21" s="19" t="n"/>
      <c r="AP21" s="19" t="n"/>
      <c r="AQ21" s="19" t="n"/>
      <c r="AR21" s="19" t="n"/>
      <c r="AS21" s="19" t="n"/>
      <c r="AT21" s="19" t="n"/>
      <c r="AV21" s="21" t="inlineStr">
        <is>
          <t>CAIXA M</t>
        </is>
      </c>
      <c r="AW21" s="6" t="n">
        <v>100</v>
      </c>
      <c r="AX21" s="39" t="n">
        <v>0</v>
      </c>
      <c r="AY21" s="39" t="n"/>
      <c r="AZ21" s="39" t="n"/>
      <c r="BA21" s="39" t="n">
        <v>35</v>
      </c>
      <c r="BB21" s="39" t="n">
        <v>31</v>
      </c>
      <c r="BC21" s="39" t="n">
        <v>1</v>
      </c>
      <c r="BD21" s="26">
        <f>BB21+IF(NOT(ISBLANK(OFFSET(BD21,0,6))),N(OFFSET(BD21,0,6)),N(OFFSET(BD21,0,7)))-BC21</f>
        <v/>
      </c>
    </row>
    <row r="22" customFormat="1" s="3">
      <c r="A22" s="25" t="inlineStr">
        <is>
          <t>CAIXA G VERDE</t>
        </is>
      </c>
      <c r="B22" s="6" t="n">
        <v>75</v>
      </c>
      <c r="C22" s="632" t="n">
        <v>425.38</v>
      </c>
      <c r="D22" s="240" t="n">
        <v>15</v>
      </c>
      <c r="E22" s="608" t="n"/>
      <c r="F22" s="27" t="n">
        <v>14</v>
      </c>
      <c r="G22" s="27" t="n">
        <v>13</v>
      </c>
      <c r="H22" s="27" t="n">
        <v>13</v>
      </c>
      <c r="I22" s="27" t="n">
        <v>13</v>
      </c>
      <c r="J22" s="27" t="n">
        <v>13</v>
      </c>
      <c r="K22" s="27" t="n">
        <v>13</v>
      </c>
      <c r="L22" s="27" t="n">
        <v>9</v>
      </c>
      <c r="M22" s="27" t="n">
        <v>9</v>
      </c>
      <c r="N22" s="27" t="n">
        <v>9</v>
      </c>
      <c r="O22" s="27" t="n">
        <v>9</v>
      </c>
      <c r="P22" s="27" t="n">
        <v>9</v>
      </c>
      <c r="Q22" s="27" t="n">
        <v>8</v>
      </c>
      <c r="R22" s="27" t="n">
        <v>8</v>
      </c>
      <c r="S22" s="27" t="n">
        <v>8</v>
      </c>
      <c r="T22" s="27" t="n">
        <v>8</v>
      </c>
      <c r="U22" s="27" t="n">
        <v>8</v>
      </c>
      <c r="V22" s="27" t="n">
        <v>8</v>
      </c>
      <c r="W22" s="27" t="n">
        <v>8</v>
      </c>
      <c r="X22" s="27" t="n">
        <v>8</v>
      </c>
      <c r="Y22" s="27" t="n">
        <v>8</v>
      </c>
      <c r="Z22" s="27" t="n">
        <v>8</v>
      </c>
      <c r="AA22" s="380">
        <f>Y22+IF(NOT(ISBLANK(OFFSET(AA22,0,6))),N(OFFSET(AA22,0,6)),N(OFFSET(AA22,0,7)))-Z22</f>
        <v/>
      </c>
      <c r="AB22" s="608" t="n"/>
      <c r="AC22" s="78" t="n"/>
      <c r="AD22" s="78" t="n"/>
      <c r="AE22" s="1" t="n"/>
      <c r="AF22" s="32" t="n"/>
      <c r="AG22" s="1" t="n"/>
      <c r="AH22" s="19" t="n">
        <v>0</v>
      </c>
      <c r="AI22" s="19" t="n">
        <v>0</v>
      </c>
      <c r="AJ22" s="19" t="n"/>
      <c r="AK22" s="1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V22" s="22" t="inlineStr">
        <is>
          <t>CARTUCHO P</t>
        </is>
      </c>
      <c r="AW22" s="6" t="n">
        <v>200</v>
      </c>
      <c r="AX22" s="39" t="n">
        <v>0</v>
      </c>
      <c r="AY22" s="39" t="n"/>
      <c r="AZ22" s="39" t="n"/>
      <c r="BA22" s="39" t="n">
        <v>32</v>
      </c>
      <c r="BB22" s="39" t="n">
        <v>22</v>
      </c>
      <c r="BC22" s="39" t="n">
        <v>0</v>
      </c>
      <c r="BD22" s="26">
        <f>BB22+IF(NOT(ISBLANK(OFFSET(BD22,0,6))),N(OFFSET(BD22,0,6)),N(OFFSET(BD22,0,7)))-BC22</f>
        <v/>
      </c>
    </row>
    <row r="23" customFormat="1" s="3">
      <c r="A23" s="25" t="inlineStr">
        <is>
          <t>CARTUCHO M VERDE</t>
        </is>
      </c>
      <c r="B23" s="6" t="n">
        <v>150</v>
      </c>
      <c r="C23" s="632" t="n">
        <v>427.5</v>
      </c>
      <c r="D23" s="240" t="n"/>
      <c r="E23" s="608" t="n"/>
      <c r="F23" s="2" t="n"/>
      <c r="G23" s="2" t="n"/>
      <c r="H23" s="2" t="n"/>
      <c r="I23" s="2" t="n"/>
      <c r="J23" s="2" t="n"/>
      <c r="K23" s="2" t="n"/>
      <c r="L23" s="2" t="n"/>
      <c r="M23" s="2" t="n"/>
      <c r="N23" s="27" t="n">
        <v>0</v>
      </c>
      <c r="O23" s="27" t="n">
        <v>0</v>
      </c>
      <c r="P23" s="27" t="n">
        <v>0</v>
      </c>
      <c r="Q23" s="298" t="n">
        <v>20</v>
      </c>
      <c r="R23" s="27" t="n">
        <v>0</v>
      </c>
      <c r="S23" s="27" t="n">
        <v>0</v>
      </c>
      <c r="T23" s="27" t="n">
        <v>0</v>
      </c>
      <c r="U23" s="27" t="n">
        <v>0</v>
      </c>
      <c r="V23" s="27" t="n">
        <v>0</v>
      </c>
      <c r="W23" s="27" t="n">
        <v>0</v>
      </c>
      <c r="X23" s="27" t="n">
        <v>0</v>
      </c>
      <c r="Y23" s="27" t="n">
        <v>0</v>
      </c>
      <c r="Z23" s="27" t="n">
        <v>0</v>
      </c>
      <c r="AA23" s="380">
        <f>Y23+IF(NOT(ISBLANK(OFFSET(AA23,0,6))),N(OFFSET(AA23,0,6)),N(OFFSET(AA23,0,7)))-Z23</f>
        <v/>
      </c>
      <c r="AB23" s="608" t="n"/>
      <c r="AC23" s="78" t="n"/>
      <c r="AD23" s="78" t="n"/>
      <c r="AE23" s="1" t="n"/>
      <c r="AF23" s="32" t="n"/>
      <c r="AG23" s="1" t="n"/>
      <c r="AH23" s="19" t="n">
        <v>0</v>
      </c>
      <c r="AI23" s="19" t="n">
        <v>0</v>
      </c>
      <c r="AJ23" s="19" t="n"/>
      <c r="AK23" s="119" t="n">
        <v>150</v>
      </c>
      <c r="AL23" s="19" t="n"/>
      <c r="AM23" s="19" t="n"/>
      <c r="AN23" s="19" t="n"/>
      <c r="AO23" s="19" t="n"/>
      <c r="AP23" s="19" t="n"/>
      <c r="AQ23" s="19" t="n"/>
      <c r="AR23" s="19" t="n"/>
      <c r="AS23" s="75" t="n"/>
      <c r="AT23" s="75" t="n"/>
      <c r="AV23" s="22" t="inlineStr">
        <is>
          <t>CARTUCHO M</t>
        </is>
      </c>
      <c r="AW23" s="6" t="n">
        <v>150</v>
      </c>
      <c r="AX23" s="39">
        <f>AK23</f>
        <v/>
      </c>
      <c r="AY23" s="39" t="n"/>
      <c r="AZ23" s="39" t="n"/>
      <c r="BA23" s="39" t="n">
        <v>48</v>
      </c>
      <c r="BB23" s="39" t="n">
        <v>41</v>
      </c>
      <c r="BC23" s="39" t="n">
        <v>2</v>
      </c>
      <c r="BD23" s="26">
        <f>BB23+IF(NOT(ISBLANK(OFFSET(BD23,0,6))),N(OFFSET(BD23,0,6)),N(OFFSET(BD23,0,7)))-BC23</f>
        <v/>
      </c>
    </row>
    <row r="24">
      <c r="AC24" s="11" t="n"/>
      <c r="AD24" s="11" t="n"/>
      <c r="AH24" s="11" t="n"/>
      <c r="AI24" s="11" t="n"/>
      <c r="AJ24" s="11" t="n"/>
      <c r="AK24" s="11" t="n"/>
      <c r="AR24" s="11" t="n"/>
      <c r="AS24" s="11" t="n"/>
      <c r="AT24" s="11" t="n"/>
    </row>
    <row r="25">
      <c r="A25" s="386" t="inlineStr">
        <is>
          <t>SOBRAS CAIXAS</t>
        </is>
      </c>
      <c r="B25" s="387" t="inlineStr">
        <is>
          <t>PCT</t>
        </is>
      </c>
      <c r="C25" s="387" t="inlineStr">
        <is>
          <t xml:space="preserve">R$ </t>
        </is>
      </c>
      <c r="D25" s="387" t="n"/>
      <c r="F25" s="619" t="n">
        <v>46013</v>
      </c>
      <c r="G25" s="619" t="n">
        <v>46020</v>
      </c>
      <c r="H25" s="619" t="n">
        <v>46027</v>
      </c>
      <c r="I25" s="619" t="n">
        <v>46034</v>
      </c>
      <c r="J25" s="619" t="n">
        <v>46041</v>
      </c>
      <c r="K25" s="619" t="n">
        <v>46048</v>
      </c>
      <c r="L25" s="619" t="n">
        <v>46055</v>
      </c>
      <c r="M25" s="619" t="n">
        <v>46062</v>
      </c>
      <c r="N25" s="619" t="n">
        <v>46069</v>
      </c>
      <c r="O25" s="619" t="n">
        <v>46076</v>
      </c>
      <c r="P25" s="619" t="n">
        <v>46083</v>
      </c>
      <c r="Q25" s="619" t="n">
        <v>46090</v>
      </c>
      <c r="R25" s="619" t="n">
        <v>46097</v>
      </c>
      <c r="S25" s="619" t="n">
        <v>46104</v>
      </c>
      <c r="T25" s="619" t="n">
        <v>46111</v>
      </c>
      <c r="U25" s="619" t="n">
        <v>46118</v>
      </c>
      <c r="V25" s="619" t="n">
        <v>46125</v>
      </c>
      <c r="W25" s="619" t="n">
        <v>46132</v>
      </c>
      <c r="X25" s="619" t="n">
        <v>46139</v>
      </c>
      <c r="Y25" s="619" t="n">
        <v>46146</v>
      </c>
      <c r="Z25" s="619" t="n">
        <v>46154</v>
      </c>
      <c r="AA25" s="621" t="inlineStr">
        <is>
          <t>USOU</t>
        </is>
      </c>
      <c r="AC25" s="11" t="n"/>
      <c r="AD25" s="11" t="n"/>
      <c r="AH25" s="11" t="n"/>
      <c r="AI25" s="11" t="n"/>
      <c r="AJ25" s="11" t="n"/>
      <c r="AK25" s="11" t="n"/>
      <c r="AL25" s="11" t="n"/>
      <c r="AM25" s="11" t="n"/>
      <c r="AN25" s="11" t="n"/>
      <c r="AO25" s="11" t="n"/>
      <c r="AP25" s="11" t="n"/>
      <c r="AQ25" s="11" t="n"/>
      <c r="AR25" s="11" t="n"/>
      <c r="AS25" s="11" t="n"/>
      <c r="AT25" s="11" t="n"/>
    </row>
    <row r="26" hidden="1" ht="18.75" customHeight="1">
      <c r="A26" s="390" t="inlineStr">
        <is>
          <t>CAIXA M PAIS/24</t>
        </is>
      </c>
      <c r="B26" s="391" t="n">
        <v>100</v>
      </c>
      <c r="C26" s="661" t="n">
        <v>722</v>
      </c>
      <c r="D26" s="404" t="n"/>
      <c r="F26" s="39" t="n">
        <v>0</v>
      </c>
      <c r="G26" s="39" t="n">
        <v>0</v>
      </c>
      <c r="H26" s="39" t="n"/>
      <c r="I26" s="39" t="n"/>
      <c r="J26" s="39" t="n"/>
      <c r="K26" s="39" t="n"/>
      <c r="L26" s="39" t="n"/>
      <c r="M26" s="39" t="n"/>
      <c r="N26" s="39" t="n"/>
      <c r="O26" s="39" t="n"/>
      <c r="P26" s="39" t="n"/>
      <c r="Q26" s="39" t="n"/>
      <c r="R26" s="39" t="n"/>
      <c r="S26" s="39" t="n"/>
      <c r="T26" s="39" t="n"/>
      <c r="U26" s="39" t="n"/>
      <c r="V26" s="39" t="n"/>
      <c r="W26" s="39" t="n"/>
      <c r="X26" s="39" t="n"/>
      <c r="Y26" s="39" t="n"/>
      <c r="Z26" s="39" t="n"/>
      <c r="AA26" s="26">
        <f>Y26+IF(NOT(ISBLANK(OFFSET(AA26,0,6))),N(OFFSET(AA26,0,6)),N(OFFSET(AA26,0,7)))-#REF!</f>
        <v/>
      </c>
      <c r="AC26" s="11" t="n"/>
      <c r="AD26" s="11" t="n"/>
      <c r="AH26" s="11" t="n"/>
      <c r="AI26" s="11" t="n"/>
      <c r="AJ26" s="11" t="n"/>
      <c r="AK26" s="11" t="n"/>
      <c r="AL26" s="11" t="n"/>
      <c r="AM26" s="11" t="n"/>
      <c r="AN26" s="11" t="n"/>
      <c r="AO26" s="11" t="n"/>
      <c r="AP26" s="11" t="n"/>
      <c r="AQ26" s="11" t="n"/>
      <c r="AR26" s="11" t="n"/>
      <c r="AS26" s="11" t="n"/>
      <c r="AT26" s="11" t="n"/>
    </row>
    <row r="27">
      <c r="A27" s="392" t="inlineStr">
        <is>
          <t>CAIXA M DIVERT./24</t>
        </is>
      </c>
      <c r="B27" s="393" t="n">
        <v>100</v>
      </c>
      <c r="C27" s="635" t="n">
        <v>790</v>
      </c>
      <c r="D27" s="404" t="n"/>
      <c r="F27" s="39" t="n">
        <v>61</v>
      </c>
      <c r="G27" s="39" t="n">
        <v>0</v>
      </c>
      <c r="H27" s="39" t="n">
        <v>0</v>
      </c>
      <c r="I27" s="39" t="n">
        <v>0</v>
      </c>
      <c r="J27" s="39" t="n">
        <v>0</v>
      </c>
      <c r="K27" s="39" t="n">
        <v>0</v>
      </c>
      <c r="L27" s="39" t="n">
        <v>0</v>
      </c>
      <c r="M27" s="39" t="n">
        <v>0</v>
      </c>
      <c r="N27" s="39" t="n">
        <v>0</v>
      </c>
      <c r="O27" s="39" t="n">
        <v>0</v>
      </c>
      <c r="P27" s="39" t="n">
        <v>0</v>
      </c>
      <c r="Q27" s="39" t="n">
        <v>0</v>
      </c>
      <c r="R27" s="211" t="n">
        <v>15</v>
      </c>
      <c r="S27" s="6" t="n">
        <v>15</v>
      </c>
      <c r="T27" s="6" t="n">
        <v>15</v>
      </c>
      <c r="U27" s="6" t="n">
        <v>15</v>
      </c>
      <c r="V27" s="6" t="n">
        <v>15</v>
      </c>
      <c r="W27" s="6" t="n">
        <v>15</v>
      </c>
      <c r="X27" s="6" t="n">
        <v>15</v>
      </c>
      <c r="Y27" s="6" t="n">
        <v>15</v>
      </c>
      <c r="Z27" s="6" t="n">
        <v>15</v>
      </c>
      <c r="AA27" s="380">
        <f>Y27+IF(NOT(ISBLANK(OFFSET(AA27,0,6))),N(OFFSET(AA27,0,6)),N(OFFSET(AA27,0,7)))-Z27</f>
        <v/>
      </c>
      <c r="AC27" s="11" t="n"/>
      <c r="AD27" s="11" t="n"/>
      <c r="AH27" s="11" t="n"/>
      <c r="AI27" s="11" t="n"/>
      <c r="AJ27" s="11" t="n"/>
      <c r="AK27" s="11" t="n"/>
      <c r="AL27" s="11" t="n"/>
      <c r="AM27" s="11" t="n"/>
      <c r="AN27" s="11" t="n"/>
      <c r="AO27" s="11" t="n"/>
      <c r="AP27" s="11" t="n"/>
      <c r="AQ27" s="11" t="n"/>
      <c r="AR27" s="11" t="n"/>
      <c r="AS27" s="11" t="n"/>
      <c r="AT27" s="11" t="n"/>
    </row>
    <row r="28" hidden="1" ht="18" customHeight="1">
      <c r="A28" s="394" t="inlineStr">
        <is>
          <t>CAIXA P NAT./24</t>
        </is>
      </c>
      <c r="B28" s="163" t="n">
        <v>150</v>
      </c>
      <c r="C28" s="636" t="n">
        <v>715.5</v>
      </c>
      <c r="D28" s="404" t="n"/>
      <c r="F28" s="39" t="n"/>
      <c r="G28" s="39" t="n"/>
      <c r="H28" s="39" t="n"/>
      <c r="I28" s="39" t="n"/>
      <c r="J28" s="39" t="n"/>
      <c r="K28" s="39" t="n"/>
      <c r="L28" s="39" t="n"/>
      <c r="M28" s="39" t="n"/>
      <c r="N28" s="39" t="n"/>
      <c r="O28" s="39" t="n"/>
      <c r="P28" s="39" t="n"/>
      <c r="Q28" s="39" t="n"/>
      <c r="R28" s="39" t="n"/>
      <c r="S28" s="39" t="n"/>
      <c r="T28" s="39" t="n"/>
      <c r="U28" s="39" t="n"/>
      <c r="V28" s="39" t="n"/>
      <c r="W28" s="39" t="n"/>
      <c r="X28" s="39" t="n"/>
      <c r="Y28" s="39" t="n"/>
      <c r="Z28" s="39" t="n"/>
      <c r="AA28" s="26">
        <f>Y28+IF(NOT(ISBLANK(OFFSET(AA28,0,6))),N(OFFSET(AA28,0,6)),N(OFFSET(AA28,0,7)))-#REF!</f>
        <v/>
      </c>
      <c r="AC28" s="11" t="n"/>
      <c r="AD28" s="11" t="n"/>
      <c r="AH28" s="11" t="n"/>
      <c r="AI28" s="11" t="n"/>
      <c r="AJ28" s="11" t="n"/>
      <c r="AK28" s="11" t="n"/>
      <c r="AL28" s="11" t="n"/>
      <c r="AM28" s="11" t="n"/>
      <c r="AN28" s="11" t="n"/>
      <c r="AO28" s="11" t="n"/>
      <c r="AP28" s="11" t="n"/>
      <c r="AQ28" s="11" t="n"/>
      <c r="AR28" s="11" t="n"/>
      <c r="AS28" s="11" t="n"/>
      <c r="AT28" s="11" t="n"/>
    </row>
    <row r="29" hidden="1" ht="18" customHeight="1">
      <c r="A29" s="394" t="inlineStr">
        <is>
          <t>CAIXA M NAT./24</t>
        </is>
      </c>
      <c r="B29" s="163" t="n">
        <v>100</v>
      </c>
      <c r="C29" s="636" t="n">
        <v>746</v>
      </c>
      <c r="D29" s="404" t="n"/>
      <c r="F29" s="39" t="n"/>
      <c r="G29" s="39" t="n"/>
      <c r="H29" s="39" t="n"/>
      <c r="I29" s="39" t="n"/>
      <c r="J29" s="39" t="n"/>
      <c r="K29" s="39" t="n"/>
      <c r="L29" s="39" t="n"/>
      <c r="M29" s="39" t="n"/>
      <c r="N29" s="39" t="n"/>
      <c r="O29" s="39" t="n"/>
      <c r="P29" s="39" t="n"/>
      <c r="Q29" s="39" t="n"/>
      <c r="R29" s="39" t="n"/>
      <c r="S29" s="39" t="n"/>
      <c r="T29" s="39" t="n"/>
      <c r="U29" s="39" t="n"/>
      <c r="V29" s="39" t="n"/>
      <c r="W29" s="39" t="n"/>
      <c r="X29" s="39" t="n"/>
      <c r="Y29" s="39" t="n"/>
      <c r="Z29" s="39" t="n"/>
      <c r="AA29" s="26">
        <f>Y29+IF(NOT(ISBLANK(OFFSET(AA29,0,6))),N(OFFSET(AA29,0,6)),N(OFFSET(AA29,0,7)))-#REF!</f>
        <v/>
      </c>
      <c r="AC29" s="11" t="n"/>
      <c r="AD29" s="11" t="n"/>
      <c r="AH29" s="11" t="n"/>
      <c r="AI29" s="11" t="n"/>
      <c r="AJ29" s="11" t="n"/>
      <c r="AK29" s="11" t="n"/>
      <c r="AL29" s="11" t="n"/>
      <c r="AM29" s="11" t="n"/>
      <c r="AN29" s="11" t="n"/>
      <c r="AO29" s="11" t="n"/>
      <c r="AP29" s="11" t="n"/>
      <c r="AQ29" s="11" t="n"/>
      <c r="AR29" s="11" t="n"/>
      <c r="AS29" s="11" t="n"/>
      <c r="AT29" s="11" t="n"/>
    </row>
    <row r="30" hidden="1" ht="18" customHeight="1">
      <c r="A30" s="394" t="inlineStr">
        <is>
          <t>CAIXA G NAT./24</t>
        </is>
      </c>
      <c r="B30" s="163" t="n">
        <v>50</v>
      </c>
      <c r="C30" s="636" t="n">
        <v>777</v>
      </c>
      <c r="D30" s="404" t="n"/>
      <c r="F30" s="39" t="n"/>
      <c r="G30" s="39" t="n"/>
      <c r="H30" s="39" t="n"/>
      <c r="I30" s="39" t="n"/>
      <c r="J30" s="39" t="n"/>
      <c r="K30" s="39" t="n"/>
      <c r="L30" s="39" t="n"/>
      <c r="M30" s="39" t="n"/>
      <c r="N30" s="39" t="n"/>
      <c r="O30" s="39" t="n"/>
      <c r="P30" s="39" t="n"/>
      <c r="Q30" s="39" t="n"/>
      <c r="R30" s="39" t="n"/>
      <c r="S30" s="39" t="n"/>
      <c r="T30" s="39" t="n"/>
      <c r="U30" s="39" t="n"/>
      <c r="V30" s="39" t="n"/>
      <c r="W30" s="39" t="n"/>
      <c r="X30" s="39" t="n"/>
      <c r="Y30" s="39" t="n"/>
      <c r="Z30" s="39" t="n"/>
      <c r="AA30" s="26">
        <f>Y30+IF(NOT(ISBLANK(OFFSET(AA30,0,6))),N(OFFSET(AA30,0,6)),N(OFFSET(AA30,0,7)))-#REF!</f>
        <v/>
      </c>
      <c r="AC30" s="11" t="n"/>
      <c r="AD30" s="11" t="n"/>
      <c r="AH30" s="11" t="n"/>
      <c r="AI30" s="11" t="n"/>
      <c r="AJ30" s="11" t="n"/>
      <c r="AK30" s="11" t="n"/>
      <c r="AL30" s="11" t="n"/>
      <c r="AM30" s="11" t="n"/>
      <c r="AN30" s="11" t="n"/>
      <c r="AO30" s="11" t="n"/>
      <c r="AP30" s="11" t="n"/>
      <c r="AQ30" s="11" t="n"/>
      <c r="AR30" s="11" t="n"/>
      <c r="AS30" s="11" t="n"/>
      <c r="AT30" s="11" t="n"/>
    </row>
    <row r="31" hidden="1" ht="18" customHeight="1">
      <c r="A31" s="394" t="inlineStr">
        <is>
          <t>CARTUCHO P NAT./24</t>
        </is>
      </c>
      <c r="B31" s="163" t="n">
        <v>200</v>
      </c>
      <c r="C31" s="636" t="n">
        <v>486</v>
      </c>
      <c r="D31" s="404" t="n"/>
      <c r="F31" s="39" t="n"/>
      <c r="G31" s="39" t="n"/>
      <c r="H31" s="39" t="n"/>
      <c r="I31" s="39" t="n"/>
      <c r="J31" s="39" t="n"/>
      <c r="K31" s="39" t="n"/>
      <c r="L31" s="39" t="n"/>
      <c r="M31" s="39" t="n"/>
      <c r="N31" s="39" t="n"/>
      <c r="O31" s="39" t="n"/>
      <c r="P31" s="39" t="n"/>
      <c r="Q31" s="39" t="n"/>
      <c r="R31" s="39" t="n"/>
      <c r="S31" s="39" t="n"/>
      <c r="T31" s="39" t="n"/>
      <c r="U31" s="39" t="n"/>
      <c r="V31" s="39" t="n"/>
      <c r="W31" s="39" t="n"/>
      <c r="X31" s="39" t="n"/>
      <c r="Y31" s="39" t="n"/>
      <c r="Z31" s="39" t="n"/>
      <c r="AA31" s="26">
        <f>Y31+IF(NOT(ISBLANK(OFFSET(AA31,0,6))),N(OFFSET(AA31,0,6)),N(OFFSET(AA31,0,7)))-#REF!</f>
        <v/>
      </c>
      <c r="AC31" s="11" t="n"/>
      <c r="AD31" s="11" t="n"/>
      <c r="AH31" s="11" t="n"/>
      <c r="AI31" s="11" t="n"/>
      <c r="AJ31" s="11" t="n"/>
      <c r="AK31" s="11" t="n"/>
      <c r="AL31" s="11" t="n"/>
      <c r="AM31" s="11" t="n"/>
      <c r="AN31" s="11" t="n"/>
      <c r="AO31" s="11" t="n"/>
      <c r="AP31" s="11" t="n"/>
      <c r="AQ31" s="11" t="n"/>
      <c r="AR31" s="11" t="n"/>
      <c r="AS31" s="11" t="n"/>
      <c r="AT31" s="11" t="n"/>
    </row>
    <row r="32" hidden="1" ht="18" customHeight="1">
      <c r="A32" s="394" t="inlineStr">
        <is>
          <t>CARTUCHO M NAT./24</t>
        </is>
      </c>
      <c r="B32" s="163" t="n">
        <v>150</v>
      </c>
      <c r="C32" s="636" t="n">
        <v>459</v>
      </c>
      <c r="D32" s="404" t="n"/>
      <c r="F32" s="39" t="n"/>
      <c r="G32" s="39" t="n"/>
      <c r="H32" s="39" t="n"/>
      <c r="I32" s="39" t="n"/>
      <c r="J32" s="39" t="n"/>
      <c r="K32" s="39" t="n"/>
      <c r="L32" s="39" t="n"/>
      <c r="M32" s="39" t="n"/>
      <c r="N32" s="39" t="n"/>
      <c r="O32" s="39" t="n"/>
      <c r="P32" s="39" t="n"/>
      <c r="Q32" s="39" t="n"/>
      <c r="R32" s="39" t="n"/>
      <c r="S32" s="39" t="n"/>
      <c r="T32" s="39" t="n"/>
      <c r="U32" s="39" t="n"/>
      <c r="V32" s="39" t="n"/>
      <c r="W32" s="39" t="n"/>
      <c r="X32" s="39" t="n"/>
      <c r="Y32" s="39" t="n"/>
      <c r="Z32" s="39" t="n"/>
      <c r="AA32" s="26">
        <f>Y32+IF(NOT(ISBLANK(OFFSET(AA32,0,6))),N(OFFSET(AA32,0,6)),N(OFFSET(AA32,0,7)))-#REF!</f>
        <v/>
      </c>
      <c r="AC32" s="11" t="n"/>
      <c r="AD32" s="11" t="n"/>
      <c r="AH32" s="11" t="n"/>
      <c r="AI32" s="11" t="n"/>
      <c r="AJ32" s="11" t="n"/>
      <c r="AK32" s="11" t="n"/>
      <c r="AL32" s="11" t="n"/>
      <c r="AM32" s="11" t="n"/>
      <c r="AN32" s="11" t="n"/>
      <c r="AO32" s="11" t="n"/>
      <c r="AP32" s="11" t="n"/>
      <c r="AQ32" s="11" t="n"/>
      <c r="AR32" s="11" t="n"/>
      <c r="AS32" s="11" t="n"/>
      <c r="AT32" s="11" t="n"/>
    </row>
    <row r="33" hidden="1" ht="18" customHeight="1">
      <c r="A33" s="394" t="inlineStr">
        <is>
          <t>ÁRVORE</t>
        </is>
      </c>
      <c r="B33" s="163" t="n">
        <v>100</v>
      </c>
      <c r="C33" s="636" t="n">
        <v>295</v>
      </c>
      <c r="D33" s="404" t="n"/>
      <c r="F33" s="39" t="n">
        <v>0</v>
      </c>
      <c r="G33" s="39" t="n">
        <v>0</v>
      </c>
      <c r="H33" s="39" t="n"/>
      <c r="I33" s="39" t="n"/>
      <c r="J33" s="39" t="n"/>
      <c r="K33" s="39" t="n"/>
      <c r="L33" s="39" t="n"/>
      <c r="M33" s="39" t="n"/>
      <c r="N33" s="39" t="n"/>
      <c r="O33" s="39" t="n"/>
      <c r="P33" s="39" t="n"/>
      <c r="Q33" s="39" t="n"/>
      <c r="R33" s="39" t="n"/>
      <c r="S33" s="39" t="n"/>
      <c r="T33" s="39" t="n"/>
      <c r="U33" s="39" t="n"/>
      <c r="V33" s="39" t="n"/>
      <c r="W33" s="39" t="n"/>
      <c r="X33" s="39" t="n"/>
      <c r="Y33" s="39" t="n"/>
      <c r="Z33" s="39" t="n"/>
      <c r="AA33" s="26">
        <f>Y33+IF(NOT(ISBLANK(OFFSET(AA33,0,6))),N(OFFSET(AA33,0,6)),N(OFFSET(AA33,0,7)))-#REF!</f>
        <v/>
      </c>
      <c r="AC33" s="11" t="n"/>
      <c r="AD33" s="11" t="n"/>
      <c r="AH33" s="11" t="n"/>
      <c r="AI33" s="11" t="n"/>
      <c r="AJ33" s="11" t="n"/>
      <c r="AK33" s="11" t="n"/>
      <c r="AL33" s="11" t="n"/>
      <c r="AM33" s="11" t="n"/>
      <c r="AN33" s="11" t="n"/>
      <c r="AO33" s="11" t="n"/>
      <c r="AP33" s="11" t="n"/>
      <c r="AQ33" s="11" t="n"/>
      <c r="AR33" s="11" t="n"/>
      <c r="AS33" s="11" t="n"/>
      <c r="AT33" s="11" t="n"/>
    </row>
    <row r="34" hidden="1" ht="18" customHeight="1">
      <c r="A34" s="394" t="inlineStr">
        <is>
          <t>BOLA</t>
        </is>
      </c>
      <c r="B34" s="163" t="n">
        <v>100</v>
      </c>
      <c r="C34" s="636" t="n">
        <v>283</v>
      </c>
      <c r="D34" s="404" t="n"/>
      <c r="F34" s="39" t="n">
        <v>0</v>
      </c>
      <c r="G34" s="39" t="n">
        <v>0</v>
      </c>
      <c r="H34" s="39" t="n"/>
      <c r="I34" s="39" t="n"/>
      <c r="J34" s="39" t="n"/>
      <c r="K34" s="39" t="n"/>
      <c r="L34" s="39" t="n"/>
      <c r="M34" s="39" t="n"/>
      <c r="N34" s="39" t="n"/>
      <c r="O34" s="39" t="n"/>
      <c r="P34" s="39" t="n"/>
      <c r="Q34" s="39" t="n"/>
      <c r="R34" s="39" t="n"/>
      <c r="S34" s="39" t="n"/>
      <c r="T34" s="39" t="n"/>
      <c r="U34" s="39" t="n"/>
      <c r="V34" s="39" t="n"/>
      <c r="W34" s="39" t="n"/>
      <c r="X34" s="39" t="n"/>
      <c r="Y34" s="39" t="n"/>
      <c r="Z34" s="39" t="n"/>
      <c r="AA34" s="26">
        <f>Y34+IF(NOT(ISBLANK(OFFSET(AA34,0,6))),N(OFFSET(AA34,0,6)),N(OFFSET(AA34,0,7)))-#REF!</f>
        <v/>
      </c>
      <c r="AC34" s="11" t="n"/>
      <c r="AD34" s="11" t="n"/>
      <c r="AH34" s="11" t="n"/>
      <c r="AI34" s="11" t="n"/>
      <c r="AJ34" s="11" t="n"/>
      <c r="AK34" s="11" t="n"/>
      <c r="AL34" s="11" t="n"/>
      <c r="AM34" s="11" t="n"/>
      <c r="AN34" s="11" t="n"/>
      <c r="AO34" s="11" t="n"/>
      <c r="AP34" s="11" t="n"/>
      <c r="AQ34" s="11" t="n"/>
      <c r="AR34" s="11" t="n"/>
      <c r="AS34" s="11" t="n"/>
      <c r="AT34" s="11" t="n"/>
    </row>
    <row r="35" hidden="1" ht="18" customHeight="1">
      <c r="A35" s="390" t="inlineStr">
        <is>
          <t>CAIXA P MÃES/25</t>
        </is>
      </c>
      <c r="B35" s="391" t="n">
        <v>150</v>
      </c>
      <c r="C35" s="662" t="n">
        <v>781.05</v>
      </c>
      <c r="D35" s="404" t="n"/>
      <c r="F35" s="39" t="n"/>
      <c r="G35" s="39" t="n"/>
      <c r="H35" s="39" t="n"/>
      <c r="I35" s="39" t="n"/>
      <c r="J35" s="39" t="n"/>
      <c r="K35" s="39" t="n"/>
      <c r="L35" s="39" t="n"/>
      <c r="M35" s="39" t="n"/>
      <c r="N35" s="39" t="n"/>
      <c r="O35" s="39" t="n"/>
      <c r="P35" s="39" t="n"/>
      <c r="Q35" s="39" t="n"/>
      <c r="R35" s="39" t="n"/>
      <c r="S35" s="39" t="n"/>
      <c r="T35" s="39" t="n"/>
      <c r="U35" s="39" t="n"/>
      <c r="V35" s="39" t="n"/>
      <c r="W35" s="39" t="n"/>
      <c r="X35" s="39" t="n"/>
      <c r="Y35" s="39" t="n"/>
      <c r="Z35" s="39" t="n"/>
      <c r="AA35" s="26">
        <f>Y35+IF(NOT(ISBLANK(OFFSET(AA35,0,6))),N(OFFSET(AA35,0,6)),N(OFFSET(AA35,0,7)))-#REF!</f>
        <v/>
      </c>
      <c r="AC35" s="11" t="n"/>
      <c r="AD35" s="11" t="n"/>
      <c r="AH35" s="11" t="n"/>
      <c r="AI35" s="11" t="n"/>
      <c r="AJ35" s="11" t="n"/>
      <c r="AK35" s="11" t="n"/>
      <c r="AL35" s="11" t="n"/>
      <c r="AM35" s="11" t="n"/>
      <c r="AN35" s="11" t="n"/>
      <c r="AO35" s="11" t="n"/>
      <c r="AP35" s="11" t="n"/>
      <c r="AQ35" s="11" t="n"/>
      <c r="AR35" s="11" t="n"/>
      <c r="AS35" s="11" t="n"/>
      <c r="AT35" s="11" t="n"/>
    </row>
    <row r="36" hidden="1" ht="18" customHeight="1">
      <c r="A36" s="390" t="inlineStr">
        <is>
          <t>CAIXA M MÃES/25</t>
        </is>
      </c>
      <c r="B36" s="391" t="n">
        <v>100</v>
      </c>
      <c r="C36" s="662" t="n">
        <v>789</v>
      </c>
      <c r="D36" s="404" t="n"/>
      <c r="F36" s="39" t="n"/>
      <c r="G36" s="39" t="n"/>
      <c r="H36" s="39" t="n"/>
      <c r="I36" s="39" t="n"/>
      <c r="J36" s="39" t="n"/>
      <c r="K36" s="39" t="n"/>
      <c r="L36" s="39" t="n"/>
      <c r="M36" s="39" t="n"/>
      <c r="N36" s="39" t="n"/>
      <c r="O36" s="39" t="n"/>
      <c r="P36" s="39" t="n"/>
      <c r="Q36" s="39" t="n"/>
      <c r="R36" s="39" t="n"/>
      <c r="S36" s="39" t="n"/>
      <c r="T36" s="39" t="n"/>
      <c r="U36" s="39" t="n"/>
      <c r="V36" s="39" t="n"/>
      <c r="W36" s="39" t="n"/>
      <c r="X36" s="39" t="n"/>
      <c r="Y36" s="39" t="n"/>
      <c r="Z36" s="39" t="n"/>
      <c r="AA36" s="26">
        <f>Y36+IF(NOT(ISBLANK(OFFSET(AA36,0,6))),N(OFFSET(AA36,0,6)),N(OFFSET(AA36,0,7)))-#REF!</f>
        <v/>
      </c>
      <c r="AC36" s="11" t="n"/>
      <c r="AD36" s="11" t="n"/>
      <c r="AH36" s="11" t="n"/>
      <c r="AI36" s="11" t="n"/>
      <c r="AJ36" s="11" t="n"/>
      <c r="AK36" s="11" t="n"/>
      <c r="AL36" s="11" t="n"/>
      <c r="AM36" s="11" t="n"/>
      <c r="AN36" s="11" t="n"/>
      <c r="AO36" s="11" t="n"/>
      <c r="AP36" s="11" t="n"/>
      <c r="AQ36" s="11" t="n"/>
      <c r="AR36" s="11" t="n"/>
      <c r="AS36" s="11" t="n"/>
      <c r="AT36" s="11" t="n"/>
    </row>
    <row r="37" hidden="1" ht="18" customHeight="1">
      <c r="A37" s="390" t="inlineStr">
        <is>
          <t>CAIXA G MÃES/25</t>
        </is>
      </c>
      <c r="B37" s="391" t="n">
        <v>75</v>
      </c>
      <c r="C37" s="662" t="n">
        <v>844.05</v>
      </c>
      <c r="D37" s="404" t="n"/>
      <c r="F37" s="39" t="n"/>
      <c r="G37" s="39" t="n"/>
      <c r="H37" s="39" t="n"/>
      <c r="I37" s="39" t="n"/>
      <c r="J37" s="39" t="n"/>
      <c r="K37" s="39" t="n"/>
      <c r="L37" s="39" t="n"/>
      <c r="M37" s="39" t="n"/>
      <c r="N37" s="39" t="n"/>
      <c r="O37" s="39" t="n"/>
      <c r="P37" s="39" t="n"/>
      <c r="Q37" s="39" t="n"/>
      <c r="R37" s="39" t="n"/>
      <c r="S37" s="39" t="n"/>
      <c r="T37" s="39" t="n"/>
      <c r="U37" s="39" t="n"/>
      <c r="V37" s="39" t="n"/>
      <c r="W37" s="39" t="n"/>
      <c r="X37" s="39" t="n"/>
      <c r="Y37" s="39" t="n"/>
      <c r="Z37" s="39" t="n"/>
      <c r="AA37" s="26">
        <f>Y37+IF(NOT(ISBLANK(OFFSET(AA37,0,6))),N(OFFSET(AA37,0,6)),N(OFFSET(AA37,0,7)))-#REF!</f>
        <v/>
      </c>
      <c r="AC37" s="11" t="n"/>
      <c r="AD37" s="11" t="n"/>
      <c r="AH37" s="11" t="n"/>
      <c r="AI37" s="11" t="n"/>
      <c r="AJ37" s="11" t="n"/>
      <c r="AK37" s="11" t="n"/>
      <c r="AL37" s="11" t="n"/>
      <c r="AM37" s="11" t="n"/>
      <c r="AN37" s="11" t="n"/>
      <c r="AO37" s="11" t="n"/>
      <c r="AP37" s="11" t="n"/>
      <c r="AQ37" s="11" t="n"/>
      <c r="AR37" s="11" t="n"/>
      <c r="AS37" s="11" t="n"/>
      <c r="AT37" s="11" t="n"/>
    </row>
    <row r="38" hidden="1" ht="18" customHeight="1">
      <c r="A38" s="390" t="inlineStr">
        <is>
          <t>CARTUCHO P MÃES/25</t>
        </is>
      </c>
      <c r="B38" s="391" t="n">
        <v>200</v>
      </c>
      <c r="C38" s="662" t="n">
        <v>450</v>
      </c>
      <c r="D38" s="404" t="n"/>
      <c r="F38" s="39" t="n"/>
      <c r="G38" s="39" t="n"/>
      <c r="H38" s="39" t="n"/>
      <c r="I38" s="39" t="n"/>
      <c r="J38" s="39" t="n"/>
      <c r="K38" s="39" t="n"/>
      <c r="L38" s="39" t="n"/>
      <c r="M38" s="39" t="n"/>
      <c r="N38" s="39" t="n"/>
      <c r="O38" s="39" t="n"/>
      <c r="P38" s="39" t="n"/>
      <c r="Q38" s="39" t="n"/>
      <c r="R38" s="39" t="n"/>
      <c r="S38" s="39" t="n"/>
      <c r="T38" s="39" t="n"/>
      <c r="U38" s="39" t="n"/>
      <c r="V38" s="39" t="n"/>
      <c r="W38" s="39" t="n"/>
      <c r="X38" s="39" t="n"/>
      <c r="Y38" s="39" t="n"/>
      <c r="Z38" s="39" t="n"/>
      <c r="AA38" s="26">
        <f>Y38+IF(NOT(ISBLANK(OFFSET(AA38,0,6))),N(OFFSET(AA38,0,6)),N(OFFSET(AA38,0,7)))-#REF!</f>
        <v/>
      </c>
      <c r="AC38" s="11" t="n"/>
      <c r="AD38" s="11" t="n"/>
      <c r="AH38" s="11" t="n"/>
      <c r="AI38" s="11" t="n"/>
      <c r="AJ38" s="11" t="n"/>
      <c r="AK38" s="11" t="n"/>
      <c r="AL38" s="11" t="n"/>
      <c r="AM38" s="11" t="n"/>
      <c r="AN38" s="11" t="n"/>
      <c r="AO38" s="11" t="n"/>
      <c r="AP38" s="11" t="n"/>
      <c r="AQ38" s="11" t="n"/>
      <c r="AR38" s="11" t="n"/>
      <c r="AS38" s="11" t="n"/>
      <c r="AT38" s="11" t="n"/>
    </row>
    <row r="39" hidden="1" ht="18" customHeight="1">
      <c r="A39" s="390" t="inlineStr">
        <is>
          <t>CARTUCHO M MÃES/25</t>
        </is>
      </c>
      <c r="B39" s="391" t="n">
        <v>150</v>
      </c>
      <c r="C39" s="662" t="n">
        <v>430.5</v>
      </c>
      <c r="D39" s="404" t="n"/>
      <c r="F39" s="39" t="n"/>
      <c r="G39" s="39" t="n"/>
      <c r="H39" s="39" t="n"/>
      <c r="I39" s="39" t="n"/>
      <c r="J39" s="39" t="n"/>
      <c r="K39" s="39" t="n"/>
      <c r="L39" s="39" t="n"/>
      <c r="M39" s="39" t="n"/>
      <c r="N39" s="39" t="n"/>
      <c r="O39" s="39" t="n"/>
      <c r="P39" s="39" t="n"/>
      <c r="Q39" s="39" t="n"/>
      <c r="R39" s="39" t="n"/>
      <c r="S39" s="39" t="n"/>
      <c r="T39" s="39" t="n"/>
      <c r="U39" s="39" t="n"/>
      <c r="V39" s="39" t="n"/>
      <c r="W39" s="39" t="n"/>
      <c r="X39" s="39" t="n"/>
      <c r="Y39" s="39" t="n"/>
      <c r="Z39" s="39" t="n"/>
      <c r="AA39" s="26">
        <f>Y39+IF(NOT(ISBLANK(OFFSET(AA39,0,6))),N(OFFSET(AA39,0,6)),N(OFFSET(AA39,0,7)))-#REF!</f>
        <v/>
      </c>
      <c r="AC39" s="11" t="n"/>
      <c r="AD39" s="11" t="n"/>
      <c r="AH39" s="409" t="n"/>
      <c r="AI39" s="409" t="n"/>
      <c r="AJ39" s="409" t="n"/>
      <c r="AK39" s="409" t="n"/>
      <c r="AL39" s="11" t="n"/>
      <c r="AM39" s="11" t="n"/>
      <c r="AN39" s="11" t="n"/>
      <c r="AO39" s="11" t="n"/>
      <c r="AP39" s="11" t="n"/>
      <c r="AQ39" s="11" t="n"/>
      <c r="AR39" s="11" t="n"/>
      <c r="AS39" s="11" t="n"/>
      <c r="AT39" s="11" t="n"/>
    </row>
    <row r="40" hidden="1" ht="18" customHeight="1">
      <c r="A40" s="405" t="inlineStr">
        <is>
          <t>ENVELOPE M PAIS/25</t>
        </is>
      </c>
      <c r="B40" s="406" t="n">
        <v>150</v>
      </c>
      <c r="C40" s="663" t="n"/>
      <c r="D40" s="404" t="n"/>
      <c r="F40" s="39" t="n"/>
      <c r="G40" s="39" t="n"/>
      <c r="H40" s="39" t="n"/>
      <c r="I40" s="39" t="n"/>
      <c r="J40" s="39" t="n"/>
      <c r="K40" s="39" t="n"/>
      <c r="L40" s="39" t="n"/>
      <c r="M40" s="39" t="n"/>
      <c r="N40" s="39" t="n"/>
      <c r="O40" s="39" t="n"/>
      <c r="P40" s="39" t="n"/>
      <c r="Q40" s="39" t="n"/>
      <c r="R40" s="39" t="n"/>
      <c r="S40" s="39" t="n"/>
      <c r="T40" s="39" t="n"/>
      <c r="U40" s="39" t="n"/>
      <c r="V40" s="39" t="n"/>
      <c r="W40" s="39" t="n"/>
      <c r="X40" s="39" t="n"/>
      <c r="Y40" s="39" t="n"/>
      <c r="Z40" s="39" t="n"/>
      <c r="AA40" s="26">
        <f>Y40+IF(NOT(ISBLANK(OFFSET(AA40,0,6))),N(OFFSET(AA40,0,6)),N(OFFSET(AA40,0,7)))-#REF!</f>
        <v/>
      </c>
      <c r="AC40" s="11" t="n"/>
      <c r="AD40" s="11" t="n"/>
      <c r="AH40" s="409" t="n"/>
      <c r="AI40" s="409" t="n"/>
      <c r="AJ40" s="409" t="n"/>
      <c r="AK40" s="409" t="n"/>
      <c r="AL40" s="11" t="n"/>
      <c r="AM40" s="11" t="n"/>
      <c r="AN40" s="11" t="n"/>
      <c r="AO40" s="11" t="n"/>
      <c r="AP40" s="11" t="n"/>
      <c r="AQ40" s="11" t="n"/>
      <c r="AR40" s="11" t="n"/>
      <c r="AS40" s="11" t="n"/>
      <c r="AT40" s="11" t="n"/>
    </row>
    <row r="41" hidden="1" ht="18" customHeight="1">
      <c r="A41" s="405" t="inlineStr">
        <is>
          <t>PIN MELHOR PAI DO MDO</t>
        </is>
      </c>
      <c r="B41" s="406" t="n">
        <v>25</v>
      </c>
      <c r="C41" s="663" t="n"/>
      <c r="D41" s="404" t="n"/>
      <c r="F41" s="39" t="n"/>
      <c r="G41" s="39" t="n"/>
      <c r="H41" s="39" t="n"/>
      <c r="I41" s="39" t="n"/>
      <c r="J41" s="39" t="n"/>
      <c r="K41" s="39" t="n"/>
      <c r="L41" s="39" t="n"/>
      <c r="M41" s="39" t="n"/>
      <c r="N41" s="39" t="n"/>
      <c r="O41" s="39" t="n"/>
      <c r="P41" s="39" t="n"/>
      <c r="Q41" s="39" t="n"/>
      <c r="R41" s="39" t="n"/>
      <c r="S41" s="39" t="n"/>
      <c r="T41" s="39" t="n"/>
      <c r="U41" s="39" t="n"/>
      <c r="V41" s="39" t="n"/>
      <c r="W41" s="39" t="n"/>
      <c r="X41" s="39" t="n"/>
      <c r="Y41" s="39" t="n"/>
      <c r="Z41" s="39" t="n"/>
      <c r="AA41" s="26">
        <f>Y41+IF(NOT(ISBLANK(OFFSET(AA41,0,6))),N(OFFSET(AA41,0,6)),N(OFFSET(AA41,0,7)))-#REF!</f>
        <v/>
      </c>
      <c r="AC41" s="11" t="n"/>
      <c r="AD41" s="11" t="n"/>
      <c r="AH41" s="41" t="n"/>
      <c r="AI41" s="41" t="n"/>
      <c r="AJ41" s="41" t="n"/>
      <c r="AK41" s="41" t="n"/>
      <c r="AL41" s="11" t="n"/>
      <c r="AM41" s="11" t="n"/>
      <c r="AN41" s="11" t="n"/>
      <c r="AO41" s="11" t="n"/>
      <c r="AP41" s="11" t="n"/>
      <c r="AQ41" s="11" t="n"/>
      <c r="AR41" s="11" t="n"/>
      <c r="AS41" s="11" t="n"/>
      <c r="AT41" s="11" t="n"/>
      <c r="AV41" s="41" t="n"/>
      <c r="AW41" s="41" t="n"/>
      <c r="AX41" s="41" t="n"/>
      <c r="AY41" s="41" t="n"/>
      <c r="AZ41" s="41" t="n"/>
      <c r="BA41" s="41" t="n"/>
      <c r="BB41" s="41" t="n"/>
      <c r="BC41" s="41" t="n"/>
      <c r="BD41" s="41" t="n"/>
    </row>
    <row r="42" hidden="1" ht="18" customHeight="1">
      <c r="A42" s="405" t="inlineStr">
        <is>
          <t>PIN BALÃO</t>
        </is>
      </c>
      <c r="B42" s="406" t="n">
        <v>25</v>
      </c>
      <c r="C42" s="663" t="n"/>
      <c r="D42" s="404" t="n"/>
      <c r="F42" s="39" t="n"/>
      <c r="G42" s="39" t="n"/>
      <c r="H42" s="39" t="n"/>
      <c r="I42" s="39" t="n"/>
      <c r="J42" s="39" t="n"/>
      <c r="K42" s="39" t="n"/>
      <c r="L42" s="39" t="n"/>
      <c r="M42" s="39" t="n"/>
      <c r="N42" s="39" t="n"/>
      <c r="O42" s="39" t="n"/>
      <c r="P42" s="39" t="n"/>
      <c r="Q42" s="39" t="n"/>
      <c r="R42" s="39" t="n"/>
      <c r="S42" s="39" t="n"/>
      <c r="T42" s="39" t="n"/>
      <c r="U42" s="39" t="n"/>
      <c r="V42" s="39" t="n"/>
      <c r="W42" s="39" t="n"/>
      <c r="X42" s="39" t="n"/>
      <c r="Y42" s="39" t="n"/>
      <c r="Z42" s="39" t="n"/>
      <c r="AA42" s="26">
        <f>Y42+IF(NOT(ISBLANK(OFFSET(AA42,0,6))),N(OFFSET(AA42,0,6)),N(OFFSET(AA42,0,7)))-#REF!</f>
        <v/>
      </c>
      <c r="AC42" s="11" t="n"/>
      <c r="AD42" s="11" t="n"/>
      <c r="AH42" s="41" t="n"/>
      <c r="AI42" s="41" t="n"/>
      <c r="AJ42" s="41" t="n"/>
      <c r="AK42" s="41" t="n"/>
      <c r="AL42" s="11" t="n"/>
      <c r="AM42" s="11" t="n"/>
      <c r="AN42" s="11" t="n"/>
      <c r="AO42" s="11" t="n"/>
      <c r="AP42" s="11" t="n"/>
      <c r="AQ42" s="11" t="n"/>
      <c r="AR42" s="11" t="n"/>
      <c r="AS42" s="11" t="n"/>
      <c r="AT42" s="11" t="n"/>
      <c r="AV42" s="41" t="n"/>
      <c r="AW42" s="41" t="n"/>
      <c r="AX42" s="41" t="n"/>
      <c r="AY42" s="41" t="n"/>
      <c r="AZ42" s="41" t="n"/>
      <c r="BA42" s="41" t="n"/>
      <c r="BB42" s="41" t="n"/>
      <c r="BC42" s="41" t="n"/>
      <c r="BD42" s="41" t="n"/>
    </row>
    <row r="43" hidden="1" ht="18" customHeight="1">
      <c r="A43" s="405" t="inlineStr">
        <is>
          <t>PIN AMOR</t>
        </is>
      </c>
      <c r="B43" s="406" t="n">
        <v>25</v>
      </c>
      <c r="C43" s="663" t="n"/>
      <c r="D43" s="404" t="n"/>
      <c r="F43" s="39" t="n"/>
      <c r="G43" s="39" t="n"/>
      <c r="H43" s="39" t="n"/>
      <c r="I43" s="39" t="n"/>
      <c r="J43" s="39" t="n"/>
      <c r="K43" s="39" t="n"/>
      <c r="L43" s="39" t="n"/>
      <c r="M43" s="39" t="n"/>
      <c r="N43" s="39" t="n"/>
      <c r="O43" s="39" t="n"/>
      <c r="P43" s="39" t="n"/>
      <c r="Q43" s="39" t="n"/>
      <c r="R43" s="39" t="n"/>
      <c r="S43" s="39" t="n"/>
      <c r="T43" s="39" t="n"/>
      <c r="U43" s="39" t="n"/>
      <c r="V43" s="39" t="n"/>
      <c r="W43" s="39" t="n"/>
      <c r="X43" s="39" t="n"/>
      <c r="Y43" s="39" t="n"/>
      <c r="Z43" s="39" t="n"/>
      <c r="AA43" s="26">
        <f>Y43+IF(NOT(ISBLANK(OFFSET(AA43,0,6))),N(OFFSET(AA43,0,6)),N(OFFSET(AA43,0,7)))-#REF!</f>
        <v/>
      </c>
      <c r="AC43" s="11" t="n"/>
      <c r="AD43" s="11" t="n"/>
      <c r="AH43" s="41" t="n"/>
      <c r="AI43" s="41" t="n"/>
      <c r="AJ43" s="41" t="n"/>
      <c r="AK43" s="41" t="n"/>
      <c r="AL43" s="11" t="n"/>
      <c r="AM43" s="11" t="n"/>
      <c r="AN43" s="11" t="n"/>
      <c r="AO43" s="11" t="n"/>
      <c r="AP43" s="11" t="n"/>
      <c r="AQ43" s="11" t="n"/>
      <c r="AR43" s="11" t="n"/>
      <c r="AS43" s="11" t="n"/>
      <c r="AT43" s="11" t="n"/>
      <c r="AV43" s="41" t="n"/>
      <c r="AW43" s="41" t="n"/>
      <c r="AX43" s="41" t="n"/>
      <c r="AY43" s="41" t="n"/>
      <c r="AZ43" s="41" t="n"/>
      <c r="BA43" s="41" t="n"/>
      <c r="BB43" s="41" t="n"/>
      <c r="BC43" s="41" t="n"/>
      <c r="BD43" s="41" t="n"/>
    </row>
    <row r="44" hidden="1" ht="18" customHeight="1">
      <c r="A44" s="412" t="inlineStr">
        <is>
          <t>CAIXA DORAMA/25</t>
        </is>
      </c>
      <c r="B44" s="413" t="n">
        <v>100</v>
      </c>
      <c r="C44" s="655" t="n">
        <v>841.1</v>
      </c>
      <c r="D44" s="404" t="n"/>
      <c r="F44" s="39" t="n">
        <v>0</v>
      </c>
      <c r="G44" s="39" t="n">
        <v>0</v>
      </c>
      <c r="H44" s="39" t="n"/>
      <c r="I44" s="39" t="n"/>
      <c r="J44" s="39" t="n"/>
      <c r="K44" s="39" t="n"/>
      <c r="L44" s="39" t="n"/>
      <c r="M44" s="39" t="n"/>
      <c r="N44" s="39" t="n"/>
      <c r="O44" s="39" t="n"/>
      <c r="P44" s="39" t="n"/>
      <c r="Q44" s="39" t="n"/>
      <c r="R44" s="39" t="n"/>
      <c r="S44" s="39" t="n"/>
      <c r="T44" s="39" t="n"/>
      <c r="U44" s="39" t="n"/>
      <c r="V44" s="39" t="n"/>
      <c r="W44" s="39" t="n"/>
      <c r="X44" s="39" t="n"/>
      <c r="Y44" s="39" t="n"/>
      <c r="Z44" s="39" t="n"/>
      <c r="AA44" s="26">
        <f>Y44+IF(NOT(ISBLANK(OFFSET(AA44,0,6))),N(OFFSET(AA44,0,6)),N(OFFSET(AA44,0,7)))-#REF!</f>
        <v/>
      </c>
      <c r="AC44" s="11" t="n"/>
      <c r="AD44" s="11" t="n"/>
      <c r="AH44" s="41" t="n"/>
      <c r="AI44" s="41" t="n"/>
      <c r="AJ44" s="41" t="n"/>
      <c r="AK44" s="41" t="n"/>
      <c r="AL44" s="11" t="n"/>
      <c r="AM44" s="11" t="n"/>
      <c r="AN44" s="11" t="n"/>
      <c r="AO44" s="11" t="n"/>
      <c r="AP44" s="11" t="n"/>
      <c r="AQ44" s="11" t="n"/>
      <c r="AR44" s="11" t="n"/>
      <c r="AS44" s="11" t="n"/>
      <c r="AT44" s="11" t="n"/>
      <c r="AV44" s="41" t="n"/>
      <c r="AW44" s="41" t="n"/>
      <c r="AX44" s="41" t="n"/>
      <c r="AY44" s="41" t="n"/>
      <c r="AZ44" s="41" t="n"/>
      <c r="BA44" s="41" t="n"/>
      <c r="BB44" s="41" t="n"/>
      <c r="BC44" s="41" t="n"/>
      <c r="BD44" s="41" t="n"/>
    </row>
    <row r="45" hidden="1">
      <c r="A45" s="25" t="inlineStr">
        <is>
          <t>CAIXA P NATAL/25</t>
        </is>
      </c>
      <c r="B45" s="6" t="n">
        <v>150</v>
      </c>
      <c r="C45" s="639" t="n">
        <v>805.35</v>
      </c>
      <c r="D45" s="404" t="n"/>
      <c r="F45" s="6" t="n">
        <v>75</v>
      </c>
      <c r="G45" s="6" t="n">
        <v>11</v>
      </c>
      <c r="H45" s="6" t="n">
        <v>1</v>
      </c>
      <c r="I45" s="6" t="n">
        <v>0</v>
      </c>
      <c r="J45" s="6" t="n">
        <v>0</v>
      </c>
      <c r="K45" s="6" t="n">
        <v>0</v>
      </c>
      <c r="L45" s="6" t="n"/>
      <c r="M45" s="6" t="n"/>
      <c r="N45" s="6" t="n"/>
      <c r="O45" s="6" t="n"/>
      <c r="P45" s="6" t="n"/>
      <c r="Q45" s="6" t="n"/>
      <c r="R45" s="6" t="n"/>
      <c r="S45" s="6" t="n"/>
      <c r="T45" s="6" t="n"/>
      <c r="U45" s="6" t="n"/>
      <c r="V45" s="6" t="n"/>
      <c r="W45" s="6" t="n"/>
      <c r="X45" s="6" t="n"/>
      <c r="Y45" s="6" t="n"/>
      <c r="Z45" s="6" t="n"/>
      <c r="AA45" s="26">
        <f>Y45+IF(NOT(ISBLANK(OFFSET(AA45,0,6))),N(OFFSET(AA45,0,6)),N(OFFSET(AA45,0,7)))-#REF!</f>
        <v/>
      </c>
      <c r="AC45" s="11" t="n"/>
      <c r="AD45" s="11" t="n"/>
      <c r="AL45" s="11" t="n"/>
      <c r="AM45" s="11" t="n"/>
      <c r="AN45" s="11" t="n"/>
      <c r="AO45" s="11" t="n"/>
      <c r="AP45" s="11" t="n"/>
      <c r="AQ45" s="11" t="n"/>
      <c r="AR45" s="409" t="n"/>
      <c r="AS45" s="409" t="n"/>
      <c r="AT45" s="409" t="n"/>
    </row>
    <row r="46" hidden="1">
      <c r="A46" s="25" t="inlineStr">
        <is>
          <t>CAIXA M NATAL/25</t>
        </is>
      </c>
      <c r="B46" s="6" t="n">
        <v>100</v>
      </c>
      <c r="C46" s="639" t="n">
        <v>792.2</v>
      </c>
      <c r="D46" s="404" t="n"/>
      <c r="F46" s="6" t="n">
        <v>154</v>
      </c>
      <c r="G46" s="6" t="n">
        <v>63</v>
      </c>
      <c r="H46" s="6" t="n">
        <v>44</v>
      </c>
      <c r="I46" s="6" t="n">
        <v>26</v>
      </c>
      <c r="J46" s="6" t="n">
        <v>21</v>
      </c>
      <c r="K46" s="6" t="n">
        <v>17</v>
      </c>
      <c r="L46" s="6" t="n">
        <v>2</v>
      </c>
      <c r="M46" s="6" t="n">
        <v>0</v>
      </c>
      <c r="N46" s="6" t="n">
        <v>0</v>
      </c>
      <c r="O46" s="6" t="n">
        <v>0</v>
      </c>
      <c r="P46" s="6" t="n">
        <v>0</v>
      </c>
      <c r="Q46" s="6" t="n">
        <v>0</v>
      </c>
      <c r="R46" s="6" t="n">
        <v>0</v>
      </c>
      <c r="S46" s="6" t="n">
        <v>0</v>
      </c>
      <c r="T46" s="6" t="n">
        <v>0</v>
      </c>
      <c r="U46" s="6" t="n">
        <v>0</v>
      </c>
      <c r="V46" s="6" t="n">
        <v>0</v>
      </c>
      <c r="W46" s="6" t="n">
        <v>0</v>
      </c>
      <c r="X46" s="6" t="n">
        <v>0</v>
      </c>
      <c r="Y46" s="6" t="n">
        <v>0</v>
      </c>
      <c r="Z46" s="6" t="n">
        <v>0</v>
      </c>
      <c r="AA46" s="26">
        <f>Y46+IF(NOT(ISBLANK(OFFSET(AA46,0,6))),N(OFFSET(AA46,0,6)),N(OFFSET(AA46,0,7)))-#REF!</f>
        <v/>
      </c>
      <c r="AC46" s="11" t="n"/>
      <c r="AD46" s="11" t="n"/>
      <c r="AL46" s="11" t="n"/>
      <c r="AM46" s="11" t="n"/>
      <c r="AN46" s="11" t="n"/>
      <c r="AO46" s="11" t="n"/>
      <c r="AP46" s="11" t="n"/>
      <c r="AQ46" s="11" t="n"/>
      <c r="AR46" s="409" t="n"/>
      <c r="AS46" s="409" t="n"/>
      <c r="AT46" s="409" t="n"/>
    </row>
    <row r="47" hidden="1">
      <c r="A47" s="25" t="inlineStr">
        <is>
          <t>CARTUCHO P NATAL/25</t>
        </is>
      </c>
      <c r="B47" s="6" t="n">
        <v>200</v>
      </c>
      <c r="C47" s="639" t="n">
        <v>487.2</v>
      </c>
      <c r="D47" s="404" t="n"/>
      <c r="F47" s="6" t="n">
        <v>15</v>
      </c>
      <c r="G47" s="6" t="n">
        <v>-18</v>
      </c>
      <c r="H47" s="6" t="n">
        <v>-18</v>
      </c>
      <c r="I47" s="6" t="n">
        <v>0</v>
      </c>
      <c r="J47" s="6" t="n">
        <v>0</v>
      </c>
      <c r="K47" s="6" t="n">
        <v>0</v>
      </c>
      <c r="L47" s="6" t="n"/>
      <c r="M47" s="6" t="n"/>
      <c r="N47" s="6" t="n"/>
      <c r="O47" s="6" t="n"/>
      <c r="P47" s="6" t="n"/>
      <c r="Q47" s="6" t="n"/>
      <c r="R47" s="6" t="n"/>
      <c r="S47" s="6" t="n"/>
      <c r="T47" s="6" t="n"/>
      <c r="U47" s="6" t="n"/>
      <c r="V47" s="6" t="n"/>
      <c r="W47" s="6" t="n"/>
      <c r="X47" s="6" t="n"/>
      <c r="Y47" s="6" t="n"/>
      <c r="Z47" s="6" t="n"/>
      <c r="AA47" s="26">
        <f>Y47+IF(NOT(ISBLANK(OFFSET(AA47,0,6))),N(OFFSET(AA47,0,6)),N(OFFSET(AA47,0,7)))-#REF!</f>
        <v/>
      </c>
      <c r="AC47" s="11" t="n"/>
      <c r="AD47" s="11" t="n"/>
      <c r="AH47" s="11" t="n"/>
      <c r="AI47" s="11" t="n"/>
      <c r="AJ47" s="11" t="n"/>
      <c r="AK47" s="11" t="n"/>
      <c r="AL47" s="11" t="n"/>
      <c r="AM47" s="11" t="n"/>
      <c r="AN47" s="11" t="n"/>
      <c r="AO47" s="11" t="n"/>
      <c r="AP47" s="11" t="n"/>
      <c r="AQ47" s="11" t="n"/>
      <c r="AR47" s="409" t="n"/>
      <c r="AS47" s="409" t="n"/>
      <c r="AT47" s="409" t="n"/>
    </row>
    <row r="48" hidden="1">
      <c r="A48" s="25" t="inlineStr">
        <is>
          <t>CARTUCHO M NATAL/25</t>
        </is>
      </c>
      <c r="B48" s="6" t="n">
        <v>150</v>
      </c>
      <c r="C48" s="639" t="n">
        <v>460.35</v>
      </c>
      <c r="D48" s="404" t="n"/>
      <c r="F48" s="6" t="n">
        <v>64</v>
      </c>
      <c r="G48" s="6" t="n">
        <v>6</v>
      </c>
      <c r="H48" s="6" t="n">
        <v>6</v>
      </c>
      <c r="I48" s="6" t="n">
        <v>0</v>
      </c>
      <c r="J48" s="6" t="n">
        <v>0</v>
      </c>
      <c r="K48" s="6" t="n">
        <v>0</v>
      </c>
      <c r="L48" s="6" t="n"/>
      <c r="M48" s="6" t="n"/>
      <c r="N48" s="6" t="n"/>
      <c r="O48" s="6" t="n"/>
      <c r="P48" s="6" t="n"/>
      <c r="Q48" s="6" t="n"/>
      <c r="R48" s="6" t="n"/>
      <c r="S48" s="6" t="n"/>
      <c r="T48" s="6" t="n"/>
      <c r="U48" s="6" t="n"/>
      <c r="V48" s="6" t="n"/>
      <c r="W48" s="6" t="n"/>
      <c r="X48" s="6" t="n"/>
      <c r="Y48" s="6" t="n"/>
      <c r="Z48" s="6" t="n"/>
      <c r="AA48" s="26">
        <f>Y48+IF(NOT(ISBLANK(OFFSET(AA48,0,6))),N(OFFSET(AA48,0,6)),N(OFFSET(AA48,0,7)))-#REF!</f>
        <v/>
      </c>
      <c r="AC48" s="11" t="n"/>
      <c r="AD48" s="11" t="n"/>
      <c r="AL48" s="11" t="n"/>
      <c r="AM48" s="11" t="n"/>
      <c r="AN48" s="11" t="n"/>
      <c r="AO48" s="11" t="n"/>
      <c r="AP48" s="11" t="n"/>
      <c r="AQ48" s="11" t="n"/>
      <c r="AR48" s="409" t="n"/>
      <c r="AS48" s="409" t="n"/>
      <c r="AT48" s="409" t="n"/>
    </row>
    <row r="49" hidden="1">
      <c r="A49" s="25" t="inlineStr">
        <is>
          <t>PIN NATAL/25</t>
        </is>
      </c>
      <c r="B49" s="6" t="n">
        <v>10</v>
      </c>
      <c r="C49" s="639" t="n">
        <v>120</v>
      </c>
      <c r="D49" s="404" t="n"/>
      <c r="F49" s="39" t="n">
        <v>0</v>
      </c>
      <c r="G49" s="39" t="n">
        <v>0</v>
      </c>
      <c r="H49" s="39" t="n">
        <v>0</v>
      </c>
      <c r="I49" s="39" t="n">
        <v>0</v>
      </c>
      <c r="J49" s="39" t="n">
        <v>0</v>
      </c>
      <c r="K49" s="39" t="n">
        <v>0</v>
      </c>
      <c r="L49" s="39" t="n"/>
      <c r="M49" s="39" t="n"/>
      <c r="N49" s="39" t="n"/>
      <c r="O49" s="39" t="n"/>
      <c r="P49" s="39" t="n"/>
      <c r="Q49" s="39" t="n"/>
      <c r="R49" s="39" t="n"/>
      <c r="S49" s="39" t="n"/>
      <c r="T49" s="39" t="n"/>
      <c r="U49" s="39" t="n"/>
      <c r="V49" s="39" t="n"/>
      <c r="W49" s="39" t="n"/>
      <c r="X49" s="39" t="n"/>
      <c r="Y49" s="39" t="n"/>
      <c r="Z49" s="39" t="n"/>
      <c r="AA49" s="26">
        <f>Y49+IF(NOT(ISBLANK(OFFSET(AA49,0,6))),N(OFFSET(AA49,0,6)),N(OFFSET(AA49,0,7)))-#REF!</f>
        <v/>
      </c>
      <c r="AC49" s="11" t="n"/>
      <c r="AD49" s="11" t="n"/>
      <c r="AL49" s="11" t="n"/>
      <c r="AM49" s="11" t="n"/>
      <c r="AN49" s="11" t="n"/>
      <c r="AO49" s="11" t="n"/>
      <c r="AP49" s="11" t="n"/>
      <c r="AQ49" s="11" t="n"/>
      <c r="AR49" s="409" t="n"/>
      <c r="AS49" s="409" t="n"/>
      <c r="AT49" s="409" t="n"/>
    </row>
    <row r="50">
      <c r="AC50" s="11" t="n"/>
      <c r="AD50" s="11" t="n"/>
      <c r="AL50" s="11" t="n"/>
      <c r="AM50" s="11" t="n"/>
      <c r="AN50" s="11" t="n"/>
      <c r="AO50" s="11" t="n"/>
      <c r="AP50" s="11" t="n"/>
      <c r="AQ50" s="11" t="n"/>
      <c r="AR50" s="409" t="n"/>
      <c r="AS50" s="409" t="n"/>
      <c r="AT50" s="409" t="n"/>
    </row>
    <row r="51" hidden="1">
      <c r="AC51" s="11" t="n"/>
      <c r="AD51" s="11" t="n"/>
      <c r="AL51" s="11" t="n"/>
      <c r="AM51" s="11" t="n"/>
      <c r="AN51" s="11" t="n"/>
      <c r="AO51" s="11" t="n"/>
      <c r="AP51" s="11" t="n"/>
      <c r="AQ51" s="11" t="n"/>
      <c r="AR51" s="409" t="n"/>
      <c r="AS51" s="409" t="n"/>
      <c r="AT51" s="409" t="n"/>
    </row>
    <row r="52" hidden="1">
      <c r="AC52" s="11" t="n"/>
      <c r="AD52" s="11" t="n"/>
      <c r="AL52" s="11" t="n"/>
      <c r="AM52" s="11" t="n"/>
      <c r="AN52" s="11" t="n"/>
      <c r="AO52" s="11" t="n"/>
      <c r="AP52" s="11" t="n"/>
      <c r="AQ52" s="11" t="n"/>
      <c r="AR52" s="409" t="n"/>
      <c r="AS52" s="409" t="n"/>
      <c r="AT52" s="409" t="n"/>
    </row>
    <row r="53" hidden="1">
      <c r="AC53" s="11" t="n"/>
      <c r="AD53" s="11" t="n"/>
      <c r="AL53" s="11" t="n"/>
      <c r="AM53" s="11" t="n"/>
      <c r="AN53" s="11" t="n"/>
      <c r="AO53" s="11" t="n"/>
      <c r="AP53" s="11" t="n"/>
      <c r="AQ53" s="11" t="n"/>
      <c r="AR53" s="409" t="n"/>
      <c r="AS53" s="409" t="n"/>
      <c r="AT53" s="409" t="n"/>
    </row>
    <row r="54" hidden="1">
      <c r="AC54" s="11" t="n"/>
      <c r="AD54" s="11" t="n"/>
      <c r="AL54" s="11" t="n"/>
      <c r="AM54" s="11" t="n"/>
      <c r="AN54" s="11" t="n"/>
      <c r="AO54" s="11" t="n"/>
      <c r="AP54" s="11" t="n"/>
      <c r="AQ54" s="11" t="n"/>
      <c r="AR54" s="409" t="n"/>
      <c r="AS54" s="409" t="n"/>
      <c r="AT54" s="409" t="n"/>
    </row>
    <row r="55" ht="21" customHeight="1">
      <c r="A55" s="402" t="inlineStr">
        <is>
          <t>SOBRAS DATAS COMEMORATIVAS</t>
        </is>
      </c>
      <c r="B55" s="402" t="n"/>
      <c r="C55" s="402" t="n"/>
      <c r="AC55" s="11" t="n"/>
      <c r="AD55" s="409" t="n"/>
      <c r="AL55" s="11" t="n"/>
      <c r="AM55" s="11" t="n"/>
      <c r="AN55" s="11" t="n"/>
      <c r="AO55" s="11" t="n"/>
      <c r="AP55" s="11" t="n"/>
      <c r="AQ55" s="11" t="n"/>
      <c r="AR55" s="409" t="n"/>
      <c r="AS55" s="409" t="n"/>
      <c r="AT55" s="409" t="n"/>
    </row>
    <row r="56" ht="37.5" customHeight="1">
      <c r="A56" s="369" t="inlineStr">
        <is>
          <t>ITENS</t>
        </is>
      </c>
      <c r="B56" s="369" t="n"/>
      <c r="C56" s="369" t="inlineStr">
        <is>
          <t>TEMOS EM ESTOQUE</t>
        </is>
      </c>
      <c r="E56" s="41" t="n"/>
      <c r="F56" s="41" t="n"/>
      <c r="G56" s="41" t="n"/>
      <c r="H56" s="41" t="n"/>
      <c r="I56" s="41" t="n"/>
      <c r="J56" s="41" t="n"/>
      <c r="K56" s="41" t="n"/>
      <c r="L56" s="41" t="n"/>
      <c r="M56" s="41" t="n"/>
      <c r="N56" s="41" t="n"/>
      <c r="O56" s="41" t="n"/>
      <c r="P56" s="41" t="n"/>
      <c r="Q56" s="41" t="n"/>
      <c r="R56" s="41" t="n"/>
      <c r="S56" s="41" t="n"/>
      <c r="T56" s="41" t="n"/>
      <c r="U56" s="41" t="n"/>
      <c r="V56" s="41" t="n"/>
      <c r="W56" s="41" t="n"/>
      <c r="X56" s="41" t="n"/>
      <c r="Y56" s="41" t="n"/>
      <c r="Z56" s="41" t="n"/>
      <c r="AA56" s="41" t="n"/>
      <c r="AB56" s="41" t="n"/>
      <c r="AC56" s="409" t="n"/>
      <c r="AD56" s="409" t="n"/>
      <c r="AG56" s="41" t="n"/>
      <c r="AL56" s="11" t="n"/>
      <c r="AM56" s="11" t="n"/>
      <c r="AN56" s="11" t="n"/>
      <c r="AO56" s="11" t="n"/>
      <c r="AP56" s="11" t="n"/>
      <c r="AQ56" s="11" t="n"/>
      <c r="AR56" s="41" t="n"/>
      <c r="AS56" s="41" t="n"/>
      <c r="AT56" s="41" t="n"/>
    </row>
    <row r="57" customFormat="1" s="34">
      <c r="A57" s="538" t="n"/>
      <c r="B57" s="72" t="n"/>
      <c r="C57" s="72" t="n">
        <v>0</v>
      </c>
      <c r="E57" s="41" t="n"/>
      <c r="F57" s="41" t="n"/>
      <c r="G57" s="41" t="n"/>
      <c r="H57" s="41" t="n"/>
      <c r="I57" s="41" t="n"/>
      <c r="J57" s="41" t="n"/>
      <c r="K57" s="41" t="n"/>
      <c r="L57" s="41" t="n"/>
      <c r="M57" s="41" t="n"/>
      <c r="N57" s="41" t="n"/>
      <c r="O57" s="41" t="n"/>
      <c r="P57" s="41" t="n"/>
      <c r="Q57" s="41" t="n"/>
      <c r="R57" s="41" t="n"/>
      <c r="S57" s="41" t="n"/>
      <c r="T57" s="41" t="n"/>
      <c r="U57" s="41" t="n"/>
      <c r="V57" s="41" t="n"/>
      <c r="W57" s="41" t="n"/>
      <c r="X57" s="41" t="n"/>
      <c r="Y57" s="41" t="n"/>
      <c r="Z57" s="41" t="n"/>
      <c r="AA57" s="41" t="n"/>
      <c r="AB57" s="41" t="n"/>
      <c r="AC57" s="409" t="n"/>
      <c r="AD57" s="409" t="n"/>
      <c r="AE57" s="41" t="n"/>
      <c r="AG57" s="41" t="n"/>
      <c r="AH57" s="71" t="n"/>
      <c r="AI57" s="71" t="n"/>
      <c r="AJ57" s="71" t="n"/>
      <c r="AK57" s="71" t="n"/>
      <c r="AL57" s="11" t="n"/>
      <c r="AM57" s="11" t="n"/>
      <c r="AN57" s="11" t="n"/>
      <c r="AO57" s="11" t="n"/>
      <c r="AP57" s="11" t="n"/>
      <c r="AQ57" s="11" t="n"/>
      <c r="AR57" s="41" t="n"/>
      <c r="AS57" s="41" t="n"/>
      <c r="AT57" s="41" t="n"/>
      <c r="AV57" s="11" t="n"/>
      <c r="AW57" s="11" t="n"/>
      <c r="AX57" s="11" t="n"/>
      <c r="AY57" s="11" t="n"/>
      <c r="AZ57" s="11" t="n"/>
      <c r="BA57" s="11" t="n"/>
      <c r="BB57" s="11" t="n"/>
      <c r="BC57" s="11" t="n"/>
      <c r="BD57" s="11" t="n"/>
    </row>
    <row r="58" customFormat="1" s="34">
      <c r="E58" s="41" t="n"/>
      <c r="F58" s="41" t="n"/>
      <c r="G58" s="41" t="n"/>
      <c r="H58" s="41" t="n"/>
      <c r="I58" s="41" t="n"/>
      <c r="J58" s="41" t="n"/>
      <c r="K58" s="41" t="n"/>
      <c r="L58" s="41" t="n"/>
      <c r="M58" s="41" t="n"/>
      <c r="N58" s="41" t="n"/>
      <c r="O58" s="41" t="n"/>
      <c r="P58" s="41" t="n"/>
      <c r="Q58" s="41" t="n"/>
      <c r="R58" s="41" t="n"/>
      <c r="S58" s="41" t="n"/>
      <c r="T58" s="41" t="n"/>
      <c r="U58" s="41" t="n"/>
      <c r="V58" s="41" t="n"/>
      <c r="W58" s="41" t="n"/>
      <c r="X58" s="41" t="n"/>
      <c r="Y58" s="41" t="n"/>
      <c r="Z58" s="41" t="n"/>
      <c r="AA58" s="41" t="n"/>
      <c r="AB58" s="41" t="n"/>
      <c r="AC58" s="409" t="n"/>
      <c r="AD58" s="11" t="n"/>
      <c r="AE58" s="41" t="n"/>
      <c r="AG58" s="41" t="n"/>
      <c r="AH58" s="71" t="n"/>
      <c r="AI58" s="71" t="n"/>
      <c r="AJ58" s="71" t="n"/>
      <c r="AK58" s="71" t="n"/>
      <c r="AL58" s="11" t="n"/>
      <c r="AM58" s="11" t="n"/>
      <c r="AN58" s="11" t="n"/>
      <c r="AO58" s="11" t="n"/>
      <c r="AP58" s="11" t="n"/>
      <c r="AQ58" s="11" t="n"/>
      <c r="AR58" s="41" t="n"/>
      <c r="AS58" s="41" t="n"/>
      <c r="AT58" s="41" t="n"/>
      <c r="AV58" s="11" t="n"/>
      <c r="AW58" s="11" t="n"/>
      <c r="AX58" s="11" t="n"/>
      <c r="AY58" s="11" t="n"/>
      <c r="AZ58" s="11" t="n"/>
      <c r="BA58" s="11" t="n"/>
      <c r="BB58" s="11" t="n"/>
      <c r="BC58" s="11" t="n"/>
      <c r="BD58" s="11" t="n"/>
    </row>
    <row r="59">
      <c r="A59" s="642" t="inlineStr">
        <is>
          <t>FLACONETES</t>
        </is>
      </c>
      <c r="B59" s="625" t="n"/>
      <c r="C59" s="625" t="n"/>
      <c r="D59" s="641" t="n"/>
      <c r="F59" s="643" t="n">
        <v>46013</v>
      </c>
      <c r="G59" s="643" t="n">
        <v>46020</v>
      </c>
      <c r="H59" s="643" t="n">
        <v>46027</v>
      </c>
      <c r="I59" s="643" t="n">
        <v>46034</v>
      </c>
      <c r="J59" s="643" t="n">
        <v>46041</v>
      </c>
      <c r="K59" s="643" t="n">
        <v>46048</v>
      </c>
      <c r="L59" s="643" t="n">
        <v>46055</v>
      </c>
      <c r="M59" s="643" t="n">
        <v>46062</v>
      </c>
      <c r="N59" s="643" t="n">
        <v>46069</v>
      </c>
      <c r="O59" s="643" t="n">
        <v>46076</v>
      </c>
      <c r="P59" s="643" t="n">
        <v>46083</v>
      </c>
      <c r="Q59" s="643" t="n">
        <v>46090</v>
      </c>
      <c r="R59" s="643" t="n">
        <v>46097</v>
      </c>
      <c r="S59" s="643" t="n">
        <v>46104</v>
      </c>
      <c r="T59" s="643" t="n">
        <v>46111</v>
      </c>
      <c r="U59" s="643" t="n">
        <v>46118</v>
      </c>
      <c r="V59" s="643" t="n">
        <v>46125</v>
      </c>
      <c r="W59" s="643" t="n">
        <v>46132</v>
      </c>
      <c r="X59" s="643" t="n">
        <v>46139</v>
      </c>
      <c r="Y59" s="643" t="n">
        <v>46146</v>
      </c>
      <c r="Z59" s="643" t="n">
        <v>46154</v>
      </c>
      <c r="AA59" s="135" t="n"/>
      <c r="AC59" s="11" t="n"/>
      <c r="AD59" s="11" t="n"/>
      <c r="AL59" s="11" t="n"/>
      <c r="AM59" s="11" t="n"/>
      <c r="AN59" s="11" t="n"/>
      <c r="AO59" s="11" t="n"/>
      <c r="AP59" s="11" t="n"/>
      <c r="AQ59" s="11" t="n"/>
      <c r="AR59" s="41" t="n"/>
      <c r="AS59" s="41" t="n"/>
      <c r="AT59" s="41" t="n"/>
    </row>
    <row r="60" hidden="1" ht="18.75" customHeight="1">
      <c r="A60" s="645" t="inlineStr">
        <is>
          <t>214 FIJI MASC</t>
        </is>
      </c>
      <c r="B60" s="625" t="n"/>
      <c r="C60" s="625" t="n"/>
      <c r="D60" s="641" t="n"/>
      <c r="F60" s="39" t="n"/>
      <c r="G60" s="39" t="n"/>
      <c r="H60" s="39" t="n"/>
      <c r="I60" s="39" t="n"/>
      <c r="J60" s="39" t="n"/>
      <c r="K60" s="39" t="n"/>
      <c r="L60" s="39" t="n"/>
      <c r="M60" s="39" t="n"/>
      <c r="N60" s="39" t="n"/>
      <c r="O60" s="39" t="n"/>
      <c r="P60" s="39" t="n"/>
      <c r="Q60" s="39" t="n"/>
      <c r="R60" s="39" t="n"/>
      <c r="S60" s="39" t="n"/>
      <c r="T60" s="39" t="n"/>
      <c r="U60" s="39" t="n"/>
      <c r="V60" s="39" t="n"/>
      <c r="W60" s="39" t="n"/>
      <c r="X60" s="39" t="n"/>
      <c r="Y60" s="39" t="n"/>
      <c r="Z60" s="39" t="n"/>
      <c r="AC60" s="11" t="n"/>
      <c r="AL60" s="11" t="n"/>
      <c r="AM60" s="11" t="n"/>
      <c r="AN60" s="11" t="n"/>
      <c r="AO60" s="11" t="n"/>
      <c r="AP60" s="11" t="n"/>
      <c r="AQ60" s="11" t="n"/>
      <c r="AR60" s="41" t="n"/>
      <c r="AS60" s="41" t="n"/>
      <c r="AT60" s="41" t="n"/>
    </row>
    <row r="61" hidden="1" ht="18.75" customHeight="1">
      <c r="A61" s="645" t="inlineStr">
        <is>
          <t xml:space="preserve">214 FIJI FEM </t>
        </is>
      </c>
      <c r="B61" s="625" t="n"/>
      <c r="C61" s="625" t="n"/>
      <c r="D61" s="641" t="n"/>
      <c r="F61" s="39" t="n"/>
      <c r="G61" s="39" t="n"/>
      <c r="H61" s="39" t="n"/>
      <c r="I61" s="39" t="n"/>
      <c r="J61" s="39" t="n"/>
      <c r="K61" s="39" t="n"/>
      <c r="L61" s="39" t="n"/>
      <c r="M61" s="39" t="n"/>
      <c r="N61" s="39" t="n"/>
      <c r="O61" s="39" t="n"/>
      <c r="P61" s="39" t="n"/>
      <c r="Q61" s="39" t="n"/>
      <c r="R61" s="39" t="n"/>
      <c r="S61" s="39" t="n"/>
      <c r="T61" s="39" t="n"/>
      <c r="U61" s="39" t="n"/>
      <c r="V61" s="39" t="n"/>
      <c r="W61" s="39" t="n"/>
      <c r="X61" s="39" t="n"/>
      <c r="Y61" s="39" t="n"/>
      <c r="Z61" s="39" t="n"/>
      <c r="AL61" s="11" t="n"/>
      <c r="AM61" s="11" t="n"/>
      <c r="AN61" s="11" t="n"/>
      <c r="AO61" s="11" t="n"/>
      <c r="AP61" s="11" t="n"/>
      <c r="AQ61" s="11" t="n"/>
      <c r="AR61" s="11" t="n"/>
      <c r="AS61" s="11" t="n"/>
      <c r="AT61" s="11" t="n"/>
    </row>
    <row r="62" hidden="1" ht="18.75" customHeight="1">
      <c r="A62" s="645" t="inlineStr">
        <is>
          <t>EGEO FREE FIRE</t>
        </is>
      </c>
      <c r="B62" s="625" t="n"/>
      <c r="C62" s="625" t="n"/>
      <c r="D62" s="641" t="n"/>
      <c r="F62" s="39" t="n"/>
      <c r="G62" s="39" t="n"/>
      <c r="H62" s="39" t="n"/>
      <c r="I62" s="39" t="n"/>
      <c r="J62" s="39" t="n"/>
      <c r="K62" s="39" t="n"/>
      <c r="L62" s="39" t="n"/>
      <c r="M62" s="39" t="n"/>
      <c r="N62" s="39" t="n"/>
      <c r="O62" s="39" t="n"/>
      <c r="P62" s="39" t="n"/>
      <c r="Q62" s="39" t="n"/>
      <c r="R62" s="39" t="n"/>
      <c r="S62" s="39" t="n"/>
      <c r="T62" s="39" t="n"/>
      <c r="U62" s="39" t="n"/>
      <c r="V62" s="39" t="n"/>
      <c r="W62" s="39" t="n"/>
      <c r="X62" s="39" t="n"/>
      <c r="Y62" s="39" t="n"/>
      <c r="Z62" s="39" t="n"/>
      <c r="AL62" s="11" t="n"/>
      <c r="AM62" s="11" t="n"/>
      <c r="AN62" s="11" t="n"/>
      <c r="AO62" s="11" t="n"/>
      <c r="AP62" s="11" t="n"/>
      <c r="AQ62" s="11" t="n"/>
      <c r="AR62" s="357" t="n"/>
      <c r="AS62" s="357" t="n"/>
      <c r="AT62" s="357" t="n"/>
    </row>
    <row r="63" hidden="1" ht="18.75" customFormat="1" customHeight="1" s="34">
      <c r="A63" s="645" t="inlineStr">
        <is>
          <t>COFFEE TOUCH FEM</t>
        </is>
      </c>
      <c r="B63" s="625" t="n"/>
      <c r="C63" s="625" t="n"/>
      <c r="D63" s="641" t="n"/>
      <c r="E63" s="11" t="n"/>
      <c r="F63" s="39" t="n"/>
      <c r="G63" s="39" t="n"/>
      <c r="H63" s="39" t="n"/>
      <c r="I63" s="39" t="n"/>
      <c r="J63" s="39" t="n"/>
      <c r="K63" s="39" t="n"/>
      <c r="L63" s="39" t="n"/>
      <c r="M63" s="39" t="n"/>
      <c r="N63" s="39" t="n"/>
      <c r="O63" s="39" t="n"/>
      <c r="P63" s="39" t="n"/>
      <c r="Q63" s="39" t="n"/>
      <c r="R63" s="39" t="n"/>
      <c r="S63" s="39" t="n"/>
      <c r="T63" s="39" t="n"/>
      <c r="U63" s="39" t="n"/>
      <c r="V63" s="39" t="n"/>
      <c r="W63" s="39" t="n"/>
      <c r="X63" s="39" t="n"/>
      <c r="Y63" s="39" t="n"/>
      <c r="Z63" s="39" t="n"/>
      <c r="AA63" s="41" t="n"/>
      <c r="AB63" s="41" t="n"/>
      <c r="AC63" s="71" t="n"/>
      <c r="AD63" s="71" t="n"/>
      <c r="AE63" s="41" t="n"/>
      <c r="AG63" s="41" t="n"/>
      <c r="AH63" s="71" t="n"/>
      <c r="AI63" s="71" t="n"/>
      <c r="AJ63" s="71" t="n"/>
      <c r="AK63" s="71" t="n"/>
      <c r="AL63" s="11" t="n"/>
      <c r="AM63" s="11" t="n"/>
      <c r="AN63" s="11" t="n"/>
      <c r="AO63" s="11" t="n"/>
      <c r="AP63" s="11" t="n"/>
      <c r="AQ63" s="11" t="n"/>
      <c r="AR63" s="357" t="n"/>
      <c r="AS63" s="357" t="n"/>
      <c r="AT63" s="357" t="n"/>
      <c r="AV63" s="11" t="n"/>
      <c r="AW63" s="11" t="n"/>
      <c r="AX63" s="11" t="n"/>
      <c r="AY63" s="11" t="n"/>
      <c r="AZ63" s="11" t="n"/>
      <c r="BA63" s="11" t="n"/>
      <c r="BB63" s="11" t="n"/>
      <c r="BC63" s="11" t="n"/>
      <c r="BD63" s="11" t="n"/>
    </row>
    <row r="64" hidden="1" ht="18.75" customFormat="1" customHeight="1" s="34">
      <c r="A64" s="645" t="inlineStr">
        <is>
          <t xml:space="preserve">LIZ INTENSO </t>
        </is>
      </c>
      <c r="B64" s="625" t="n"/>
      <c r="C64" s="625" t="n"/>
      <c r="D64" s="641" t="n"/>
      <c r="E64" s="11" t="n"/>
      <c r="F64" s="39" t="n"/>
      <c r="G64" s="39" t="n"/>
      <c r="H64" s="39" t="n"/>
      <c r="I64" s="39" t="n"/>
      <c r="J64" s="39" t="n"/>
      <c r="K64" s="39" t="n"/>
      <c r="L64" s="39" t="n"/>
      <c r="M64" s="39" t="n"/>
      <c r="N64" s="39" t="n"/>
      <c r="O64" s="39" t="n"/>
      <c r="P64" s="39" t="n"/>
      <c r="Q64" s="39" t="n"/>
      <c r="R64" s="39" t="n"/>
      <c r="S64" s="39" t="n"/>
      <c r="T64" s="39" t="n"/>
      <c r="U64" s="39" t="n"/>
      <c r="V64" s="39" t="n"/>
      <c r="W64" s="39" t="n"/>
      <c r="X64" s="39" t="n"/>
      <c r="Y64" s="39" t="n"/>
      <c r="Z64" s="39" t="n"/>
      <c r="AA64" s="41" t="n"/>
      <c r="AB64" s="41" t="n"/>
      <c r="AC64" s="71" t="n"/>
      <c r="AD64" s="71" t="n"/>
      <c r="AE64" s="41" t="n"/>
      <c r="AG64" s="41" t="n"/>
      <c r="AH64" s="71" t="n"/>
      <c r="AI64" s="71" t="n"/>
      <c r="AJ64" s="71" t="n"/>
      <c r="AK64" s="71" t="n"/>
      <c r="AL64" s="11" t="n"/>
      <c r="AM64" s="11" t="n"/>
      <c r="AN64" s="11" t="n"/>
      <c r="AO64" s="11" t="n"/>
      <c r="AP64" s="11" t="n"/>
      <c r="AQ64" s="11" t="n"/>
      <c r="AV64" s="11" t="n"/>
      <c r="AW64" s="11" t="n"/>
      <c r="AX64" s="11" t="n"/>
      <c r="AY64" s="11" t="n"/>
      <c r="AZ64" s="11" t="n"/>
      <c r="BA64" s="11" t="n"/>
      <c r="BB64" s="11" t="n"/>
      <c r="BC64" s="11" t="n"/>
      <c r="BD64" s="11" t="n"/>
    </row>
    <row r="65" hidden="1" ht="18.75" customFormat="1" customHeight="1" s="34">
      <c r="A65" s="645" t="inlineStr">
        <is>
          <t xml:space="preserve">LOCAO SHOW DE BANHO </t>
        </is>
      </c>
      <c r="B65" s="625" t="n"/>
      <c r="C65" s="625" t="n"/>
      <c r="D65" s="641" t="n"/>
      <c r="E65" s="11" t="n"/>
      <c r="F65" s="39" t="n"/>
      <c r="G65" s="39" t="n"/>
      <c r="H65" s="39" t="n"/>
      <c r="I65" s="39" t="n"/>
      <c r="J65" s="39" t="n"/>
      <c r="K65" s="39" t="n"/>
      <c r="L65" s="39" t="n"/>
      <c r="M65" s="39" t="n"/>
      <c r="N65" s="39" t="n"/>
      <c r="O65" s="39" t="n"/>
      <c r="P65" s="39" t="n"/>
      <c r="Q65" s="39" t="n"/>
      <c r="R65" s="39" t="n"/>
      <c r="S65" s="39" t="n"/>
      <c r="T65" s="39" t="n"/>
      <c r="U65" s="39" t="n"/>
      <c r="V65" s="39" t="n"/>
      <c r="W65" s="39" t="n"/>
      <c r="X65" s="39" t="n"/>
      <c r="Y65" s="39" t="n"/>
      <c r="Z65" s="39" t="n"/>
      <c r="AA65" s="41" t="n"/>
      <c r="AB65" s="41" t="n"/>
      <c r="AC65" s="71" t="n"/>
      <c r="AD65" s="71" t="n"/>
      <c r="AE65" s="41" t="n"/>
      <c r="AG65" s="41" t="n"/>
      <c r="AH65" s="71" t="n"/>
      <c r="AI65" s="71" t="n"/>
      <c r="AJ65" s="71" t="n"/>
      <c r="AK65" s="71" t="n"/>
      <c r="AL65" s="11" t="n"/>
      <c r="AM65" s="11" t="n"/>
      <c r="AN65" s="11" t="n"/>
      <c r="AO65" s="11" t="n"/>
      <c r="AP65" s="11" t="n"/>
      <c r="AQ65" s="11" t="n"/>
      <c r="AV65" s="11" t="n"/>
      <c r="AW65" s="11" t="n"/>
      <c r="AX65" s="11" t="n"/>
      <c r="AY65" s="11" t="n"/>
      <c r="AZ65" s="11" t="n"/>
      <c r="BA65" s="11" t="n"/>
      <c r="BB65" s="11" t="n"/>
      <c r="BC65" s="11" t="n"/>
      <c r="BD65" s="11" t="n"/>
    </row>
    <row r="66" hidden="1" ht="18.75" customFormat="1" customHeight="1" s="34">
      <c r="A66" s="645" t="inlineStr">
        <is>
          <t xml:space="preserve">VITAMINA  C </t>
        </is>
      </c>
      <c r="B66" s="625" t="n"/>
      <c r="C66" s="625" t="n"/>
      <c r="D66" s="641" t="n"/>
      <c r="E66" s="11" t="n"/>
      <c r="F66" s="39" t="n"/>
      <c r="G66" s="39" t="n"/>
      <c r="H66" s="39" t="n"/>
      <c r="I66" s="39" t="n"/>
      <c r="J66" s="39" t="n"/>
      <c r="K66" s="39" t="n"/>
      <c r="L66" s="39" t="n"/>
      <c r="M66" s="39" t="n"/>
      <c r="N66" s="39" t="n"/>
      <c r="O66" s="39" t="n"/>
      <c r="P66" s="39" t="n"/>
      <c r="Q66" s="39" t="n"/>
      <c r="R66" s="39" t="n"/>
      <c r="S66" s="39" t="n"/>
      <c r="T66" s="39" t="n"/>
      <c r="U66" s="39" t="n"/>
      <c r="V66" s="39" t="n"/>
      <c r="W66" s="39" t="n"/>
      <c r="X66" s="39" t="n"/>
      <c r="Y66" s="39" t="n"/>
      <c r="Z66" s="39" t="n"/>
      <c r="AA66" s="11" t="n"/>
      <c r="AB66" s="11" t="n"/>
      <c r="AC66" s="71" t="n"/>
      <c r="AD66" s="71" t="n"/>
      <c r="AE66" s="11" t="n"/>
      <c r="AG66" s="11" t="n"/>
      <c r="AH66" s="71" t="n"/>
      <c r="AI66" s="71" t="n"/>
      <c r="AJ66" s="71" t="n"/>
      <c r="AK66" s="71" t="n"/>
      <c r="AL66" s="11" t="n"/>
      <c r="AM66" s="11" t="n"/>
      <c r="AN66" s="11" t="n"/>
      <c r="AO66" s="11" t="n"/>
      <c r="AP66" s="11" t="n"/>
      <c r="AQ66" s="11" t="n"/>
      <c r="AV66" s="11" t="n"/>
      <c r="AW66" s="11" t="n"/>
      <c r="AX66" s="11" t="n"/>
      <c r="AY66" s="11" t="n"/>
      <c r="AZ66" s="11" t="n"/>
      <c r="BA66" s="11" t="n"/>
      <c r="BB66" s="11" t="n"/>
      <c r="BC66" s="11" t="n"/>
      <c r="BD66" s="11" t="n"/>
    </row>
    <row r="67" hidden="1" ht="18.75" customHeight="1">
      <c r="A67" s="645" t="inlineStr">
        <is>
          <t>HER CODE</t>
        </is>
      </c>
      <c r="B67" s="625" t="n"/>
      <c r="C67" s="625" t="n"/>
      <c r="D67" s="641" t="n"/>
      <c r="F67" s="39" t="n"/>
      <c r="G67" s="39" t="n"/>
      <c r="H67" s="39" t="n"/>
      <c r="I67" s="39" t="n"/>
      <c r="J67" s="39" t="n"/>
      <c r="K67" s="39" t="n"/>
      <c r="L67" s="39" t="n"/>
      <c r="M67" s="39" t="n"/>
      <c r="N67" s="39" t="n"/>
      <c r="O67" s="39" t="n"/>
      <c r="P67" s="39" t="n"/>
      <c r="Q67" s="39" t="n"/>
      <c r="R67" s="39" t="n"/>
      <c r="S67" s="39" t="n"/>
      <c r="T67" s="39" t="n"/>
      <c r="U67" s="39" t="n"/>
      <c r="V67" s="39" t="n"/>
      <c r="W67" s="39" t="n"/>
      <c r="X67" s="39" t="n"/>
      <c r="Y67" s="39" t="n"/>
      <c r="Z67" s="39" t="n"/>
      <c r="AL67" s="11" t="n"/>
      <c r="AM67" s="11" t="n"/>
      <c r="AN67" s="11" t="n"/>
      <c r="AO67" s="11" t="n"/>
      <c r="AP67" s="11" t="n"/>
      <c r="AQ67" s="11" t="n"/>
    </row>
    <row r="68" hidden="1" ht="18.75" customHeight="1">
      <c r="A68" s="645" t="inlineStr">
        <is>
          <t>malbec sh +con  antiqueda</t>
        </is>
      </c>
      <c r="B68" s="625" t="n"/>
      <c r="C68" s="625" t="n"/>
      <c r="D68" s="641" t="n"/>
      <c r="F68" s="39" t="n"/>
      <c r="G68" s="39" t="n"/>
      <c r="H68" s="39" t="n"/>
      <c r="I68" s="39" t="n"/>
      <c r="J68" s="39" t="n"/>
      <c r="K68" s="39" t="n"/>
      <c r="L68" s="39" t="n"/>
      <c r="M68" s="39" t="n"/>
      <c r="N68" s="39" t="n"/>
      <c r="O68" s="39" t="n"/>
      <c r="P68" s="39" t="n"/>
      <c r="Q68" s="39" t="n"/>
      <c r="R68" s="39" t="n"/>
      <c r="S68" s="39" t="n"/>
      <c r="T68" s="39" t="n"/>
      <c r="U68" s="39" t="n"/>
      <c r="V68" s="39" t="n"/>
      <c r="W68" s="39" t="n"/>
      <c r="X68" s="39" t="n"/>
      <c r="Y68" s="39" t="n"/>
      <c r="Z68" s="39" t="n"/>
      <c r="AL68" s="11" t="n"/>
      <c r="AM68" s="11" t="n"/>
      <c r="AN68" s="11" t="n"/>
      <c r="AO68" s="11" t="n"/>
      <c r="AP68" s="11" t="n"/>
      <c r="AQ68" s="11" t="n"/>
      <c r="AR68" s="11" t="n"/>
      <c r="AS68" s="11" t="n"/>
      <c r="AT68" s="11" t="n"/>
    </row>
    <row r="69" hidden="1" ht="18.75" customHeight="1">
      <c r="A69" s="645" t="inlineStr">
        <is>
          <t xml:space="preserve">malbec sh + con  anticaspa </t>
        </is>
      </c>
      <c r="B69" s="625" t="n"/>
      <c r="C69" s="625" t="n"/>
      <c r="D69" s="641" t="n"/>
      <c r="F69" s="39" t="n"/>
      <c r="G69" s="39" t="n"/>
      <c r="H69" s="39" t="n"/>
      <c r="I69" s="39" t="n"/>
      <c r="J69" s="39" t="n"/>
      <c r="K69" s="39" t="n"/>
      <c r="L69" s="39" t="n"/>
      <c r="M69" s="39" t="n"/>
      <c r="N69" s="39" t="n"/>
      <c r="O69" s="39" t="n"/>
      <c r="P69" s="39" t="n"/>
      <c r="Q69" s="39" t="n"/>
      <c r="R69" s="39" t="n"/>
      <c r="S69" s="39" t="n"/>
      <c r="T69" s="39" t="n"/>
      <c r="U69" s="39" t="n"/>
      <c r="V69" s="39" t="n"/>
      <c r="W69" s="39" t="n"/>
      <c r="X69" s="39" t="n"/>
      <c r="Y69" s="39" t="n"/>
      <c r="Z69" s="39" t="n"/>
      <c r="AL69" s="11" t="n"/>
      <c r="AM69" s="11" t="n"/>
      <c r="AN69" s="11" t="n"/>
      <c r="AO69" s="11" t="n"/>
      <c r="AP69" s="11" t="n"/>
      <c r="AQ69" s="11" t="n"/>
      <c r="AR69" s="11" t="n"/>
      <c r="AS69" s="11" t="n"/>
      <c r="AT69" s="11" t="n"/>
    </row>
    <row r="70" hidden="1" ht="18.75" customHeight="1">
      <c r="A70" s="645" t="inlineStr">
        <is>
          <t>botik aloe vera + rosa mosqueta</t>
        </is>
      </c>
      <c r="B70" s="625" t="n"/>
      <c r="C70" s="625" t="n"/>
      <c r="D70" s="641" t="n"/>
      <c r="F70" s="39" t="n"/>
      <c r="G70" s="39" t="n"/>
      <c r="H70" s="39" t="n"/>
      <c r="I70" s="39" t="n"/>
      <c r="J70" s="39" t="n"/>
      <c r="K70" s="39" t="n"/>
      <c r="L70" s="39" t="n"/>
      <c r="M70" s="39" t="n"/>
      <c r="N70" s="39" t="n"/>
      <c r="O70" s="39" t="n"/>
      <c r="P70" s="39" t="n"/>
      <c r="Q70" s="39" t="n"/>
      <c r="R70" s="39" t="n"/>
      <c r="S70" s="39" t="n"/>
      <c r="T70" s="39" t="n"/>
      <c r="U70" s="39" t="n"/>
      <c r="V70" s="39" t="n"/>
      <c r="W70" s="39" t="n"/>
      <c r="X70" s="39" t="n"/>
      <c r="Y70" s="39" t="n"/>
      <c r="Z70" s="39" t="n"/>
      <c r="AL70" s="11" t="n"/>
      <c r="AM70" s="11" t="n"/>
      <c r="AN70" s="11" t="n"/>
      <c r="AO70" s="11" t="n"/>
      <c r="AP70" s="11" t="n"/>
      <c r="AQ70" s="11" t="n"/>
      <c r="AR70" s="11" t="n"/>
      <c r="AS70" s="11" t="n"/>
      <c r="AT70" s="11" t="n"/>
    </row>
    <row r="71" hidden="1" ht="18.75" customHeight="1">
      <c r="A71" s="645" t="inlineStr">
        <is>
          <t>base salycili cor 120</t>
        </is>
      </c>
      <c r="B71" s="625" t="n"/>
      <c r="C71" s="625" t="n"/>
      <c r="D71" s="641" t="n"/>
      <c r="F71" s="39" t="n"/>
      <c r="G71" s="39" t="n"/>
      <c r="H71" s="39" t="n"/>
      <c r="I71" s="39" t="n"/>
      <c r="J71" s="39" t="n"/>
      <c r="K71" s="39" t="n"/>
      <c r="L71" s="39" t="n"/>
      <c r="M71" s="39" t="n"/>
      <c r="N71" s="39" t="n"/>
      <c r="O71" s="39" t="n"/>
      <c r="P71" s="39" t="n"/>
      <c r="Q71" s="39" t="n"/>
      <c r="R71" s="39" t="n"/>
      <c r="S71" s="39" t="n"/>
      <c r="T71" s="39" t="n"/>
      <c r="U71" s="39" t="n"/>
      <c r="V71" s="39" t="n"/>
      <c r="W71" s="39" t="n"/>
      <c r="X71" s="39" t="n"/>
      <c r="Y71" s="39" t="n"/>
      <c r="Z71" s="39" t="n"/>
      <c r="AL71" s="11" t="n"/>
      <c r="AM71" s="11" t="n"/>
      <c r="AN71" s="11" t="n"/>
      <c r="AO71" s="11" t="n"/>
      <c r="AP71" s="11" t="n"/>
      <c r="AQ71" s="11" t="n"/>
    </row>
    <row r="72" hidden="1" ht="18.75" customHeight="1">
      <c r="A72" s="645" t="inlineStr">
        <is>
          <t xml:space="preserve">Quasar vision </t>
        </is>
      </c>
      <c r="B72" s="625" t="n"/>
      <c r="C72" s="625" t="n"/>
      <c r="D72" s="641" t="n"/>
      <c r="F72" s="39" t="n"/>
      <c r="G72" s="39" t="n"/>
      <c r="H72" s="39" t="n"/>
      <c r="I72" s="39" t="n"/>
      <c r="J72" s="39" t="n"/>
      <c r="K72" s="39" t="n"/>
      <c r="L72" s="39" t="n"/>
      <c r="M72" s="39" t="n"/>
      <c r="N72" s="39" t="n"/>
      <c r="O72" s="39" t="n"/>
      <c r="P72" s="39" t="n"/>
      <c r="Q72" s="39" t="n"/>
      <c r="R72" s="39" t="n"/>
      <c r="S72" s="39" t="n"/>
      <c r="T72" s="39" t="n"/>
      <c r="U72" s="39" t="n"/>
      <c r="V72" s="39" t="n"/>
      <c r="W72" s="39" t="n"/>
      <c r="X72" s="39" t="n"/>
      <c r="Y72" s="39" t="n"/>
      <c r="Z72" s="39" t="n"/>
      <c r="AL72" s="11" t="n"/>
      <c r="AM72" s="11" t="n"/>
      <c r="AN72" s="11" t="n"/>
      <c r="AO72" s="11" t="n"/>
      <c r="AP72" s="11" t="n"/>
      <c r="AQ72" s="11" t="n"/>
    </row>
    <row r="73" hidden="1" ht="18.75" customHeight="1">
      <c r="A73" s="645" t="inlineStr">
        <is>
          <t>Portinari  Absoluto</t>
        </is>
      </c>
      <c r="B73" s="625" t="n"/>
      <c r="C73" s="625" t="n"/>
      <c r="D73" s="641" t="n"/>
      <c r="F73" s="39" t="n"/>
      <c r="G73" s="39" t="n"/>
      <c r="H73" s="39" t="n"/>
      <c r="I73" s="39" t="n"/>
      <c r="J73" s="39" t="n"/>
      <c r="K73" s="39" t="n"/>
      <c r="L73" s="39" t="n"/>
      <c r="M73" s="39" t="n"/>
      <c r="N73" s="39" t="n"/>
      <c r="O73" s="39" t="n"/>
      <c r="P73" s="39" t="n"/>
      <c r="Q73" s="39" t="n"/>
      <c r="R73" s="39" t="n"/>
      <c r="S73" s="39" t="n"/>
      <c r="T73" s="39" t="n"/>
      <c r="U73" s="39" t="n"/>
      <c r="V73" s="39" t="n"/>
      <c r="W73" s="39" t="n"/>
      <c r="X73" s="39" t="n"/>
      <c r="Y73" s="39" t="n"/>
      <c r="Z73" s="39" t="n"/>
      <c r="AL73" s="11" t="n"/>
      <c r="AM73" s="11" t="n"/>
      <c r="AN73" s="11" t="n"/>
      <c r="AO73" s="11" t="n"/>
      <c r="AP73" s="11" t="n"/>
      <c r="AQ73" s="11" t="n"/>
    </row>
    <row r="74" hidden="1" ht="18.75" customHeight="1">
      <c r="A74" s="645" t="inlineStr">
        <is>
          <t>Leau de  lily  soleil</t>
        </is>
      </c>
      <c r="B74" s="625" t="n"/>
      <c r="C74" s="625" t="n"/>
      <c r="D74" s="641" t="n"/>
      <c r="F74" s="39" t="n"/>
      <c r="G74" s="39" t="n"/>
      <c r="H74" s="39" t="n"/>
      <c r="I74" s="39" t="n"/>
      <c r="J74" s="39" t="n"/>
      <c r="K74" s="39" t="n"/>
      <c r="L74" s="39" t="n"/>
      <c r="M74" s="39" t="n"/>
      <c r="N74" s="39" t="n"/>
      <c r="O74" s="39" t="n"/>
      <c r="P74" s="39" t="n"/>
      <c r="Q74" s="39" t="n"/>
      <c r="R74" s="39" t="n"/>
      <c r="S74" s="39" t="n"/>
      <c r="T74" s="39" t="n"/>
      <c r="U74" s="39" t="n"/>
      <c r="V74" s="39" t="n"/>
      <c r="W74" s="39" t="n"/>
      <c r="X74" s="39" t="n"/>
      <c r="Y74" s="39" t="n"/>
      <c r="Z74" s="39" t="n"/>
      <c r="AL74" s="11" t="n"/>
      <c r="AM74" s="11" t="n"/>
      <c r="AN74" s="11" t="n"/>
      <c r="AO74" s="11" t="n"/>
      <c r="AP74" s="11" t="n"/>
      <c r="AQ74" s="11" t="n"/>
    </row>
    <row r="75" hidden="1" ht="18.75" customHeight="1">
      <c r="A75" s="645" t="inlineStr">
        <is>
          <t xml:space="preserve">Boti  baby </t>
        </is>
      </c>
      <c r="B75" s="625" t="n"/>
      <c r="C75" s="625" t="n"/>
      <c r="D75" s="641" t="n"/>
      <c r="F75" s="39" t="n"/>
      <c r="G75" s="39" t="n"/>
      <c r="H75" s="39" t="n"/>
      <c r="I75" s="39" t="n"/>
      <c r="J75" s="39" t="n"/>
      <c r="K75" s="39" t="n"/>
      <c r="L75" s="39" t="n"/>
      <c r="M75" s="39" t="n"/>
      <c r="N75" s="39" t="n"/>
      <c r="O75" s="39" t="n"/>
      <c r="P75" s="39" t="n"/>
      <c r="Q75" s="39" t="n"/>
      <c r="R75" s="39" t="n"/>
      <c r="S75" s="39" t="n"/>
      <c r="T75" s="39" t="n"/>
      <c r="U75" s="39" t="n"/>
      <c r="V75" s="39" t="n"/>
      <c r="W75" s="39" t="n"/>
      <c r="X75" s="39" t="n"/>
      <c r="Y75" s="39" t="n"/>
      <c r="Z75" s="39" t="n"/>
      <c r="AL75" s="11" t="n"/>
      <c r="AM75" s="11" t="n"/>
      <c r="AN75" s="11" t="n"/>
      <c r="AO75" s="11" t="n"/>
      <c r="AP75" s="11" t="n"/>
      <c r="AQ75" s="11" t="n"/>
    </row>
    <row r="76" hidden="1" ht="18.75" customHeight="1">
      <c r="A76" s="645" t="inlineStr">
        <is>
          <t>arbo puro</t>
        </is>
      </c>
      <c r="B76" s="625" t="n"/>
      <c r="C76" s="625" t="n"/>
      <c r="D76" s="641" t="n"/>
      <c r="F76" s="39" t="n"/>
      <c r="G76" s="39" t="n"/>
      <c r="H76" s="39" t="n"/>
      <c r="I76" s="39" t="n"/>
      <c r="J76" s="39" t="n"/>
      <c r="K76" s="39" t="n"/>
      <c r="L76" s="39" t="n"/>
      <c r="M76" s="39" t="n"/>
      <c r="N76" s="39" t="n"/>
      <c r="O76" s="39" t="n"/>
      <c r="P76" s="39" t="n"/>
      <c r="Q76" s="39" t="n"/>
      <c r="R76" s="39" t="n"/>
      <c r="S76" s="39" t="n"/>
      <c r="T76" s="39" t="n"/>
      <c r="U76" s="39" t="n"/>
      <c r="V76" s="39" t="n"/>
      <c r="W76" s="39" t="n"/>
      <c r="X76" s="39" t="n"/>
      <c r="Y76" s="39" t="n"/>
      <c r="Z76" s="39" t="n"/>
      <c r="AL76" s="409" t="n"/>
      <c r="AM76" s="409" t="n"/>
      <c r="AN76" s="409" t="n"/>
      <c r="AO76" s="409" t="n"/>
      <c r="AP76" s="409" t="n"/>
      <c r="AQ76" s="409" t="n"/>
    </row>
    <row r="77" hidden="1" ht="18.75" customHeight="1">
      <c r="A77" s="645" t="inlineStr">
        <is>
          <t>quasar blue</t>
        </is>
      </c>
      <c r="B77" s="625" t="n"/>
      <c r="C77" s="625" t="n"/>
      <c r="D77" s="641" t="n"/>
      <c r="F77" s="39" t="n"/>
      <c r="G77" s="39" t="n"/>
      <c r="H77" s="39" t="n"/>
      <c r="I77" s="39" t="n"/>
      <c r="J77" s="39" t="n"/>
      <c r="K77" s="39" t="n"/>
      <c r="L77" s="39" t="n"/>
      <c r="M77" s="39" t="n"/>
      <c r="N77" s="39" t="n"/>
      <c r="O77" s="39" t="n"/>
      <c r="P77" s="39" t="n"/>
      <c r="Q77" s="39" t="n"/>
      <c r="R77" s="39" t="n"/>
      <c r="S77" s="39" t="n"/>
      <c r="T77" s="39" t="n"/>
      <c r="U77" s="39" t="n"/>
      <c r="V77" s="39" t="n"/>
      <c r="W77" s="39" t="n"/>
      <c r="X77" s="39" t="n"/>
      <c r="Y77" s="39" t="n"/>
      <c r="Z77" s="39" t="n"/>
      <c r="AL77" s="409" t="n"/>
      <c r="AM77" s="409" t="n"/>
      <c r="AN77" s="409" t="n"/>
      <c r="AO77" s="409" t="n"/>
      <c r="AP77" s="409" t="n"/>
      <c r="AQ77" s="409" t="n"/>
    </row>
    <row r="78" hidden="1" ht="18.75" customHeight="1">
      <c r="A78" s="645" t="inlineStr">
        <is>
          <t>batom intense</t>
        </is>
      </c>
      <c r="B78" s="625" t="n"/>
      <c r="C78" s="625" t="n"/>
      <c r="D78" s="641" t="n"/>
      <c r="F78" s="39" t="n"/>
      <c r="G78" s="39" t="n"/>
      <c r="H78" s="39" t="n"/>
      <c r="I78" s="39" t="n"/>
      <c r="J78" s="39" t="n"/>
      <c r="K78" s="39" t="n"/>
      <c r="L78" s="39" t="n"/>
      <c r="M78" s="39" t="n"/>
      <c r="N78" s="39" t="n"/>
      <c r="O78" s="39" t="n"/>
      <c r="P78" s="39" t="n"/>
      <c r="Q78" s="39" t="n"/>
      <c r="R78" s="39" t="n"/>
      <c r="S78" s="39" t="n"/>
      <c r="T78" s="39" t="n"/>
      <c r="U78" s="39" t="n"/>
      <c r="V78" s="39" t="n"/>
      <c r="W78" s="39" t="n"/>
      <c r="X78" s="39" t="n"/>
      <c r="Y78" s="39" t="n"/>
      <c r="Z78" s="39" t="n"/>
      <c r="AL78" s="41" t="n"/>
      <c r="AM78" s="41" t="n"/>
      <c r="AN78" s="41" t="n"/>
      <c r="AO78" s="41" t="n"/>
      <c r="AP78" s="41" t="n"/>
      <c r="AQ78" s="41" t="n"/>
    </row>
    <row r="79" hidden="1" ht="18.75" customHeight="1">
      <c r="A79" s="645" t="inlineStr">
        <is>
          <t>boti sun 50,70 corporal</t>
        </is>
      </c>
      <c r="B79" s="625" t="n"/>
      <c r="C79" s="625" t="n"/>
      <c r="D79" s="641" t="n"/>
      <c r="F79" s="39" t="n"/>
      <c r="G79" s="39" t="n"/>
      <c r="H79" s="39" t="n"/>
      <c r="I79" s="39" t="n"/>
      <c r="J79" s="39" t="n"/>
      <c r="K79" s="39" t="n"/>
      <c r="L79" s="39" t="n"/>
      <c r="M79" s="39" t="n"/>
      <c r="N79" s="39" t="n"/>
      <c r="O79" s="39" t="n"/>
      <c r="P79" s="39" t="n"/>
      <c r="Q79" s="39" t="n"/>
      <c r="R79" s="39" t="n"/>
      <c r="S79" s="39" t="n"/>
      <c r="T79" s="39" t="n"/>
      <c r="U79" s="39" t="n"/>
      <c r="V79" s="39" t="n"/>
      <c r="W79" s="39" t="n"/>
      <c r="X79" s="39" t="n"/>
      <c r="Y79" s="39" t="n"/>
      <c r="Z79" s="39" t="n"/>
      <c r="AL79" s="41" t="n"/>
      <c r="AM79" s="41" t="n"/>
      <c r="AN79" s="41" t="n"/>
      <c r="AO79" s="41" t="n"/>
      <c r="AP79" s="41" t="n"/>
      <c r="AQ79" s="41" t="n"/>
    </row>
    <row r="80" hidden="1" ht="18.75" customHeight="1">
      <c r="A80" s="645" t="inlineStr">
        <is>
          <t>hidratante feira</t>
        </is>
      </c>
      <c r="B80" s="625" t="n"/>
      <c r="C80" s="625" t="n"/>
      <c r="D80" s="641" t="n"/>
      <c r="F80" s="39" t="n"/>
      <c r="G80" s="39" t="n"/>
      <c r="H80" s="39" t="n"/>
      <c r="I80" s="39" t="n"/>
      <c r="J80" s="39" t="n"/>
      <c r="K80" s="39" t="n"/>
      <c r="L80" s="39" t="n"/>
      <c r="M80" s="39" t="n"/>
      <c r="N80" s="39" t="n"/>
      <c r="O80" s="39" t="n"/>
      <c r="P80" s="39" t="n"/>
      <c r="Q80" s="39" t="n"/>
      <c r="R80" s="39" t="n"/>
      <c r="S80" s="39" t="n"/>
      <c r="T80" s="39" t="n"/>
      <c r="U80" s="39" t="n"/>
      <c r="V80" s="39" t="n"/>
      <c r="W80" s="39" t="n"/>
      <c r="X80" s="39" t="n"/>
      <c r="Y80" s="39" t="n"/>
      <c r="Z80" s="39" t="n"/>
      <c r="AL80" s="41" t="n"/>
      <c r="AM80" s="41" t="n"/>
      <c r="AN80" s="41" t="n"/>
      <c r="AO80" s="41" t="n"/>
      <c r="AP80" s="41" t="n"/>
      <c r="AQ80" s="41" t="n"/>
    </row>
    <row r="81" hidden="1" ht="18.75" customHeight="1">
      <c r="A81" s="645" t="inlineStr">
        <is>
          <t>floratta romance de verão</t>
        </is>
      </c>
      <c r="B81" s="625" t="n"/>
      <c r="C81" s="625" t="n"/>
      <c r="D81" s="641" t="n"/>
      <c r="F81" s="39" t="n"/>
      <c r="G81" s="39" t="n"/>
      <c r="H81" s="39" t="n"/>
      <c r="I81" s="39" t="n"/>
      <c r="J81" s="39" t="n"/>
      <c r="K81" s="39" t="n"/>
      <c r="L81" s="39" t="n"/>
      <c r="M81" s="39" t="n"/>
      <c r="N81" s="39" t="n"/>
      <c r="O81" s="39" t="n"/>
      <c r="P81" s="39" t="n"/>
      <c r="Q81" s="39" t="n"/>
      <c r="R81" s="39" t="n"/>
      <c r="S81" s="39" t="n"/>
      <c r="T81" s="39" t="n"/>
      <c r="U81" s="39" t="n"/>
      <c r="V81" s="39" t="n"/>
      <c r="W81" s="39" t="n"/>
      <c r="X81" s="39" t="n"/>
      <c r="Y81" s="39" t="n"/>
      <c r="Z81" s="39" t="n"/>
      <c r="AL81" s="41" t="n"/>
      <c r="AM81" s="41" t="n"/>
      <c r="AN81" s="41" t="n"/>
      <c r="AO81" s="41" t="n"/>
      <c r="AP81" s="41" t="n"/>
      <c r="AQ81" s="41" t="n"/>
    </row>
    <row r="82" hidden="1" ht="18.75" customHeight="1">
      <c r="A82" s="645" t="inlineStr">
        <is>
          <t>feira bana shamp + cond</t>
        </is>
      </c>
      <c r="B82" s="625" t="n"/>
      <c r="C82" s="625" t="n"/>
      <c r="D82" s="641" t="n"/>
      <c r="F82" s="39" t="n"/>
      <c r="G82" s="39" t="n"/>
      <c r="H82" s="39" t="n"/>
      <c r="I82" s="39" t="n"/>
      <c r="J82" s="39" t="n"/>
      <c r="K82" s="39" t="n"/>
      <c r="L82" s="39" t="n"/>
      <c r="M82" s="39" t="n"/>
      <c r="N82" s="39" t="n"/>
      <c r="O82" s="39" t="n"/>
      <c r="P82" s="39" t="n"/>
      <c r="Q82" s="39" t="n"/>
      <c r="R82" s="39" t="n"/>
      <c r="S82" s="39" t="n"/>
      <c r="T82" s="39" t="n"/>
      <c r="U82" s="39" t="n"/>
      <c r="V82" s="39" t="n"/>
      <c r="W82" s="39" t="n"/>
      <c r="X82" s="39" t="n"/>
      <c r="Y82" s="39" t="n"/>
      <c r="Z82" s="39" t="n"/>
      <c r="AL82" s="41" t="n"/>
      <c r="AM82" s="41" t="n"/>
      <c r="AN82" s="41" t="n"/>
      <c r="AO82" s="41" t="n"/>
      <c r="AP82" s="41" t="n"/>
      <c r="AQ82" s="41" t="n"/>
    </row>
    <row r="83" hidden="1" ht="18.75" customHeight="1">
      <c r="A83" s="645" t="inlineStr">
        <is>
          <t>base make b 120,200,300</t>
        </is>
      </c>
      <c r="B83" s="625" t="n"/>
      <c r="C83" s="625" t="n"/>
      <c r="D83" s="641" t="n"/>
      <c r="F83" s="39" t="n"/>
      <c r="G83" s="39" t="n"/>
      <c r="H83" s="39" t="n"/>
      <c r="I83" s="39" t="n"/>
      <c r="J83" s="39" t="n"/>
      <c r="K83" s="39" t="n"/>
      <c r="L83" s="39" t="n"/>
      <c r="M83" s="39" t="n"/>
      <c r="N83" s="39" t="n"/>
      <c r="O83" s="39" t="n"/>
      <c r="P83" s="39" t="n"/>
      <c r="Q83" s="39" t="n"/>
      <c r="R83" s="39" t="n"/>
      <c r="S83" s="39" t="n"/>
      <c r="T83" s="39" t="n"/>
      <c r="U83" s="39" t="n"/>
      <c r="V83" s="39" t="n"/>
      <c r="W83" s="39" t="n"/>
      <c r="X83" s="39" t="n"/>
      <c r="Y83" s="39" t="n"/>
      <c r="Z83" s="39" t="n"/>
      <c r="AL83" s="11" t="n"/>
      <c r="AM83" s="11" t="n"/>
      <c r="AN83" s="11" t="n"/>
      <c r="AO83" s="11" t="n"/>
      <c r="AP83" s="11" t="n"/>
      <c r="AQ83" s="11" t="n"/>
    </row>
    <row r="84" hidden="1" ht="18.75" customHeight="1">
      <c r="A84" s="645" t="inlineStr">
        <is>
          <t xml:space="preserve">protetor facial + corporal </t>
        </is>
      </c>
      <c r="B84" s="625" t="n"/>
      <c r="C84" s="625" t="n"/>
      <c r="D84" s="641" t="n"/>
      <c r="F84" s="39" t="n"/>
      <c r="G84" s="39" t="n"/>
      <c r="H84" s="39" t="n"/>
      <c r="I84" s="39" t="n"/>
      <c r="J84" s="39" t="n"/>
      <c r="K84" s="39" t="n"/>
      <c r="L84" s="39" t="n"/>
      <c r="M84" s="39" t="n"/>
      <c r="N84" s="39" t="n"/>
      <c r="O84" s="39" t="n"/>
      <c r="P84" s="39" t="n"/>
      <c r="Q84" s="39" t="n"/>
      <c r="R84" s="39" t="n"/>
      <c r="S84" s="39" t="n"/>
      <c r="T84" s="39" t="n"/>
      <c r="U84" s="39" t="n"/>
      <c r="V84" s="39" t="n"/>
      <c r="W84" s="39" t="n"/>
      <c r="X84" s="39" t="n"/>
      <c r="Y84" s="39" t="n"/>
      <c r="Z84" s="39" t="n"/>
      <c r="AL84" s="357" t="n"/>
      <c r="AM84" s="357" t="n"/>
      <c r="AN84" s="357" t="n"/>
      <c r="AO84" s="357" t="n"/>
      <c r="AP84" s="357" t="n"/>
      <c r="AQ84" s="357" t="n"/>
    </row>
    <row r="85" hidden="1" ht="18.75" customHeight="1">
      <c r="A85" s="645" t="inlineStr">
        <is>
          <t xml:space="preserve">men 2 em 1 sh + cond </t>
        </is>
      </c>
      <c r="B85" s="625" t="n"/>
      <c r="C85" s="625" t="n"/>
      <c r="D85" s="641" t="n"/>
      <c r="F85" s="39" t="n"/>
      <c r="G85" s="39" t="n"/>
      <c r="H85" s="39" t="n"/>
      <c r="I85" s="39" t="n"/>
      <c r="J85" s="39" t="n"/>
      <c r="K85" s="39" t="n"/>
      <c r="L85" s="39" t="n"/>
      <c r="M85" s="39" t="n"/>
      <c r="N85" s="39" t="n"/>
      <c r="O85" s="39" t="n"/>
      <c r="P85" s="39" t="n"/>
      <c r="Q85" s="39" t="n"/>
      <c r="R85" s="39" t="n"/>
      <c r="S85" s="39" t="n"/>
      <c r="T85" s="39" t="n"/>
      <c r="U85" s="39" t="n"/>
      <c r="V85" s="39" t="n"/>
      <c r="W85" s="39" t="n"/>
      <c r="X85" s="39" t="n"/>
      <c r="Y85" s="39" t="n"/>
      <c r="Z85" s="39" t="n"/>
      <c r="AL85" s="357" t="n"/>
      <c r="AM85" s="357" t="n"/>
      <c r="AN85" s="357" t="n"/>
      <c r="AO85" s="357" t="n"/>
      <c r="AP85" s="357" t="n"/>
      <c r="AQ85" s="357" t="n"/>
    </row>
    <row r="86" hidden="1" ht="18.75" customHeight="1">
      <c r="A86" s="645" t="inlineStr">
        <is>
          <t xml:space="preserve">malbec sh e con club </t>
        </is>
      </c>
      <c r="B86" s="625" t="n"/>
      <c r="C86" s="625" t="n"/>
      <c r="D86" s="641" t="n"/>
      <c r="F86" s="39" t="n"/>
      <c r="G86" s="39" t="n"/>
      <c r="H86" s="39" t="n"/>
      <c r="I86" s="39" t="n"/>
      <c r="J86" s="39" t="n"/>
      <c r="K86" s="39" t="n"/>
      <c r="L86" s="39" t="n"/>
      <c r="M86" s="39" t="n"/>
      <c r="N86" s="39" t="n"/>
      <c r="O86" s="39" t="n"/>
      <c r="P86" s="39" t="n"/>
      <c r="Q86" s="39" t="n"/>
      <c r="R86" s="39" t="n"/>
      <c r="S86" s="39" t="n"/>
      <c r="T86" s="39" t="n"/>
      <c r="U86" s="39" t="n"/>
      <c r="V86" s="39" t="n"/>
      <c r="W86" s="39" t="n"/>
      <c r="X86" s="39" t="n"/>
      <c r="Y86" s="39" t="n"/>
      <c r="Z86" s="39" t="n"/>
    </row>
    <row r="87" hidden="1" ht="18.75" customHeight="1">
      <c r="A87" s="645" t="inlineStr">
        <is>
          <t xml:space="preserve">boti baby sab e loção </t>
        </is>
      </c>
      <c r="B87" s="625" t="n"/>
      <c r="C87" s="625" t="n"/>
      <c r="D87" s="641" t="n"/>
      <c r="F87" s="39" t="n"/>
      <c r="G87" s="39" t="n"/>
      <c r="H87" s="39" t="n"/>
      <c r="I87" s="39" t="n"/>
      <c r="J87" s="39" t="n"/>
      <c r="K87" s="39" t="n"/>
      <c r="L87" s="39" t="n"/>
      <c r="M87" s="39" t="n"/>
      <c r="N87" s="39" t="n"/>
      <c r="O87" s="39" t="n"/>
      <c r="P87" s="39" t="n"/>
      <c r="Q87" s="39" t="n"/>
      <c r="R87" s="39" t="n"/>
      <c r="S87" s="39" t="n"/>
      <c r="T87" s="39" t="n"/>
      <c r="U87" s="39" t="n"/>
      <c r="V87" s="39" t="n"/>
      <c r="W87" s="39" t="n"/>
      <c r="X87" s="39" t="n"/>
      <c r="Y87" s="39" t="n"/>
      <c r="Z87" s="39" t="n"/>
    </row>
    <row r="88" hidden="1" ht="18.75" customHeight="1">
      <c r="A88" s="645" t="inlineStr">
        <is>
          <t xml:space="preserve">glamour black intenso </t>
        </is>
      </c>
      <c r="B88" s="625" t="n"/>
      <c r="C88" s="625" t="n"/>
      <c r="D88" s="641" t="n"/>
      <c r="F88" s="39" t="n"/>
      <c r="G88" s="39" t="n"/>
      <c r="H88" s="39" t="n"/>
      <c r="I88" s="39" t="n"/>
      <c r="J88" s="39" t="n"/>
      <c r="K88" s="39" t="n"/>
      <c r="L88" s="39" t="n"/>
      <c r="M88" s="39" t="n"/>
      <c r="N88" s="39" t="n"/>
      <c r="O88" s="39" t="n"/>
      <c r="P88" s="39" t="n"/>
      <c r="Q88" s="39" t="n"/>
      <c r="R88" s="39" t="n"/>
      <c r="S88" s="39" t="n"/>
      <c r="T88" s="39" t="n"/>
      <c r="U88" s="39" t="n"/>
      <c r="V88" s="39" t="n"/>
      <c r="W88" s="39" t="n"/>
      <c r="X88" s="39" t="n"/>
      <c r="Y88" s="39" t="n"/>
      <c r="Z88" s="39" t="n"/>
    </row>
    <row r="89" hidden="1" ht="18.75" customHeight="1">
      <c r="A89" s="645" t="inlineStr">
        <is>
          <t>coffe addictive macs</t>
        </is>
      </c>
      <c r="B89" s="625" t="n"/>
      <c r="C89" s="625" t="n"/>
      <c r="D89" s="641" t="n"/>
      <c r="F89" s="39" t="n"/>
      <c r="G89" s="39" t="n"/>
      <c r="H89" s="39" t="n"/>
      <c r="I89" s="39" t="n"/>
      <c r="J89" s="39" t="n"/>
      <c r="K89" s="39" t="n"/>
      <c r="L89" s="39" t="n"/>
      <c r="M89" s="39" t="n"/>
      <c r="N89" s="39" t="n"/>
      <c r="O89" s="39" t="n"/>
      <c r="P89" s="39" t="n"/>
      <c r="Q89" s="39" t="n"/>
      <c r="R89" s="39" t="n"/>
      <c r="S89" s="39" t="n"/>
      <c r="T89" s="39" t="n"/>
      <c r="U89" s="39" t="n"/>
      <c r="V89" s="39" t="n"/>
      <c r="W89" s="39" t="n"/>
      <c r="X89" s="39" t="n"/>
      <c r="Y89" s="39" t="n"/>
      <c r="Z89" s="39" t="n"/>
    </row>
    <row r="90" hidden="1" ht="18.75" customHeight="1">
      <c r="A90" s="645" t="inlineStr">
        <is>
          <t>uomini spirit</t>
        </is>
      </c>
      <c r="B90" s="625" t="n"/>
      <c r="C90" s="625" t="n"/>
      <c r="D90" s="641" t="n"/>
      <c r="F90" s="39" t="n"/>
      <c r="G90" s="39" t="n"/>
      <c r="H90" s="39" t="n"/>
      <c r="I90" s="39" t="n"/>
      <c r="J90" s="39" t="n"/>
      <c r="K90" s="39" t="n"/>
      <c r="L90" s="39" t="n"/>
      <c r="M90" s="39" t="n"/>
      <c r="N90" s="39" t="n"/>
      <c r="O90" s="39" t="n"/>
      <c r="P90" s="39" t="n"/>
      <c r="Q90" s="39" t="n"/>
      <c r="R90" s="39" t="n"/>
      <c r="S90" s="39" t="n"/>
      <c r="T90" s="39" t="n"/>
      <c r="U90" s="39" t="n"/>
      <c r="V90" s="39" t="n"/>
      <c r="W90" s="39" t="n"/>
      <c r="X90" s="39" t="n"/>
      <c r="Y90" s="39" t="n"/>
      <c r="Z90" s="39" t="n"/>
      <c r="AL90" s="11" t="n"/>
      <c r="AM90" s="11" t="n"/>
      <c r="AN90" s="11" t="n"/>
      <c r="AO90" s="11" t="n"/>
      <c r="AP90" s="11" t="n"/>
      <c r="AQ90" s="11" t="n"/>
    </row>
    <row r="91" hidden="1" ht="18.75" customHeight="1">
      <c r="A91" s="645" t="inlineStr">
        <is>
          <t>protetor hialuronico 80</t>
        </is>
      </c>
      <c r="B91" s="625" t="n"/>
      <c r="C91" s="625" t="n"/>
      <c r="D91" s="641" t="n"/>
      <c r="F91" s="39" t="n"/>
      <c r="G91" s="39" t="n"/>
      <c r="H91" s="39" t="n"/>
      <c r="I91" s="39" t="n"/>
      <c r="J91" s="39" t="n"/>
      <c r="K91" s="39" t="n"/>
      <c r="L91" s="39" t="n"/>
      <c r="M91" s="39" t="n"/>
      <c r="N91" s="39" t="n"/>
      <c r="O91" s="39" t="n"/>
      <c r="P91" s="39" t="n"/>
      <c r="Q91" s="39" t="n"/>
      <c r="R91" s="39" t="n"/>
      <c r="S91" s="39" t="n"/>
      <c r="T91" s="39" t="n"/>
      <c r="U91" s="39" t="n"/>
      <c r="V91" s="39" t="n"/>
      <c r="W91" s="39" t="n"/>
      <c r="X91" s="39" t="n"/>
      <c r="Y91" s="39" t="n"/>
      <c r="Z91" s="39" t="n"/>
      <c r="AL91" s="11" t="n"/>
      <c r="AM91" s="11" t="n"/>
      <c r="AN91" s="11" t="n"/>
      <c r="AO91" s="11" t="n"/>
      <c r="AP91" s="11" t="n"/>
      <c r="AQ91" s="11" t="n"/>
    </row>
    <row r="92" hidden="1" ht="18.75" customHeight="1">
      <c r="A92" s="645" t="inlineStr">
        <is>
          <t>protetor hialuronico 50</t>
        </is>
      </c>
      <c r="B92" s="625" t="n"/>
      <c r="C92" s="625" t="n"/>
      <c r="D92" s="641" t="n"/>
      <c r="F92" s="39" t="n"/>
      <c r="G92" s="39" t="n"/>
      <c r="H92" s="39" t="n"/>
      <c r="I92" s="39" t="n"/>
      <c r="J92" s="39" t="n"/>
      <c r="K92" s="39" t="n"/>
      <c r="L92" s="39" t="n"/>
      <c r="M92" s="39" t="n"/>
      <c r="N92" s="39" t="n"/>
      <c r="O92" s="39" t="n"/>
      <c r="P92" s="39" t="n"/>
      <c r="Q92" s="39" t="n"/>
      <c r="R92" s="39" t="n"/>
      <c r="S92" s="39" t="n"/>
      <c r="T92" s="39" t="n"/>
      <c r="U92" s="39" t="n"/>
      <c r="V92" s="39" t="n"/>
      <c r="W92" s="39" t="n"/>
      <c r="X92" s="39" t="n"/>
      <c r="Y92" s="39" t="n"/>
      <c r="Z92" s="39" t="n"/>
      <c r="AL92" s="11" t="n"/>
      <c r="AM92" s="11" t="n"/>
      <c r="AN92" s="11" t="n"/>
      <c r="AO92" s="11" t="n"/>
      <c r="AP92" s="11" t="n"/>
      <c r="AQ92" s="11" t="n"/>
    </row>
    <row r="93" hidden="1" ht="18.75" customHeight="1">
      <c r="A93" s="645" t="inlineStr">
        <is>
          <t xml:space="preserve">hidrante facial rosa mosqueta </t>
        </is>
      </c>
      <c r="B93" s="625" t="n"/>
      <c r="C93" s="625" t="n"/>
      <c r="D93" s="641" t="n"/>
      <c r="F93" s="39" t="n"/>
      <c r="G93" s="39" t="n"/>
      <c r="H93" s="39" t="n"/>
      <c r="I93" s="39" t="n"/>
      <c r="J93" s="39" t="n"/>
      <c r="K93" s="39" t="n"/>
      <c r="L93" s="39" t="n"/>
      <c r="M93" s="39" t="n"/>
      <c r="N93" s="39" t="n"/>
      <c r="O93" s="39" t="n"/>
      <c r="P93" s="39" t="n"/>
      <c r="Q93" s="39" t="n"/>
      <c r="R93" s="39" t="n"/>
      <c r="S93" s="39" t="n"/>
      <c r="T93" s="39" t="n"/>
      <c r="U93" s="39" t="n"/>
      <c r="V93" s="39" t="n"/>
      <c r="W93" s="39" t="n"/>
      <c r="X93" s="39" t="n"/>
      <c r="Y93" s="39" t="n"/>
      <c r="Z93" s="39" t="n"/>
    </row>
    <row r="94" hidden="1" ht="18.75" customHeight="1">
      <c r="A94" s="645" t="inlineStr">
        <is>
          <t>HER CODE TOUCH</t>
        </is>
      </c>
      <c r="B94" s="625" t="n"/>
      <c r="C94" s="625" t="n"/>
      <c r="D94" s="641" t="n"/>
      <c r="F94" s="39" t="n"/>
      <c r="G94" s="39" t="n"/>
      <c r="H94" s="39" t="n"/>
      <c r="I94" s="39" t="n"/>
      <c r="J94" s="39" t="n"/>
      <c r="K94" s="39" t="n"/>
      <c r="L94" s="39" t="n"/>
      <c r="M94" s="39" t="n"/>
      <c r="N94" s="39" t="n"/>
      <c r="O94" s="39" t="n"/>
      <c r="P94" s="39" t="n"/>
      <c r="Q94" s="39" t="n"/>
      <c r="R94" s="39" t="n"/>
      <c r="S94" s="39" t="n"/>
      <c r="T94" s="39" t="n"/>
      <c r="U94" s="39" t="n"/>
      <c r="V94" s="39" t="n"/>
      <c r="W94" s="39" t="n"/>
      <c r="X94" s="39" t="n"/>
      <c r="Y94" s="39" t="n"/>
      <c r="Z94" s="39" t="n"/>
    </row>
    <row r="95" hidden="1" ht="18.75" customHeight="1">
      <c r="A95" s="645" t="inlineStr">
        <is>
          <t>DIVERTIDAMENTE</t>
        </is>
      </c>
      <c r="B95" s="625" t="n"/>
      <c r="C95" s="625" t="n"/>
      <c r="D95" s="641" t="n"/>
      <c r="F95" s="39" t="n"/>
      <c r="G95" s="39" t="n"/>
      <c r="H95" s="39" t="n"/>
      <c r="I95" s="39" t="n"/>
      <c r="J95" s="39" t="n"/>
      <c r="K95" s="39" t="n"/>
      <c r="L95" s="39" t="n"/>
      <c r="M95" s="39" t="n"/>
      <c r="N95" s="39" t="n"/>
      <c r="O95" s="39" t="n"/>
      <c r="P95" s="39" t="n"/>
      <c r="Q95" s="39" t="n"/>
      <c r="R95" s="39" t="n"/>
      <c r="S95" s="39" t="n"/>
      <c r="T95" s="39" t="n"/>
      <c r="U95" s="39" t="n"/>
      <c r="V95" s="39" t="n"/>
      <c r="W95" s="39" t="n"/>
      <c r="X95" s="39" t="n"/>
      <c r="Y95" s="39" t="n"/>
      <c r="Z95" s="39" t="n"/>
    </row>
    <row r="96" hidden="1" ht="18.75" customHeight="1">
      <c r="A96" s="645" t="inlineStr">
        <is>
          <t>ZAAD VENTURE</t>
        </is>
      </c>
      <c r="B96" s="625" t="n"/>
      <c r="C96" s="625" t="n"/>
      <c r="D96" s="641" t="n"/>
      <c r="F96" s="39" t="n"/>
      <c r="G96" s="39" t="n"/>
      <c r="H96" s="39" t="n"/>
      <c r="I96" s="39" t="n"/>
      <c r="J96" s="39" t="n"/>
      <c r="K96" s="39" t="n"/>
      <c r="L96" s="39" t="n"/>
      <c r="M96" s="39" t="n"/>
      <c r="N96" s="39" t="n"/>
      <c r="O96" s="39" t="n"/>
      <c r="P96" s="39" t="n"/>
      <c r="Q96" s="39" t="n"/>
      <c r="R96" s="39" t="n"/>
      <c r="S96" s="39" t="n"/>
      <c r="T96" s="39" t="n"/>
      <c r="U96" s="39" t="n"/>
      <c r="V96" s="39" t="n"/>
      <c r="W96" s="39" t="n"/>
      <c r="X96" s="39" t="n"/>
      <c r="Y96" s="39" t="n"/>
      <c r="Z96" s="39" t="n"/>
    </row>
    <row r="97" hidden="1" ht="18.75" customHeight="1">
      <c r="A97" s="645" t="inlineStr">
        <is>
          <t xml:space="preserve">Base salicílico cor 120/200/330 </t>
        </is>
      </c>
      <c r="B97" s="625" t="n"/>
      <c r="C97" s="625" t="n"/>
      <c r="D97" s="641" t="n"/>
      <c r="F97" s="39" t="n"/>
      <c r="G97" s="39" t="n"/>
      <c r="H97" s="39" t="n"/>
      <c r="I97" s="39" t="n"/>
      <c r="J97" s="39" t="n"/>
      <c r="K97" s="39" t="n"/>
      <c r="L97" s="39" t="n"/>
      <c r="M97" s="39" t="n"/>
      <c r="N97" s="39" t="n"/>
      <c r="O97" s="39" t="n"/>
      <c r="P97" s="39" t="n"/>
      <c r="Q97" s="39" t="n"/>
      <c r="R97" s="39" t="n"/>
      <c r="S97" s="39" t="n"/>
      <c r="T97" s="39" t="n"/>
      <c r="U97" s="39" t="n"/>
      <c r="V97" s="39" t="n"/>
      <c r="W97" s="39" t="n"/>
      <c r="X97" s="39" t="n"/>
      <c r="Y97" s="39" t="n"/>
      <c r="Z97" s="39" t="n"/>
    </row>
    <row r="98" hidden="1" ht="18.75" customHeight="1">
      <c r="A98" s="645" t="inlineStr">
        <is>
          <t>RESVERATROL</t>
        </is>
      </c>
      <c r="B98" s="625" t="n"/>
      <c r="C98" s="625" t="n"/>
      <c r="D98" s="641" t="n"/>
      <c r="F98" s="39" t="n"/>
      <c r="G98" s="39" t="n"/>
      <c r="H98" s="39" t="n"/>
      <c r="I98" s="39" t="n"/>
      <c r="J98" s="39" t="n"/>
      <c r="K98" s="39" t="n"/>
      <c r="L98" s="39" t="n"/>
      <c r="M98" s="39" t="n"/>
      <c r="N98" s="39" t="n"/>
      <c r="O98" s="39" t="n"/>
      <c r="P98" s="39" t="n"/>
      <c r="Q98" s="39" t="n"/>
      <c r="R98" s="39" t="n"/>
      <c r="S98" s="39" t="n"/>
      <c r="T98" s="39" t="n"/>
      <c r="U98" s="39" t="n"/>
      <c r="V98" s="39" t="n"/>
      <c r="W98" s="39" t="n"/>
      <c r="X98" s="39" t="n"/>
      <c r="Y98" s="39" t="n"/>
      <c r="Z98" s="39" t="n"/>
    </row>
    <row r="99" hidden="1" ht="18.75" customHeight="1">
      <c r="A99" s="645" t="inlineStr">
        <is>
          <t>NATIVA SPA CEREJA ROUGE</t>
        </is>
      </c>
      <c r="B99" s="625" t="n"/>
      <c r="C99" s="625" t="n"/>
      <c r="D99" s="641" t="n"/>
      <c r="F99" s="39" t="n"/>
      <c r="G99" s="39" t="n"/>
      <c r="H99" s="39" t="n"/>
      <c r="I99" s="39" t="n"/>
      <c r="J99" s="39" t="n"/>
      <c r="K99" s="39" t="n"/>
      <c r="L99" s="39" t="n"/>
      <c r="M99" s="39" t="n"/>
      <c r="N99" s="39" t="n"/>
      <c r="O99" s="39" t="n"/>
      <c r="P99" s="39" t="n"/>
      <c r="Q99" s="39" t="n"/>
      <c r="R99" s="39" t="n"/>
      <c r="S99" s="39" t="n"/>
      <c r="T99" s="39" t="n"/>
      <c r="U99" s="39" t="n"/>
      <c r="V99" s="39" t="n"/>
      <c r="W99" s="39" t="n"/>
      <c r="X99" s="39" t="n"/>
      <c r="Y99" s="39" t="n"/>
      <c r="Z99" s="39" t="n"/>
    </row>
    <row r="100" hidden="1" ht="18.75" customHeight="1">
      <c r="A100" s="645" t="inlineStr">
        <is>
          <t>LILLY GARDENIA</t>
        </is>
      </c>
      <c r="B100" s="625" t="n"/>
      <c r="C100" s="625" t="n"/>
      <c r="D100" s="641" t="n"/>
      <c r="F100" s="39" t="n"/>
      <c r="G100" s="39" t="n"/>
      <c r="H100" s="39" t="n"/>
      <c r="I100" s="39" t="n"/>
      <c r="J100" s="39" t="n"/>
      <c r="K100" s="39" t="n"/>
      <c r="L100" s="39" t="n"/>
      <c r="M100" s="39" t="n"/>
      <c r="N100" s="39" t="n"/>
      <c r="O100" s="39" t="n"/>
      <c r="P100" s="39" t="n"/>
      <c r="Q100" s="39" t="n"/>
      <c r="R100" s="39" t="n"/>
      <c r="S100" s="39" t="n"/>
      <c r="T100" s="39" t="n"/>
      <c r="U100" s="39" t="n"/>
      <c r="V100" s="39" t="n"/>
      <c r="W100" s="39" t="n"/>
      <c r="X100" s="39" t="n"/>
      <c r="Y100" s="39" t="n"/>
      <c r="Z100" s="39" t="n"/>
    </row>
    <row r="101" hidden="1" ht="18.75" customHeight="1">
      <c r="A101" s="645" t="inlineStr">
        <is>
          <t>EGEO CHOC HIGH</t>
        </is>
      </c>
      <c r="B101" s="625" t="n"/>
      <c r="C101" s="625" t="n"/>
      <c r="D101" s="641" t="n"/>
      <c r="F101" s="39" t="n"/>
      <c r="G101" s="39" t="n"/>
      <c r="H101" s="39" t="n"/>
      <c r="I101" s="39" t="n"/>
      <c r="J101" s="39" t="n"/>
      <c r="K101" s="39" t="n"/>
      <c r="L101" s="39" t="n"/>
      <c r="M101" s="39" t="n"/>
      <c r="N101" s="39" t="n"/>
      <c r="O101" s="39" t="n"/>
      <c r="P101" s="39" t="n"/>
      <c r="Q101" s="39" t="n"/>
      <c r="R101" s="39" t="n"/>
      <c r="S101" s="39" t="n"/>
      <c r="T101" s="39" t="n"/>
      <c r="U101" s="39" t="n"/>
      <c r="V101" s="39" t="n"/>
      <c r="W101" s="39" t="n"/>
      <c r="X101" s="39" t="n"/>
      <c r="Y101" s="39" t="n"/>
      <c r="Z101" s="39" t="n"/>
    </row>
    <row r="102" hidden="1" ht="18.75" customHeight="1">
      <c r="A102" s="645" t="inlineStr">
        <is>
          <t>FLORATTA RED PASSION</t>
        </is>
      </c>
      <c r="B102" s="625" t="n"/>
      <c r="C102" s="625" t="n"/>
      <c r="D102" s="641" t="n"/>
      <c r="F102" s="39" t="n"/>
      <c r="G102" s="39" t="n"/>
      <c r="H102" s="39" t="n"/>
      <c r="I102" s="39" t="n"/>
      <c r="J102" s="39" t="n"/>
      <c r="K102" s="39" t="n"/>
      <c r="L102" s="39" t="n"/>
      <c r="M102" s="39" t="n"/>
      <c r="N102" s="39" t="n"/>
      <c r="O102" s="39" t="n"/>
      <c r="P102" s="39" t="n"/>
      <c r="Q102" s="39" t="n"/>
      <c r="R102" s="39" t="n"/>
      <c r="S102" s="39" t="n"/>
      <c r="T102" s="39" t="n"/>
      <c r="U102" s="39" t="n"/>
      <c r="V102" s="39" t="n"/>
      <c r="W102" s="39" t="n"/>
      <c r="X102" s="39" t="n"/>
      <c r="Y102" s="39" t="n"/>
      <c r="Z102" s="39" t="n"/>
    </row>
    <row r="103" hidden="1" ht="18.75" customHeight="1">
      <c r="A103" s="645" t="inlineStr">
        <is>
          <t>CBEM HIDR. DOCURA NA PESSEGURA</t>
        </is>
      </c>
      <c r="B103" s="625" t="n"/>
      <c r="C103" s="625" t="n"/>
      <c r="D103" s="641" t="n"/>
      <c r="F103" s="39" t="n"/>
      <c r="G103" s="39" t="n"/>
      <c r="H103" s="39" t="n"/>
      <c r="I103" s="39" t="n"/>
      <c r="J103" s="39" t="n"/>
      <c r="K103" s="39" t="n"/>
      <c r="L103" s="39" t="n"/>
      <c r="M103" s="39" t="n"/>
      <c r="N103" s="39" t="n"/>
      <c r="O103" s="39" t="n"/>
      <c r="P103" s="39" t="n"/>
      <c r="Q103" s="39" t="n"/>
      <c r="R103" s="39" t="n"/>
      <c r="S103" s="39" t="n"/>
      <c r="T103" s="39" t="n"/>
      <c r="U103" s="39" t="n"/>
      <c r="V103" s="39" t="n"/>
      <c r="W103" s="39" t="n"/>
      <c r="X103" s="39" t="n"/>
      <c r="Y103" s="39" t="n"/>
      <c r="Z103" s="39" t="n"/>
    </row>
    <row r="104" hidden="1" ht="18.75" customHeight="1">
      <c r="A104" s="645" t="inlineStr">
        <is>
          <t>CLASH</t>
        </is>
      </c>
      <c r="B104" s="625" t="n"/>
      <c r="C104" s="625" t="n"/>
      <c r="D104" s="641" t="n"/>
      <c r="F104" s="39" t="n"/>
      <c r="G104" s="39" t="n"/>
      <c r="H104" s="39" t="n"/>
      <c r="I104" s="39" t="n"/>
      <c r="J104" s="39" t="n"/>
      <c r="K104" s="39" t="n"/>
      <c r="L104" s="39" t="n"/>
      <c r="M104" s="39" t="n"/>
      <c r="N104" s="39" t="n"/>
      <c r="O104" s="39" t="n"/>
      <c r="P104" s="39" t="n"/>
      <c r="Q104" s="39" t="n"/>
      <c r="R104" s="39" t="n"/>
      <c r="S104" s="39" t="n"/>
      <c r="T104" s="39" t="n"/>
      <c r="U104" s="39" t="n"/>
      <c r="V104" s="39" t="n"/>
      <c r="W104" s="39" t="n"/>
      <c r="X104" s="39" t="n"/>
      <c r="Y104" s="39" t="n"/>
      <c r="Z104" s="39" t="n"/>
    </row>
    <row r="105">
      <c r="A105" s="645" t="inlineStr">
        <is>
          <t>LILY BLANCHE</t>
        </is>
      </c>
      <c r="B105" s="625" t="n"/>
      <c r="C105" s="625" t="n"/>
      <c r="D105" s="641" t="n"/>
      <c r="F105" s="39" t="n">
        <v>0</v>
      </c>
      <c r="G105" s="39" t="n">
        <v>0</v>
      </c>
      <c r="H105" s="39" t="n">
        <v>0</v>
      </c>
      <c r="I105" s="39" t="n">
        <v>0</v>
      </c>
      <c r="J105" s="39" t="n">
        <v>0</v>
      </c>
      <c r="K105" s="39" t="n">
        <v>0</v>
      </c>
      <c r="L105" s="39" t="n">
        <v>0</v>
      </c>
      <c r="M105" s="39" t="n">
        <v>0</v>
      </c>
      <c r="N105" s="39" t="n">
        <v>0</v>
      </c>
      <c r="O105" s="39" t="n">
        <v>0</v>
      </c>
      <c r="P105" s="39" t="n">
        <v>0</v>
      </c>
      <c r="Q105" s="39" t="n">
        <v>0</v>
      </c>
      <c r="R105" s="39" t="n">
        <v>0</v>
      </c>
      <c r="S105" s="39" t="n">
        <v>0</v>
      </c>
      <c r="T105" s="39" t="n">
        <v>0</v>
      </c>
      <c r="U105" s="39" t="n">
        <v>0</v>
      </c>
      <c r="V105" s="39" t="n">
        <v>0</v>
      </c>
      <c r="W105" s="39" t="n">
        <v>0</v>
      </c>
      <c r="X105" s="39" t="n">
        <v>0</v>
      </c>
      <c r="Y105" s="39" t="n">
        <v>0</v>
      </c>
      <c r="Z105" s="39" t="n">
        <v>0</v>
      </c>
    </row>
    <row r="106">
      <c r="A106" s="645" t="inlineStr">
        <is>
          <t>MEN NBA</t>
        </is>
      </c>
      <c r="B106" s="625" t="n"/>
      <c r="C106" s="625" t="n"/>
      <c r="D106" s="641" t="n"/>
      <c r="F106" s="39" t="n">
        <v>0</v>
      </c>
      <c r="G106" s="39" t="n">
        <v>0</v>
      </c>
      <c r="H106" s="39" t="n">
        <v>0</v>
      </c>
      <c r="I106" s="39" t="n">
        <v>0</v>
      </c>
      <c r="J106" s="39" t="n">
        <v>0</v>
      </c>
      <c r="K106" s="39" t="n">
        <v>0</v>
      </c>
      <c r="L106" s="39" t="n">
        <v>0</v>
      </c>
      <c r="M106" s="39" t="n">
        <v>0</v>
      </c>
      <c r="N106" s="39" t="n">
        <v>0</v>
      </c>
      <c r="O106" s="39" t="n">
        <v>0</v>
      </c>
      <c r="P106" s="39" t="n">
        <v>0</v>
      </c>
      <c r="Q106" s="39" t="n">
        <v>0</v>
      </c>
      <c r="R106" s="39" t="n">
        <v>0</v>
      </c>
      <c r="S106" s="39" t="n">
        <v>0</v>
      </c>
      <c r="T106" s="39" t="n">
        <v>0</v>
      </c>
      <c r="U106" s="39" t="n">
        <v>0</v>
      </c>
      <c r="V106" s="39" t="n">
        <v>0</v>
      </c>
      <c r="W106" s="39" t="n">
        <v>0</v>
      </c>
      <c r="X106" s="39" t="n">
        <v>0</v>
      </c>
      <c r="Y106" s="39" t="n">
        <v>0</v>
      </c>
      <c r="Z106" s="39" t="n">
        <v>0</v>
      </c>
    </row>
    <row r="107">
      <c r="A107" s="645" t="inlineStr">
        <is>
          <t>QUASAR DEEP BLUE</t>
        </is>
      </c>
      <c r="B107" s="625" t="n"/>
      <c r="C107" s="625" t="n"/>
      <c r="D107" s="641" t="n"/>
      <c r="F107" s="39" t="n">
        <v>0</v>
      </c>
      <c r="G107" s="39" t="n">
        <v>0</v>
      </c>
      <c r="H107" s="39" t="n">
        <v>0</v>
      </c>
      <c r="I107" s="39" t="n">
        <v>0</v>
      </c>
      <c r="J107" s="39" t="n">
        <v>0</v>
      </c>
      <c r="K107" s="39" t="n">
        <v>0</v>
      </c>
      <c r="L107" s="39" t="n">
        <v>0</v>
      </c>
      <c r="M107" s="39" t="n">
        <v>0</v>
      </c>
      <c r="N107" s="39" t="n">
        <v>0</v>
      </c>
      <c r="O107" s="39" t="n">
        <v>0</v>
      </c>
      <c r="P107" s="39" t="n">
        <v>0</v>
      </c>
      <c r="Q107" s="39" t="n">
        <v>0</v>
      </c>
      <c r="R107" s="39" t="n">
        <v>0</v>
      </c>
      <c r="S107" s="39" t="n">
        <v>0</v>
      </c>
      <c r="T107" s="39" t="n">
        <v>0</v>
      </c>
      <c r="U107" s="39" t="n">
        <v>0</v>
      </c>
      <c r="V107" s="39" t="n">
        <v>0</v>
      </c>
      <c r="W107" s="39" t="n">
        <v>0</v>
      </c>
      <c r="X107" s="39" t="n">
        <v>0</v>
      </c>
      <c r="Y107" s="39" t="n">
        <v>0</v>
      </c>
      <c r="Z107" s="39" t="n">
        <v>0</v>
      </c>
    </row>
    <row r="108">
      <c r="A108" s="645" t="inlineStr">
        <is>
          <t>ARBO ATLATICA</t>
        </is>
      </c>
      <c r="B108" s="625" t="n"/>
      <c r="C108" s="625" t="n"/>
      <c r="D108" s="641" t="n"/>
      <c r="F108" s="39" t="n">
        <v>0</v>
      </c>
      <c r="G108" s="39" t="n">
        <v>0</v>
      </c>
      <c r="H108" s="39" t="n">
        <v>0</v>
      </c>
      <c r="I108" s="39" t="n">
        <v>0</v>
      </c>
      <c r="J108" s="39" t="n">
        <v>0</v>
      </c>
      <c r="K108" s="39" t="n">
        <v>0</v>
      </c>
      <c r="L108" s="39" t="n">
        <v>0</v>
      </c>
      <c r="M108" s="39" t="n">
        <v>0</v>
      </c>
      <c r="N108" s="39" t="n">
        <v>0</v>
      </c>
      <c r="O108" s="39" t="n">
        <v>0</v>
      </c>
      <c r="P108" s="39" t="n">
        <v>0</v>
      </c>
      <c r="Q108" s="39" t="n">
        <v>0</v>
      </c>
      <c r="R108" s="39" t="n">
        <v>0</v>
      </c>
      <c r="S108" s="39" t="n">
        <v>0</v>
      </c>
      <c r="T108" s="39" t="n">
        <v>5</v>
      </c>
      <c r="U108" s="39" t="n">
        <v>5</v>
      </c>
      <c r="V108" s="39" t="n">
        <v>5</v>
      </c>
      <c r="W108" s="39" t="n">
        <v>0</v>
      </c>
      <c r="X108" s="39" t="n">
        <v>0</v>
      </c>
      <c r="Y108" s="39" t="n">
        <v>0</v>
      </c>
      <c r="Z108" s="39" t="n">
        <v>0</v>
      </c>
    </row>
    <row r="109">
      <c r="A109" s="645" t="inlineStr">
        <is>
          <t>LIZ AURA</t>
        </is>
      </c>
      <c r="B109" s="625" t="n"/>
      <c r="C109" s="625" t="n"/>
      <c r="D109" s="641" t="n"/>
      <c r="F109" s="39" t="n">
        <v>0</v>
      </c>
      <c r="G109" s="39" t="n">
        <v>0</v>
      </c>
      <c r="H109" s="39" t="n">
        <v>0</v>
      </c>
      <c r="I109" s="39" t="n">
        <v>0</v>
      </c>
      <c r="J109" s="39" t="n">
        <v>0</v>
      </c>
      <c r="K109" s="39" t="n">
        <v>0</v>
      </c>
      <c r="L109" s="39" t="n">
        <v>0</v>
      </c>
      <c r="M109" s="39" t="n">
        <v>0</v>
      </c>
      <c r="N109" s="39" t="n">
        <v>0</v>
      </c>
      <c r="O109" s="39" t="n">
        <v>0</v>
      </c>
      <c r="P109" s="39" t="n">
        <v>0</v>
      </c>
      <c r="Q109" s="39" t="n">
        <v>0</v>
      </c>
      <c r="R109" s="39" t="n">
        <v>0</v>
      </c>
      <c r="S109" s="39" t="n">
        <v>0</v>
      </c>
      <c r="T109" s="39" t="n">
        <v>0</v>
      </c>
      <c r="U109" s="39" t="n">
        <v>0</v>
      </c>
      <c r="V109" s="39" t="n">
        <v>0</v>
      </c>
      <c r="W109" s="39" t="n">
        <v>0</v>
      </c>
      <c r="X109" s="39" t="n">
        <v>0</v>
      </c>
      <c r="Y109" s="39" t="n">
        <v>0</v>
      </c>
      <c r="Z109" s="39" t="n">
        <v>0</v>
      </c>
    </row>
    <row r="110">
      <c r="A110" s="450" t="inlineStr">
        <is>
          <t xml:space="preserve">loção cereja de fases 7 ml </t>
        </is>
      </c>
      <c r="B110" s="451" t="n"/>
      <c r="C110" s="451" t="n"/>
      <c r="D110" s="452" t="n"/>
      <c r="N110" s="39" t="n">
        <v>0</v>
      </c>
      <c r="O110" s="39" t="n">
        <v>0</v>
      </c>
      <c r="P110" s="39" t="n">
        <v>0</v>
      </c>
      <c r="Q110" s="39" t="n">
        <v>0</v>
      </c>
      <c r="R110" s="39" t="n">
        <v>0</v>
      </c>
      <c r="S110" s="39" t="n">
        <v>0</v>
      </c>
      <c r="T110" s="39" t="n">
        <v>153</v>
      </c>
      <c r="U110" s="39" t="n">
        <v>153</v>
      </c>
      <c r="V110" s="39" t="n">
        <v>153</v>
      </c>
      <c r="W110" s="39" t="n">
        <v>200</v>
      </c>
      <c r="X110" s="39" t="n">
        <v>200</v>
      </c>
      <c r="Y110" s="39" t="n">
        <v>200</v>
      </c>
      <c r="Z110" s="39" t="n">
        <v>200</v>
      </c>
    </row>
    <row r="111">
      <c r="A111" s="450" t="inlineStr">
        <is>
          <t xml:space="preserve">Egeo dolce ilusion </t>
        </is>
      </c>
      <c r="B111" s="451" t="n"/>
      <c r="C111" s="451" t="n"/>
      <c r="D111" s="452" t="n"/>
      <c r="N111" s="39" t="n">
        <v>0</v>
      </c>
      <c r="O111" s="39" t="n">
        <v>0</v>
      </c>
      <c r="P111" s="39" t="n">
        <v>0</v>
      </c>
      <c r="Q111" s="39" t="n">
        <v>0</v>
      </c>
      <c r="R111" s="39" t="n">
        <v>0</v>
      </c>
      <c r="S111" s="39" t="n">
        <v>0</v>
      </c>
      <c r="T111" s="39" t="n">
        <v>87</v>
      </c>
      <c r="U111" s="39" t="n">
        <v>67</v>
      </c>
      <c r="V111" s="39" t="n">
        <v>67</v>
      </c>
      <c r="W111" s="39" t="n">
        <v>55</v>
      </c>
      <c r="X111" s="39" t="n">
        <v>55</v>
      </c>
      <c r="Y111" s="39" t="n">
        <v>55</v>
      </c>
      <c r="Z111" s="39" t="n">
        <v>55</v>
      </c>
    </row>
    <row r="112">
      <c r="A112" s="450" t="inlineStr">
        <is>
          <t xml:space="preserve">acido hialuronico </t>
        </is>
      </c>
      <c r="B112" s="451" t="n"/>
      <c r="C112" s="451" t="n"/>
      <c r="D112" s="452" t="n"/>
      <c r="N112" s="39" t="n">
        <v>0</v>
      </c>
      <c r="O112" s="39" t="n">
        <v>0</v>
      </c>
      <c r="P112" s="39" t="n">
        <v>0</v>
      </c>
      <c r="Q112" s="39" t="n">
        <v>0</v>
      </c>
      <c r="R112" s="39" t="n">
        <v>0</v>
      </c>
      <c r="S112" s="39" t="n">
        <v>0</v>
      </c>
      <c r="T112" s="39" t="n">
        <v>10</v>
      </c>
      <c r="U112" s="39" t="n">
        <v>10</v>
      </c>
      <c r="V112" s="39" t="n">
        <v>10</v>
      </c>
      <c r="W112" s="39" t="n">
        <v>10</v>
      </c>
      <c r="X112" s="39" t="n">
        <v>10</v>
      </c>
      <c r="Y112" s="39" t="n">
        <v>10</v>
      </c>
      <c r="Z112" s="39" t="n">
        <v>10</v>
      </c>
    </row>
    <row r="113">
      <c r="A113" s="450" t="inlineStr">
        <is>
          <t>Boti sun proteror facial cor 4</t>
        </is>
      </c>
      <c r="B113" s="451" t="n"/>
      <c r="C113" s="451" t="n"/>
      <c r="D113" s="452" t="n"/>
      <c r="N113" s="39" t="n">
        <v>0</v>
      </c>
      <c r="O113" s="39" t="n">
        <v>0</v>
      </c>
      <c r="P113" s="39" t="n">
        <v>0</v>
      </c>
      <c r="Q113" s="39" t="n">
        <v>0</v>
      </c>
      <c r="R113" s="39" t="n">
        <v>0</v>
      </c>
      <c r="S113" s="39" t="n">
        <v>0</v>
      </c>
      <c r="T113" s="39" t="n">
        <v>6</v>
      </c>
      <c r="U113" s="39" t="n">
        <v>6</v>
      </c>
      <c r="V113" s="39" t="n">
        <v>6</v>
      </c>
      <c r="W113" s="39" t="n">
        <v>6</v>
      </c>
      <c r="X113" s="39" t="n">
        <v>6</v>
      </c>
      <c r="Y113" s="39" t="n">
        <v>6</v>
      </c>
      <c r="Z113" s="39" t="n">
        <v>6</v>
      </c>
    </row>
    <row r="114">
      <c r="A114" s="450" t="inlineStr">
        <is>
          <t xml:space="preserve">Hadiya </t>
        </is>
      </c>
      <c r="B114" s="451" t="n"/>
      <c r="C114" s="451" t="n"/>
      <c r="D114" s="452" t="n"/>
      <c r="N114" s="39" t="n">
        <v>0</v>
      </c>
      <c r="O114" s="39" t="n">
        <v>0</v>
      </c>
      <c r="P114" s="39" t="n">
        <v>0</v>
      </c>
      <c r="Q114" s="39" t="n">
        <v>0</v>
      </c>
      <c r="R114" s="39" t="n">
        <v>0</v>
      </c>
      <c r="S114" s="39" t="n">
        <v>0</v>
      </c>
      <c r="T114" s="39" t="n">
        <v>17</v>
      </c>
      <c r="U114" s="39" t="n">
        <v>17</v>
      </c>
      <c r="V114" s="39" t="n">
        <v>17</v>
      </c>
      <c r="W114" s="39" t="n">
        <v>17</v>
      </c>
      <c r="X114" s="39" t="n">
        <v>17</v>
      </c>
      <c r="Y114" s="39" t="n">
        <v>17</v>
      </c>
      <c r="Z114" s="39" t="n">
        <v>17</v>
      </c>
    </row>
    <row r="115">
      <c r="A115" s="450" t="inlineStr">
        <is>
          <t>Botica 214 Arabian oasis fem</t>
        </is>
      </c>
      <c r="B115" s="451" t="n"/>
      <c r="C115" s="451" t="n"/>
      <c r="D115" s="452" t="n"/>
      <c r="R115" s="39" t="n">
        <v>0</v>
      </c>
      <c r="S115" s="39" t="n">
        <v>0</v>
      </c>
      <c r="T115" s="39" t="n">
        <v>0</v>
      </c>
      <c r="U115" s="39" t="n">
        <v>0</v>
      </c>
      <c r="V115" s="39" t="n">
        <v>0</v>
      </c>
      <c r="W115" s="39" t="n">
        <v>55</v>
      </c>
      <c r="X115" s="39" t="n">
        <v>55</v>
      </c>
      <c r="Y115" s="39" t="n">
        <v>55</v>
      </c>
      <c r="Z115" s="39" t="n">
        <v>55</v>
      </c>
    </row>
    <row r="116">
      <c r="A116" s="450" t="inlineStr">
        <is>
          <t>Botica 214 Arabian oasis Mas</t>
        </is>
      </c>
      <c r="B116" s="451" t="n"/>
      <c r="C116" s="451" t="n"/>
      <c r="D116" s="452" t="n"/>
      <c r="R116" s="39" t="n">
        <v>0</v>
      </c>
      <c r="S116" s="39" t="n">
        <v>0</v>
      </c>
      <c r="T116" s="39" t="n">
        <v>0</v>
      </c>
      <c r="U116" s="39" t="n">
        <v>0</v>
      </c>
      <c r="V116" s="39" t="n">
        <v>0</v>
      </c>
      <c r="W116" s="39" t="n">
        <v>55</v>
      </c>
      <c r="X116" s="39" t="n">
        <v>55</v>
      </c>
      <c r="Y116" s="39" t="n">
        <v>55</v>
      </c>
      <c r="Z116" s="39" t="n">
        <v>55</v>
      </c>
    </row>
    <row r="117">
      <c r="A117" s="645" t="n"/>
      <c r="B117" s="625" t="n"/>
      <c r="C117" s="625" t="n"/>
      <c r="D117" s="641" t="n"/>
      <c r="R117" s="39" t="n"/>
      <c r="S117" s="39" t="n"/>
      <c r="T117" s="39" t="n"/>
      <c r="U117" s="39" t="n"/>
      <c r="V117" s="39" t="n"/>
      <c r="W117" s="39" t="n"/>
      <c r="X117" s="39" t="n"/>
      <c r="Y117" s="39" t="n"/>
      <c r="Z117" s="39" t="n"/>
    </row>
  </sheetData>
  <mergeCells count="59">
    <mergeCell ref="A106:D106"/>
    <mergeCell ref="A91:D91"/>
    <mergeCell ref="A97:D97"/>
    <mergeCell ref="A100:D100"/>
    <mergeCell ref="A62:D62"/>
    <mergeCell ref="A96:D96"/>
    <mergeCell ref="A72:D72"/>
    <mergeCell ref="A109:D109"/>
    <mergeCell ref="A81:D81"/>
    <mergeCell ref="A63:D63"/>
    <mergeCell ref="A117:D117"/>
    <mergeCell ref="A93:D93"/>
    <mergeCell ref="A68:D68"/>
    <mergeCell ref="A102:D102"/>
    <mergeCell ref="A67:D67"/>
    <mergeCell ref="A77:D77"/>
    <mergeCell ref="A83:D83"/>
    <mergeCell ref="A92:D92"/>
    <mergeCell ref="A64:D64"/>
    <mergeCell ref="A59:D59"/>
    <mergeCell ref="A82:D82"/>
    <mergeCell ref="A73:D73"/>
    <mergeCell ref="A107:D107"/>
    <mergeCell ref="A60:D60"/>
    <mergeCell ref="A98:D98"/>
    <mergeCell ref="A5:A6"/>
    <mergeCell ref="A94:D94"/>
    <mergeCell ref="A103:D103"/>
    <mergeCell ref="A70:D70"/>
    <mergeCell ref="A79:D79"/>
    <mergeCell ref="A61:D61"/>
    <mergeCell ref="A88:D88"/>
    <mergeCell ref="A69:D69"/>
    <mergeCell ref="A78:D78"/>
    <mergeCell ref="A87:D87"/>
    <mergeCell ref="A65:D65"/>
    <mergeCell ref="A99:D99"/>
    <mergeCell ref="B5:B6"/>
    <mergeCell ref="A84:D84"/>
    <mergeCell ref="A66:D66"/>
    <mergeCell ref="D5:D6"/>
    <mergeCell ref="A90:D90"/>
    <mergeCell ref="A80:D80"/>
    <mergeCell ref="A75:D75"/>
    <mergeCell ref="B3:D3"/>
    <mergeCell ref="AV7:BD7"/>
    <mergeCell ref="A89:D89"/>
    <mergeCell ref="A108:D108"/>
    <mergeCell ref="A74:D74"/>
    <mergeCell ref="A105:D105"/>
    <mergeCell ref="A101:D101"/>
    <mergeCell ref="A86:D86"/>
    <mergeCell ref="A104:D104"/>
    <mergeCell ref="A95:D95"/>
    <mergeCell ref="A71:D71"/>
    <mergeCell ref="A85:D85"/>
    <mergeCell ref="A76:D76"/>
    <mergeCell ref="B2:D2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70" fitToHeight="0"/>
</worksheet>
</file>

<file path=xl/worksheets/sheet26.xml><?xml version="1.0" encoding="utf-8"?>
<worksheet xmlns="http://schemas.openxmlformats.org/spreadsheetml/2006/main">
  <sheetPr codeName="Planilha50">
    <tabColor theme="8"/>
    <outlinePr summaryBelow="1" summaryRight="1"/>
    <pageSetUpPr fitToPage="1"/>
  </sheetPr>
  <dimension ref="A1:BK133"/>
  <sheetViews>
    <sheetView showGridLines="0" topLeftCell="A54" zoomScale="80" zoomScaleNormal="80" zoomScaleSheetLayoutView="50" workbookViewId="0">
      <selection activeCell="AB80" sqref="AB80"/>
    </sheetView>
  </sheetViews>
  <sheetFormatPr baseColWidth="8" defaultColWidth="9.140625" defaultRowHeight="18.75"/>
  <cols>
    <col width="34.5703125" customWidth="1" min="1" max="1"/>
    <col width="8.140625" customWidth="1" min="2" max="2"/>
    <col width="16.140625" customWidth="1" min="3" max="3"/>
    <col width="17.42578125" customWidth="1" min="4" max="4"/>
    <col width="2" customWidth="1" min="5" max="5"/>
    <col hidden="1" width="9.28515625" customWidth="1" min="6" max="6"/>
    <col hidden="1" width="13" customWidth="1" min="7" max="7"/>
    <col hidden="1" width="13" customWidth="1" min="8" max="8"/>
    <col hidden="1" width="13" customWidth="1" min="9" max="9"/>
    <col hidden="1" width="13" customWidth="1" min="10" max="10"/>
    <col hidden="1" width="13" customWidth="1" min="11" max="11"/>
    <col hidden="1" width="13" customWidth="1" min="12" max="12"/>
    <col hidden="1" width="13" customWidth="1" min="13" max="13"/>
    <col hidden="1" width="13" customWidth="1" min="14" max="14"/>
    <col hidden="1" width="1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9.28515625" customWidth="1" min="26" max="26"/>
    <col hidden="1" width="13" customWidth="1" min="27" max="27"/>
    <col hidden="1" width="13" customWidth="1" min="28" max="28"/>
    <col width="13" customWidth="1" min="29" max="29"/>
    <col width="13" customWidth="1" min="30" max="30"/>
    <col width="9.5703125" customWidth="1" min="31" max="31"/>
    <col width="1.42578125" customWidth="1" min="32" max="32"/>
    <col width="17.85546875" customWidth="1" min="33" max="33"/>
    <col width="14.28515625" customWidth="1" min="34" max="34"/>
    <col width="0.85546875" customWidth="1" min="35" max="35"/>
    <col width="17.42578125" customWidth="1" min="36" max="36"/>
    <col width="1.85546875" customWidth="1" min="37" max="37"/>
    <col width="9.140625" customWidth="1" min="38" max="38"/>
    <col width="13" customWidth="1" min="39" max="39"/>
    <col hidden="1" width="13" customWidth="1" min="40" max="40"/>
    <col hidden="1" width="13" customWidth="1" min="41" max="41"/>
    <col hidden="1" width="13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9.140625" customWidth="1" min="49" max="49"/>
    <col hidden="1" width="13" customWidth="1" min="50" max="50"/>
    <col hidden="1" width="13" customWidth="1" min="51" max="51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13" customWidth="1" min="59" max="59"/>
    <col hidden="1" width="14.28515625" customWidth="1" min="60" max="60"/>
    <col hidden="1" width="9.140625" customWidth="1" min="61" max="61"/>
    <col hidden="1" width="13" customWidth="1" min="62" max="62"/>
    <col hidden="1" width="13" customWidth="1" min="63" max="63"/>
    <col width="9.140625" customWidth="1" min="64" max="64"/>
  </cols>
  <sheetData>
    <row r="1" ht="23.25" customHeight="1">
      <c r="A1" s="477" t="inlineStr">
        <is>
          <t>Controle de Contagem Semanal - Antilhas</t>
        </is>
      </c>
      <c r="AF1" s="477" t="n"/>
      <c r="AI1" s="34" t="n"/>
      <c r="AJ1" s="11" t="n"/>
      <c r="AK1" s="34" t="n"/>
    </row>
    <row r="2">
      <c r="A2" s="63" t="inlineStr">
        <is>
          <t>LOJA:</t>
        </is>
      </c>
      <c r="B2" s="604" t="inlineStr">
        <is>
          <t>CD JAÚ</t>
        </is>
      </c>
      <c r="C2" s="605" t="n"/>
      <c r="D2" s="606" t="n"/>
      <c r="AI2" s="34" t="n"/>
      <c r="AJ2" s="11" t="n"/>
      <c r="AK2" s="34" t="n"/>
    </row>
    <row r="3">
      <c r="A3" s="63" t="inlineStr">
        <is>
          <t>Responsável:</t>
        </is>
      </c>
      <c r="B3" s="607" t="inlineStr">
        <is>
          <t>ALEXANDRE</t>
        </is>
      </c>
      <c r="C3" s="605" t="n"/>
      <c r="D3" s="606" t="n"/>
      <c r="E3" s="608" t="n"/>
      <c r="F3" s="608" t="n"/>
      <c r="G3" s="608" t="n"/>
      <c r="H3" s="608" t="n"/>
      <c r="I3" s="608" t="n"/>
      <c r="J3" s="608" t="n"/>
      <c r="K3" s="608" t="n"/>
      <c r="L3" s="608" t="n"/>
      <c r="M3" s="608" t="n"/>
      <c r="N3" s="608" t="n"/>
      <c r="O3" s="608" t="n"/>
      <c r="P3" s="608" t="n"/>
      <c r="Q3" s="608" t="n"/>
      <c r="R3" s="608" t="n"/>
      <c r="S3" s="608" t="n"/>
      <c r="T3" s="608" t="n"/>
      <c r="U3" s="608" t="n"/>
      <c r="V3" s="608" t="n"/>
      <c r="W3" s="608" t="n"/>
      <c r="X3" s="608" t="n"/>
      <c r="Y3" s="608" t="n"/>
      <c r="Z3" s="608" t="n"/>
      <c r="AA3" s="608" t="n"/>
      <c r="AB3" s="609" t="n"/>
      <c r="AC3" s="609" t="n"/>
      <c r="AD3" s="609" t="n"/>
      <c r="AE3" s="608" t="n"/>
      <c r="AF3" s="608" t="n"/>
      <c r="AI3" s="608" t="n"/>
      <c r="AK3" s="34" t="n"/>
    </row>
    <row r="4">
      <c r="AG4" s="41" t="n"/>
      <c r="AH4" s="41" t="n"/>
      <c r="AJ4" s="11" t="n"/>
      <c r="AK4" s="11" t="n"/>
      <c r="AL4" s="11" t="n"/>
      <c r="AM4" s="11" t="n"/>
      <c r="AN4" s="11" t="n"/>
      <c r="AO4" s="11" t="n"/>
      <c r="AP4" s="11" t="n"/>
      <c r="AQ4" s="11" t="n"/>
      <c r="AR4" s="11" t="n"/>
      <c r="AS4" s="11" t="n"/>
      <c r="AT4" s="11" t="n"/>
      <c r="AU4" s="11" t="n"/>
      <c r="AV4" s="11" t="n"/>
      <c r="AW4" s="11" t="n"/>
      <c r="AX4" s="11" t="n"/>
      <c r="AY4" s="11" t="n"/>
      <c r="AZ4" s="11" t="n"/>
      <c r="BA4" s="11" t="n"/>
      <c r="BB4" s="11" t="n"/>
      <c r="BC4" s="11" t="n"/>
      <c r="BD4" s="11" t="n"/>
      <c r="BE4" s="11" t="n"/>
      <c r="BF4" s="11" t="n"/>
      <c r="BG4" s="11" t="n"/>
      <c r="BH4" s="11" t="n"/>
      <c r="BI4" s="11" t="n"/>
      <c r="BJ4" s="11" t="n"/>
      <c r="BK4" s="11" t="n"/>
    </row>
    <row r="5" ht="24.75" customHeight="1">
      <c r="A5" s="610" t="inlineStr">
        <is>
          <t>Descrição</t>
        </is>
      </c>
      <c r="B5" s="611" t="inlineStr">
        <is>
          <t>PCT</t>
        </is>
      </c>
      <c r="C5" s="611" t="inlineStr">
        <is>
          <t xml:space="preserve">R$ </t>
        </is>
      </c>
      <c r="D5" s="612" t="inlineStr">
        <is>
          <t>Estoque Ideal</t>
        </is>
      </c>
      <c r="F5" s="498" t="n"/>
      <c r="G5" s="625" t="n"/>
      <c r="H5" s="625" t="n"/>
      <c r="I5" s="625" t="n"/>
      <c r="J5" s="625" t="n"/>
      <c r="K5" s="625" t="n"/>
      <c r="L5" s="625" t="n"/>
      <c r="M5" s="625" t="n"/>
      <c r="N5" s="625" t="n"/>
      <c r="O5" s="625" t="n"/>
      <c r="P5" s="625" t="n"/>
      <c r="Q5" s="625" t="n"/>
      <c r="R5" s="625" t="n"/>
      <c r="S5" s="625" t="n"/>
      <c r="T5" s="625" t="n"/>
      <c r="U5" s="625" t="n"/>
      <c r="V5" s="625" t="n"/>
      <c r="W5" s="625" t="n"/>
      <c r="X5" s="625" t="n"/>
      <c r="Y5" s="625" t="n"/>
      <c r="Z5" s="625" t="n"/>
      <c r="AA5" s="625" t="n"/>
      <c r="AB5" s="626" t="n"/>
      <c r="AC5" s="626" t="n"/>
      <c r="AD5" s="626" t="n"/>
      <c r="AE5" s="505" t="n"/>
      <c r="AG5" s="29" t="inlineStr">
        <is>
          <t>Pendências</t>
        </is>
      </c>
      <c r="AH5" s="29" t="inlineStr">
        <is>
          <t>Pendências</t>
        </is>
      </c>
      <c r="AJ5" s="9" t="inlineStr">
        <is>
          <t>Novo Pedido</t>
        </is>
      </c>
      <c r="AK5" s="673" t="n">
        <v>46161.48296364634</v>
      </c>
      <c r="AL5" s="674" t="n">
        <v>46149</v>
      </c>
      <c r="AM5" s="674" t="n">
        <v>46142</v>
      </c>
      <c r="AN5" s="674" t="n">
        <v>46114</v>
      </c>
      <c r="AO5" s="674" t="n">
        <v>46107</v>
      </c>
      <c r="AP5" s="674" t="n">
        <v>46099</v>
      </c>
      <c r="AQ5" s="675" t="n">
        <v>46065</v>
      </c>
      <c r="AR5" s="674" t="n">
        <v>46092</v>
      </c>
      <c r="AS5" s="674" t="n">
        <v>46084</v>
      </c>
      <c r="AT5" s="675" t="n">
        <v>46065</v>
      </c>
      <c r="AU5" s="676" t="n">
        <v>46045</v>
      </c>
      <c r="AV5" s="674" t="n">
        <v>46077</v>
      </c>
      <c r="AW5" s="674" t="n">
        <v>46071</v>
      </c>
      <c r="AX5" s="674" t="n">
        <v>46056</v>
      </c>
      <c r="AY5" s="674" t="n">
        <v>46048</v>
      </c>
      <c r="AZ5" s="674" t="n">
        <v>46029</v>
      </c>
      <c r="BA5" s="674" t="n">
        <v>46029</v>
      </c>
      <c r="BB5" s="674" t="n">
        <v>46043</v>
      </c>
      <c r="BC5" s="674" t="n">
        <v>46029</v>
      </c>
      <c r="BD5" s="674" t="n">
        <v>46017</v>
      </c>
      <c r="BE5" s="674" t="n">
        <v>46007</v>
      </c>
      <c r="BF5" s="674" t="n">
        <v>46001</v>
      </c>
      <c r="BG5" s="674" t="n">
        <v>46001</v>
      </c>
      <c r="BH5" s="677" t="inlineStr">
        <is>
          <t>TRANSF.</t>
        </is>
      </c>
      <c r="BI5" s="674" t="n">
        <v>45994</v>
      </c>
      <c r="BJ5" s="674" t="n">
        <v>45986</v>
      </c>
      <c r="BK5" s="674" t="n">
        <v>45986</v>
      </c>
    </row>
    <row r="6" customFormat="1" s="3">
      <c r="A6" s="618" t="n"/>
      <c r="B6" s="618" t="n"/>
      <c r="C6" s="618" t="n"/>
      <c r="D6" s="618" t="n"/>
      <c r="E6" s="30" t="n"/>
      <c r="F6" s="619" t="n">
        <v>46013</v>
      </c>
      <c r="G6" s="619" t="n">
        <v>46020</v>
      </c>
      <c r="H6" s="619" t="n">
        <v>46027</v>
      </c>
      <c r="I6" s="619" t="n">
        <v>46034</v>
      </c>
      <c r="J6" s="619" t="n">
        <v>46041</v>
      </c>
      <c r="K6" s="619" t="n">
        <v>46048</v>
      </c>
      <c r="L6" s="619" t="n">
        <v>46055</v>
      </c>
      <c r="M6" s="619" t="n">
        <v>46062</v>
      </c>
      <c r="N6" s="619" t="n">
        <v>46069</v>
      </c>
      <c r="O6" s="619" t="n">
        <v>46076</v>
      </c>
      <c r="P6" s="619" t="n">
        <v>46083</v>
      </c>
      <c r="Q6" s="619" t="n">
        <v>46090</v>
      </c>
      <c r="R6" s="619" t="n">
        <v>46097</v>
      </c>
      <c r="S6" s="619" t="n">
        <v>46104</v>
      </c>
      <c r="T6" s="619" t="n">
        <v>46111</v>
      </c>
      <c r="U6" s="619" t="n">
        <v>46118</v>
      </c>
      <c r="V6" s="619" t="n">
        <v>46125</v>
      </c>
      <c r="W6" s="619" t="n">
        <v>46132</v>
      </c>
      <c r="X6" s="619" t="n">
        <v>46139</v>
      </c>
      <c r="Y6" s="619" t="n">
        <v>46146</v>
      </c>
      <c r="Z6" s="619" t="n">
        <v>46154</v>
      </c>
      <c r="AA6" s="619" t="n">
        <v>46160</v>
      </c>
      <c r="AB6" s="620" t="n">
        <v>46161.48013361111</v>
      </c>
      <c r="AC6" s="620" t="n">
        <v>46161.48080726852</v>
      </c>
      <c r="AD6" s="620" t="n">
        <v>46161.48296430951</v>
      </c>
      <c r="AE6" s="678" t="inlineStr">
        <is>
          <t>USOU</t>
        </is>
      </c>
      <c r="AF6" s="30" t="n"/>
      <c r="AG6" s="664" t="n"/>
      <c r="AH6" s="664" t="n">
        <v>46149</v>
      </c>
      <c r="AI6" s="623" t="n"/>
      <c r="AJ6" s="624" t="n">
        <v>46155</v>
      </c>
      <c r="AK6" s="673" t="n">
        <v>46161.48296364662</v>
      </c>
      <c r="AL6" s="674" t="n">
        <v>46154</v>
      </c>
      <c r="AM6" s="674" t="n">
        <v>46149</v>
      </c>
      <c r="AN6" s="674" t="n">
        <v>46125</v>
      </c>
      <c r="AO6" s="674" t="n">
        <v>46112</v>
      </c>
      <c r="AP6" s="674" t="n">
        <v>46106</v>
      </c>
      <c r="AQ6" s="675" t="n">
        <v>46104</v>
      </c>
      <c r="AR6" s="674" t="n">
        <v>46100</v>
      </c>
      <c r="AS6" s="674" t="n">
        <v>46090</v>
      </c>
      <c r="AT6" s="675" t="n">
        <v>46087</v>
      </c>
      <c r="AU6" s="676" t="n">
        <v>46087</v>
      </c>
      <c r="AV6" s="674" t="n">
        <v>46084</v>
      </c>
      <c r="AW6" s="674" t="n">
        <v>46077</v>
      </c>
      <c r="AX6" s="674" t="n">
        <v>46064</v>
      </c>
      <c r="AY6" s="674" t="n">
        <v>46057</v>
      </c>
      <c r="AZ6" s="674" t="n">
        <v>46041</v>
      </c>
      <c r="BA6" s="674" t="n">
        <v>46045</v>
      </c>
      <c r="BB6" s="674" t="n">
        <v>46049</v>
      </c>
      <c r="BC6" s="674" t="n">
        <v>46041</v>
      </c>
      <c r="BD6" s="674" t="n">
        <v>46028</v>
      </c>
      <c r="BE6" s="674" t="n">
        <v>46014</v>
      </c>
      <c r="BF6" s="674" t="n">
        <v>46010</v>
      </c>
      <c r="BG6" s="674" t="n">
        <v>46006</v>
      </c>
      <c r="BH6" s="677" t="n">
        <v>46014</v>
      </c>
      <c r="BI6" s="674" t="n">
        <v>46001</v>
      </c>
      <c r="BJ6" s="674" t="n">
        <v>46000</v>
      </c>
      <c r="BK6" s="674" t="n">
        <v>45994</v>
      </c>
    </row>
    <row r="7" ht="21.75" customFormat="1" customHeight="1" s="3">
      <c r="A7" s="20" t="inlineStr">
        <is>
          <t>SACOLAS BOTICÁRIO</t>
        </is>
      </c>
      <c r="B7" s="4" t="n"/>
      <c r="C7" s="5" t="n"/>
      <c r="D7" s="239" t="n"/>
      <c r="E7" s="11" t="n"/>
      <c r="F7" s="12" t="n"/>
      <c r="G7" s="12" t="n"/>
      <c r="H7" s="12" t="n"/>
      <c r="I7" s="12" t="n"/>
      <c r="J7" s="12" t="n"/>
      <c r="K7" s="12" t="n"/>
      <c r="L7" s="12" t="n"/>
      <c r="M7" s="12" t="n"/>
      <c r="N7" s="12" t="n"/>
      <c r="O7" s="12" t="n"/>
      <c r="P7" s="12" t="n"/>
      <c r="Q7" s="12" t="n"/>
      <c r="R7" s="12" t="n"/>
      <c r="S7" s="12" t="n"/>
      <c r="T7" s="12" t="n"/>
      <c r="U7" s="12" t="n"/>
      <c r="V7" s="12" t="n"/>
      <c r="W7" s="12" t="n"/>
      <c r="X7" s="12" t="n"/>
      <c r="Y7" s="12" t="n"/>
      <c r="Z7" s="12" t="n"/>
      <c r="AA7" s="12" t="n"/>
      <c r="AB7" s="12" t="n"/>
      <c r="AC7" s="12" t="n"/>
      <c r="AD7" s="12" t="n"/>
      <c r="AE7" s="12" t="n"/>
      <c r="AF7" s="11" t="n"/>
      <c r="AG7" s="85" t="n"/>
      <c r="AH7" s="85" t="n"/>
      <c r="AI7" s="11" t="n"/>
      <c r="AJ7" s="113" t="n"/>
      <c r="AK7" s="116" t="n"/>
      <c r="AL7" s="116" t="n"/>
      <c r="AM7" s="116" t="n"/>
      <c r="AN7" s="116" t="n"/>
      <c r="AO7" s="116" t="n"/>
      <c r="AP7" s="116" t="n"/>
      <c r="AQ7" s="116" t="inlineStr">
        <is>
          <t>MÃES</t>
        </is>
      </c>
      <c r="AR7" s="116" t="n"/>
      <c r="AS7" s="116" t="n"/>
      <c r="AT7" s="116" t="inlineStr">
        <is>
          <t>MÃES</t>
        </is>
      </c>
      <c r="AU7" s="116" t="inlineStr">
        <is>
          <t>MÃES</t>
        </is>
      </c>
      <c r="AV7" s="116" t="n"/>
      <c r="AW7" s="116" t="n"/>
      <c r="AX7" s="116" t="n"/>
      <c r="AY7" s="116" t="n"/>
      <c r="AZ7" s="116" t="n"/>
      <c r="BA7" s="116" t="n"/>
      <c r="BB7" s="116" t="n"/>
      <c r="BC7" s="116" t="n"/>
      <c r="BD7" s="116" t="n"/>
      <c r="BE7" s="116" t="n"/>
      <c r="BF7" s="116" t="n"/>
      <c r="BG7" s="116" t="n"/>
      <c r="BH7" s="116" t="n"/>
      <c r="BI7" s="116" t="n"/>
      <c r="BJ7" s="116" t="n"/>
      <c r="BK7" s="116" t="n"/>
    </row>
    <row r="8" customFormat="1" s="3">
      <c r="A8" s="21" t="inlineStr">
        <is>
          <t>SACOLA PP VERDE</t>
        </is>
      </c>
      <c r="B8" s="6" t="n">
        <v>300</v>
      </c>
      <c r="C8" s="627" t="n">
        <v>178.21</v>
      </c>
      <c r="D8" s="240" t="n">
        <v>1000</v>
      </c>
      <c r="E8" s="11" t="n"/>
      <c r="F8" s="125" t="n">
        <v>2400</v>
      </c>
      <c r="G8" s="125" t="n">
        <v>2400</v>
      </c>
      <c r="H8" s="125" t="n">
        <v>1800</v>
      </c>
      <c r="I8" s="125" t="n">
        <v>1800</v>
      </c>
      <c r="J8" s="125">
        <f>1500+AZ8</f>
        <v/>
      </c>
      <c r="K8" s="125" t="n">
        <v>1800</v>
      </c>
      <c r="L8" s="125" t="n">
        <v>1500</v>
      </c>
      <c r="M8" s="125" t="n">
        <v>1500</v>
      </c>
      <c r="N8" s="125" t="n">
        <v>1200</v>
      </c>
      <c r="O8" s="125" t="n">
        <v>1200</v>
      </c>
      <c r="P8" s="125" t="n">
        <v>900</v>
      </c>
      <c r="Q8" s="125">
        <f>600+AP8</f>
        <v/>
      </c>
      <c r="R8" s="125">
        <f>600+AO8</f>
        <v/>
      </c>
      <c r="S8" s="125" t="n">
        <v>900</v>
      </c>
      <c r="T8" s="125" t="n">
        <v>600</v>
      </c>
      <c r="U8" s="125" t="n">
        <v>300</v>
      </c>
      <c r="V8" s="125" t="n">
        <v>300</v>
      </c>
      <c r="W8" s="125" t="n">
        <v>600</v>
      </c>
      <c r="X8" s="125" t="n">
        <v>300</v>
      </c>
      <c r="Y8" s="125">
        <f>0+AJ8</f>
        <v/>
      </c>
      <c r="Z8" s="125" t="n">
        <v>900</v>
      </c>
      <c r="AA8" s="125" t="n"/>
      <c r="AB8" s="84" t="n"/>
      <c r="AC8" s="84" t="n"/>
      <c r="AD8" s="84" t="n"/>
      <c r="AE8" s="380">
        <f>AC8+IF(NOT(ISBLANK(OFFSET(AE8,0,6))),N(OFFSET(AE8,0,6)),N(OFFSET(AE8,0,7)))-AD8</f>
        <v/>
      </c>
      <c r="AF8" s="11" t="n"/>
      <c r="AG8" s="78" t="n"/>
      <c r="AH8" s="78" t="n"/>
      <c r="AI8" s="11" t="n"/>
      <c r="AJ8" s="32" t="n"/>
      <c r="AK8" s="628" t="n">
        <v>0</v>
      </c>
      <c r="AL8" s="19" t="n">
        <v>0</v>
      </c>
      <c r="AM8" s="19" t="n">
        <v>900</v>
      </c>
      <c r="AN8" s="19" t="n">
        <v>900</v>
      </c>
      <c r="AO8" s="19" t="n"/>
      <c r="AP8" s="19" t="n"/>
      <c r="AQ8" s="19" t="n"/>
      <c r="AR8" s="19" t="n">
        <v>300</v>
      </c>
      <c r="AS8" s="19" t="n">
        <v>300</v>
      </c>
      <c r="AT8" s="19" t="n"/>
      <c r="AU8" s="19" t="n"/>
      <c r="AV8" s="19" t="n"/>
      <c r="AW8" s="19" t="n"/>
      <c r="AX8" s="19" t="n"/>
      <c r="AY8" s="19" t="n"/>
      <c r="AZ8" s="19" t="n"/>
      <c r="BA8" s="19" t="n"/>
      <c r="BB8" s="19" t="n"/>
      <c r="BC8" s="19" t="n">
        <v>600</v>
      </c>
      <c r="BD8" s="19" t="n"/>
      <c r="BE8" s="19" t="n"/>
      <c r="BF8" s="19" t="n"/>
      <c r="BG8" s="19" t="n"/>
      <c r="BH8" s="19" t="n"/>
      <c r="BI8" s="19" t="n">
        <v>1800</v>
      </c>
      <c r="BJ8" s="19" t="n"/>
      <c r="BK8" s="19" t="n"/>
    </row>
    <row r="9" customFormat="1" s="3">
      <c r="A9" s="21" t="inlineStr">
        <is>
          <t xml:space="preserve">SACOLA P VERDE </t>
        </is>
      </c>
      <c r="B9" s="6" t="n">
        <v>200</v>
      </c>
      <c r="C9" s="627" t="n">
        <v>183.89</v>
      </c>
      <c r="D9" s="240" t="n">
        <v>2400</v>
      </c>
      <c r="E9" s="11" t="n"/>
      <c r="F9" s="125" t="n">
        <v>3600</v>
      </c>
      <c r="G9" s="125" t="n">
        <v>2800</v>
      </c>
      <c r="H9" s="125">
        <f>1800+BA9</f>
        <v/>
      </c>
      <c r="I9" s="125" t="n">
        <v>2800</v>
      </c>
      <c r="J9" s="125">
        <f>1600+AZ9</f>
        <v/>
      </c>
      <c r="K9" s="125">
        <f>1400+AY9</f>
        <v/>
      </c>
      <c r="L9" s="125">
        <f>2800+AV9</f>
        <v/>
      </c>
      <c r="M9" s="125">
        <f>3800+AU9</f>
        <v/>
      </c>
      <c r="N9" s="125" t="n">
        <v>4000</v>
      </c>
      <c r="O9" s="125">
        <f>2600+AT9</f>
        <v/>
      </c>
      <c r="P9" s="125">
        <f>5600+AS9</f>
        <v/>
      </c>
      <c r="Q9" s="125" t="n">
        <v>4000</v>
      </c>
      <c r="R9" s="125">
        <f>4000+AO9</f>
        <v/>
      </c>
      <c r="S9" s="125" t="n">
        <v>6800</v>
      </c>
      <c r="T9" s="125" t="n">
        <v>5800</v>
      </c>
      <c r="U9" s="125" t="n">
        <v>5000</v>
      </c>
      <c r="V9" s="125" t="n">
        <v>4200</v>
      </c>
      <c r="W9" s="125" t="n">
        <v>4800</v>
      </c>
      <c r="X9" s="125" t="n">
        <v>4800</v>
      </c>
      <c r="Y9" s="125" t="n">
        <v>4800</v>
      </c>
      <c r="Z9" s="125" t="n">
        <v>400</v>
      </c>
      <c r="AA9" s="125" t="n"/>
      <c r="AB9" s="84" t="n"/>
      <c r="AC9" s="84" t="n"/>
      <c r="AD9" s="84" t="n"/>
      <c r="AE9" s="380">
        <f>AC9+IF(NOT(ISBLANK(OFFSET(AE9,0,6))),N(OFFSET(AE9,0,6)),N(OFFSET(AE9,0,7)))-AD9</f>
        <v/>
      </c>
      <c r="AF9" s="11" t="n"/>
      <c r="AG9" s="78" t="n"/>
      <c r="AH9" s="78" t="n"/>
      <c r="AI9" s="11" t="n"/>
      <c r="AJ9" s="32" t="n">
        <v>2000</v>
      </c>
      <c r="AK9" s="628" t="n">
        <v>0</v>
      </c>
      <c r="AL9" s="19" t="n">
        <v>0</v>
      </c>
      <c r="AM9" s="19" t="n">
        <v>0</v>
      </c>
      <c r="AN9" s="19" t="n">
        <v>2000</v>
      </c>
      <c r="AO9" s="19" t="n"/>
      <c r="AP9" s="19" t="n"/>
      <c r="AQ9" s="251" t="n">
        <v>4000</v>
      </c>
      <c r="AR9" s="19" t="n">
        <v>3000</v>
      </c>
      <c r="AS9" s="19" t="n"/>
      <c r="AT9" s="19" t="n"/>
      <c r="AU9" s="19" t="n"/>
      <c r="AV9" s="19" t="n">
        <v>1400</v>
      </c>
      <c r="AW9" s="19" t="n">
        <v>4000</v>
      </c>
      <c r="AX9" s="19" t="n">
        <v>1200</v>
      </c>
      <c r="AY9" s="19" t="n">
        <v>1200</v>
      </c>
      <c r="AZ9" s="19" t="n"/>
      <c r="BA9" s="19" t="n"/>
      <c r="BB9" s="19" t="n">
        <v>2400</v>
      </c>
      <c r="BC9" s="19" t="n">
        <v>1000</v>
      </c>
      <c r="BD9" s="19" t="n">
        <v>2000</v>
      </c>
      <c r="BE9" s="19" t="n"/>
      <c r="BF9" s="19" t="n"/>
      <c r="BG9" s="19" t="n"/>
      <c r="BH9" s="260" t="inlineStr">
        <is>
          <t>200 P/ JDM</t>
        </is>
      </c>
      <c r="BI9" s="19" t="n">
        <v>4000</v>
      </c>
      <c r="BJ9" s="19" t="n">
        <v>1000</v>
      </c>
      <c r="BK9" s="19" t="n"/>
    </row>
    <row r="10" customFormat="1" s="3">
      <c r="A10" s="21" t="inlineStr">
        <is>
          <t>SACOLA M VERDE</t>
        </is>
      </c>
      <c r="B10" s="6" t="n">
        <v>200</v>
      </c>
      <c r="C10" s="627" t="n">
        <v>241.74</v>
      </c>
      <c r="D10" s="245" t="n">
        <v>800</v>
      </c>
      <c r="E10" s="11" t="n"/>
      <c r="F10" s="125" t="n">
        <v>2600</v>
      </c>
      <c r="G10" s="125" t="n">
        <v>2400</v>
      </c>
      <c r="H10" s="125" t="n">
        <v>2200</v>
      </c>
      <c r="I10" s="125" t="n">
        <v>2000</v>
      </c>
      <c r="J10" s="125">
        <f>2000+AZ10</f>
        <v/>
      </c>
      <c r="K10" s="125" t="n">
        <v>2200</v>
      </c>
      <c r="L10" s="125" t="n">
        <v>2200</v>
      </c>
      <c r="M10" s="125" t="n">
        <v>2200</v>
      </c>
      <c r="N10" s="125" t="n">
        <v>1800</v>
      </c>
      <c r="O10" s="125" t="n">
        <v>1800</v>
      </c>
      <c r="P10" s="125">
        <f>1800+AS10</f>
        <v/>
      </c>
      <c r="Q10" s="125" t="n">
        <v>1400</v>
      </c>
      <c r="R10" s="125" t="n">
        <v>1400</v>
      </c>
      <c r="S10" s="125" t="n">
        <v>1200</v>
      </c>
      <c r="T10" s="125" t="n">
        <v>1200</v>
      </c>
      <c r="U10" s="125" t="n">
        <v>1000</v>
      </c>
      <c r="V10" s="125" t="n">
        <v>800</v>
      </c>
      <c r="W10" s="125" t="n">
        <v>800</v>
      </c>
      <c r="X10" s="125" t="n">
        <v>800</v>
      </c>
      <c r="Y10" s="125" t="n">
        <v>800</v>
      </c>
      <c r="Z10" s="125" t="n">
        <v>800</v>
      </c>
      <c r="AA10" s="125" t="n"/>
      <c r="AB10" s="84" t="n"/>
      <c r="AC10" s="84" t="n"/>
      <c r="AD10" s="84" t="n"/>
      <c r="AE10" s="380">
        <f>AC10+IF(NOT(ISBLANK(OFFSET(AE10,0,6))),N(OFFSET(AE10,0,6)),N(OFFSET(AE10,0,7)))-AD10</f>
        <v/>
      </c>
      <c r="AF10" s="11" t="n"/>
      <c r="AG10" s="78" t="n"/>
      <c r="AH10" s="78" t="n"/>
      <c r="AI10" s="11" t="n"/>
      <c r="AJ10" s="32" t="n"/>
      <c r="AK10" s="628" t="n">
        <v>0</v>
      </c>
      <c r="AL10" s="19" t="n">
        <v>0</v>
      </c>
      <c r="AM10" s="19" t="n">
        <v>0</v>
      </c>
      <c r="AN10" s="19" t="n"/>
      <c r="AO10" s="19" t="n"/>
      <c r="AP10" s="19" t="n"/>
      <c r="AQ10" s="251" t="n">
        <v>2200</v>
      </c>
      <c r="AR10" s="19" t="n"/>
      <c r="AS10" s="19" t="n"/>
      <c r="AT10" s="19" t="n"/>
      <c r="AU10" s="301" t="n">
        <v>2100</v>
      </c>
      <c r="AV10" s="19" t="n">
        <v>400</v>
      </c>
      <c r="AW10" s="19" t="n"/>
      <c r="AX10" s="19" t="n"/>
      <c r="AY10" s="19" t="n"/>
      <c r="AZ10" s="19" t="n"/>
      <c r="BA10" s="19" t="n"/>
      <c r="BB10" s="19" t="n"/>
      <c r="BC10" s="19" t="n">
        <v>400</v>
      </c>
      <c r="BD10" s="19" t="n"/>
      <c r="BE10" s="19" t="n"/>
      <c r="BF10" s="19" t="n"/>
      <c r="BG10" s="19" t="n"/>
      <c r="BH10" s="19" t="n"/>
      <c r="BI10" s="19" t="n">
        <v>1000</v>
      </c>
      <c r="BJ10" s="19" t="n">
        <v>800</v>
      </c>
      <c r="BK10" s="19" t="n"/>
    </row>
    <row r="11" ht="19.5" customFormat="1" customHeight="1" s="3">
      <c r="A11" s="22" t="inlineStr">
        <is>
          <t xml:space="preserve">SACOLA G VERDE </t>
        </is>
      </c>
      <c r="B11" s="6" t="n">
        <v>100</v>
      </c>
      <c r="C11" s="627" t="n">
        <v>175.78</v>
      </c>
      <c r="D11" s="240" t="n">
        <v>300</v>
      </c>
      <c r="E11" s="11" t="n"/>
      <c r="F11" s="39" t="n">
        <v>300</v>
      </c>
      <c r="G11" s="39" t="n">
        <v>100</v>
      </c>
      <c r="H11" s="39" t="n">
        <v>0</v>
      </c>
      <c r="I11" s="39" t="n">
        <v>0</v>
      </c>
      <c r="J11" s="39">
        <f>0+AZ11</f>
        <v/>
      </c>
      <c r="K11" s="39" t="n">
        <v>500</v>
      </c>
      <c r="L11" s="39" t="n">
        <v>500</v>
      </c>
      <c r="M11" s="39" t="n">
        <v>500</v>
      </c>
      <c r="N11" s="39" t="n">
        <v>400</v>
      </c>
      <c r="O11" s="39" t="n">
        <v>400</v>
      </c>
      <c r="P11" s="39">
        <f>200+AS11</f>
        <v/>
      </c>
      <c r="Q11" s="39">
        <f>500+AP11</f>
        <v/>
      </c>
      <c r="R11" s="39" t="n">
        <v>800</v>
      </c>
      <c r="S11" s="39" t="n">
        <v>800</v>
      </c>
      <c r="T11" s="39" t="n">
        <v>600</v>
      </c>
      <c r="U11" s="39" t="n">
        <v>600</v>
      </c>
      <c r="V11" s="39" t="n">
        <v>500</v>
      </c>
      <c r="W11" s="39" t="n">
        <v>900</v>
      </c>
      <c r="X11" s="39" t="n">
        <v>900</v>
      </c>
      <c r="Y11" s="39" t="n">
        <v>900</v>
      </c>
      <c r="Z11" s="39" t="n">
        <v>900</v>
      </c>
      <c r="AA11" s="39" t="n"/>
      <c r="AB11" s="6" t="n"/>
      <c r="AC11" s="6" t="n"/>
      <c r="AD11" s="6" t="n"/>
      <c r="AE11" s="380">
        <f>AC11+IF(NOT(ISBLANK(OFFSET(AE11,0,6))),N(OFFSET(AE11,0,6)),N(OFFSET(AE11,0,7)))-AD11</f>
        <v/>
      </c>
      <c r="AF11" s="11" t="n"/>
      <c r="AG11" s="78" t="n"/>
      <c r="AH11" s="78" t="n"/>
      <c r="AI11" s="11" t="n"/>
      <c r="AJ11" s="32" t="n"/>
      <c r="AK11" s="628" t="n">
        <v>0</v>
      </c>
      <c r="AL11" s="19" t="n">
        <v>0</v>
      </c>
      <c r="AM11" s="19" t="n">
        <v>0</v>
      </c>
      <c r="AN11" s="19" t="n">
        <v>400</v>
      </c>
      <c r="AO11" s="19" t="n"/>
      <c r="AP11" s="19" t="n"/>
      <c r="AQ11" s="251" t="n">
        <v>800</v>
      </c>
      <c r="AR11" s="19" t="n"/>
      <c r="AS11" s="19" t="n">
        <v>400</v>
      </c>
      <c r="AT11" s="19" t="n"/>
      <c r="AU11" s="19" t="n"/>
      <c r="AV11" s="19" t="n">
        <v>300</v>
      </c>
      <c r="AW11" s="19" t="n"/>
      <c r="AX11" s="19" t="n"/>
      <c r="AY11" s="19" t="n"/>
      <c r="AZ11" s="19" t="n"/>
      <c r="BA11" s="19" t="n"/>
      <c r="BB11" s="19" t="n"/>
      <c r="BC11" s="19" t="n">
        <v>500</v>
      </c>
      <c r="BD11" s="19" t="n"/>
      <c r="BE11" s="19" t="n"/>
      <c r="BF11" s="19" t="n"/>
      <c r="BG11" s="19" t="n"/>
      <c r="BH11" s="260" t="inlineStr">
        <is>
          <t>100 P/ JDM</t>
        </is>
      </c>
      <c r="BI11" s="19" t="n">
        <v>300</v>
      </c>
      <c r="BJ11" s="19" t="n">
        <v>200</v>
      </c>
      <c r="BK11" s="19" t="n"/>
    </row>
    <row r="12" ht="19.5" customFormat="1" customHeight="1" s="3">
      <c r="A12" s="132" t="n"/>
      <c r="B12" s="133" t="n"/>
      <c r="C12" s="633" t="n"/>
      <c r="D12" s="633" t="n"/>
      <c r="E12" s="11" t="n"/>
      <c r="F12" s="2" t="n"/>
      <c r="G12" s="2" t="n"/>
      <c r="H12" s="2" t="n"/>
      <c r="I12" s="2" t="n"/>
      <c r="J12" s="2" t="n"/>
      <c r="K12" s="2" t="n"/>
      <c r="L12" s="2" t="n"/>
      <c r="M12" s="2" t="n"/>
      <c r="N12" s="2" t="n"/>
      <c r="O12" s="2" t="n"/>
      <c r="P12" s="2" t="n"/>
      <c r="Q12" s="2" t="n"/>
      <c r="R12" s="2" t="n"/>
      <c r="S12" s="2" t="n"/>
      <c r="T12" s="2" t="n"/>
      <c r="U12" s="2" t="n"/>
      <c r="V12" s="2" t="n"/>
      <c r="W12" s="2" t="n"/>
      <c r="X12" s="2" t="n"/>
      <c r="Y12" s="2" t="n"/>
      <c r="Z12" s="2" t="n"/>
      <c r="AA12" s="2" t="n"/>
      <c r="AB12" s="1" t="n"/>
      <c r="AC12" s="1" t="n"/>
      <c r="AD12" s="1" t="n"/>
      <c r="AE12" s="2" t="n"/>
      <c r="AF12" s="11" t="n"/>
      <c r="AG12" s="10" t="n"/>
      <c r="AH12" s="10" t="n"/>
      <c r="AI12" s="11" t="n"/>
      <c r="AJ12" s="33" t="n"/>
      <c r="AK12" s="396" t="n"/>
      <c r="AL12" s="75" t="n"/>
      <c r="AM12" s="75" t="n"/>
      <c r="AN12" s="75" t="n"/>
      <c r="AO12" s="75" t="n"/>
      <c r="AP12" s="75" t="n"/>
      <c r="AQ12" s="75" t="n"/>
      <c r="AR12" s="75" t="n"/>
      <c r="AS12" s="75" t="n"/>
      <c r="AT12" s="75" t="n"/>
      <c r="AU12" s="75" t="n"/>
      <c r="AV12" s="75" t="n"/>
      <c r="AW12" s="75" t="n"/>
      <c r="AX12" s="75" t="n"/>
      <c r="AY12" s="75" t="n"/>
      <c r="AZ12" s="75" t="n"/>
      <c r="BA12" s="75" t="n"/>
      <c r="BB12" s="75" t="n"/>
      <c r="BC12" s="75" t="n"/>
      <c r="BD12" s="75" t="n"/>
      <c r="BE12" s="75" t="n"/>
      <c r="BF12" s="75" t="n"/>
      <c r="BG12" s="75" t="n"/>
      <c r="BH12" s="75" t="n"/>
      <c r="BI12" s="75" t="n"/>
      <c r="BJ12" s="75" t="n"/>
      <c r="BK12" s="75" t="n"/>
    </row>
    <row r="13" ht="18.75" customFormat="1" customHeight="1" s="3">
      <c r="A13" s="548" t="inlineStr">
        <is>
          <t>SACOLAS P/ VENDA EM UND</t>
        </is>
      </c>
      <c r="B13" s="12" t="inlineStr">
        <is>
          <t>PC</t>
        </is>
      </c>
      <c r="C13" s="631" t="inlineStr">
        <is>
          <t>R$</t>
        </is>
      </c>
      <c r="D13" s="12" t="inlineStr">
        <is>
          <t>Estoque Ideal</t>
        </is>
      </c>
      <c r="E13" s="1" t="n"/>
      <c r="F13" s="619" t="n">
        <v>46013</v>
      </c>
      <c r="G13" s="619" t="n">
        <v>46020</v>
      </c>
      <c r="H13" s="619" t="n">
        <v>46027</v>
      </c>
      <c r="I13" s="619" t="n">
        <v>46034</v>
      </c>
      <c r="J13" s="619" t="n">
        <v>46041</v>
      </c>
      <c r="K13" s="619" t="n">
        <v>46048</v>
      </c>
      <c r="L13" s="619" t="n">
        <v>46055</v>
      </c>
      <c r="M13" s="619" t="n">
        <v>46062</v>
      </c>
      <c r="N13" s="619" t="n">
        <v>46069</v>
      </c>
      <c r="O13" s="619" t="n">
        <v>46076</v>
      </c>
      <c r="P13" s="619" t="n">
        <v>46083</v>
      </c>
      <c r="Q13" s="619" t="n">
        <v>46090</v>
      </c>
      <c r="R13" s="619" t="n">
        <v>46097</v>
      </c>
      <c r="S13" s="619" t="n">
        <v>46104</v>
      </c>
      <c r="T13" s="619" t="n">
        <v>46111</v>
      </c>
      <c r="U13" s="619" t="n">
        <v>46118</v>
      </c>
      <c r="V13" s="619" t="n">
        <v>46125</v>
      </c>
      <c r="W13" s="619" t="n">
        <v>46132</v>
      </c>
      <c r="X13" s="619" t="n">
        <v>46139</v>
      </c>
      <c r="Y13" s="619" t="n">
        <v>46146</v>
      </c>
      <c r="Z13" s="619" t="n">
        <v>46154</v>
      </c>
      <c r="AA13" s="619" t="n">
        <v>46160</v>
      </c>
      <c r="AB13" s="620" t="n">
        <v>46161.48013361111</v>
      </c>
      <c r="AC13" s="620" t="n">
        <v>46161.48080726852</v>
      </c>
      <c r="AD13" s="620" t="n">
        <v>46161.48296430983</v>
      </c>
      <c r="AE13" s="678" t="inlineStr">
        <is>
          <t>USOU</t>
        </is>
      </c>
      <c r="AG13" s="29" t="inlineStr">
        <is>
          <t>Pendências</t>
        </is>
      </c>
      <c r="AH13" s="29" t="inlineStr">
        <is>
          <t>Pendências</t>
        </is>
      </c>
      <c r="AI13" s="129" t="n"/>
      <c r="AJ13" s="9" t="inlineStr">
        <is>
          <t>Novo Pedido</t>
        </is>
      </c>
      <c r="AK13" s="673" t="n">
        <v>46161.48296364698</v>
      </c>
      <c r="AL13" s="674" t="n">
        <v>46149</v>
      </c>
      <c r="AM13" s="674" t="n">
        <v>46142</v>
      </c>
      <c r="AN13" s="674" t="n">
        <v>46114</v>
      </c>
      <c r="AO13" s="674" t="n">
        <v>46107</v>
      </c>
      <c r="AP13" s="674" t="n">
        <v>46099</v>
      </c>
      <c r="AQ13" s="675" t="n">
        <v>46065</v>
      </c>
      <c r="AR13" s="674" t="n">
        <v>46092</v>
      </c>
      <c r="AS13" s="674" t="n">
        <v>46084</v>
      </c>
      <c r="AT13" s="675" t="n">
        <v>46065</v>
      </c>
      <c r="AU13" s="676" t="n">
        <v>46045</v>
      </c>
      <c r="AV13" s="674" t="n">
        <v>46077</v>
      </c>
      <c r="AW13" s="674" t="n">
        <v>46071</v>
      </c>
      <c r="AX13" s="674" t="n">
        <v>46056</v>
      </c>
      <c r="AY13" s="674" t="n">
        <v>46048</v>
      </c>
      <c r="AZ13" s="674" t="n">
        <v>46029</v>
      </c>
      <c r="BA13" s="674" t="n">
        <v>46029</v>
      </c>
      <c r="BB13" s="674" t="n">
        <v>46043</v>
      </c>
      <c r="BC13" s="674" t="n">
        <v>46029</v>
      </c>
      <c r="BD13" s="674" t="n">
        <v>46017</v>
      </c>
      <c r="BE13" s="674" t="n">
        <v>46007</v>
      </c>
      <c r="BF13" s="674" t="n">
        <v>46001</v>
      </c>
      <c r="BG13" s="674" t="n">
        <v>46001</v>
      </c>
      <c r="BH13" s="677" t="n">
        <v>46014</v>
      </c>
      <c r="BI13" s="674" t="n">
        <v>45994</v>
      </c>
      <c r="BJ13" s="674" t="n">
        <v>45986</v>
      </c>
      <c r="BK13" s="674" t="n">
        <v>45986</v>
      </c>
    </row>
    <row r="14" ht="18.75" customFormat="1" customHeight="1" s="3">
      <c r="A14" s="25" t="inlineStr">
        <is>
          <t>SACOLA PP 2025</t>
        </is>
      </c>
      <c r="B14" s="6" t="n">
        <v>300</v>
      </c>
      <c r="C14" s="632" t="n">
        <v>216</v>
      </c>
      <c r="D14" s="240" t="n">
        <v>300</v>
      </c>
      <c r="E14" s="1" t="n"/>
      <c r="F14" s="131" t="n">
        <v>460</v>
      </c>
      <c r="G14" s="131" t="n">
        <v>424</v>
      </c>
      <c r="H14" s="131" t="n">
        <v>397</v>
      </c>
      <c r="I14" s="131" t="n">
        <v>357</v>
      </c>
      <c r="J14" s="131" t="n">
        <v>357</v>
      </c>
      <c r="K14" s="131" t="n">
        <v>326</v>
      </c>
      <c r="L14" s="131" t="n">
        <v>301</v>
      </c>
      <c r="M14" s="131" t="n">
        <v>261</v>
      </c>
      <c r="N14" s="131" t="n">
        <v>287</v>
      </c>
      <c r="O14" s="131" t="n">
        <v>262</v>
      </c>
      <c r="P14" s="131">
        <f>240+AS14</f>
        <v/>
      </c>
      <c r="Q14" s="131" t="n">
        <v>495</v>
      </c>
      <c r="R14" s="131" t="n">
        <v>484</v>
      </c>
      <c r="S14" s="131" t="n">
        <v>436</v>
      </c>
      <c r="T14" s="131" t="n">
        <v>411</v>
      </c>
      <c r="U14" s="131" t="n"/>
      <c r="V14" s="131" t="n"/>
      <c r="W14" s="131" t="n"/>
      <c r="X14" s="131" t="n"/>
      <c r="Y14" s="131" t="n"/>
      <c r="Z14" s="131" t="n">
        <v>190</v>
      </c>
      <c r="AA14" s="131" t="n">
        <v>147</v>
      </c>
      <c r="AB14" s="679" t="n">
        <v>147</v>
      </c>
      <c r="AC14" s="679" t="n">
        <v>147</v>
      </c>
      <c r="AD14" s="679" t="n">
        <v>147</v>
      </c>
      <c r="AE14" s="380">
        <f>AC14+IF(NOT(ISBLANK(OFFSET(AE14,0,6))),N(OFFSET(AE14,0,6)),N(OFFSET(AE14,0,7)))-AD14</f>
        <v/>
      </c>
      <c r="AG14" s="78" t="n"/>
      <c r="AH14" s="78" t="n"/>
      <c r="AI14" s="129" t="n"/>
      <c r="AJ14" s="32" t="n"/>
      <c r="AK14" s="628" t="n">
        <v>0</v>
      </c>
      <c r="AL14" s="19" t="n">
        <v>0</v>
      </c>
      <c r="AM14" s="19" t="n">
        <v>0</v>
      </c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>
        <v>300</v>
      </c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>
        <v>600</v>
      </c>
    </row>
    <row r="15" ht="18.75" customFormat="1" customHeight="1" s="3">
      <c r="A15" s="25" t="inlineStr">
        <is>
          <t>SACOLA P 2025</t>
        </is>
      </c>
      <c r="B15" s="6" t="n">
        <v>200</v>
      </c>
      <c r="C15" s="632" t="n">
        <v>246.28</v>
      </c>
      <c r="D15" s="240" t="n">
        <v>400</v>
      </c>
      <c r="E15" s="1" t="n"/>
      <c r="F15" s="39" t="n">
        <v>378</v>
      </c>
      <c r="G15" s="39" t="n">
        <v>347</v>
      </c>
      <c r="H15" s="39" t="n">
        <v>321</v>
      </c>
      <c r="I15" s="39" t="n">
        <v>312</v>
      </c>
      <c r="J15" s="39" t="n">
        <v>304</v>
      </c>
      <c r="K15" s="39" t="n">
        <v>304</v>
      </c>
      <c r="L15" s="39" t="n">
        <v>274</v>
      </c>
      <c r="M15" s="39">
        <f>248+AU15</f>
        <v/>
      </c>
      <c r="N15" s="39" t="n">
        <v>448</v>
      </c>
      <c r="O15" s="39" t="n">
        <v>437</v>
      </c>
      <c r="P15" s="39" t="n">
        <v>409</v>
      </c>
      <c r="Q15" s="39" t="n">
        <v>374</v>
      </c>
      <c r="R15" s="39" t="n">
        <v>312</v>
      </c>
      <c r="S15" s="39" t="n">
        <v>236</v>
      </c>
      <c r="T15" s="39" t="n">
        <v>167</v>
      </c>
      <c r="U15" s="39" t="n"/>
      <c r="V15" s="39" t="n"/>
      <c r="W15" s="39" t="n"/>
      <c r="X15" s="39" t="n"/>
      <c r="Y15" s="39" t="n"/>
      <c r="Z15" s="39" t="n">
        <v>0</v>
      </c>
      <c r="AA15" s="39" t="n">
        <v>0</v>
      </c>
      <c r="AB15" s="6" t="n">
        <v>0</v>
      </c>
      <c r="AC15" s="6" t="n">
        <v>0</v>
      </c>
      <c r="AD15" s="6" t="n">
        <v>0</v>
      </c>
      <c r="AE15" s="380">
        <f>AC15+IF(NOT(ISBLANK(OFFSET(AE15,0,6))),N(OFFSET(AE15,0,6)),N(OFFSET(AE15,0,7)))-AD15</f>
        <v/>
      </c>
      <c r="AG15" s="78" t="n"/>
      <c r="AH15" s="78" t="n"/>
      <c r="AI15" s="129" t="n"/>
      <c r="AJ15" s="32" t="n">
        <v>200</v>
      </c>
      <c r="AK15" s="628" t="n">
        <v>0</v>
      </c>
      <c r="AL15" s="19" t="n">
        <v>0</v>
      </c>
      <c r="AM15" s="19" t="n">
        <v>0</v>
      </c>
      <c r="AN15" s="19" t="n"/>
      <c r="AO15" s="19" t="n"/>
      <c r="AP15" s="19" t="n"/>
      <c r="AQ15" s="251" t="n">
        <v>400</v>
      </c>
      <c r="AR15" s="19" t="n"/>
      <c r="AS15" s="19" t="n"/>
      <c r="AT15" s="19" t="n"/>
      <c r="AU15" s="19" t="n"/>
      <c r="AV15" s="19" t="n"/>
      <c r="AW15" s="19" t="n"/>
      <c r="AX15" s="19" t="n">
        <v>200</v>
      </c>
      <c r="AY15" s="19" t="n"/>
      <c r="AZ15" s="19" t="n"/>
      <c r="BA15" s="19" t="n"/>
      <c r="BB15" s="19" t="n"/>
      <c r="BC15" s="19" t="n"/>
      <c r="BD15" s="19" t="n"/>
      <c r="BE15" s="19" t="n"/>
      <c r="BF15" s="19" t="n">
        <v>200</v>
      </c>
      <c r="BG15" s="19" t="n"/>
      <c r="BH15" s="19" t="n"/>
      <c r="BI15" s="19" t="n"/>
      <c r="BJ15" s="19" t="n"/>
      <c r="BK15" s="19" t="n">
        <v>200</v>
      </c>
    </row>
    <row r="16" ht="18.75" customFormat="1" customHeight="1" s="3">
      <c r="A16" s="25" t="inlineStr">
        <is>
          <t>SACOLA M 2025</t>
        </is>
      </c>
      <c r="B16" s="6" t="n">
        <v>200</v>
      </c>
      <c r="C16" s="632" t="n">
        <v>316.91</v>
      </c>
      <c r="D16" s="240" t="n">
        <v>200</v>
      </c>
      <c r="E16" s="1" t="n"/>
      <c r="F16" s="39" t="n">
        <v>72</v>
      </c>
      <c r="G16" s="39" t="n">
        <v>38</v>
      </c>
      <c r="H16" s="39" t="n">
        <v>19</v>
      </c>
      <c r="I16" s="39" t="n">
        <v>17</v>
      </c>
      <c r="J16" s="39" t="n">
        <v>16</v>
      </c>
      <c r="K16" s="39" t="n">
        <v>16</v>
      </c>
      <c r="L16" s="39" t="n">
        <v>9</v>
      </c>
      <c r="M16" s="39">
        <f>0+AU16</f>
        <v/>
      </c>
      <c r="N16" s="39" t="n">
        <v>200</v>
      </c>
      <c r="O16" s="39" t="n">
        <v>197</v>
      </c>
      <c r="P16" s="39" t="n">
        <v>188</v>
      </c>
      <c r="Q16" s="39" t="n">
        <v>160</v>
      </c>
      <c r="R16" s="39" t="n">
        <v>143</v>
      </c>
      <c r="S16" s="39" t="n">
        <v>112</v>
      </c>
      <c r="T16" s="39" t="n">
        <v>93</v>
      </c>
      <c r="U16" s="39" t="n"/>
      <c r="V16" s="39" t="n"/>
      <c r="W16" s="39" t="n"/>
      <c r="X16" s="39" t="n"/>
      <c r="Y16" s="39" t="n"/>
      <c r="Z16" s="39" t="n">
        <v>0</v>
      </c>
      <c r="AA16" s="39" t="n">
        <v>0</v>
      </c>
      <c r="AB16" s="6" t="n">
        <v>0</v>
      </c>
      <c r="AC16" s="6" t="n">
        <v>0</v>
      </c>
      <c r="AD16" s="6" t="n">
        <v>0</v>
      </c>
      <c r="AE16" s="380">
        <f>AC16+IF(NOT(ISBLANK(OFFSET(AE16,0,6))),N(OFFSET(AE16,0,6)),N(OFFSET(AE16,0,7)))-AD16</f>
        <v/>
      </c>
      <c r="AG16" s="78" t="n"/>
      <c r="AH16" s="78" t="n"/>
      <c r="AI16" s="129" t="n"/>
      <c r="AJ16" s="32" t="n">
        <v>200</v>
      </c>
      <c r="AK16" s="628" t="n">
        <v>0</v>
      </c>
      <c r="AL16" s="19" t="n">
        <v>0</v>
      </c>
      <c r="AM16" s="19" t="n">
        <v>0</v>
      </c>
      <c r="AN16" s="19" t="n"/>
      <c r="AO16" s="19" t="n"/>
      <c r="AP16" s="19" t="n"/>
      <c r="AQ16" s="251" t="n">
        <v>200</v>
      </c>
      <c r="AR16" s="19" t="n"/>
      <c r="AS16" s="19" t="n"/>
      <c r="AT16" s="19" t="n"/>
      <c r="AU16" s="301" t="n">
        <v>600</v>
      </c>
      <c r="AV16" s="19" t="n"/>
      <c r="AW16" s="19" t="n"/>
      <c r="AX16" s="19" t="n">
        <v>200</v>
      </c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</row>
    <row r="17" ht="16.5" customFormat="1" customHeight="1" s="3">
      <c r="A17" s="23" t="n"/>
      <c r="B17" s="1" t="n"/>
      <c r="C17" s="630" t="n"/>
      <c r="D17" s="630" t="n"/>
      <c r="E17" s="11" t="n"/>
      <c r="F17" s="2" t="n"/>
      <c r="G17" s="2" t="n"/>
      <c r="H17" s="2" t="n"/>
      <c r="I17" s="2" t="n"/>
      <c r="J17" s="2" t="n"/>
      <c r="K17" s="2" t="n"/>
      <c r="L17" s="2" t="n"/>
      <c r="M17" s="2" t="n"/>
      <c r="N17" s="2" t="n"/>
      <c r="O17" s="2" t="n"/>
      <c r="P17" s="2" t="n"/>
      <c r="Q17" s="2" t="n"/>
      <c r="R17" s="2" t="n"/>
      <c r="S17" s="2" t="n"/>
      <c r="T17" s="2" t="n"/>
      <c r="U17" s="2" t="n"/>
      <c r="V17" s="2" t="n"/>
      <c r="W17" s="2" t="n"/>
      <c r="X17" s="2" t="n"/>
      <c r="Y17" s="2" t="n"/>
      <c r="Z17" s="2" t="n"/>
      <c r="AA17" s="2" t="n"/>
      <c r="AB17" s="1" t="n"/>
      <c r="AC17" s="1" t="n"/>
      <c r="AD17" s="1" t="n"/>
      <c r="AE17" s="2" t="n"/>
      <c r="AF17" s="11" t="n"/>
      <c r="AG17" s="10" t="n"/>
      <c r="AH17" s="10" t="n"/>
      <c r="AI17" s="11" t="n"/>
      <c r="AJ17" s="33" t="n"/>
      <c r="AK17" s="16" t="n"/>
      <c r="AL17" s="15" t="n"/>
      <c r="AM17" s="15" t="n"/>
      <c r="AN17" s="15" t="n"/>
      <c r="AO17" s="15" t="n"/>
      <c r="AP17" s="15" t="n"/>
      <c r="AQ17" s="15" t="n"/>
      <c r="AR17" s="15" t="n"/>
      <c r="AS17" s="15" t="n"/>
      <c r="AT17" s="15" t="n"/>
      <c r="AU17" s="15" t="n"/>
      <c r="AV17" s="15" t="n"/>
      <c r="AW17" s="15" t="n"/>
      <c r="AX17" s="15" t="n"/>
      <c r="AY17" s="15" t="n"/>
      <c r="AZ17" s="15" t="n"/>
      <c r="BA17" s="15" t="n"/>
      <c r="BB17" s="15" t="n"/>
      <c r="BC17" s="15" t="n"/>
      <c r="BD17" s="15" t="n"/>
      <c r="BE17" s="15" t="n"/>
      <c r="BF17" s="15" t="n"/>
      <c r="BG17" s="15" t="n"/>
      <c r="BH17" s="15" t="n"/>
      <c r="BI17" s="15" t="n"/>
      <c r="BJ17" s="15" t="n"/>
      <c r="BK17" s="15" t="n"/>
    </row>
    <row r="18" customFormat="1" s="3">
      <c r="A18" s="548" t="inlineStr">
        <is>
          <t>DIVERSOS BOTICÁRIO</t>
        </is>
      </c>
      <c r="B18" s="12" t="inlineStr">
        <is>
          <t>PC</t>
        </is>
      </c>
      <c r="C18" s="631" t="inlineStr">
        <is>
          <t>R$</t>
        </is>
      </c>
      <c r="D18" s="12" t="inlineStr">
        <is>
          <t>Estoque Ideal</t>
        </is>
      </c>
      <c r="E18" s="608" t="n"/>
      <c r="F18" s="619" t="n">
        <v>46013</v>
      </c>
      <c r="G18" s="619" t="n">
        <v>46020</v>
      </c>
      <c r="H18" s="619" t="n">
        <v>46027</v>
      </c>
      <c r="I18" s="619" t="n">
        <v>46034</v>
      </c>
      <c r="J18" s="619" t="n">
        <v>46041</v>
      </c>
      <c r="K18" s="619" t="n">
        <v>46048</v>
      </c>
      <c r="L18" s="619" t="n">
        <v>46055</v>
      </c>
      <c r="M18" s="619" t="n">
        <v>46062</v>
      </c>
      <c r="N18" s="619" t="n">
        <v>46069</v>
      </c>
      <c r="O18" s="619" t="n">
        <v>46076</v>
      </c>
      <c r="P18" s="619" t="n">
        <v>46083</v>
      </c>
      <c r="Q18" s="619" t="n">
        <v>46090</v>
      </c>
      <c r="R18" s="619" t="n">
        <v>46097</v>
      </c>
      <c r="S18" s="619" t="n">
        <v>46104</v>
      </c>
      <c r="T18" s="619" t="n">
        <v>46111</v>
      </c>
      <c r="U18" s="619" t="n">
        <v>46118</v>
      </c>
      <c r="V18" s="619" t="n">
        <v>46125</v>
      </c>
      <c r="W18" s="619" t="n">
        <v>46132</v>
      </c>
      <c r="X18" s="619" t="n">
        <v>46139</v>
      </c>
      <c r="Y18" s="619" t="n">
        <v>46146</v>
      </c>
      <c r="Z18" s="619" t="n">
        <v>46154</v>
      </c>
      <c r="AA18" s="619" t="n">
        <v>46160</v>
      </c>
      <c r="AB18" s="620" t="n">
        <v>46161.48013361111</v>
      </c>
      <c r="AC18" s="620" t="n">
        <v>46161.48080726852</v>
      </c>
      <c r="AD18" s="620" t="n">
        <v>46161.48296431005</v>
      </c>
      <c r="AE18" s="621" t="inlineStr">
        <is>
          <t>USOU</t>
        </is>
      </c>
      <c r="AF18" s="608" t="n"/>
      <c r="AG18" s="29" t="inlineStr">
        <is>
          <t>Pendências</t>
        </is>
      </c>
      <c r="AH18" s="29" t="inlineStr">
        <is>
          <t>Pendências</t>
        </is>
      </c>
      <c r="AI18" s="11" t="n"/>
      <c r="AJ18" s="9" t="inlineStr">
        <is>
          <t>Novo Pedido</t>
        </is>
      </c>
      <c r="AK18" s="680" t="n">
        <v>46161.48296364724</v>
      </c>
      <c r="AL18" s="674" t="n">
        <v>46149</v>
      </c>
      <c r="AM18" s="674" t="n">
        <v>46142</v>
      </c>
      <c r="AN18" s="674" t="n">
        <v>46114</v>
      </c>
      <c r="AO18" s="674" t="n">
        <v>46107</v>
      </c>
      <c r="AP18" s="674" t="n">
        <v>46099</v>
      </c>
      <c r="AQ18" s="675" t="n">
        <v>46065</v>
      </c>
      <c r="AR18" s="674" t="n">
        <v>46092</v>
      </c>
      <c r="AS18" s="674" t="n">
        <v>46084</v>
      </c>
      <c r="AT18" s="675" t="n">
        <v>46065</v>
      </c>
      <c r="AU18" s="676" t="n">
        <v>46045</v>
      </c>
      <c r="AV18" s="674" t="n">
        <v>46077</v>
      </c>
      <c r="AW18" s="674" t="n">
        <v>46071</v>
      </c>
      <c r="AX18" s="674" t="n">
        <v>46056</v>
      </c>
      <c r="AY18" s="674" t="n">
        <v>46048</v>
      </c>
      <c r="AZ18" s="674" t="n">
        <v>46029</v>
      </c>
      <c r="BA18" s="674" t="n">
        <v>46029</v>
      </c>
      <c r="BB18" s="674" t="n">
        <v>46043</v>
      </c>
      <c r="BC18" s="674" t="n">
        <v>46029</v>
      </c>
      <c r="BD18" s="674" t="n">
        <v>46017</v>
      </c>
      <c r="BE18" s="674" t="n">
        <v>46007</v>
      </c>
      <c r="BF18" s="674" t="n">
        <v>46001</v>
      </c>
      <c r="BG18" s="674" t="n">
        <v>46001</v>
      </c>
      <c r="BH18" s="677" t="n">
        <v>46014</v>
      </c>
      <c r="BI18" s="674" t="n">
        <v>45994</v>
      </c>
      <c r="BJ18" s="674" t="n">
        <v>45986</v>
      </c>
      <c r="BK18" s="674" t="n">
        <v>45986</v>
      </c>
    </row>
    <row r="19" customFormat="1" s="3">
      <c r="A19" s="25" t="inlineStr">
        <is>
          <t>PAPEL DE SEDA 2025</t>
        </is>
      </c>
      <c r="B19" s="6" t="n">
        <v>200</v>
      </c>
      <c r="C19" s="632" t="n">
        <v>38</v>
      </c>
      <c r="D19" s="240" t="n">
        <v>200</v>
      </c>
      <c r="E19" s="608" t="n"/>
      <c r="F19" s="39" t="n">
        <v>305</v>
      </c>
      <c r="G19" s="39" t="n">
        <v>295</v>
      </c>
      <c r="H19" s="39" t="n">
        <v>270</v>
      </c>
      <c r="I19" s="39" t="n">
        <v>223</v>
      </c>
      <c r="J19" s="39" t="n">
        <v>183</v>
      </c>
      <c r="K19" s="39">
        <f>174+AY19</f>
        <v/>
      </c>
      <c r="L19" s="39" t="n">
        <v>374</v>
      </c>
      <c r="M19" s="39" t="n">
        <v>321</v>
      </c>
      <c r="N19" s="39" t="n">
        <v>307</v>
      </c>
      <c r="O19" s="39" t="n">
        <v>207</v>
      </c>
      <c r="P19" s="39">
        <f>162+AS19</f>
        <v/>
      </c>
      <c r="Q19" s="39" t="n">
        <v>345</v>
      </c>
      <c r="R19" s="39" t="n">
        <v>345</v>
      </c>
      <c r="S19" s="39" t="n">
        <v>311</v>
      </c>
      <c r="T19" s="39" t="n">
        <v>301</v>
      </c>
      <c r="U19" s="39" t="n"/>
      <c r="V19" s="39" t="n"/>
      <c r="W19" s="39" t="n"/>
      <c r="X19" s="39" t="n"/>
      <c r="Y19" s="39" t="n"/>
      <c r="Z19" s="39" t="n">
        <v>0</v>
      </c>
      <c r="AA19" s="39" t="n">
        <v>0</v>
      </c>
      <c r="AB19" s="6" t="n">
        <v>0</v>
      </c>
      <c r="AC19" s="6" t="n">
        <v>0</v>
      </c>
      <c r="AD19" s="6" t="n">
        <v>0</v>
      </c>
      <c r="AE19" s="380">
        <f>AC19+IF(NOT(ISBLANK(OFFSET(AE19,0,6))),N(OFFSET(AE19,0,6)),N(OFFSET(AE19,0,7)))-AD19</f>
        <v/>
      </c>
      <c r="AF19" s="608" t="n"/>
      <c r="AG19" s="138" t="n"/>
      <c r="AH19" s="138" t="n"/>
      <c r="AI19" s="11" t="n"/>
      <c r="AJ19" s="32" t="n">
        <v>200</v>
      </c>
      <c r="AK19" s="114" t="n">
        <v>0</v>
      </c>
      <c r="AL19" s="19" t="n">
        <v>0</v>
      </c>
      <c r="AM19" s="19" t="n">
        <v>0</v>
      </c>
      <c r="AN19" s="19" t="n"/>
      <c r="AO19" s="19" t="n"/>
      <c r="AP19" s="19" t="n"/>
      <c r="AQ19" s="251" t="n">
        <v>10</v>
      </c>
      <c r="AR19" s="19" t="n"/>
      <c r="AS19" s="19" t="n"/>
      <c r="AT19" s="19" t="n"/>
      <c r="AU19" s="301" t="n">
        <v>200</v>
      </c>
      <c r="AV19" s="19" t="n">
        <v>200</v>
      </c>
      <c r="AW19" s="19" t="n"/>
      <c r="AX19" s="19" t="n"/>
      <c r="AY19" s="19" t="n"/>
      <c r="AZ19" s="19" t="n"/>
      <c r="BA19" s="19" t="n"/>
      <c r="BB19" s="19" t="n">
        <v>200</v>
      </c>
      <c r="BC19" s="19" t="n"/>
      <c r="BD19" s="19" t="n"/>
      <c r="BE19" s="19" t="n"/>
      <c r="BF19" s="19" t="n"/>
      <c r="BG19" s="19" t="n"/>
      <c r="BH19" s="681" t="n"/>
      <c r="BI19" s="19" t="n"/>
      <c r="BJ19" s="19" t="n"/>
      <c r="BK19" s="19" t="n">
        <v>600</v>
      </c>
    </row>
    <row r="20" customFormat="1" s="3">
      <c r="A20" s="25" t="inlineStr">
        <is>
          <t>KIT ETIQUETAS (50 c/ 50 un)</t>
        </is>
      </c>
      <c r="B20" s="6" t="n">
        <v>2500</v>
      </c>
      <c r="C20" s="632" t="n">
        <v>66.87</v>
      </c>
      <c r="D20" s="240" t="n">
        <v>15</v>
      </c>
      <c r="E20" s="608" t="n"/>
      <c r="F20" s="39" t="n">
        <v>0</v>
      </c>
      <c r="G20" s="39" t="n">
        <v>0</v>
      </c>
      <c r="H20" s="39" t="n">
        <v>0</v>
      </c>
      <c r="I20" s="39" t="n">
        <v>0</v>
      </c>
      <c r="J20" s="39" t="n">
        <v>0</v>
      </c>
      <c r="K20" s="39" t="n">
        <v>0</v>
      </c>
      <c r="L20" s="39" t="n">
        <v>0</v>
      </c>
      <c r="M20" s="39" t="n">
        <v>0</v>
      </c>
      <c r="N20" s="39" t="n">
        <v>0</v>
      </c>
      <c r="O20" s="39" t="n">
        <v>0</v>
      </c>
      <c r="P20" s="39" t="n">
        <v>0</v>
      </c>
      <c r="Q20" s="39" t="n">
        <v>0</v>
      </c>
      <c r="R20" s="39" t="n">
        <v>0</v>
      </c>
      <c r="S20" s="39" t="n">
        <v>0</v>
      </c>
      <c r="T20" s="39" t="n">
        <v>0</v>
      </c>
      <c r="U20" s="39" t="n"/>
      <c r="V20" s="39" t="n"/>
      <c r="W20" s="39" t="n"/>
      <c r="X20" s="39" t="n"/>
      <c r="Y20" s="39" t="n"/>
      <c r="Z20" s="39" t="n">
        <v>0</v>
      </c>
      <c r="AA20" s="39" t="n">
        <v>0</v>
      </c>
      <c r="AB20" s="6" t="n">
        <v>0</v>
      </c>
      <c r="AC20" s="6" t="n">
        <v>0</v>
      </c>
      <c r="AD20" s="6" t="n">
        <v>0</v>
      </c>
      <c r="AE20" s="380">
        <f>AC20+IF(NOT(ISBLANK(OFFSET(AE20,0,6))),N(OFFSET(AE20,0,6)),N(OFFSET(AE20,0,7)))-AD20</f>
        <v/>
      </c>
      <c r="AF20" s="608" t="n"/>
      <c r="AG20" s="78" t="n"/>
      <c r="AH20" s="78" t="n"/>
      <c r="AI20" s="608" t="n"/>
      <c r="AJ20" s="76" t="n">
        <v>1</v>
      </c>
      <c r="AK20" s="114" t="n">
        <v>0</v>
      </c>
      <c r="AL20" s="19" t="n">
        <v>0</v>
      </c>
      <c r="AM20" s="19" t="n">
        <v>0</v>
      </c>
      <c r="AN20" s="19" t="n"/>
      <c r="AO20" s="19" t="n"/>
      <c r="AP20" s="19" t="n"/>
      <c r="AQ20" s="19" t="n"/>
      <c r="AR20" s="19" t="n"/>
      <c r="AS20" s="19" t="n"/>
      <c r="AT20" s="19" t="n"/>
      <c r="AU20" s="301" t="n">
        <v>3</v>
      </c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</row>
    <row r="21" customFormat="1" s="3">
      <c r="A21" s="25" t="inlineStr">
        <is>
          <t>KIT TAGS  (21 c/ 50 un)</t>
        </is>
      </c>
      <c r="B21" s="6" t="n">
        <v>1050</v>
      </c>
      <c r="C21" s="632" t="n">
        <v>52.14</v>
      </c>
      <c r="D21" s="240" t="n">
        <v>15</v>
      </c>
      <c r="E21" s="1" t="n"/>
      <c r="F21" s="39" t="n">
        <v>8</v>
      </c>
      <c r="G21" s="39" t="n">
        <v>7</v>
      </c>
      <c r="H21" s="39" t="n">
        <v>6</v>
      </c>
      <c r="I21" s="39" t="n">
        <v>0</v>
      </c>
      <c r="J21" s="39" t="n">
        <v>0</v>
      </c>
      <c r="K21" s="39" t="n">
        <v>0</v>
      </c>
      <c r="L21" s="39" t="n">
        <v>0</v>
      </c>
      <c r="M21" s="39" t="n">
        <v>0</v>
      </c>
      <c r="N21" s="39" t="n">
        <v>0</v>
      </c>
      <c r="O21" s="39" t="n">
        <v>0</v>
      </c>
      <c r="P21" s="39" t="n">
        <v>0</v>
      </c>
      <c r="Q21" s="39" t="n">
        <v>0</v>
      </c>
      <c r="R21" s="39" t="n">
        <v>0</v>
      </c>
      <c r="S21" s="39" t="n">
        <v>0</v>
      </c>
      <c r="T21" s="39" t="n">
        <v>0</v>
      </c>
      <c r="U21" s="39" t="n"/>
      <c r="V21" s="39" t="n"/>
      <c r="W21" s="39" t="n"/>
      <c r="X21" s="39" t="n"/>
      <c r="Y21" s="39" t="n"/>
      <c r="Z21" s="39" t="n">
        <v>0</v>
      </c>
      <c r="AA21" s="39" t="n">
        <v>0</v>
      </c>
      <c r="AB21" s="6" t="n">
        <v>0</v>
      </c>
      <c r="AC21" s="6" t="n">
        <v>0</v>
      </c>
      <c r="AD21" s="6" t="n">
        <v>0</v>
      </c>
      <c r="AE21" s="380">
        <f>AC21+IF(NOT(ISBLANK(OFFSET(AE21,0,6))),N(OFFSET(AE21,0,6)),N(OFFSET(AE21,0,7)))-AD21</f>
        <v/>
      </c>
      <c r="AF21" s="1" t="n"/>
      <c r="AG21" s="78" t="n"/>
      <c r="AH21" s="78" t="n"/>
      <c r="AI21" s="1" t="n"/>
      <c r="AJ21" s="76" t="n">
        <v>1</v>
      </c>
      <c r="AK21" s="628" t="n">
        <v>0</v>
      </c>
      <c r="AL21" s="19" t="n">
        <v>0</v>
      </c>
      <c r="AM21" s="19" t="n">
        <v>0</v>
      </c>
      <c r="AN21" s="19" t="n"/>
      <c r="AO21" s="19" t="n"/>
      <c r="AP21" s="19" t="n"/>
      <c r="AQ21" s="19" t="n"/>
      <c r="AR21" s="19" t="n"/>
      <c r="AS21" s="19" t="n"/>
      <c r="AT21" s="19" t="n"/>
      <c r="AU21" s="301" t="n">
        <v>10</v>
      </c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>
        <v>20</v>
      </c>
      <c r="BG21" s="19" t="n"/>
      <c r="BH21" s="119" t="n"/>
      <c r="BI21" s="19" t="n"/>
      <c r="BJ21" s="19" t="n"/>
      <c r="BK21" s="19" t="n"/>
    </row>
    <row r="22" ht="14.25" customFormat="1" customHeight="1" s="3">
      <c r="A22" s="23" t="n"/>
      <c r="C22" s="633" t="n"/>
      <c r="D22" s="633" t="n"/>
      <c r="AG22" s="349" t="n"/>
      <c r="AH22" s="349" t="n"/>
      <c r="AJ22" s="352" t="n"/>
      <c r="AK22" s="414" t="n"/>
      <c r="AL22" s="414" t="n"/>
      <c r="AM22" s="414" t="n"/>
      <c r="AN22" s="414" t="n"/>
      <c r="AO22" s="414" t="n"/>
      <c r="AP22" s="414" t="n"/>
      <c r="AQ22" s="414" t="n"/>
      <c r="AR22" s="414" t="n"/>
      <c r="AS22" s="414" t="n"/>
      <c r="AT22" s="414" t="n"/>
      <c r="AU22" s="414" t="n"/>
      <c r="AV22" s="414" t="n"/>
      <c r="AW22" s="414" t="n"/>
      <c r="AX22" s="414" t="n"/>
      <c r="AY22" s="414" t="n"/>
      <c r="AZ22" s="414" t="n"/>
      <c r="BA22" s="414" t="n"/>
      <c r="BB22" s="414" t="n"/>
      <c r="BC22" s="414" t="n"/>
      <c r="BD22" s="414" t="n"/>
      <c r="BE22" s="414" t="n"/>
      <c r="BF22" s="414" t="n"/>
      <c r="BG22" s="414" t="n"/>
      <c r="BH22" s="414" t="n"/>
      <c r="BI22" s="414" t="n"/>
      <c r="BJ22" s="414" t="n"/>
      <c r="BK22" s="414" t="n"/>
    </row>
    <row r="23" customFormat="1" s="3">
      <c r="A23" s="548" t="inlineStr">
        <is>
          <t>CAIXAS BOTICÁRIO</t>
        </is>
      </c>
      <c r="B23" s="12" t="inlineStr">
        <is>
          <t>PC</t>
        </is>
      </c>
      <c r="C23" s="631" t="inlineStr">
        <is>
          <t>R$</t>
        </is>
      </c>
      <c r="D23" s="12" t="inlineStr">
        <is>
          <t>Estoque Ideal</t>
        </is>
      </c>
      <c r="E23" s="1" t="n"/>
      <c r="F23" s="619" t="n">
        <v>46013</v>
      </c>
      <c r="G23" s="619" t="n">
        <v>46020</v>
      </c>
      <c r="H23" s="619" t="n">
        <v>46027</v>
      </c>
      <c r="I23" s="619" t="n">
        <v>46034</v>
      </c>
      <c r="J23" s="619" t="n">
        <v>46041</v>
      </c>
      <c r="K23" s="619" t="n">
        <v>46048</v>
      </c>
      <c r="L23" s="619" t="n">
        <v>46055</v>
      </c>
      <c r="M23" s="619" t="n">
        <v>46062</v>
      </c>
      <c r="N23" s="619" t="n">
        <v>46069</v>
      </c>
      <c r="O23" s="619" t="n">
        <v>46076</v>
      </c>
      <c r="P23" s="619" t="n">
        <v>46083</v>
      </c>
      <c r="Q23" s="619" t="n">
        <v>46090</v>
      </c>
      <c r="R23" s="619" t="n">
        <v>46097</v>
      </c>
      <c r="S23" s="619" t="n">
        <v>46104</v>
      </c>
      <c r="T23" s="619" t="n">
        <v>46111</v>
      </c>
      <c r="U23" s="619" t="n">
        <v>46118</v>
      </c>
      <c r="V23" s="619" t="n">
        <v>46125</v>
      </c>
      <c r="W23" s="619" t="n">
        <v>46132</v>
      </c>
      <c r="X23" s="619" t="n">
        <v>46139</v>
      </c>
      <c r="Y23" s="619" t="n">
        <v>46146</v>
      </c>
      <c r="Z23" s="619" t="n">
        <v>46154</v>
      </c>
      <c r="AA23" s="619" t="n">
        <v>46160</v>
      </c>
      <c r="AB23" s="620" t="n">
        <v>46161.48013361111</v>
      </c>
      <c r="AC23" s="620" t="n">
        <v>46161.48080726852</v>
      </c>
      <c r="AD23" s="620" t="n">
        <v>46161.48296431018</v>
      </c>
      <c r="AE23" s="621" t="inlineStr">
        <is>
          <t>USOU</t>
        </is>
      </c>
      <c r="AF23" s="11" t="n"/>
      <c r="AG23" s="29" t="inlineStr">
        <is>
          <t>Pendências</t>
        </is>
      </c>
      <c r="AH23" s="29" t="inlineStr">
        <is>
          <t>Pendências</t>
        </is>
      </c>
      <c r="AI23" s="11" t="n"/>
      <c r="AJ23" s="9" t="inlineStr">
        <is>
          <t>Novo Pedido</t>
        </is>
      </c>
      <c r="AK23" s="673" t="n">
        <v>46161.48296364749</v>
      </c>
      <c r="AL23" s="674" t="n">
        <v>46149</v>
      </c>
      <c r="AM23" s="674" t="n">
        <v>46142</v>
      </c>
      <c r="AN23" s="674" t="n">
        <v>46114</v>
      </c>
      <c r="AO23" s="674" t="n">
        <v>46107</v>
      </c>
      <c r="AP23" s="674" t="n">
        <v>46099</v>
      </c>
      <c r="AQ23" s="675" t="n">
        <v>46065</v>
      </c>
      <c r="AR23" s="674" t="n">
        <v>46092</v>
      </c>
      <c r="AS23" s="674" t="n">
        <v>46084</v>
      </c>
      <c r="AT23" s="675" t="n">
        <v>46065</v>
      </c>
      <c r="AU23" s="676" t="n">
        <v>46045</v>
      </c>
      <c r="AV23" s="674" t="n">
        <v>46077</v>
      </c>
      <c r="AW23" s="674" t="n">
        <v>46071</v>
      </c>
      <c r="AX23" s="674" t="n">
        <v>46056</v>
      </c>
      <c r="AY23" s="674" t="n">
        <v>46048</v>
      </c>
      <c r="AZ23" s="674" t="n">
        <v>46029</v>
      </c>
      <c r="BA23" s="674" t="n">
        <v>46029</v>
      </c>
      <c r="BB23" s="674" t="n">
        <v>46043</v>
      </c>
      <c r="BC23" s="674" t="n">
        <v>46029</v>
      </c>
      <c r="BD23" s="674" t="n">
        <v>46017</v>
      </c>
      <c r="BE23" s="674" t="n">
        <v>46007</v>
      </c>
      <c r="BF23" s="674" t="n">
        <v>46001</v>
      </c>
      <c r="BG23" s="674" t="n">
        <v>46001</v>
      </c>
      <c r="BH23" s="677" t="n">
        <v>46014</v>
      </c>
      <c r="BI23" s="674" t="n">
        <v>45994</v>
      </c>
      <c r="BJ23" s="674" t="n">
        <v>45986</v>
      </c>
      <c r="BK23" s="674" t="n">
        <v>45986</v>
      </c>
    </row>
    <row r="24" customFormat="1" s="3">
      <c r="A24" s="25" t="inlineStr">
        <is>
          <t>KIT CAIXA P VERDE</t>
        </is>
      </c>
      <c r="B24" s="139" t="n">
        <v>75</v>
      </c>
      <c r="C24" s="634" t="n">
        <v>225.67</v>
      </c>
      <c r="D24" s="240" t="n">
        <v>20</v>
      </c>
      <c r="E24" s="1" t="n"/>
      <c r="F24" s="39" t="n">
        <v>0</v>
      </c>
      <c r="G24" s="39" t="n">
        <v>0</v>
      </c>
      <c r="H24" s="39" t="n">
        <v>0</v>
      </c>
      <c r="I24" s="39" t="n">
        <v>0</v>
      </c>
      <c r="J24" s="39" t="n">
        <v>0</v>
      </c>
      <c r="K24" s="39">
        <f>0+AY24</f>
        <v/>
      </c>
      <c r="L24" s="39" t="n">
        <v>149</v>
      </c>
      <c r="M24" s="39" t="n">
        <v>146</v>
      </c>
      <c r="N24" s="39" t="n">
        <v>146</v>
      </c>
      <c r="O24" s="39" t="n">
        <v>145</v>
      </c>
      <c r="P24" s="39" t="n">
        <v>133</v>
      </c>
      <c r="Q24" s="39" t="n">
        <v>128</v>
      </c>
      <c r="R24" s="39" t="n">
        <v>124</v>
      </c>
      <c r="S24" s="39" t="n">
        <v>117</v>
      </c>
      <c r="T24" s="39" t="n">
        <v>113</v>
      </c>
      <c r="U24" s="39" t="n"/>
      <c r="V24" s="39" t="n"/>
      <c r="W24" s="39" t="n"/>
      <c r="X24" s="39" t="n"/>
      <c r="Y24" s="39" t="n"/>
      <c r="Z24" s="39" t="n">
        <v>100</v>
      </c>
      <c r="AA24" s="39" t="n">
        <v>100</v>
      </c>
      <c r="AB24" s="6" t="n">
        <v>100</v>
      </c>
      <c r="AC24" s="6" t="n">
        <v>100</v>
      </c>
      <c r="AD24" s="6" t="n">
        <v>100</v>
      </c>
      <c r="AE24" s="380">
        <f>AC24+IF(NOT(ISBLANK(OFFSET(AE24,0,6))),N(OFFSET(AE24,0,6)),N(OFFSET(AE24,0,7)))-AD24</f>
        <v/>
      </c>
      <c r="AF24" s="11" t="n"/>
      <c r="AG24" s="78" t="n"/>
      <c r="AH24" s="78" t="n"/>
      <c r="AI24" s="1" t="n"/>
      <c r="AJ24" s="32" t="n"/>
      <c r="AK24" s="682" t="n">
        <v>0</v>
      </c>
      <c r="AL24" s="351" t="n">
        <v>0</v>
      </c>
      <c r="AM24" s="351" t="n">
        <v>0</v>
      </c>
      <c r="AN24" s="351" t="n"/>
      <c r="AO24" s="351" t="n"/>
      <c r="AP24" s="351" t="n"/>
      <c r="AQ24" s="19" t="n"/>
      <c r="AR24" s="351" t="n"/>
      <c r="AS24" s="351" t="n"/>
      <c r="AT24" s="251" t="n">
        <v>150</v>
      </c>
      <c r="AU24" s="351" t="n"/>
      <c r="AV24" s="351" t="n"/>
      <c r="AW24" s="351" t="n"/>
      <c r="AX24" s="351" t="n"/>
      <c r="AY24" s="351" t="n"/>
      <c r="AZ24" s="351" t="n"/>
      <c r="BA24" s="351" t="n"/>
      <c r="BB24" s="351" t="n">
        <v>150</v>
      </c>
      <c r="BC24" s="351" t="n"/>
      <c r="BD24" s="351" t="n"/>
      <c r="BE24" s="351" t="n"/>
      <c r="BF24" s="351" t="n"/>
      <c r="BG24" s="351" t="n"/>
      <c r="BH24" s="351" t="n"/>
      <c r="BI24" s="351" t="n"/>
      <c r="BJ24" s="351" t="n"/>
      <c r="BK24" s="351" t="n"/>
    </row>
    <row r="25" ht="18" customFormat="1" customHeight="1" s="3">
      <c r="A25" s="25" t="inlineStr">
        <is>
          <t>KIT CAIXA M VERDE</t>
        </is>
      </c>
      <c r="B25" s="139" t="n">
        <v>75</v>
      </c>
      <c r="C25" s="632" t="n">
        <v>294.59</v>
      </c>
      <c r="D25" s="240" t="n">
        <v>20</v>
      </c>
      <c r="E25" s="1" t="n"/>
      <c r="F25" s="39" t="n">
        <v>0</v>
      </c>
      <c r="G25" s="39" t="n">
        <v>0</v>
      </c>
      <c r="H25" s="39" t="n">
        <v>0</v>
      </c>
      <c r="I25" s="39" t="n">
        <v>0</v>
      </c>
      <c r="J25" s="39" t="n">
        <v>0</v>
      </c>
      <c r="K25" s="39">
        <f>0+AY25</f>
        <v/>
      </c>
      <c r="L25" s="39" t="n">
        <v>100</v>
      </c>
      <c r="M25" s="39" t="n">
        <v>100</v>
      </c>
      <c r="N25" s="39" t="n">
        <v>100</v>
      </c>
      <c r="O25" s="39" t="n">
        <v>100</v>
      </c>
      <c r="P25" s="39" t="n">
        <v>92</v>
      </c>
      <c r="Q25" s="39" t="n">
        <v>89</v>
      </c>
      <c r="R25" s="39" t="n">
        <v>85</v>
      </c>
      <c r="S25" s="39" t="n">
        <v>75</v>
      </c>
      <c r="T25" s="39" t="n">
        <v>74</v>
      </c>
      <c r="U25" s="39" t="n"/>
      <c r="V25" s="39" t="n"/>
      <c r="W25" s="39" t="n"/>
      <c r="X25" s="39" t="n"/>
      <c r="Y25" s="39" t="n"/>
      <c r="Z25" s="39" t="n">
        <v>49</v>
      </c>
      <c r="AA25" s="39" t="n">
        <v>48</v>
      </c>
      <c r="AB25" s="6" t="n">
        <v>48</v>
      </c>
      <c r="AC25" s="6" t="n">
        <v>48</v>
      </c>
      <c r="AD25" s="6" t="n">
        <v>48</v>
      </c>
      <c r="AE25" s="380">
        <f>AC25+IF(NOT(ISBLANK(OFFSET(AE25,0,6))),N(OFFSET(AE25,0,6)),N(OFFSET(AE25,0,7)))-AD25</f>
        <v/>
      </c>
      <c r="AF25" s="11" t="n"/>
      <c r="AG25" s="78" t="n"/>
      <c r="AH25" s="78" t="n"/>
      <c r="AJ25" s="32" t="n"/>
      <c r="AK25" s="628" t="n">
        <v>0</v>
      </c>
      <c r="AL25" s="19" t="n">
        <v>0</v>
      </c>
      <c r="AM25" s="19" t="n">
        <v>0</v>
      </c>
      <c r="AN25" s="19" t="n"/>
      <c r="AO25" s="19" t="n"/>
      <c r="AP25" s="19" t="n"/>
      <c r="AQ25" s="251" t="n">
        <v>200</v>
      </c>
      <c r="AR25" s="19" t="n"/>
      <c r="AS25" s="19" t="n"/>
      <c r="AT25" s="19" t="n"/>
      <c r="AU25" s="301" t="n">
        <v>100</v>
      </c>
      <c r="AV25" s="19" t="n"/>
      <c r="AW25" s="19" t="n"/>
      <c r="AX25" s="19" t="n"/>
      <c r="AY25" s="19" t="n"/>
      <c r="AZ25" s="19" t="n"/>
      <c r="BA25" s="19" t="n"/>
      <c r="BB25" s="19" t="n">
        <v>100</v>
      </c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</row>
    <row r="26">
      <c r="A26" s="25" t="inlineStr">
        <is>
          <t>KIT CAIXA G VERDE</t>
        </is>
      </c>
      <c r="B26" s="139" t="n">
        <v>50</v>
      </c>
      <c r="C26" s="632" t="n">
        <v>346.84</v>
      </c>
      <c r="D26" s="240" t="n">
        <v>10</v>
      </c>
      <c r="F26" s="39" t="n">
        <v>4</v>
      </c>
      <c r="G26" s="39" t="n">
        <v>3</v>
      </c>
      <c r="H26" s="39" t="n">
        <v>2</v>
      </c>
      <c r="I26" s="39" t="n">
        <v>2</v>
      </c>
      <c r="J26" s="39" t="n">
        <v>2</v>
      </c>
      <c r="K26" s="39" t="n">
        <v>1</v>
      </c>
      <c r="L26" s="39" t="n">
        <v>1</v>
      </c>
      <c r="M26" s="39" t="n">
        <v>1</v>
      </c>
      <c r="N26" s="39" t="n">
        <v>1</v>
      </c>
      <c r="O26" s="39" t="n">
        <v>1</v>
      </c>
      <c r="P26" s="39" t="n">
        <v>1</v>
      </c>
      <c r="Q26" s="39" t="n">
        <v>0</v>
      </c>
      <c r="R26" s="39" t="n">
        <v>0</v>
      </c>
      <c r="S26" s="39" t="n">
        <v>0</v>
      </c>
      <c r="T26" s="39" t="n">
        <v>0</v>
      </c>
      <c r="U26" s="39" t="n"/>
      <c r="V26" s="39" t="n"/>
      <c r="W26" s="39" t="n"/>
      <c r="X26" s="39" t="n"/>
      <c r="Y26" s="39" t="n"/>
      <c r="Z26" s="39" t="n">
        <v>0</v>
      </c>
      <c r="AA26" s="39" t="n">
        <v>0</v>
      </c>
      <c r="AB26" s="6" t="n">
        <v>0</v>
      </c>
      <c r="AC26" s="6" t="n">
        <v>0</v>
      </c>
      <c r="AD26" s="6" t="n">
        <v>0</v>
      </c>
      <c r="AE26" s="380">
        <f>AC26+IF(NOT(ISBLANK(OFFSET(AE26,0,6))),N(OFFSET(AE26,0,6)),N(OFFSET(AE26,0,7)))-AD26</f>
        <v/>
      </c>
      <c r="AG26" s="78" t="n"/>
      <c r="AH26" s="78" t="n"/>
      <c r="AI26" s="1" t="n"/>
      <c r="AJ26" s="32" t="n"/>
      <c r="AK26" s="628" t="n">
        <v>0</v>
      </c>
      <c r="AL26" s="19" t="n">
        <v>0</v>
      </c>
      <c r="AM26" s="19" t="n">
        <v>0</v>
      </c>
      <c r="AN26" s="19" t="n"/>
      <c r="AO26" s="19" t="n"/>
      <c r="AP26" s="19" t="n"/>
      <c r="AQ26" s="251" t="n">
        <v>150</v>
      </c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281" t="n"/>
      <c r="BI26" s="19" t="n"/>
      <c r="BJ26" s="19" t="n"/>
      <c r="BK26" s="19" t="n"/>
    </row>
    <row r="27" ht="21" customFormat="1" customHeight="1" s="3">
      <c r="A27" s="23" t="n"/>
      <c r="B27" s="1" t="n"/>
      <c r="C27" s="630" t="n"/>
      <c r="D27" s="630" t="n"/>
      <c r="E27" s="11" t="n"/>
      <c r="F27" s="2" t="n"/>
      <c r="G27" s="2" t="n"/>
      <c r="H27" s="2" t="n"/>
      <c r="I27" s="2" t="n"/>
      <c r="J27" s="2" t="n"/>
      <c r="K27" s="2" t="n"/>
      <c r="L27" s="2" t="n"/>
      <c r="M27" s="2" t="n"/>
      <c r="N27" s="2" t="n"/>
      <c r="O27" s="2" t="n"/>
      <c r="P27" s="2" t="n"/>
      <c r="Q27" s="2" t="n"/>
      <c r="R27" s="2" t="n"/>
      <c r="S27" s="2" t="n"/>
      <c r="T27" s="2" t="n"/>
      <c r="U27" s="2" t="n"/>
      <c r="V27" s="2" t="n"/>
      <c r="W27" s="2" t="n"/>
      <c r="X27" s="2" t="n"/>
      <c r="Y27" s="2" t="n"/>
      <c r="Z27" s="2" t="n"/>
      <c r="AA27" s="2" t="n"/>
      <c r="AB27" s="1" t="n"/>
      <c r="AC27" s="1" t="n"/>
      <c r="AD27" s="1" t="n"/>
      <c r="AF27" s="11" t="n"/>
      <c r="AG27" s="10" t="n"/>
      <c r="AH27" s="10" t="n"/>
      <c r="AI27" s="1" t="n"/>
      <c r="AJ27" s="10" t="n"/>
      <c r="AK27" s="396" t="n"/>
      <c r="AL27" s="75" t="n"/>
      <c r="AM27" s="75" t="n"/>
      <c r="AN27" s="75" t="n"/>
      <c r="AO27" s="75" t="n"/>
      <c r="AP27" s="75" t="n"/>
      <c r="AQ27" s="75" t="n"/>
      <c r="AR27" s="75" t="n"/>
      <c r="AS27" s="75" t="n"/>
      <c r="AT27" s="75" t="n"/>
      <c r="AU27" s="75" t="n"/>
      <c r="AV27" s="75" t="n"/>
      <c r="AW27" s="75" t="n"/>
      <c r="AX27" s="75" t="n"/>
      <c r="AY27" s="75" t="n"/>
      <c r="AZ27" s="75" t="n"/>
      <c r="BA27" s="75" t="n"/>
      <c r="BB27" s="75" t="n"/>
      <c r="BC27" s="75" t="n"/>
      <c r="BD27" s="75" t="n"/>
      <c r="BE27" s="75" t="n"/>
      <c r="BF27" s="75" t="n"/>
      <c r="BG27" s="75" t="n"/>
      <c r="BH27" s="75" t="n"/>
      <c r="BI27" s="75" t="n"/>
      <c r="BJ27" s="75" t="n"/>
      <c r="BK27" s="75" t="n"/>
    </row>
    <row r="28">
      <c r="A28" s="548" t="inlineStr">
        <is>
          <t xml:space="preserve">SACOLAS OMNI </t>
        </is>
      </c>
      <c r="B28" s="12" t="inlineStr">
        <is>
          <t>PC</t>
        </is>
      </c>
      <c r="C28" s="12" t="inlineStr">
        <is>
          <t>R$</t>
        </is>
      </c>
      <c r="D28" s="12" t="inlineStr">
        <is>
          <t>Estoque Ideal</t>
        </is>
      </c>
      <c r="E28" s="1" t="n"/>
      <c r="F28" s="619" t="n">
        <v>46013</v>
      </c>
      <c r="G28" s="619" t="n">
        <v>46020</v>
      </c>
      <c r="H28" s="619" t="n">
        <v>46027</v>
      </c>
      <c r="I28" s="619" t="n">
        <v>46034</v>
      </c>
      <c r="J28" s="619" t="n">
        <v>46041</v>
      </c>
      <c r="K28" s="619" t="n">
        <v>46048</v>
      </c>
      <c r="L28" s="619" t="n">
        <v>46055</v>
      </c>
      <c r="M28" s="619" t="n">
        <v>46062</v>
      </c>
      <c r="N28" s="619" t="n">
        <v>46069</v>
      </c>
      <c r="O28" s="619" t="n">
        <v>46076</v>
      </c>
      <c r="P28" s="619" t="n">
        <v>46083</v>
      </c>
      <c r="Q28" s="619" t="n">
        <v>46090</v>
      </c>
      <c r="R28" s="619" t="n">
        <v>46097</v>
      </c>
      <c r="S28" s="619" t="n">
        <v>46104</v>
      </c>
      <c r="T28" s="619" t="n">
        <v>46111</v>
      </c>
      <c r="U28" s="619" t="n">
        <v>46118</v>
      </c>
      <c r="V28" s="619" t="n">
        <v>46125</v>
      </c>
      <c r="W28" s="619" t="n">
        <v>46132</v>
      </c>
      <c r="X28" s="619" t="n">
        <v>46139</v>
      </c>
      <c r="Y28" s="619" t="n">
        <v>46146</v>
      </c>
      <c r="Z28" s="619" t="n">
        <v>46154</v>
      </c>
      <c r="AA28" s="619" t="n">
        <v>46160</v>
      </c>
      <c r="AB28" s="620" t="n">
        <v>46161.48013361111</v>
      </c>
      <c r="AC28" s="620" t="n">
        <v>46161.48080726852</v>
      </c>
      <c r="AD28" s="620" t="n">
        <v>46161.48296431037</v>
      </c>
      <c r="AE28" s="621" t="inlineStr">
        <is>
          <t>USOU</t>
        </is>
      </c>
      <c r="AF28" s="41" t="n"/>
      <c r="AG28" s="29" t="inlineStr">
        <is>
          <t>Pendências</t>
        </is>
      </c>
      <c r="AH28" s="29" t="inlineStr">
        <is>
          <t>Pendências</t>
        </is>
      </c>
      <c r="AJ28" s="9" t="inlineStr">
        <is>
          <t>Novo Pedido</t>
        </is>
      </c>
      <c r="AK28" s="673" t="n">
        <v>46161.48296364774</v>
      </c>
      <c r="AL28" s="674" t="n">
        <v>46149</v>
      </c>
      <c r="AM28" s="674" t="n">
        <v>46142</v>
      </c>
      <c r="AN28" s="674" t="n">
        <v>46114</v>
      </c>
      <c r="AO28" s="674" t="n">
        <v>46107</v>
      </c>
      <c r="AP28" s="674" t="n">
        <v>46099</v>
      </c>
      <c r="AQ28" s="675" t="n">
        <v>46065</v>
      </c>
      <c r="AR28" s="674" t="n">
        <v>46092</v>
      </c>
      <c r="AS28" s="674" t="n">
        <v>46084</v>
      </c>
      <c r="AT28" s="675" t="n">
        <v>46065</v>
      </c>
      <c r="AU28" s="676" t="n">
        <v>46045</v>
      </c>
      <c r="AV28" s="674" t="n">
        <v>46077</v>
      </c>
      <c r="AW28" s="674" t="n">
        <v>46071</v>
      </c>
      <c r="AX28" s="674" t="n">
        <v>46056</v>
      </c>
      <c r="AY28" s="674" t="n">
        <v>46048</v>
      </c>
      <c r="AZ28" s="674" t="n">
        <v>46029</v>
      </c>
      <c r="BA28" s="674" t="n">
        <v>46029</v>
      </c>
      <c r="BB28" s="674" t="n">
        <v>46043</v>
      </c>
      <c r="BC28" s="674" t="n">
        <v>46029</v>
      </c>
      <c r="BD28" s="674" t="n">
        <v>46017</v>
      </c>
      <c r="BE28" s="674" t="n">
        <v>46007</v>
      </c>
      <c r="BF28" s="674" t="n">
        <v>46001</v>
      </c>
      <c r="BG28" s="674" t="n">
        <v>46001</v>
      </c>
      <c r="BH28" s="677" t="n">
        <v>46014</v>
      </c>
      <c r="BI28" s="674" t="n">
        <v>45994</v>
      </c>
      <c r="BJ28" s="674" t="n">
        <v>45986</v>
      </c>
      <c r="BK28" s="674" t="n">
        <v>45986</v>
      </c>
    </row>
    <row r="29">
      <c r="A29" s="25" t="inlineStr">
        <is>
          <t>KIT OVERBAG OMNI P</t>
        </is>
      </c>
      <c r="B29" s="6" t="n">
        <v>25</v>
      </c>
      <c r="C29" s="632" t="n">
        <v>41.75</v>
      </c>
      <c r="D29" s="240" t="n">
        <v>20</v>
      </c>
      <c r="E29" s="1" t="n"/>
      <c r="F29" s="72" t="n">
        <v>0</v>
      </c>
      <c r="G29" s="72" t="n">
        <v>0</v>
      </c>
      <c r="H29" s="72" t="n">
        <v>0</v>
      </c>
      <c r="I29" s="72" t="n">
        <v>0</v>
      </c>
      <c r="J29" s="72" t="n">
        <v>0</v>
      </c>
      <c r="K29" s="72" t="n">
        <v>0</v>
      </c>
      <c r="L29" s="72" t="n">
        <v>0</v>
      </c>
      <c r="M29" s="72" t="n">
        <v>0</v>
      </c>
      <c r="N29" s="72" t="n">
        <v>0</v>
      </c>
      <c r="O29" s="72" t="n">
        <v>0</v>
      </c>
      <c r="P29" s="72" t="n">
        <v>0</v>
      </c>
      <c r="Q29" s="72" t="n">
        <v>0</v>
      </c>
      <c r="R29" s="72" t="n">
        <v>0</v>
      </c>
      <c r="S29" s="72" t="n">
        <v>0</v>
      </c>
      <c r="T29" s="72" t="n">
        <v>0</v>
      </c>
      <c r="U29" s="72" t="n">
        <v>0</v>
      </c>
      <c r="V29" s="72" t="n">
        <v>0</v>
      </c>
      <c r="W29" s="72" t="n">
        <v>0</v>
      </c>
      <c r="X29" s="72" t="n">
        <v>0</v>
      </c>
      <c r="Y29" s="72" t="n">
        <v>0</v>
      </c>
      <c r="Z29" s="72" t="n">
        <v>0</v>
      </c>
      <c r="AA29" s="72" t="n">
        <v>0</v>
      </c>
      <c r="AB29" s="72" t="n"/>
      <c r="AC29" s="72" t="n"/>
      <c r="AD29" s="72" t="n"/>
      <c r="AE29" s="26" t="n">
        <v>0</v>
      </c>
      <c r="AF29" s="41" t="n"/>
      <c r="AG29" s="78" t="n"/>
      <c r="AH29" s="78" t="n"/>
      <c r="AI29" s="608" t="n"/>
      <c r="AJ29" s="32" t="n"/>
      <c r="AK29" s="628" t="n">
        <v>0</v>
      </c>
      <c r="AL29" s="19" t="n">
        <v>0</v>
      </c>
      <c r="AM29" s="19" t="n">
        <v>0</v>
      </c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19" t="n"/>
      <c r="BI29" s="19" t="n"/>
      <c r="BJ29" s="19" t="n"/>
      <c r="BK29" s="19" t="n"/>
    </row>
    <row r="30">
      <c r="A30" s="25" t="inlineStr">
        <is>
          <t>KIT OVERBAG OMNI M</t>
        </is>
      </c>
      <c r="B30" s="6" t="n">
        <v>25</v>
      </c>
      <c r="C30" s="632" t="n">
        <v>57</v>
      </c>
      <c r="D30" s="240" t="n">
        <v>20</v>
      </c>
      <c r="E30" s="1" t="n"/>
      <c r="F30" s="72" t="n">
        <v>3</v>
      </c>
      <c r="G30" s="72" t="n">
        <v>3</v>
      </c>
      <c r="H30" s="72" t="n">
        <v>2</v>
      </c>
      <c r="I30" s="72" t="n">
        <v>2</v>
      </c>
      <c r="J30" s="72" t="n">
        <v>2</v>
      </c>
      <c r="K30" s="72" t="n">
        <v>2</v>
      </c>
      <c r="L30" s="72" t="n">
        <v>2</v>
      </c>
      <c r="M30" s="72" t="n">
        <v>0</v>
      </c>
      <c r="N30" s="72" t="n">
        <v>0</v>
      </c>
      <c r="O30" s="72" t="n">
        <v>0</v>
      </c>
      <c r="P30" s="72" t="n">
        <v>0</v>
      </c>
      <c r="Q30" s="72" t="n">
        <v>0</v>
      </c>
      <c r="R30" s="72" t="n">
        <v>0</v>
      </c>
      <c r="S30" s="72" t="n">
        <v>0</v>
      </c>
      <c r="T30" s="72" t="n">
        <v>0</v>
      </c>
      <c r="U30" s="72" t="n">
        <v>0</v>
      </c>
      <c r="V30" s="72" t="n">
        <v>0</v>
      </c>
      <c r="W30" s="72" t="n">
        <v>0</v>
      </c>
      <c r="X30" s="72" t="n">
        <v>0</v>
      </c>
      <c r="Y30" s="72" t="n">
        <v>0</v>
      </c>
      <c r="Z30" s="72" t="n">
        <v>0</v>
      </c>
      <c r="AA30" s="72" t="n">
        <v>0</v>
      </c>
      <c r="AB30" s="72" t="n">
        <v>0</v>
      </c>
      <c r="AC30" s="72" t="n">
        <v>0</v>
      </c>
      <c r="AD30" s="72" t="n">
        <v>0</v>
      </c>
      <c r="AE30" s="26" t="n">
        <v>0</v>
      </c>
      <c r="AF30" s="41" t="n"/>
      <c r="AG30" s="78" t="n"/>
      <c r="AH30" s="78" t="n"/>
      <c r="AI30" s="608" t="n"/>
      <c r="AJ30" s="32" t="n"/>
      <c r="AK30" s="628" t="n">
        <v>0</v>
      </c>
      <c r="AL30" s="19" t="n">
        <v>0</v>
      </c>
      <c r="AM30" s="19" t="n">
        <v>0</v>
      </c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19" t="n"/>
      <c r="BI30" s="19" t="n"/>
      <c r="BJ30" s="19" t="n"/>
      <c r="BK30" s="19" t="n"/>
    </row>
    <row r="31">
      <c r="B31" s="41" t="n"/>
      <c r="C31" s="41" t="n"/>
      <c r="D31" s="41" t="n"/>
      <c r="E31" s="41" t="n"/>
      <c r="F31" s="41" t="n"/>
      <c r="G31" s="41" t="n"/>
      <c r="H31" s="41" t="n"/>
      <c r="I31" s="41" t="n"/>
      <c r="J31" s="41" t="n"/>
      <c r="K31" s="41" t="n"/>
      <c r="L31" s="41" t="n"/>
      <c r="M31" s="41" t="n"/>
      <c r="N31" s="41" t="n"/>
      <c r="O31" s="41" t="n"/>
      <c r="P31" s="41" t="n"/>
      <c r="Q31" s="41" t="n"/>
      <c r="R31" s="41" t="n"/>
      <c r="S31" s="41" t="n"/>
      <c r="T31" s="41" t="n"/>
      <c r="U31" s="41" t="n"/>
      <c r="V31" s="41" t="n"/>
      <c r="W31" s="41" t="n"/>
      <c r="X31" s="41" t="n"/>
      <c r="Y31" s="41" t="n"/>
      <c r="Z31" s="41" t="n"/>
      <c r="AA31" s="41" t="n"/>
      <c r="AB31" s="41" t="n"/>
      <c r="AC31" s="41" t="n"/>
      <c r="AD31" s="41" t="n"/>
      <c r="AE31" s="41" t="n"/>
      <c r="AF31" s="41" t="n"/>
      <c r="AI31" s="41" t="n"/>
      <c r="AK31" s="41" t="n"/>
    </row>
    <row r="32">
      <c r="A32" s="147" t="inlineStr">
        <is>
          <t>SACOLAS/SACO/DIVERSOS OUI</t>
        </is>
      </c>
      <c r="B32" s="148" t="inlineStr">
        <is>
          <t>PC</t>
        </is>
      </c>
      <c r="C32" s="148" t="inlineStr">
        <is>
          <t>R$</t>
        </is>
      </c>
      <c r="D32" s="148" t="inlineStr">
        <is>
          <t>Estoque Ideal</t>
        </is>
      </c>
      <c r="E32" s="1" t="n"/>
      <c r="F32" s="619" t="n">
        <v>46013</v>
      </c>
      <c r="G32" s="619" t="n">
        <v>46020</v>
      </c>
      <c r="H32" s="619" t="n">
        <v>46027</v>
      </c>
      <c r="I32" s="619" t="n">
        <v>46034</v>
      </c>
      <c r="J32" s="619" t="n">
        <v>46041</v>
      </c>
      <c r="K32" s="619" t="n">
        <v>46048</v>
      </c>
      <c r="L32" s="619" t="n">
        <v>46055</v>
      </c>
      <c r="M32" s="619" t="n">
        <v>46062</v>
      </c>
      <c r="N32" s="619" t="n">
        <v>46069</v>
      </c>
      <c r="O32" s="619" t="n">
        <v>46076</v>
      </c>
      <c r="P32" s="619" t="n">
        <v>46083</v>
      </c>
      <c r="Q32" s="619" t="n">
        <v>46090</v>
      </c>
      <c r="R32" s="619" t="n">
        <v>46097</v>
      </c>
      <c r="S32" s="619" t="n">
        <v>46104</v>
      </c>
      <c r="T32" s="619" t="n">
        <v>46111</v>
      </c>
      <c r="U32" s="619" t="n">
        <v>46118</v>
      </c>
      <c r="V32" s="619" t="n">
        <v>46125</v>
      </c>
      <c r="W32" s="619" t="n">
        <v>46132</v>
      </c>
      <c r="X32" s="619" t="n">
        <v>46139</v>
      </c>
      <c r="Y32" s="619" t="n">
        <v>46146</v>
      </c>
      <c r="Z32" s="619" t="n">
        <v>46154</v>
      </c>
      <c r="AA32" s="619" t="n">
        <v>46160</v>
      </c>
      <c r="AB32" s="620" t="n">
        <v>46161.48013361111</v>
      </c>
      <c r="AC32" s="620" t="n">
        <v>46161.48080726852</v>
      </c>
      <c r="AD32" s="620" t="n">
        <v>46161.48296431049</v>
      </c>
      <c r="AE32" s="621" t="inlineStr">
        <is>
          <t>USOU</t>
        </is>
      </c>
      <c r="AF32" s="41" t="n"/>
      <c r="AG32" s="29" t="inlineStr">
        <is>
          <t>Pendências</t>
        </is>
      </c>
      <c r="AH32" s="29" t="inlineStr">
        <is>
          <t>Pendências</t>
        </is>
      </c>
      <c r="AJ32" s="9" t="inlineStr">
        <is>
          <t>Novo Pedido</t>
        </is>
      </c>
      <c r="AK32" s="673" t="n">
        <v>46161.48296364794</v>
      </c>
      <c r="AL32" s="674" t="n">
        <v>46149</v>
      </c>
      <c r="AM32" s="674" t="n">
        <v>46142</v>
      </c>
      <c r="AN32" s="674" t="n">
        <v>46114</v>
      </c>
      <c r="AO32" s="674" t="n">
        <v>46107</v>
      </c>
      <c r="AP32" s="674" t="n">
        <v>46099</v>
      </c>
      <c r="AQ32" s="675" t="n">
        <v>46065</v>
      </c>
      <c r="AR32" s="674" t="n">
        <v>46092</v>
      </c>
      <c r="AS32" s="674" t="n">
        <v>46084</v>
      </c>
      <c r="AT32" s="675" t="n">
        <v>46065</v>
      </c>
      <c r="AU32" s="676" t="n">
        <v>46045</v>
      </c>
      <c r="AV32" s="674" t="n">
        <v>46077</v>
      </c>
      <c r="AW32" s="674" t="n">
        <v>46071</v>
      </c>
      <c r="AX32" s="674" t="n">
        <v>46056</v>
      </c>
      <c r="AY32" s="674" t="n">
        <v>46048</v>
      </c>
      <c r="AZ32" s="674" t="n">
        <v>46029</v>
      </c>
      <c r="BA32" s="674" t="n">
        <v>46029</v>
      </c>
      <c r="BB32" s="674" t="n">
        <v>46043</v>
      </c>
      <c r="BC32" s="674" t="n">
        <v>46029</v>
      </c>
      <c r="BD32" s="674" t="n">
        <v>46017</v>
      </c>
      <c r="BE32" s="674" t="n">
        <v>46007</v>
      </c>
      <c r="BF32" s="674" t="n">
        <v>46001</v>
      </c>
      <c r="BG32" s="674" t="n">
        <v>46001</v>
      </c>
      <c r="BH32" s="677" t="n">
        <v>46014</v>
      </c>
      <c r="BI32" s="674" t="n">
        <v>45994</v>
      </c>
      <c r="BJ32" s="674" t="n">
        <v>45986</v>
      </c>
      <c r="BK32" s="674" t="n">
        <v>45986</v>
      </c>
    </row>
    <row r="33">
      <c r="A33" s="25" t="inlineStr">
        <is>
          <t>SACOLA P OUI</t>
        </is>
      </c>
      <c r="B33" s="72" t="n">
        <v>150</v>
      </c>
      <c r="C33" s="639" t="n">
        <v>453.38</v>
      </c>
      <c r="D33" s="240" t="n">
        <v>10</v>
      </c>
      <c r="E33" s="41" t="n"/>
      <c r="F33" s="72" t="n">
        <v>144</v>
      </c>
      <c r="G33" s="72" t="n">
        <v>144</v>
      </c>
      <c r="H33" s="72" t="n">
        <v>144</v>
      </c>
      <c r="I33" s="72" t="n">
        <v>143</v>
      </c>
      <c r="J33" s="72" t="n">
        <v>143</v>
      </c>
      <c r="K33" s="72" t="n">
        <v>141</v>
      </c>
      <c r="L33" s="72" t="n">
        <v>139</v>
      </c>
      <c r="M33" s="72" t="n">
        <v>134</v>
      </c>
      <c r="N33" s="72" t="n">
        <v>133</v>
      </c>
      <c r="O33" s="72" t="n">
        <v>132</v>
      </c>
      <c r="P33" s="72" t="n">
        <v>132</v>
      </c>
      <c r="Q33" s="72" t="n">
        <v>132</v>
      </c>
      <c r="R33" s="72" t="n">
        <v>131</v>
      </c>
      <c r="S33" s="72" t="n">
        <v>128</v>
      </c>
      <c r="T33" s="72" t="n">
        <v>128</v>
      </c>
      <c r="U33" s="72" t="n"/>
      <c r="V33" s="72" t="n"/>
      <c r="W33" s="72" t="n"/>
      <c r="X33" s="72" t="n"/>
      <c r="Y33" s="72" t="n"/>
      <c r="Z33" s="72" t="n">
        <v>116</v>
      </c>
      <c r="AA33" s="72" t="n">
        <v>116</v>
      </c>
      <c r="AB33" s="72" t="n">
        <v>116</v>
      </c>
      <c r="AC33" s="72" t="n">
        <v>116</v>
      </c>
      <c r="AD33" s="72" t="n">
        <v>116</v>
      </c>
      <c r="AE33" s="380">
        <f>AC33+IF(NOT(ISBLANK(OFFSET(AE33,0,6))),N(OFFSET(AE33,0,6)),N(OFFSET(AE33,0,7)))-AD33</f>
        <v/>
      </c>
      <c r="AF33" s="41" t="n"/>
      <c r="AG33" s="138" t="n"/>
      <c r="AH33" s="138" t="n"/>
      <c r="AI33" s="1" t="n"/>
      <c r="AJ33" s="32" t="n"/>
      <c r="AK33" s="628" t="n">
        <v>0</v>
      </c>
      <c r="AL33" s="19" t="n">
        <v>0</v>
      </c>
      <c r="AM33" s="19" t="n">
        <v>0</v>
      </c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>
        <v>150</v>
      </c>
      <c r="BK33" s="19" t="n"/>
    </row>
    <row r="34">
      <c r="A34" s="25" t="inlineStr">
        <is>
          <t>SACOLA M OUI</t>
        </is>
      </c>
      <c r="B34" s="72" t="n">
        <v>100</v>
      </c>
      <c r="C34" s="639" t="n">
        <v>355.78</v>
      </c>
      <c r="D34" s="240" t="n">
        <v>10</v>
      </c>
      <c r="E34" s="41" t="n"/>
      <c r="F34" s="72" t="n">
        <v>96</v>
      </c>
      <c r="G34" s="72" t="n">
        <v>95</v>
      </c>
      <c r="H34" s="72" t="n">
        <v>94</v>
      </c>
      <c r="I34" s="72" t="n">
        <v>93</v>
      </c>
      <c r="J34" s="72" t="n">
        <v>93</v>
      </c>
      <c r="K34" s="72" t="n">
        <v>92</v>
      </c>
      <c r="L34" s="72" t="n">
        <v>90</v>
      </c>
      <c r="M34" s="72" t="n">
        <v>90</v>
      </c>
      <c r="N34" s="72" t="n">
        <v>90</v>
      </c>
      <c r="O34" s="72" t="n">
        <v>90</v>
      </c>
      <c r="P34" s="72" t="n">
        <v>90</v>
      </c>
      <c r="Q34" s="72" t="n">
        <v>89</v>
      </c>
      <c r="R34" s="72" t="n">
        <v>88</v>
      </c>
      <c r="S34" s="72" t="n">
        <v>86</v>
      </c>
      <c r="T34" s="72" t="n">
        <v>86</v>
      </c>
      <c r="U34" s="72" t="n"/>
      <c r="V34" s="72" t="n"/>
      <c r="W34" s="72" t="n"/>
      <c r="X34" s="72" t="n"/>
      <c r="Y34" s="72" t="n"/>
      <c r="Z34" s="72" t="n">
        <v>79</v>
      </c>
      <c r="AA34" s="72" t="n">
        <v>79</v>
      </c>
      <c r="AB34" s="72" t="n">
        <v>79</v>
      </c>
      <c r="AC34" s="72" t="n">
        <v>79</v>
      </c>
      <c r="AD34" s="72" t="n">
        <v>79</v>
      </c>
      <c r="AE34" s="380">
        <f>AC34+IF(NOT(ISBLANK(OFFSET(AE34,0,6))),N(OFFSET(AE34,0,6)),N(OFFSET(AE34,0,7)))-AD34</f>
        <v/>
      </c>
      <c r="AF34" s="41" t="n"/>
      <c r="AG34" s="78" t="n"/>
      <c r="AH34" s="78" t="n"/>
      <c r="AI34" s="1" t="n"/>
      <c r="AJ34" s="32" t="n"/>
      <c r="AK34" s="628" t="n">
        <v>0</v>
      </c>
      <c r="AL34" s="19" t="n">
        <v>0</v>
      </c>
      <c r="AM34" s="19" t="n">
        <v>0</v>
      </c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>
        <v>100</v>
      </c>
      <c r="BK34" s="19" t="n"/>
    </row>
    <row r="35">
      <c r="A35" s="25" t="inlineStr">
        <is>
          <t>SACOLA G OUI</t>
        </is>
      </c>
      <c r="B35" s="72" t="n">
        <v>50</v>
      </c>
      <c r="C35" s="639" t="n">
        <v>249.26</v>
      </c>
      <c r="D35" s="240" t="n">
        <v>5</v>
      </c>
      <c r="E35" s="41" t="n"/>
      <c r="F35" s="72" t="n">
        <v>7</v>
      </c>
      <c r="G35" s="72" t="n">
        <v>7</v>
      </c>
      <c r="H35" s="72" t="n">
        <v>7</v>
      </c>
      <c r="I35" s="72" t="n">
        <v>7</v>
      </c>
      <c r="J35" s="72" t="n">
        <v>7</v>
      </c>
      <c r="K35" s="72" t="n">
        <v>7</v>
      </c>
      <c r="L35" s="72" t="n">
        <v>7</v>
      </c>
      <c r="M35" s="72" t="n">
        <v>7</v>
      </c>
      <c r="N35" s="72" t="n">
        <v>7</v>
      </c>
      <c r="O35" s="72" t="n">
        <v>7</v>
      </c>
      <c r="P35" s="72" t="n">
        <v>7</v>
      </c>
      <c r="Q35" s="72" t="n">
        <v>7</v>
      </c>
      <c r="R35" s="72" t="n">
        <v>7</v>
      </c>
      <c r="S35" s="72" t="n">
        <v>7</v>
      </c>
      <c r="T35" s="72" t="n">
        <v>7</v>
      </c>
      <c r="U35" s="72" t="n"/>
      <c r="V35" s="72" t="n"/>
      <c r="W35" s="72" t="n"/>
      <c r="X35" s="72" t="n"/>
      <c r="Y35" s="72" t="n"/>
      <c r="Z35" s="72" t="n">
        <v>7</v>
      </c>
      <c r="AA35" s="72" t="n">
        <v>7</v>
      </c>
      <c r="AB35" s="72" t="n">
        <v>7</v>
      </c>
      <c r="AC35" s="72" t="n">
        <v>7</v>
      </c>
      <c r="AD35" s="72" t="n">
        <v>7</v>
      </c>
      <c r="AE35" s="380">
        <f>AC35+IF(NOT(ISBLANK(OFFSET(AE35,0,6))),N(OFFSET(AE35,0,6)),N(OFFSET(AE35,0,7)))-AD35</f>
        <v/>
      </c>
      <c r="AF35" s="41" t="n"/>
      <c r="AG35" s="138" t="n"/>
      <c r="AH35" s="138" t="n"/>
      <c r="AI35" s="3" t="n"/>
      <c r="AJ35" s="32" t="n"/>
      <c r="AK35" s="628" t="n">
        <v>0</v>
      </c>
      <c r="AL35" s="19" t="n">
        <v>0</v>
      </c>
      <c r="AM35" s="19" t="n">
        <v>0</v>
      </c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</row>
    <row r="36">
      <c r="A36" s="25" t="inlineStr">
        <is>
          <t>SACO M OUI (BRINDE)</t>
        </is>
      </c>
      <c r="B36" s="6" t="n">
        <v>200</v>
      </c>
      <c r="C36" s="632" t="n">
        <v>249.78</v>
      </c>
      <c r="D36" s="240" t="n">
        <v>150</v>
      </c>
      <c r="E36" s="1" t="n"/>
      <c r="F36" s="72" t="n">
        <v>400</v>
      </c>
      <c r="G36" s="72" t="n">
        <v>400</v>
      </c>
      <c r="H36" s="72" t="n">
        <v>400</v>
      </c>
      <c r="I36" s="72" t="n">
        <v>400</v>
      </c>
      <c r="J36" s="72" t="n">
        <v>400</v>
      </c>
      <c r="K36" s="72" t="n">
        <v>400</v>
      </c>
      <c r="L36" s="72" t="n">
        <v>200</v>
      </c>
      <c r="M36" s="72" t="n">
        <v>200</v>
      </c>
      <c r="N36" s="72" t="n">
        <v>200</v>
      </c>
      <c r="O36" s="72" t="n">
        <v>200</v>
      </c>
      <c r="P36" s="72" t="n">
        <v>200</v>
      </c>
      <c r="Q36" s="72" t="n">
        <v>200</v>
      </c>
      <c r="R36" s="72" t="n">
        <v>200</v>
      </c>
      <c r="S36" s="72" t="n">
        <v>200</v>
      </c>
      <c r="T36" s="72" t="n">
        <v>200</v>
      </c>
      <c r="U36" s="72" t="n">
        <v>200</v>
      </c>
      <c r="V36" s="72" t="n">
        <v>0</v>
      </c>
      <c r="W36" s="72" t="n">
        <v>0</v>
      </c>
      <c r="X36" s="72" t="n">
        <v>0</v>
      </c>
      <c r="Y36" s="72">
        <f>0+AJ36</f>
        <v/>
      </c>
      <c r="Z36" s="72" t="n">
        <v>200</v>
      </c>
      <c r="AA36" s="72" t="n"/>
      <c r="AB36" s="72" t="n"/>
      <c r="AC36" s="72" t="n"/>
      <c r="AD36" s="72" t="n"/>
      <c r="AE36" s="380">
        <f>AC36+IF(NOT(ISBLANK(OFFSET(AE36,0,6))),N(OFFSET(AE36,0,6)),N(OFFSET(AE36,0,7)))-AD36</f>
        <v/>
      </c>
      <c r="AF36" s="41" t="n"/>
      <c r="AG36" s="78" t="n"/>
      <c r="AH36" s="78" t="n"/>
      <c r="AI36" s="608" t="n"/>
      <c r="AJ36" s="32" t="n"/>
      <c r="AK36" s="628" t="n">
        <v>0</v>
      </c>
      <c r="AL36" s="19" t="n">
        <v>0</v>
      </c>
      <c r="AM36" s="19" t="n">
        <v>200</v>
      </c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</row>
    <row r="37">
      <c r="B37" s="41" t="n"/>
      <c r="E37" s="41" t="n"/>
      <c r="F37" s="41" t="n"/>
      <c r="G37" s="41" t="n"/>
      <c r="H37" s="41" t="n"/>
      <c r="I37" s="41" t="n"/>
      <c r="J37" s="41" t="n"/>
      <c r="K37" s="41" t="n"/>
      <c r="L37" s="41" t="n"/>
      <c r="M37" s="41" t="n"/>
      <c r="N37" s="41" t="n"/>
      <c r="O37" s="41" t="n"/>
      <c r="P37" s="41" t="n"/>
      <c r="Q37" s="41" t="n"/>
      <c r="R37" s="41" t="n"/>
      <c r="S37" s="41" t="n"/>
      <c r="T37" s="41" t="n"/>
      <c r="U37" s="41" t="n"/>
      <c r="V37" s="41" t="n"/>
      <c r="W37" s="41" t="n"/>
      <c r="X37" s="41" t="n"/>
      <c r="Y37" s="41" t="n"/>
      <c r="Z37" s="41" t="n"/>
      <c r="AA37" s="41" t="n"/>
      <c r="AB37" s="41" t="n"/>
      <c r="AC37" s="41" t="n"/>
      <c r="AD37" s="41" t="n"/>
      <c r="AF37" s="41" t="n"/>
      <c r="AI37" s="41" t="n"/>
      <c r="AK37" s="41" t="n"/>
    </row>
    <row r="38">
      <c r="A38" s="147" t="inlineStr">
        <is>
          <t>CAIXAS OUI</t>
        </is>
      </c>
      <c r="B38" s="148" t="inlineStr">
        <is>
          <t>PC</t>
        </is>
      </c>
      <c r="C38" s="148" t="inlineStr">
        <is>
          <t>R$</t>
        </is>
      </c>
      <c r="D38" s="148" t="inlineStr">
        <is>
          <t>Estoque Ideal</t>
        </is>
      </c>
      <c r="E38" s="1" t="n"/>
      <c r="F38" s="619" t="n">
        <v>46013</v>
      </c>
      <c r="G38" s="619" t="n">
        <v>46020</v>
      </c>
      <c r="H38" s="619" t="n">
        <v>46027</v>
      </c>
      <c r="I38" s="619" t="n">
        <v>46034</v>
      </c>
      <c r="J38" s="619" t="n">
        <v>46041</v>
      </c>
      <c r="K38" s="619" t="n">
        <v>46048</v>
      </c>
      <c r="L38" s="619" t="n">
        <v>46055</v>
      </c>
      <c r="M38" s="619" t="n">
        <v>46062</v>
      </c>
      <c r="N38" s="619" t="n">
        <v>46069</v>
      </c>
      <c r="O38" s="619" t="n">
        <v>46076</v>
      </c>
      <c r="P38" s="619" t="n">
        <v>46083</v>
      </c>
      <c r="Q38" s="619" t="n">
        <v>46090</v>
      </c>
      <c r="R38" s="619" t="n">
        <v>46097</v>
      </c>
      <c r="S38" s="619" t="n">
        <v>46104</v>
      </c>
      <c r="T38" s="619" t="n">
        <v>46111</v>
      </c>
      <c r="U38" s="619" t="n">
        <v>46118</v>
      </c>
      <c r="V38" s="619" t="n">
        <v>46125</v>
      </c>
      <c r="W38" s="619" t="n">
        <v>46132</v>
      </c>
      <c r="X38" s="619" t="n">
        <v>46139</v>
      </c>
      <c r="Y38" s="619" t="n">
        <v>46146</v>
      </c>
      <c r="Z38" s="619" t="n">
        <v>46154</v>
      </c>
      <c r="AA38" s="619" t="n">
        <v>46160</v>
      </c>
      <c r="AB38" s="620" t="n">
        <v>46161.48013361111</v>
      </c>
      <c r="AC38" s="620" t="n">
        <v>46161.48080726852</v>
      </c>
      <c r="AD38" s="620" t="n">
        <v>46161.48296431069</v>
      </c>
      <c r="AE38" s="621" t="inlineStr">
        <is>
          <t>USOU</t>
        </is>
      </c>
      <c r="AF38" s="41" t="n"/>
      <c r="AG38" s="29" t="inlineStr">
        <is>
          <t>Pendências</t>
        </is>
      </c>
      <c r="AH38" s="29" t="inlineStr">
        <is>
          <t>Pendências</t>
        </is>
      </c>
      <c r="AJ38" s="9" t="inlineStr">
        <is>
          <t>Novo Pedido</t>
        </is>
      </c>
      <c r="AK38" s="673" t="n">
        <v>46161.48296364828</v>
      </c>
      <c r="AL38" s="674" t="n">
        <v>46149</v>
      </c>
      <c r="AM38" s="674" t="n">
        <v>46142</v>
      </c>
      <c r="AN38" s="674" t="n">
        <v>46114</v>
      </c>
      <c r="AO38" s="674" t="n">
        <v>46107</v>
      </c>
      <c r="AP38" s="674" t="n">
        <v>46099</v>
      </c>
      <c r="AQ38" s="675" t="n">
        <v>46065</v>
      </c>
      <c r="AR38" s="674" t="n">
        <v>46092</v>
      </c>
      <c r="AS38" s="674" t="n">
        <v>46084</v>
      </c>
      <c r="AT38" s="675" t="n">
        <v>46065</v>
      </c>
      <c r="AU38" s="676" t="n">
        <v>46045</v>
      </c>
      <c r="AV38" s="674" t="n">
        <v>46077</v>
      </c>
      <c r="AW38" s="674" t="n">
        <v>46071</v>
      </c>
      <c r="AX38" s="674" t="n">
        <v>46056</v>
      </c>
      <c r="AY38" s="674" t="n">
        <v>46048</v>
      </c>
      <c r="AZ38" s="674" t="n">
        <v>46029</v>
      </c>
      <c r="BA38" s="674" t="n">
        <v>46029</v>
      </c>
      <c r="BB38" s="674" t="n">
        <v>46043</v>
      </c>
      <c r="BC38" s="674" t="n">
        <v>46029</v>
      </c>
      <c r="BD38" s="674" t="n">
        <v>46017</v>
      </c>
      <c r="BE38" s="674" t="n">
        <v>46007</v>
      </c>
      <c r="BF38" s="674" t="n">
        <v>46001</v>
      </c>
      <c r="BG38" s="674" t="n">
        <v>46001</v>
      </c>
      <c r="BH38" s="677" t="n">
        <v>46014</v>
      </c>
      <c r="BI38" s="674" t="n">
        <v>45994</v>
      </c>
      <c r="BJ38" s="674" t="n">
        <v>45986</v>
      </c>
      <c r="BK38" s="674" t="n">
        <v>45986</v>
      </c>
    </row>
    <row r="39">
      <c r="A39" s="25" t="inlineStr">
        <is>
          <t>KIT CAIXA P OUI</t>
        </is>
      </c>
      <c r="B39" s="72" t="n">
        <v>100</v>
      </c>
      <c r="C39" s="639" t="n">
        <v>539.7</v>
      </c>
      <c r="D39" s="240" t="n">
        <v>20</v>
      </c>
      <c r="E39" s="41" t="n"/>
      <c r="F39" s="72" t="n">
        <v>43</v>
      </c>
      <c r="G39" s="72" t="n">
        <v>43</v>
      </c>
      <c r="H39" s="72" t="n">
        <v>43</v>
      </c>
      <c r="I39" s="72" t="n">
        <v>43</v>
      </c>
      <c r="J39" s="72" t="n">
        <v>43</v>
      </c>
      <c r="K39" s="72" t="n">
        <v>43</v>
      </c>
      <c r="L39" s="72" t="n">
        <v>43</v>
      </c>
      <c r="M39" s="72" t="n">
        <v>43</v>
      </c>
      <c r="N39" s="72" t="n">
        <v>43</v>
      </c>
      <c r="O39" s="72" t="n">
        <v>43</v>
      </c>
      <c r="P39" s="72" t="n">
        <v>43</v>
      </c>
      <c r="Q39" s="72" t="n">
        <v>41</v>
      </c>
      <c r="R39" s="72" t="n">
        <v>40</v>
      </c>
      <c r="S39" s="72" t="n">
        <v>40</v>
      </c>
      <c r="T39" s="72" t="n">
        <v>40</v>
      </c>
      <c r="U39" s="72" t="n"/>
      <c r="V39" s="72" t="n"/>
      <c r="W39" s="72" t="n"/>
      <c r="X39" s="72" t="n"/>
      <c r="Y39" s="72" t="n"/>
      <c r="Z39" s="72" t="n">
        <v>39</v>
      </c>
      <c r="AA39" s="72" t="n">
        <v>39</v>
      </c>
      <c r="AB39" s="72" t="n">
        <v>39</v>
      </c>
      <c r="AC39" s="72" t="n">
        <v>39</v>
      </c>
      <c r="AD39" s="72" t="n">
        <v>39</v>
      </c>
      <c r="AE39" s="380">
        <f>AC39+IF(NOT(ISBLANK(OFFSET(AE39,0,6))),N(OFFSET(AE39,0,6)),N(OFFSET(AE39,0,7)))-AD39</f>
        <v/>
      </c>
      <c r="AF39" s="41" t="n"/>
      <c r="AG39" s="138" t="n"/>
      <c r="AH39" s="138" t="n"/>
      <c r="AI39" s="608" t="n"/>
      <c r="AJ39" s="32" t="n"/>
      <c r="AK39" s="628" t="n">
        <v>0</v>
      </c>
      <c r="AL39" s="19" t="n">
        <v>0</v>
      </c>
      <c r="AM39" s="19" t="n">
        <v>0</v>
      </c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</row>
    <row r="40">
      <c r="A40" s="25" t="inlineStr">
        <is>
          <t>KIT CAIXA M OUI</t>
        </is>
      </c>
      <c r="B40" s="72" t="n">
        <v>100</v>
      </c>
      <c r="C40" s="639" t="n">
        <v>652.05</v>
      </c>
      <c r="D40" s="240" t="n">
        <v>30</v>
      </c>
      <c r="E40" s="41" t="n"/>
      <c r="F40" s="72" t="n">
        <v>67</v>
      </c>
      <c r="G40" s="72" t="n">
        <v>66</v>
      </c>
      <c r="H40" s="72" t="n">
        <v>66</v>
      </c>
      <c r="I40" s="72" t="n">
        <v>66</v>
      </c>
      <c r="J40" s="72" t="n">
        <v>66</v>
      </c>
      <c r="K40" s="72" t="n">
        <v>66</v>
      </c>
      <c r="L40" s="72" t="n">
        <v>66</v>
      </c>
      <c r="M40" s="72" t="n">
        <v>66</v>
      </c>
      <c r="N40" s="72" t="n">
        <v>65</v>
      </c>
      <c r="O40" s="72" t="n">
        <v>65</v>
      </c>
      <c r="P40" s="72" t="n">
        <v>65</v>
      </c>
      <c r="Q40" s="72" t="n">
        <v>62</v>
      </c>
      <c r="R40" s="72" t="n">
        <v>61</v>
      </c>
      <c r="S40" s="72" t="n">
        <v>60</v>
      </c>
      <c r="T40" s="72" t="n">
        <v>58</v>
      </c>
      <c r="U40" s="72" t="n"/>
      <c r="V40" s="72" t="n"/>
      <c r="W40" s="72" t="n"/>
      <c r="X40" s="72" t="n"/>
      <c r="Y40" s="72" t="n"/>
      <c r="Z40" s="72" t="n">
        <v>50</v>
      </c>
      <c r="AA40" s="72" t="n">
        <v>46</v>
      </c>
      <c r="AB40" s="72" t="n">
        <v>46</v>
      </c>
      <c r="AC40" s="72" t="n">
        <v>46</v>
      </c>
      <c r="AD40" s="72" t="n">
        <v>46</v>
      </c>
      <c r="AE40" s="380">
        <f>AC40+IF(NOT(ISBLANK(OFFSET(AE40,0,6))),N(OFFSET(AE40,0,6)),N(OFFSET(AE40,0,7)))-AD40</f>
        <v/>
      </c>
      <c r="AF40" s="41" t="n"/>
      <c r="AG40" s="138" t="n"/>
      <c r="AH40" s="138" t="n"/>
      <c r="AI40" s="1" t="n"/>
      <c r="AJ40" s="32" t="n"/>
      <c r="AK40" s="628" t="n">
        <v>0</v>
      </c>
      <c r="AL40" s="19" t="n">
        <v>0</v>
      </c>
      <c r="AM40" s="19" t="n">
        <v>0</v>
      </c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</row>
    <row r="41">
      <c r="A41" s="25" t="inlineStr">
        <is>
          <t>KIT CAIXA G OUI</t>
        </is>
      </c>
      <c r="B41" s="72" t="n">
        <v>50</v>
      </c>
      <c r="C41" s="639" t="n">
        <v>567.53</v>
      </c>
      <c r="D41" s="240" t="n">
        <v>10</v>
      </c>
      <c r="E41" s="41" t="n"/>
      <c r="F41" s="72" t="n">
        <v>19</v>
      </c>
      <c r="G41" s="72" t="n">
        <v>19</v>
      </c>
      <c r="H41" s="72" t="n">
        <v>19</v>
      </c>
      <c r="I41" s="72" t="n">
        <v>19</v>
      </c>
      <c r="J41" s="72" t="n">
        <v>19</v>
      </c>
      <c r="K41" s="72" t="n">
        <v>19</v>
      </c>
      <c r="L41" s="72" t="n">
        <v>19</v>
      </c>
      <c r="M41" s="72" t="n">
        <v>19</v>
      </c>
      <c r="N41" s="72" t="n">
        <v>19</v>
      </c>
      <c r="O41" s="72" t="n">
        <v>19</v>
      </c>
      <c r="P41" s="72" t="n">
        <v>19</v>
      </c>
      <c r="Q41" s="72" t="n">
        <v>19</v>
      </c>
      <c r="R41" s="72" t="n">
        <v>19</v>
      </c>
      <c r="S41" s="72" t="n">
        <v>19</v>
      </c>
      <c r="T41" s="72" t="n">
        <v>19</v>
      </c>
      <c r="U41" s="72" t="n"/>
      <c r="V41" s="72" t="n"/>
      <c r="W41" s="72" t="n"/>
      <c r="X41" s="72" t="n"/>
      <c r="Y41" s="72" t="n"/>
      <c r="Z41" s="72" t="n">
        <v>19</v>
      </c>
      <c r="AA41" s="72" t="n">
        <v>19</v>
      </c>
      <c r="AB41" s="72" t="n">
        <v>19</v>
      </c>
      <c r="AC41" s="72" t="n">
        <v>19</v>
      </c>
      <c r="AD41" s="72" t="n">
        <v>19</v>
      </c>
      <c r="AE41" s="380">
        <f>AC41+IF(NOT(ISBLANK(OFFSET(AE41,0,6))),N(OFFSET(AE41,0,6)),N(OFFSET(AE41,0,7)))-AD41</f>
        <v/>
      </c>
      <c r="AF41" s="41" t="n"/>
      <c r="AG41" s="138" t="n"/>
      <c r="AH41" s="138" t="n"/>
      <c r="AI41" s="1" t="n"/>
      <c r="AJ41" s="32" t="n"/>
      <c r="AK41" s="628" t="n">
        <v>0</v>
      </c>
      <c r="AL41" s="19" t="n">
        <v>0</v>
      </c>
      <c r="AM41" s="19" t="n">
        <v>0</v>
      </c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</row>
    <row r="42">
      <c r="B42" s="41" t="n"/>
      <c r="C42" s="41" t="n"/>
      <c r="D42" s="41" t="n"/>
      <c r="E42" s="41" t="n"/>
      <c r="F42" s="41" t="n"/>
      <c r="G42" s="41" t="n"/>
      <c r="H42" s="41" t="n"/>
      <c r="I42" s="41" t="n"/>
      <c r="J42" s="41" t="n"/>
      <c r="K42" s="41" t="n"/>
      <c r="L42" s="41" t="n"/>
      <c r="M42" s="41" t="n"/>
      <c r="N42" s="41" t="n"/>
      <c r="O42" s="41" t="n"/>
      <c r="P42" s="41" t="n"/>
      <c r="Q42" s="41" t="n"/>
      <c r="R42" s="41" t="n"/>
      <c r="S42" s="41" t="n"/>
      <c r="T42" s="41" t="n"/>
      <c r="U42" s="41" t="n"/>
      <c r="V42" s="41" t="n"/>
      <c r="W42" s="41" t="n"/>
      <c r="X42" s="41" t="n"/>
      <c r="Y42" s="41" t="n"/>
      <c r="Z42" s="41" t="n"/>
      <c r="AA42" s="41" t="n"/>
      <c r="AB42" s="41" t="n"/>
      <c r="AC42" s="41" t="n"/>
      <c r="AD42" s="41" t="n"/>
      <c r="AE42" s="41" t="n"/>
      <c r="AF42" s="41" t="n"/>
      <c r="AI42" s="41" t="n"/>
      <c r="AK42" s="648" t="n"/>
      <c r="AL42" s="648" t="n"/>
      <c r="AM42" s="648" t="n"/>
      <c r="AN42" s="648" t="n"/>
      <c r="AO42" s="648" t="n"/>
      <c r="AP42" s="648" t="n"/>
      <c r="AQ42" s="648" t="n"/>
      <c r="AR42" s="648" t="n"/>
      <c r="AS42" s="648" t="n"/>
      <c r="AT42" s="648" t="n"/>
      <c r="AU42" s="648" t="n"/>
      <c r="AV42" s="648" t="n"/>
      <c r="AW42" s="648" t="n"/>
      <c r="AX42" s="648" t="n"/>
      <c r="AY42" s="648" t="n"/>
      <c r="AZ42" s="648" t="n"/>
      <c r="BA42" s="648" t="n"/>
      <c r="BB42" s="648" t="n"/>
      <c r="BC42" s="648" t="n"/>
      <c r="BD42" s="648" t="n"/>
      <c r="BE42" s="648" t="n"/>
      <c r="BF42" s="648" t="n"/>
      <c r="BG42" s="648" t="n"/>
      <c r="BH42" s="648" t="n"/>
      <c r="BI42" s="648" t="n"/>
      <c r="BJ42" s="648" t="n"/>
      <c r="BK42" s="648" t="n"/>
    </row>
    <row r="43">
      <c r="A43" s="149" t="inlineStr">
        <is>
          <t>SACOLAS E CAIXAS QDB</t>
        </is>
      </c>
      <c r="B43" s="150" t="inlineStr">
        <is>
          <t>PC</t>
        </is>
      </c>
      <c r="C43" s="150" t="inlineStr">
        <is>
          <t>R$</t>
        </is>
      </c>
      <c r="D43" s="150" t="inlineStr">
        <is>
          <t>Estoque Ideal</t>
        </is>
      </c>
      <c r="E43" s="1" t="n"/>
      <c r="F43" s="619" t="n">
        <v>46013</v>
      </c>
      <c r="G43" s="619" t="n">
        <v>46020</v>
      </c>
      <c r="H43" s="619" t="n">
        <v>46027</v>
      </c>
      <c r="I43" s="619" t="n">
        <v>46034</v>
      </c>
      <c r="J43" s="619" t="n">
        <v>46041</v>
      </c>
      <c r="K43" s="619" t="n">
        <v>46048</v>
      </c>
      <c r="L43" s="619" t="n">
        <v>46055</v>
      </c>
      <c r="M43" s="619" t="n">
        <v>46062</v>
      </c>
      <c r="N43" s="619" t="n">
        <v>46069</v>
      </c>
      <c r="O43" s="619" t="n">
        <v>46076</v>
      </c>
      <c r="P43" s="619" t="n">
        <v>46083</v>
      </c>
      <c r="Q43" s="619" t="n">
        <v>46090</v>
      </c>
      <c r="R43" s="619" t="n">
        <v>46097</v>
      </c>
      <c r="S43" s="619" t="n">
        <v>46104</v>
      </c>
      <c r="T43" s="619" t="n">
        <v>46111</v>
      </c>
      <c r="U43" s="619" t="n">
        <v>46118</v>
      </c>
      <c r="V43" s="619" t="n">
        <v>46125</v>
      </c>
      <c r="W43" s="619" t="n">
        <v>46132</v>
      </c>
      <c r="X43" s="619" t="n">
        <v>46139</v>
      </c>
      <c r="Y43" s="619" t="n">
        <v>46146</v>
      </c>
      <c r="Z43" s="619" t="n">
        <v>46154</v>
      </c>
      <c r="AA43" s="619" t="n">
        <v>46160</v>
      </c>
      <c r="AB43" s="620" t="n">
        <v>46161.48013361111</v>
      </c>
      <c r="AC43" s="620" t="n">
        <v>46161.48080726852</v>
      </c>
      <c r="AD43" s="620" t="n">
        <v>46161.48296431088</v>
      </c>
      <c r="AE43" s="621" t="inlineStr">
        <is>
          <t>USOU</t>
        </is>
      </c>
      <c r="AF43" s="41" t="n"/>
      <c r="AG43" s="29" t="inlineStr">
        <is>
          <t>Pendências</t>
        </is>
      </c>
      <c r="AH43" s="29" t="inlineStr">
        <is>
          <t>Pendências</t>
        </is>
      </c>
      <c r="AJ43" s="9" t="inlineStr">
        <is>
          <t>Novo Pedido</t>
        </is>
      </c>
      <c r="AK43" s="673" t="n">
        <v>46161.48296364853</v>
      </c>
      <c r="AL43" s="674" t="n">
        <v>46149</v>
      </c>
      <c r="AM43" s="674" t="n">
        <v>46142</v>
      </c>
      <c r="AN43" s="674" t="n">
        <v>46114</v>
      </c>
      <c r="AO43" s="674" t="n">
        <v>46107</v>
      </c>
      <c r="AP43" s="674" t="n">
        <v>46099</v>
      </c>
      <c r="AQ43" s="675" t="n">
        <v>46065</v>
      </c>
      <c r="AR43" s="674" t="n">
        <v>46092</v>
      </c>
      <c r="AS43" s="674" t="n">
        <v>46084</v>
      </c>
      <c r="AT43" s="675" t="n">
        <v>46065</v>
      </c>
      <c r="AU43" s="676" t="n">
        <v>46045</v>
      </c>
      <c r="AV43" s="674" t="n">
        <v>46077</v>
      </c>
      <c r="AW43" s="674" t="n">
        <v>46071</v>
      </c>
      <c r="AX43" s="674" t="n">
        <v>46056</v>
      </c>
      <c r="AY43" s="674" t="n">
        <v>46048</v>
      </c>
      <c r="AZ43" s="674" t="n">
        <v>46029</v>
      </c>
      <c r="BA43" s="674" t="n">
        <v>46029</v>
      </c>
      <c r="BB43" s="674" t="n">
        <v>46043</v>
      </c>
      <c r="BC43" s="674" t="n">
        <v>46029</v>
      </c>
      <c r="BD43" s="674" t="n">
        <v>46017</v>
      </c>
      <c r="BE43" s="674" t="n">
        <v>46007</v>
      </c>
      <c r="BF43" s="674" t="n">
        <v>46001</v>
      </c>
      <c r="BG43" s="674" t="n">
        <v>46001</v>
      </c>
      <c r="BH43" s="677" t="n">
        <v>46014</v>
      </c>
      <c r="BI43" s="674" t="n">
        <v>45994</v>
      </c>
      <c r="BJ43" s="674" t="n">
        <v>45986</v>
      </c>
      <c r="BK43" s="674" t="n">
        <v>45986</v>
      </c>
    </row>
    <row r="44">
      <c r="A44" s="25" t="inlineStr">
        <is>
          <t>SACOLA P - QDB</t>
        </is>
      </c>
      <c r="B44" s="6" t="n">
        <v>300</v>
      </c>
      <c r="C44" s="632" t="n">
        <v>169.8</v>
      </c>
      <c r="D44" s="240" t="n">
        <v>0</v>
      </c>
      <c r="E44" s="1" t="n"/>
      <c r="F44" s="39" t="n">
        <v>0</v>
      </c>
      <c r="G44" s="39" t="n">
        <v>0</v>
      </c>
      <c r="H44" s="39" t="n">
        <v>0</v>
      </c>
      <c r="I44" s="39" t="n">
        <v>0</v>
      </c>
      <c r="J44" s="39" t="n">
        <v>0</v>
      </c>
      <c r="K44" s="39" t="n">
        <v>0</v>
      </c>
      <c r="L44" s="39" t="n">
        <v>0</v>
      </c>
      <c r="M44" s="39" t="n">
        <v>0</v>
      </c>
      <c r="N44" s="39" t="n">
        <v>0</v>
      </c>
      <c r="O44" s="39" t="n">
        <v>0</v>
      </c>
      <c r="P44" s="39" t="n">
        <v>0</v>
      </c>
      <c r="Q44" s="39" t="n">
        <v>0</v>
      </c>
      <c r="R44" s="39" t="n">
        <v>0</v>
      </c>
      <c r="S44" s="39" t="n">
        <v>0</v>
      </c>
      <c r="T44" s="39" t="n">
        <v>0</v>
      </c>
      <c r="U44" s="39" t="n">
        <v>0</v>
      </c>
      <c r="V44" s="39" t="n">
        <v>0</v>
      </c>
      <c r="W44" s="39" t="n">
        <v>0</v>
      </c>
      <c r="X44" s="39" t="n">
        <v>0</v>
      </c>
      <c r="Y44" s="39" t="n">
        <v>0</v>
      </c>
      <c r="Z44" s="39" t="n">
        <v>0</v>
      </c>
      <c r="AA44" s="39" t="n"/>
      <c r="AB44" s="6" t="n"/>
      <c r="AC44" s="6" t="n"/>
      <c r="AD44" s="6" t="n"/>
      <c r="AE44" s="380">
        <f>AC44+IF(NOT(ISBLANK(OFFSET(AE44,0,6))),N(OFFSET(AE44,0,6)),N(OFFSET(AE44,0,7)))-AD44</f>
        <v/>
      </c>
      <c r="AF44" s="41" t="n"/>
      <c r="AG44" s="138" t="n"/>
      <c r="AH44" s="138" t="n"/>
      <c r="AJ44" s="76" t="n"/>
      <c r="AK44" s="628" t="n">
        <v>0</v>
      </c>
      <c r="AL44" s="19" t="n">
        <v>0</v>
      </c>
      <c r="AM44" s="19" t="n">
        <v>0</v>
      </c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</row>
    <row r="45">
      <c r="A45" s="25" t="inlineStr">
        <is>
          <t>SACOLA M - QDB</t>
        </is>
      </c>
      <c r="B45" s="6" t="n">
        <v>200</v>
      </c>
      <c r="C45" s="632" t="n">
        <v>175.22</v>
      </c>
      <c r="D45" s="240" t="n">
        <v>0</v>
      </c>
      <c r="E45" s="1" t="n"/>
      <c r="F45" s="39" t="n">
        <v>0</v>
      </c>
      <c r="G45" s="39" t="n">
        <v>0</v>
      </c>
      <c r="H45" s="39" t="n">
        <v>0</v>
      </c>
      <c r="I45" s="39" t="n">
        <v>0</v>
      </c>
      <c r="J45" s="39" t="n">
        <v>0</v>
      </c>
      <c r="K45" s="39" t="n">
        <v>0</v>
      </c>
      <c r="L45" s="39" t="n">
        <v>0</v>
      </c>
      <c r="M45" s="39" t="n">
        <v>0</v>
      </c>
      <c r="N45" s="39" t="n">
        <v>0</v>
      </c>
      <c r="O45" s="39" t="n">
        <v>0</v>
      </c>
      <c r="P45" s="39" t="n">
        <v>0</v>
      </c>
      <c r="Q45" s="39" t="n">
        <v>0</v>
      </c>
      <c r="R45" s="39" t="n">
        <v>0</v>
      </c>
      <c r="S45" s="39" t="n">
        <v>0</v>
      </c>
      <c r="T45" s="39" t="n">
        <v>0</v>
      </c>
      <c r="U45" s="39" t="n">
        <v>0</v>
      </c>
      <c r="V45" s="39" t="n">
        <v>0</v>
      </c>
      <c r="W45" s="39" t="n">
        <v>0</v>
      </c>
      <c r="X45" s="39" t="n">
        <v>0</v>
      </c>
      <c r="Y45" s="39" t="n">
        <v>0</v>
      </c>
      <c r="Z45" s="39" t="n">
        <v>0</v>
      </c>
      <c r="AA45" s="39" t="n"/>
      <c r="AB45" s="6" t="n"/>
      <c r="AC45" s="6" t="n"/>
      <c r="AD45" s="6" t="n"/>
      <c r="AE45" s="380">
        <f>AC45+IF(NOT(ISBLANK(OFFSET(AE45,0,6))),N(OFFSET(AE45,0,6)),N(OFFSET(AE45,0,7)))-AD45</f>
        <v/>
      </c>
      <c r="AF45" s="41" t="n"/>
      <c r="AG45" s="138" t="n"/>
      <c r="AH45" s="138" t="n"/>
      <c r="AJ45" s="76" t="n"/>
      <c r="AK45" s="628" t="n">
        <v>0</v>
      </c>
      <c r="AL45" s="19" t="n">
        <v>0</v>
      </c>
      <c r="AM45" s="19" t="n">
        <v>0</v>
      </c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</row>
    <row r="46">
      <c r="A46" s="25" t="inlineStr">
        <is>
          <t>SACOLA G - QDB</t>
        </is>
      </c>
      <c r="B46" s="6" t="n">
        <v>200</v>
      </c>
      <c r="C46" s="632" t="n">
        <v>230.34</v>
      </c>
      <c r="D46" s="240" t="n">
        <v>0</v>
      </c>
      <c r="E46" s="1" t="n"/>
      <c r="F46" s="39" t="n">
        <v>0</v>
      </c>
      <c r="G46" s="39" t="n">
        <v>0</v>
      </c>
      <c r="H46" s="39" t="n">
        <v>0</v>
      </c>
      <c r="I46" s="39" t="n">
        <v>0</v>
      </c>
      <c r="J46" s="39" t="n">
        <v>0</v>
      </c>
      <c r="K46" s="39" t="n">
        <v>0</v>
      </c>
      <c r="L46" s="39" t="n">
        <v>0</v>
      </c>
      <c r="M46" s="39" t="n">
        <v>0</v>
      </c>
      <c r="N46" s="39" t="n">
        <v>0</v>
      </c>
      <c r="O46" s="39" t="n">
        <v>0</v>
      </c>
      <c r="P46" s="39" t="n">
        <v>0</v>
      </c>
      <c r="Q46" s="39" t="n">
        <v>0</v>
      </c>
      <c r="R46" s="39" t="n">
        <v>0</v>
      </c>
      <c r="S46" s="39" t="n">
        <v>0</v>
      </c>
      <c r="T46" s="39" t="n">
        <v>0</v>
      </c>
      <c r="U46" s="39" t="n">
        <v>0</v>
      </c>
      <c r="V46" s="39" t="n">
        <v>0</v>
      </c>
      <c r="W46" s="39" t="n">
        <v>0</v>
      </c>
      <c r="X46" s="39" t="n">
        <v>0</v>
      </c>
      <c r="Y46" s="39" t="n">
        <v>0</v>
      </c>
      <c r="Z46" s="39" t="n">
        <v>0</v>
      </c>
      <c r="AA46" s="39" t="n"/>
      <c r="AB46" s="6" t="n"/>
      <c r="AC46" s="6" t="n"/>
      <c r="AD46" s="6" t="n"/>
      <c r="AE46" s="380">
        <f>AC46+IF(NOT(ISBLANK(OFFSET(AE46,0,6))),N(OFFSET(AE46,0,6)),N(OFFSET(AE46,0,7)))-AD46</f>
        <v/>
      </c>
      <c r="AF46" s="41" t="n"/>
      <c r="AG46" s="138" t="n"/>
      <c r="AH46" s="138" t="n"/>
      <c r="AJ46" s="76" t="n"/>
      <c r="AK46" s="628" t="n">
        <v>0</v>
      </c>
      <c r="AL46" s="19" t="n">
        <v>0</v>
      </c>
      <c r="AM46" s="19" t="n">
        <v>0</v>
      </c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</row>
    <row r="47">
      <c r="A47" s="25" t="inlineStr">
        <is>
          <t>CAIXA P QDB</t>
        </is>
      </c>
      <c r="B47" s="6" t="n">
        <v>150</v>
      </c>
      <c r="C47" s="632" t="n">
        <v>295.72</v>
      </c>
      <c r="D47" s="240" t="n">
        <v>10</v>
      </c>
      <c r="E47" s="1" t="n"/>
      <c r="F47" s="39" t="n">
        <v>0</v>
      </c>
      <c r="G47" s="39" t="n">
        <v>0</v>
      </c>
      <c r="H47" s="39" t="n">
        <v>0</v>
      </c>
      <c r="I47" s="39" t="n">
        <v>0</v>
      </c>
      <c r="J47" s="39" t="n">
        <v>0</v>
      </c>
      <c r="K47" s="39" t="n">
        <v>0</v>
      </c>
      <c r="L47" s="39" t="n">
        <v>0</v>
      </c>
      <c r="M47" s="39" t="n">
        <v>0</v>
      </c>
      <c r="N47" s="39" t="n">
        <v>0</v>
      </c>
      <c r="O47" s="39" t="n">
        <v>0</v>
      </c>
      <c r="P47" s="39" t="n">
        <v>0</v>
      </c>
      <c r="Q47" s="39" t="n">
        <v>0</v>
      </c>
      <c r="R47" s="39" t="n">
        <v>0</v>
      </c>
      <c r="S47" s="39" t="n">
        <v>0</v>
      </c>
      <c r="T47" s="39" t="n">
        <v>0</v>
      </c>
      <c r="U47" s="39" t="n">
        <v>0</v>
      </c>
      <c r="V47" s="39" t="n">
        <v>0</v>
      </c>
      <c r="W47" s="39" t="n">
        <v>0</v>
      </c>
      <c r="X47" s="39" t="n">
        <v>0</v>
      </c>
      <c r="Y47" s="39" t="n">
        <v>0</v>
      </c>
      <c r="Z47" s="39" t="n">
        <v>0</v>
      </c>
      <c r="AA47" s="39" t="n">
        <v>0</v>
      </c>
      <c r="AB47" s="6" t="n">
        <v>0</v>
      </c>
      <c r="AC47" s="6" t="n">
        <v>0</v>
      </c>
      <c r="AD47" s="6" t="n">
        <v>0</v>
      </c>
      <c r="AE47" s="380">
        <f>AC47+IF(NOT(ISBLANK(OFFSET(AE47,0,6))),N(OFFSET(AE47,0,6)),N(OFFSET(AE47,0,7)))-AD47</f>
        <v/>
      </c>
      <c r="AF47" s="41" t="n"/>
      <c r="AG47" s="138" t="n"/>
      <c r="AH47" s="138" t="n"/>
      <c r="AJ47" s="76" t="n"/>
      <c r="AK47" s="628" t="n">
        <v>0</v>
      </c>
      <c r="AL47" s="19" t="n">
        <v>0</v>
      </c>
      <c r="AM47" s="19" t="n">
        <v>0</v>
      </c>
      <c r="AN47" s="163" t="n"/>
      <c r="AO47" s="163" t="n"/>
      <c r="AP47" s="163" t="n"/>
      <c r="AQ47" s="163" t="n"/>
      <c r="AR47" s="163" t="n"/>
      <c r="AS47" s="163" t="n"/>
      <c r="AT47" s="163" t="n"/>
      <c r="AU47" s="163" t="n"/>
      <c r="AV47" s="163" t="n"/>
      <c r="AW47" s="163" t="n"/>
      <c r="AX47" s="163" t="n"/>
      <c r="AY47" s="163" t="n"/>
      <c r="AZ47" s="163" t="n"/>
      <c r="BA47" s="163" t="n"/>
      <c r="BB47" s="163" t="n"/>
      <c r="BC47" s="163" t="n"/>
      <c r="BD47" s="163" t="n"/>
      <c r="BE47" s="163" t="n"/>
      <c r="BF47" s="163" t="n"/>
      <c r="BG47" s="163" t="n"/>
      <c r="BH47" s="163" t="n"/>
      <c r="BI47" s="163" t="n"/>
      <c r="BJ47" s="163" t="n"/>
      <c r="BK47" s="163" t="n"/>
    </row>
    <row r="48">
      <c r="A48" s="25" t="inlineStr">
        <is>
          <t>CAIXA M QDB</t>
        </is>
      </c>
      <c r="B48" s="6" t="n">
        <v>100</v>
      </c>
      <c r="C48" s="632" t="n">
        <v>216.38</v>
      </c>
      <c r="D48" s="240" t="n">
        <v>10</v>
      </c>
      <c r="E48" s="1" t="n"/>
      <c r="F48" s="39" t="n">
        <v>22</v>
      </c>
      <c r="G48" s="39" t="n">
        <v>22</v>
      </c>
      <c r="H48" s="39" t="n">
        <v>22</v>
      </c>
      <c r="I48" s="39" t="n">
        <v>22</v>
      </c>
      <c r="J48" s="39" t="n">
        <v>22</v>
      </c>
      <c r="K48" s="39" t="n">
        <v>22</v>
      </c>
      <c r="L48" s="39" t="n">
        <v>22</v>
      </c>
      <c r="M48" s="39" t="n">
        <v>22</v>
      </c>
      <c r="N48" s="39" t="n">
        <v>22</v>
      </c>
      <c r="O48" s="39" t="n">
        <v>22</v>
      </c>
      <c r="P48" s="39" t="n">
        <v>22</v>
      </c>
      <c r="Q48" s="39" t="n">
        <v>22</v>
      </c>
      <c r="R48" s="39" t="n">
        <v>22</v>
      </c>
      <c r="S48" s="39" t="n">
        <v>22</v>
      </c>
      <c r="T48" s="39" t="n">
        <v>22</v>
      </c>
      <c r="U48" s="39" t="n"/>
      <c r="V48" s="39" t="n"/>
      <c r="W48" s="39" t="n"/>
      <c r="X48" s="39" t="n"/>
      <c r="Y48" s="39" t="n"/>
      <c r="Z48" s="39" t="n">
        <v>22</v>
      </c>
      <c r="AA48" s="39" t="n">
        <v>22</v>
      </c>
      <c r="AB48" s="6" t="n">
        <v>22</v>
      </c>
      <c r="AC48" s="6" t="n">
        <v>22</v>
      </c>
      <c r="AD48" s="6" t="n">
        <v>22</v>
      </c>
      <c r="AE48" s="380">
        <f>AC48+IF(NOT(ISBLANK(OFFSET(AE48,0,6))),N(OFFSET(AE48,0,6)),N(OFFSET(AE48,0,7)))-AD48</f>
        <v/>
      </c>
      <c r="AF48" s="41" t="n"/>
      <c r="AG48" s="138" t="n"/>
      <c r="AH48" s="138" t="n"/>
      <c r="AJ48" s="76" t="n"/>
      <c r="AK48" s="628" t="n">
        <v>0</v>
      </c>
      <c r="AL48" s="19" t="n">
        <v>0</v>
      </c>
      <c r="AM48" s="19" t="n">
        <v>0</v>
      </c>
      <c r="AN48" s="163" t="n"/>
      <c r="AO48" s="163" t="n"/>
      <c r="AP48" s="163" t="n"/>
      <c r="AQ48" s="163" t="n"/>
      <c r="AR48" s="163" t="n"/>
      <c r="AS48" s="163" t="n"/>
      <c r="AT48" s="163" t="n"/>
      <c r="AU48" s="163" t="n"/>
      <c r="AV48" s="163" t="n"/>
      <c r="AW48" s="163" t="n"/>
      <c r="AX48" s="163" t="n"/>
      <c r="AY48" s="163" t="n"/>
      <c r="AZ48" s="163" t="n"/>
      <c r="BA48" s="163" t="n"/>
      <c r="BB48" s="163" t="n"/>
      <c r="BC48" s="163" t="n"/>
      <c r="BD48" s="163" t="n"/>
      <c r="BE48" s="163" t="n"/>
      <c r="BF48" s="163" t="n"/>
      <c r="BG48" s="163" t="n"/>
      <c r="BH48" s="163" t="n"/>
      <c r="BI48" s="163" t="n"/>
      <c r="BJ48" s="163" t="n"/>
      <c r="BK48" s="163" t="n"/>
    </row>
    <row r="49">
      <c r="A49" s="25" t="inlineStr">
        <is>
          <t>CAIXA G QDB</t>
        </is>
      </c>
      <c r="B49" s="6" t="n">
        <v>100</v>
      </c>
      <c r="C49" s="632" t="n">
        <v>306</v>
      </c>
      <c r="D49" s="240" t="n">
        <v>10</v>
      </c>
      <c r="E49" s="1" t="n"/>
      <c r="F49" s="39" t="n">
        <v>3</v>
      </c>
      <c r="G49" s="39" t="n">
        <v>3</v>
      </c>
      <c r="H49" s="39" t="n">
        <v>3</v>
      </c>
      <c r="I49" s="39" t="n">
        <v>3</v>
      </c>
      <c r="J49" s="39" t="n">
        <v>3</v>
      </c>
      <c r="K49" s="39" t="n">
        <v>3</v>
      </c>
      <c r="L49" s="39" t="n">
        <v>3</v>
      </c>
      <c r="M49" s="39" t="n">
        <v>3</v>
      </c>
      <c r="N49" s="39" t="n">
        <v>4</v>
      </c>
      <c r="O49" s="39" t="n">
        <v>4</v>
      </c>
      <c r="P49" s="39" t="n">
        <v>4</v>
      </c>
      <c r="Q49" s="39" t="n">
        <v>3</v>
      </c>
      <c r="R49" s="39" t="n">
        <v>3</v>
      </c>
      <c r="S49" s="39" t="n">
        <v>3</v>
      </c>
      <c r="T49" s="39" t="n">
        <v>3</v>
      </c>
      <c r="U49" s="39" t="n"/>
      <c r="V49" s="39" t="n"/>
      <c r="W49" s="39" t="n"/>
      <c r="X49" s="39" t="n"/>
      <c r="Y49" s="39" t="n"/>
      <c r="Z49" s="39" t="n">
        <v>2</v>
      </c>
      <c r="AA49" s="39" t="n">
        <v>2</v>
      </c>
      <c r="AB49" s="6" t="n">
        <v>2</v>
      </c>
      <c r="AC49" s="6" t="n">
        <v>2</v>
      </c>
      <c r="AD49" s="6" t="n">
        <v>2</v>
      </c>
      <c r="AE49" s="380">
        <f>AC49+IF(NOT(ISBLANK(OFFSET(AE49,0,6))),N(OFFSET(AE49,0,6)),N(OFFSET(AE49,0,7)))-AD49</f>
        <v/>
      </c>
      <c r="AF49" s="41" t="n"/>
      <c r="AG49" s="138" t="n"/>
      <c r="AH49" s="138" t="n"/>
      <c r="AJ49" s="76" t="n"/>
      <c r="AK49" s="628" t="n">
        <v>0</v>
      </c>
      <c r="AL49" s="19" t="n">
        <v>0</v>
      </c>
      <c r="AM49" s="19" t="n">
        <v>0</v>
      </c>
      <c r="AN49" s="163" t="n"/>
      <c r="AO49" s="163" t="n"/>
      <c r="AP49" s="163" t="n"/>
      <c r="AQ49" s="163" t="n"/>
      <c r="AR49" s="163" t="n"/>
      <c r="AS49" s="163" t="n"/>
      <c r="AT49" s="163" t="n"/>
      <c r="AU49" s="163" t="n"/>
      <c r="AV49" s="163" t="n"/>
      <c r="AW49" s="163" t="n"/>
      <c r="AX49" s="163" t="n"/>
      <c r="AY49" s="163" t="n"/>
      <c r="AZ49" s="163" t="n"/>
      <c r="BA49" s="163" t="n"/>
      <c r="BB49" s="163" t="n"/>
      <c r="BC49" s="163" t="n"/>
      <c r="BD49" s="163" t="n"/>
      <c r="BE49" s="163" t="n"/>
      <c r="BF49" s="163" t="n"/>
      <c r="BG49" s="163" t="n"/>
      <c r="BH49" s="163" t="n"/>
      <c r="BI49" s="163" t="n"/>
      <c r="BJ49" s="163" t="n"/>
      <c r="BK49" s="163" t="n"/>
    </row>
    <row r="50">
      <c r="A50" s="23" t="n"/>
      <c r="B50" s="1" t="n"/>
      <c r="C50" s="630" t="n"/>
      <c r="D50" s="630" t="n"/>
      <c r="E50" s="1" t="n"/>
      <c r="F50" s="2" t="n"/>
      <c r="G50" s="2" t="n"/>
      <c r="H50" s="2" t="n"/>
      <c r="I50" s="2" t="n"/>
      <c r="J50" s="2" t="n"/>
      <c r="K50" s="2" t="n"/>
      <c r="L50" s="2" t="n"/>
      <c r="M50" s="2" t="n"/>
      <c r="N50" s="2" t="n"/>
      <c r="O50" s="2" t="n"/>
      <c r="P50" s="2" t="n"/>
      <c r="Q50" s="2" t="n"/>
      <c r="R50" s="2" t="n"/>
      <c r="S50" s="2" t="n"/>
      <c r="T50" s="2" t="n"/>
      <c r="U50" s="2" t="n"/>
      <c r="V50" s="2" t="n"/>
      <c r="W50" s="2" t="n"/>
      <c r="X50" s="2" t="n"/>
      <c r="Y50" s="2" t="n"/>
      <c r="Z50" s="2" t="n"/>
      <c r="AA50" s="2" t="n"/>
      <c r="AB50" s="1" t="n"/>
      <c r="AC50" s="1" t="n"/>
      <c r="AD50" s="1" t="n"/>
      <c r="AF50" s="41" t="n"/>
      <c r="AG50" s="219" t="n"/>
      <c r="AH50" s="219" t="n"/>
      <c r="AJ50" s="210" t="n"/>
      <c r="AK50" s="349" t="n"/>
      <c r="AL50" s="349" t="n"/>
      <c r="AM50" s="349" t="n"/>
      <c r="AN50" s="349" t="n"/>
      <c r="AO50" s="349" t="n"/>
      <c r="AP50" s="349" t="n"/>
      <c r="AQ50" s="349" t="n"/>
      <c r="AR50" s="349" t="n"/>
      <c r="AS50" s="349" t="n"/>
      <c r="AT50" s="349" t="n"/>
      <c r="AU50" s="349" t="n"/>
      <c r="AV50" s="349" t="n"/>
      <c r="AW50" s="349" t="n"/>
      <c r="AX50" s="349" t="n"/>
      <c r="AY50" s="349" t="n"/>
      <c r="AZ50" s="349" t="n"/>
      <c r="BA50" s="349" t="n"/>
      <c r="BB50" s="349" t="n"/>
      <c r="BC50" s="349" t="n"/>
      <c r="BD50" s="349" t="n"/>
      <c r="BE50" s="349" t="n"/>
      <c r="BF50" s="349" t="n"/>
      <c r="BG50" s="349" t="n"/>
      <c r="BH50" s="349" t="n"/>
      <c r="BI50" s="349" t="n"/>
      <c r="BJ50" s="349" t="n"/>
      <c r="BK50" s="349" t="n"/>
    </row>
    <row r="51">
      <c r="A51" s="220" t="inlineStr">
        <is>
          <t>SACOLAS E CAIXAS EUDORA</t>
        </is>
      </c>
      <c r="B51" s="221" t="inlineStr">
        <is>
          <t>PC</t>
        </is>
      </c>
      <c r="C51" s="221" t="inlineStr">
        <is>
          <t>R$</t>
        </is>
      </c>
      <c r="D51" s="221" t="inlineStr">
        <is>
          <t>Estoque Ideal</t>
        </is>
      </c>
      <c r="E51" s="1" t="n"/>
      <c r="F51" s="619" t="n">
        <v>46013</v>
      </c>
      <c r="G51" s="619" t="n">
        <v>46020</v>
      </c>
      <c r="H51" s="619" t="n">
        <v>46027</v>
      </c>
      <c r="I51" s="619" t="n">
        <v>46034</v>
      </c>
      <c r="J51" s="619" t="n">
        <v>46041</v>
      </c>
      <c r="K51" s="619" t="n">
        <v>46048</v>
      </c>
      <c r="L51" s="619" t="n">
        <v>46055</v>
      </c>
      <c r="M51" s="619" t="n">
        <v>46062</v>
      </c>
      <c r="N51" s="619" t="n">
        <v>46069</v>
      </c>
      <c r="O51" s="619" t="n">
        <v>46076</v>
      </c>
      <c r="P51" s="619" t="n">
        <v>46083</v>
      </c>
      <c r="Q51" s="619" t="n">
        <v>46090</v>
      </c>
      <c r="R51" s="619" t="n">
        <v>46097</v>
      </c>
      <c r="S51" s="619" t="n">
        <v>46104</v>
      </c>
      <c r="T51" s="619" t="n">
        <v>46111</v>
      </c>
      <c r="U51" s="619" t="n">
        <v>46118</v>
      </c>
      <c r="V51" s="619" t="n">
        <v>46125</v>
      </c>
      <c r="W51" s="619" t="n">
        <v>46132</v>
      </c>
      <c r="X51" s="619" t="n">
        <v>46139</v>
      </c>
      <c r="Y51" s="619" t="n">
        <v>46146</v>
      </c>
      <c r="Z51" s="619" t="n">
        <v>46154</v>
      </c>
      <c r="AA51" s="619" t="n">
        <v>46160</v>
      </c>
      <c r="AB51" s="620" t="n">
        <v>46161.48013361111</v>
      </c>
      <c r="AC51" s="620" t="n">
        <v>46161.48080726852</v>
      </c>
      <c r="AD51" s="620" t="n">
        <v>46161.48296431108</v>
      </c>
      <c r="AE51" s="621" t="inlineStr">
        <is>
          <t>USOU</t>
        </is>
      </c>
      <c r="AF51" s="41" t="n"/>
      <c r="AG51" s="29" t="inlineStr">
        <is>
          <t>Pendências</t>
        </is>
      </c>
      <c r="AH51" s="29" t="inlineStr">
        <is>
          <t>Pendências</t>
        </is>
      </c>
      <c r="AJ51" s="9" t="inlineStr">
        <is>
          <t>Novo Pedido</t>
        </is>
      </c>
      <c r="AK51" s="673" t="n">
        <v>46161.48296364888</v>
      </c>
      <c r="AL51" s="674" t="n">
        <v>46149</v>
      </c>
      <c r="AM51" s="674" t="n">
        <v>46142</v>
      </c>
      <c r="AN51" s="674" t="n">
        <v>46114</v>
      </c>
      <c r="AO51" s="674" t="n">
        <v>46107</v>
      </c>
      <c r="AP51" s="674" t="n">
        <v>46099</v>
      </c>
      <c r="AQ51" s="675" t="n">
        <v>46065</v>
      </c>
      <c r="AR51" s="674" t="n">
        <v>46092</v>
      </c>
      <c r="AS51" s="674" t="n">
        <v>46084</v>
      </c>
      <c r="AT51" s="675" t="n">
        <v>46065</v>
      </c>
      <c r="AU51" s="676" t="n">
        <v>46045</v>
      </c>
      <c r="AV51" s="674" t="n">
        <v>46077</v>
      </c>
      <c r="AW51" s="674" t="n">
        <v>46071</v>
      </c>
      <c r="AX51" s="674" t="n">
        <v>46056</v>
      </c>
      <c r="AY51" s="674" t="n">
        <v>46048</v>
      </c>
      <c r="AZ51" s="674" t="n">
        <v>46029</v>
      </c>
      <c r="BA51" s="674" t="n">
        <v>46029</v>
      </c>
      <c r="BB51" s="674" t="n">
        <v>46043</v>
      </c>
      <c r="BC51" s="674" t="n">
        <v>46029</v>
      </c>
      <c r="BD51" s="674" t="n">
        <v>46017</v>
      </c>
      <c r="BE51" s="674" t="n">
        <v>46007</v>
      </c>
      <c r="BF51" s="674" t="n">
        <v>46001</v>
      </c>
      <c r="BG51" s="674" t="n">
        <v>46001</v>
      </c>
      <c r="BH51" s="677" t="n">
        <v>46014</v>
      </c>
      <c r="BI51" s="674" t="n">
        <v>45994</v>
      </c>
      <c r="BJ51" s="674" t="n">
        <v>45986</v>
      </c>
      <c r="BK51" s="674" t="n">
        <v>45986</v>
      </c>
    </row>
    <row r="52">
      <c r="A52" s="25" t="inlineStr">
        <is>
          <t>SACOLA P EUDORA</t>
        </is>
      </c>
      <c r="B52" s="6" t="n">
        <v>200</v>
      </c>
      <c r="C52" s="632" t="n">
        <v>174.51</v>
      </c>
      <c r="D52" s="240" t="inlineStr">
        <is>
          <t>?</t>
        </is>
      </c>
      <c r="E52" s="1" t="n"/>
      <c r="F52" s="39">
        <f>1000+BB52</f>
        <v/>
      </c>
      <c r="G52" s="39" t="n">
        <v>1800</v>
      </c>
      <c r="H52" s="39" t="n">
        <v>1000</v>
      </c>
      <c r="I52" s="39" t="n">
        <v>1000</v>
      </c>
      <c r="J52" s="39" t="n">
        <v>600</v>
      </c>
      <c r="K52" s="39" t="n">
        <v>800</v>
      </c>
      <c r="L52" s="39">
        <f>800+AV52</f>
        <v/>
      </c>
      <c r="M52" s="39" t="n">
        <v>2200</v>
      </c>
      <c r="N52" s="39" t="n">
        <v>2000</v>
      </c>
      <c r="O52" s="39" t="n">
        <v>1600</v>
      </c>
      <c r="P52" s="39">
        <f>1000+AS52</f>
        <v/>
      </c>
      <c r="Q52" s="39" t="n">
        <v>1400</v>
      </c>
      <c r="R52" s="39" t="n">
        <v>600</v>
      </c>
      <c r="S52" s="39">
        <f>200+AM52</f>
        <v/>
      </c>
      <c r="T52" s="39">
        <f>800+AL52</f>
        <v/>
      </c>
      <c r="U52" s="39" t="n">
        <v>1000</v>
      </c>
      <c r="V52" s="39" t="n">
        <v>600</v>
      </c>
      <c r="W52" s="39" t="n">
        <v>600</v>
      </c>
      <c r="X52" s="39" t="n">
        <v>0</v>
      </c>
      <c r="Y52" s="39">
        <f>0+AJ52</f>
        <v/>
      </c>
      <c r="Z52" s="39" t="n">
        <v>600</v>
      </c>
      <c r="AA52" s="39" t="n"/>
      <c r="AB52" s="6" t="n"/>
      <c r="AC52" s="6" t="n"/>
      <c r="AD52" s="6" t="n"/>
      <c r="AE52" s="380">
        <f>AC52+IF(NOT(ISBLANK(OFFSET(AE52,0,6))),N(OFFSET(AE52,0,6)),N(OFFSET(AE52,0,7)))-AD52</f>
        <v/>
      </c>
      <c r="AF52" s="41" t="n"/>
      <c r="AG52" s="138" t="n"/>
      <c r="AH52" s="138" t="n"/>
      <c r="AJ52" s="76" t="n">
        <v>400</v>
      </c>
      <c r="AK52" s="628" t="n">
        <v>0</v>
      </c>
      <c r="AL52" s="19" t="n">
        <v>0</v>
      </c>
      <c r="AM52" s="19" t="n">
        <v>600</v>
      </c>
      <c r="AN52" s="19" t="n">
        <v>1000</v>
      </c>
      <c r="AO52" s="19" t="n">
        <v>800</v>
      </c>
      <c r="AP52" s="19" t="n">
        <v>1000</v>
      </c>
      <c r="AQ52" s="19" t="n"/>
      <c r="AR52" s="19" t="n"/>
      <c r="AS52" s="19" t="n"/>
      <c r="AT52" s="19" t="n"/>
      <c r="AU52" s="19" t="n"/>
      <c r="AV52" s="19" t="n">
        <v>800</v>
      </c>
      <c r="AW52" s="19" t="n"/>
      <c r="AX52" s="19" t="n"/>
      <c r="AY52" s="19" t="n">
        <v>2000</v>
      </c>
      <c r="AZ52" s="19" t="n">
        <v>200</v>
      </c>
      <c r="BA52" s="19" t="n">
        <v>1200</v>
      </c>
      <c r="BB52" s="19" t="n"/>
      <c r="BC52" s="19" t="n"/>
      <c r="BD52" s="19" t="n">
        <v>800</v>
      </c>
      <c r="BE52" s="19" t="n">
        <v>800</v>
      </c>
      <c r="BF52" s="19" t="n"/>
      <c r="BG52" s="19" t="n"/>
      <c r="BH52" s="19" t="n"/>
      <c r="BI52" s="19" t="n"/>
      <c r="BJ52" s="19" t="n">
        <v>2000</v>
      </c>
      <c r="BK52" s="19" t="n"/>
    </row>
    <row r="53">
      <c r="A53" s="25" t="inlineStr">
        <is>
          <t>SACOLA M EUDORA</t>
        </is>
      </c>
      <c r="B53" s="6" t="n">
        <v>200</v>
      </c>
      <c r="C53" s="632" t="n">
        <v>229.36</v>
      </c>
      <c r="D53" s="240" t="inlineStr">
        <is>
          <t>?</t>
        </is>
      </c>
      <c r="E53" s="1" t="n"/>
      <c r="F53" s="39" t="n">
        <v>1200</v>
      </c>
      <c r="G53" s="39" t="n">
        <v>1200</v>
      </c>
      <c r="H53" s="39" t="n">
        <v>1000</v>
      </c>
      <c r="I53" s="39" t="n">
        <v>1000</v>
      </c>
      <c r="J53" s="39" t="n">
        <v>1000</v>
      </c>
      <c r="K53" s="39" t="n">
        <v>1000</v>
      </c>
      <c r="L53" s="39" t="n">
        <v>800</v>
      </c>
      <c r="M53" s="39" t="n">
        <v>800</v>
      </c>
      <c r="N53" s="39" t="n">
        <v>600</v>
      </c>
      <c r="O53" s="39" t="n">
        <v>600</v>
      </c>
      <c r="P53" s="39" t="n">
        <v>600</v>
      </c>
      <c r="Q53" s="39" t="n">
        <v>600</v>
      </c>
      <c r="R53" s="39" t="n">
        <v>600</v>
      </c>
      <c r="S53" s="39" t="n">
        <v>400</v>
      </c>
      <c r="T53" s="39" t="n">
        <v>400</v>
      </c>
      <c r="U53" s="39" t="n">
        <v>400</v>
      </c>
      <c r="V53" s="39" t="n">
        <v>400</v>
      </c>
      <c r="W53" s="39" t="n">
        <v>200</v>
      </c>
      <c r="X53" s="39" t="n">
        <v>200</v>
      </c>
      <c r="Y53" s="39" t="n">
        <v>0</v>
      </c>
      <c r="Z53" s="39">
        <f>0+AI53</f>
        <v/>
      </c>
      <c r="AA53" s="39" t="n"/>
      <c r="AB53" s="6" t="n"/>
      <c r="AC53" s="6" t="n"/>
      <c r="AD53" s="6" t="n"/>
      <c r="AE53" s="380">
        <f>AC53+IF(NOT(ISBLANK(OFFSET(AE53,0,6))),N(OFFSET(AE53,0,6)),N(OFFSET(AE53,0,7)))-AD53</f>
        <v/>
      </c>
      <c r="AF53" s="41" t="n"/>
      <c r="AG53" s="138" t="n"/>
      <c r="AH53" s="138" t="n"/>
      <c r="AJ53" s="76" t="n"/>
      <c r="AK53" s="628" t="n">
        <v>0</v>
      </c>
      <c r="AL53" s="19" t="n">
        <v>400</v>
      </c>
      <c r="AM53" s="19" t="n">
        <v>0</v>
      </c>
      <c r="AN53" s="19" t="n"/>
      <c r="AO53" s="19" t="n"/>
      <c r="AP53" s="19" t="n"/>
      <c r="AQ53" s="19" t="n"/>
      <c r="AR53" s="19" t="n"/>
      <c r="AS53" s="19" t="n"/>
      <c r="AT53" s="19" t="n"/>
      <c r="AU53" s="19" t="n"/>
      <c r="AV53" s="19" t="n"/>
      <c r="AW53" s="19" t="n"/>
      <c r="AX53" s="19" t="n"/>
      <c r="AY53" s="19" t="n"/>
      <c r="AZ53" s="19" t="n"/>
      <c r="BA53" s="19" t="n"/>
      <c r="BB53" s="19" t="n"/>
      <c r="BC53" s="19" t="n"/>
      <c r="BD53" s="19" t="n"/>
      <c r="BE53" s="19" t="n"/>
      <c r="BF53" s="19" t="n"/>
      <c r="BG53" s="19" t="n"/>
      <c r="BH53" s="19" t="n"/>
      <c r="BI53" s="19" t="n"/>
      <c r="BJ53" s="19" t="n">
        <v>1000</v>
      </c>
      <c r="BK53" s="19" t="n"/>
    </row>
    <row r="54">
      <c r="A54" s="25" t="inlineStr">
        <is>
          <t>SACOLA G EUDORA</t>
        </is>
      </c>
      <c r="B54" s="6" t="n">
        <v>100</v>
      </c>
      <c r="C54" s="632" t="n">
        <v>166.79</v>
      </c>
      <c r="D54" s="240" t="inlineStr">
        <is>
          <t>?</t>
        </is>
      </c>
      <c r="E54" s="1" t="n"/>
      <c r="F54" s="39" t="n">
        <v>400</v>
      </c>
      <c r="G54" s="39" t="n">
        <v>400</v>
      </c>
      <c r="H54" s="39" t="n">
        <v>400</v>
      </c>
      <c r="I54" s="39" t="n">
        <v>400</v>
      </c>
      <c r="J54" s="39" t="n">
        <v>400</v>
      </c>
      <c r="K54" s="39" t="n">
        <v>400</v>
      </c>
      <c r="L54" s="39" t="n">
        <v>400</v>
      </c>
      <c r="M54" s="39" t="n">
        <v>400</v>
      </c>
      <c r="N54" s="39" t="n">
        <v>400</v>
      </c>
      <c r="O54" s="39" t="n">
        <v>300</v>
      </c>
      <c r="P54" s="39">
        <f>300+AS54</f>
        <v/>
      </c>
      <c r="Q54" s="39" t="n">
        <v>500</v>
      </c>
      <c r="R54" s="39" t="n">
        <v>500</v>
      </c>
      <c r="S54" s="39" t="n">
        <v>600</v>
      </c>
      <c r="T54" s="39" t="n">
        <v>600</v>
      </c>
      <c r="U54" s="39" t="n">
        <v>600</v>
      </c>
      <c r="V54" s="39" t="n">
        <v>600</v>
      </c>
      <c r="W54" s="39" t="n">
        <v>600</v>
      </c>
      <c r="X54" s="39" t="n">
        <v>600</v>
      </c>
      <c r="Y54" s="39" t="n">
        <v>600</v>
      </c>
      <c r="Z54" s="39" t="n">
        <v>600</v>
      </c>
      <c r="AA54" s="39" t="n"/>
      <c r="AB54" s="6" t="n"/>
      <c r="AC54" s="6" t="n"/>
      <c r="AD54" s="6" t="n"/>
      <c r="AE54" s="380">
        <f>AC54+IF(NOT(ISBLANK(OFFSET(AE54,0,6))),N(OFFSET(AE54,0,6)),N(OFFSET(AE54,0,7)))-AD54</f>
        <v/>
      </c>
      <c r="AF54" s="41" t="n"/>
      <c r="AG54" s="138" t="inlineStr">
        <is>
          <t>100 P/ ER SM</t>
        </is>
      </c>
      <c r="AH54" s="138" t="n"/>
      <c r="AJ54" s="76" t="n"/>
      <c r="AK54" s="628" t="n">
        <v>0</v>
      </c>
      <c r="AL54" s="19" t="n">
        <v>0</v>
      </c>
      <c r="AM54" s="19" t="n">
        <v>0</v>
      </c>
      <c r="AN54" s="19" t="n"/>
      <c r="AO54" s="19" t="n"/>
      <c r="AP54" s="19" t="n"/>
      <c r="AQ54" s="19" t="n"/>
      <c r="AR54" s="19" t="n"/>
      <c r="AS54" s="19" t="n"/>
      <c r="AT54" s="19" t="n"/>
      <c r="AU54" s="19" t="n"/>
      <c r="AV54" s="19" t="n">
        <v>300</v>
      </c>
      <c r="AW54" s="19" t="n"/>
      <c r="AX54" s="19" t="n"/>
      <c r="AY54" s="19" t="n"/>
      <c r="AZ54" s="19" t="n"/>
      <c r="BA54" s="19" t="n"/>
      <c r="BB54" s="19" t="n"/>
      <c r="BC54" s="19" t="n"/>
      <c r="BD54" s="19" t="n"/>
      <c r="BE54" s="19" t="n"/>
      <c r="BF54" s="19" t="n"/>
      <c r="BG54" s="19" t="n"/>
      <c r="BH54" s="19" t="n"/>
      <c r="BI54" s="19" t="n"/>
      <c r="BJ54" s="19" t="n"/>
      <c r="BK54" s="19" t="n"/>
    </row>
    <row r="55">
      <c r="A55" s="538" t="inlineStr">
        <is>
          <t>KIT SACOLA P EUDORA (C/ 10)</t>
        </is>
      </c>
      <c r="B55" s="223" t="n">
        <v>200</v>
      </c>
      <c r="C55" s="683" t="n">
        <v>175.36</v>
      </c>
      <c r="D55" s="240" t="n">
        <v>40</v>
      </c>
      <c r="E55" s="1" t="n"/>
      <c r="F55" s="39">
        <f>2+BC55</f>
        <v/>
      </c>
      <c r="G55" s="39" t="n">
        <v>41</v>
      </c>
      <c r="H55" s="39" t="n">
        <v>40</v>
      </c>
      <c r="I55" s="39" t="n">
        <v>40</v>
      </c>
      <c r="J55" s="39" t="n">
        <v>39</v>
      </c>
      <c r="K55" s="39" t="n">
        <v>38</v>
      </c>
      <c r="L55" s="39" t="n">
        <v>35</v>
      </c>
      <c r="M55" s="39" t="n">
        <v>32</v>
      </c>
      <c r="N55" s="39" t="n">
        <v>31</v>
      </c>
      <c r="O55" s="39" t="n">
        <v>31</v>
      </c>
      <c r="P55" s="39" t="n">
        <v>29</v>
      </c>
      <c r="Q55" s="39" t="n">
        <v>29</v>
      </c>
      <c r="R55" s="39" t="n">
        <v>27</v>
      </c>
      <c r="S55" s="39" t="n">
        <v>21</v>
      </c>
      <c r="T55" s="39" t="n">
        <v>20</v>
      </c>
      <c r="U55" s="39" t="n"/>
      <c r="V55" s="39" t="n"/>
      <c r="W55" s="39" t="n"/>
      <c r="X55" s="39" t="n"/>
      <c r="Y55" s="39" t="n"/>
      <c r="Z55" s="39" t="n">
        <v>17</v>
      </c>
      <c r="AA55" s="39" t="n">
        <v>17</v>
      </c>
      <c r="AB55" s="6" t="n">
        <v>17</v>
      </c>
      <c r="AC55" s="6" t="n">
        <v>17</v>
      </c>
      <c r="AD55" s="6" t="n">
        <v>17</v>
      </c>
      <c r="AE55" s="380">
        <f>AC55+IF(NOT(ISBLANK(OFFSET(AE55,0,6))),N(OFFSET(AE55,0,6)),N(OFFSET(AE55,0,7)))-AD55</f>
        <v/>
      </c>
      <c r="AF55" s="41" t="n"/>
      <c r="AG55" s="138" t="n"/>
      <c r="AH55" s="138" t="n"/>
      <c r="AJ55" s="76" t="n"/>
      <c r="AK55" s="628" t="n">
        <v>0</v>
      </c>
      <c r="AL55" s="19" t="n">
        <v>0</v>
      </c>
      <c r="AM55" s="19" t="n">
        <v>0</v>
      </c>
      <c r="AN55" s="19" t="n"/>
      <c r="AO55" s="19" t="n"/>
      <c r="AP55" s="19" t="n"/>
      <c r="AQ55" s="19" t="n"/>
      <c r="AR55" s="19" t="n"/>
      <c r="AS55" s="19" t="n"/>
      <c r="AT55" s="19" t="n"/>
      <c r="AU55" s="19" t="n"/>
      <c r="AV55" s="19" t="n"/>
      <c r="AW55" s="19" t="n"/>
      <c r="AX55" s="19" t="n"/>
      <c r="AY55" s="19" t="n"/>
      <c r="AZ55" s="19" t="n"/>
      <c r="BA55" s="19" t="n"/>
      <c r="BB55" s="19" t="n"/>
      <c r="BC55" s="19" t="n"/>
      <c r="BD55" s="19" t="n"/>
      <c r="BE55" s="19" t="n"/>
      <c r="BF55" s="19" t="n">
        <v>40</v>
      </c>
      <c r="BG55" s="19" t="n"/>
      <c r="BH55" s="19" t="n"/>
      <c r="BI55" s="19" t="n"/>
      <c r="BJ55" s="19" t="n"/>
      <c r="BK55" s="19" t="n"/>
    </row>
    <row r="56">
      <c r="A56" s="538" t="inlineStr">
        <is>
          <t>KIT SACOLA M EUDORA (C/ 10)</t>
        </is>
      </c>
      <c r="B56" s="223" t="n">
        <v>150</v>
      </c>
      <c r="C56" s="683" t="n">
        <v>172.76</v>
      </c>
      <c r="D56" s="240" t="n">
        <v>40</v>
      </c>
      <c r="E56" s="1" t="n"/>
      <c r="F56" s="39" t="n">
        <v>42</v>
      </c>
      <c r="G56" s="39" t="n">
        <v>42</v>
      </c>
      <c r="H56" s="39" t="n">
        <v>42</v>
      </c>
      <c r="I56" s="39" t="n">
        <v>41</v>
      </c>
      <c r="J56" s="39" t="n">
        <v>41</v>
      </c>
      <c r="K56" s="39" t="n">
        <v>41</v>
      </c>
      <c r="L56" s="39" t="n">
        <v>41</v>
      </c>
      <c r="M56" s="39" t="n">
        <v>41</v>
      </c>
      <c r="N56" s="39" t="n">
        <v>41</v>
      </c>
      <c r="O56" s="39" t="n">
        <v>40</v>
      </c>
      <c r="P56" s="39" t="n">
        <v>40</v>
      </c>
      <c r="Q56" s="39" t="n">
        <v>39</v>
      </c>
      <c r="R56" s="39" t="n">
        <v>38</v>
      </c>
      <c r="S56" s="39" t="n">
        <v>38</v>
      </c>
      <c r="T56" s="39" t="n">
        <v>37</v>
      </c>
      <c r="U56" s="39" t="n"/>
      <c r="V56" s="39" t="n"/>
      <c r="W56" s="39" t="n"/>
      <c r="X56" s="39" t="n"/>
      <c r="Y56" s="39" t="n"/>
      <c r="Z56" s="39" t="n">
        <v>34</v>
      </c>
      <c r="AA56" s="39" t="n">
        <v>34</v>
      </c>
      <c r="AB56" s="6" t="n">
        <v>34</v>
      </c>
      <c r="AC56" s="6" t="n">
        <v>34</v>
      </c>
      <c r="AD56" s="6" t="n">
        <v>34</v>
      </c>
      <c r="AE56" s="380">
        <f>AC56+IF(NOT(ISBLANK(OFFSET(AE56,0,6))),N(OFFSET(AE56,0,6)),N(OFFSET(AE56,0,7)))-AD56</f>
        <v/>
      </c>
      <c r="AF56" s="41" t="n"/>
      <c r="AG56" s="138" t="n"/>
      <c r="AH56" s="138" t="n"/>
      <c r="AJ56" s="76" t="n"/>
      <c r="AK56" s="628" t="n">
        <v>0</v>
      </c>
      <c r="AL56" s="19" t="n">
        <v>0</v>
      </c>
      <c r="AM56" s="19" t="n">
        <v>0</v>
      </c>
      <c r="AN56" s="19" t="n"/>
      <c r="AO56" s="19" t="n"/>
      <c r="AP56" s="19" t="n"/>
      <c r="AQ56" s="19" t="n"/>
      <c r="AR56" s="19" t="n"/>
      <c r="AS56" s="19" t="n"/>
      <c r="AT56" s="19" t="n"/>
      <c r="AU56" s="19" t="n"/>
      <c r="AV56" s="19" t="n"/>
      <c r="AW56" s="19" t="n"/>
      <c r="AX56" s="19" t="n"/>
      <c r="AY56" s="19" t="n"/>
      <c r="AZ56" s="19" t="n"/>
      <c r="BA56" s="19" t="n"/>
      <c r="BB56" s="19" t="n"/>
      <c r="BC56" s="19" t="n"/>
      <c r="BD56" s="19" t="n"/>
      <c r="BE56" s="19" t="n"/>
      <c r="BF56" s="19" t="n">
        <v>30</v>
      </c>
      <c r="BG56" s="19" t="n"/>
      <c r="BH56" s="19" t="n"/>
      <c r="BI56" s="19" t="n"/>
      <c r="BJ56" s="19" t="n"/>
      <c r="BK56" s="19" t="n"/>
    </row>
    <row r="57">
      <c r="A57" s="538" t="inlineStr">
        <is>
          <t>KIT SACOLA G EUDORA (C/ 10)</t>
        </is>
      </c>
      <c r="B57" s="223" t="inlineStr">
        <is>
          <t>-</t>
        </is>
      </c>
      <c r="C57" s="683" t="inlineStr">
        <is>
          <t>-</t>
        </is>
      </c>
      <c r="D57" s="240" t="n">
        <v>20</v>
      </c>
      <c r="E57" s="1" t="n"/>
      <c r="F57" s="39" t="n">
        <v>0</v>
      </c>
      <c r="G57" s="39" t="n">
        <v>0</v>
      </c>
      <c r="H57" s="39" t="n">
        <v>0</v>
      </c>
      <c r="I57" s="39" t="n">
        <v>0</v>
      </c>
      <c r="J57" s="39" t="n">
        <v>0</v>
      </c>
      <c r="K57" s="39" t="n">
        <v>0</v>
      </c>
      <c r="L57" s="39" t="n">
        <v>0</v>
      </c>
      <c r="M57" s="39" t="n">
        <v>0</v>
      </c>
      <c r="N57" s="39" t="n">
        <v>0</v>
      </c>
      <c r="O57" s="39" t="n">
        <v>0</v>
      </c>
      <c r="P57" s="39" t="n">
        <v>0</v>
      </c>
      <c r="Q57" s="39" t="n">
        <v>0</v>
      </c>
      <c r="R57" s="39" t="n">
        <v>0</v>
      </c>
      <c r="S57" s="39" t="n">
        <v>0</v>
      </c>
      <c r="T57" s="39" t="n">
        <v>0</v>
      </c>
      <c r="U57" s="39" t="n"/>
      <c r="V57" s="39" t="n"/>
      <c r="W57" s="39" t="n"/>
      <c r="X57" s="39" t="n"/>
      <c r="Y57" s="39" t="n"/>
      <c r="Z57" s="39" t="n">
        <v>0</v>
      </c>
      <c r="AA57" s="39" t="n">
        <v>0</v>
      </c>
      <c r="AB57" s="6" t="n">
        <v>0</v>
      </c>
      <c r="AC57" s="6" t="n">
        <v>0</v>
      </c>
      <c r="AD57" s="6" t="n">
        <v>0</v>
      </c>
      <c r="AE57" s="380">
        <f>AC57+IF(NOT(ISBLANK(OFFSET(AE57,0,6))),N(OFFSET(AE57,0,6)),N(OFFSET(AE57,0,7)))-AD57</f>
        <v/>
      </c>
      <c r="AF57" s="41" t="n"/>
      <c r="AG57" s="138" t="n"/>
      <c r="AH57" s="138" t="n"/>
      <c r="AJ57" s="76" t="n"/>
      <c r="AK57" s="628" t="n">
        <v>0</v>
      </c>
      <c r="AL57" s="19" t="n">
        <v>0</v>
      </c>
      <c r="AM57" s="19" t="n">
        <v>0</v>
      </c>
      <c r="AN57" s="163" t="n"/>
      <c r="AO57" s="163" t="n"/>
      <c r="AP57" s="163" t="n"/>
      <c r="AQ57" s="163" t="n"/>
      <c r="AR57" s="163" t="n"/>
      <c r="AS57" s="163" t="n"/>
      <c r="AT57" s="163" t="n"/>
      <c r="AU57" s="163" t="n"/>
      <c r="AV57" s="163" t="n"/>
      <c r="AW57" s="163" t="n"/>
      <c r="AX57" s="163" t="n"/>
      <c r="AY57" s="163" t="n"/>
      <c r="AZ57" s="163" t="n"/>
      <c r="BA57" s="163" t="n"/>
      <c r="BB57" s="163" t="n"/>
      <c r="BC57" s="163" t="n"/>
      <c r="BD57" s="163" t="n"/>
      <c r="BE57" s="163" t="n"/>
      <c r="BF57" s="163" t="n"/>
      <c r="BG57" s="163" t="n"/>
      <c r="BH57" s="163" t="n"/>
      <c r="BI57" s="163" t="n"/>
      <c r="BJ57" s="163" t="n"/>
      <c r="BK57" s="163" t="n"/>
    </row>
    <row r="58">
      <c r="A58" s="538" t="inlineStr">
        <is>
          <t>CAIXA P EUDORA</t>
        </is>
      </c>
      <c r="B58" s="223" t="n">
        <v>150</v>
      </c>
      <c r="C58" s="683" t="n">
        <v>400.5</v>
      </c>
      <c r="D58" s="240" t="n">
        <v>20</v>
      </c>
      <c r="E58" s="1" t="n"/>
      <c r="F58" s="39" t="n">
        <v>52</v>
      </c>
      <c r="G58" s="39" t="n">
        <v>2</v>
      </c>
      <c r="H58" s="39" t="n">
        <v>2</v>
      </c>
      <c r="I58" s="39" t="n">
        <v>0</v>
      </c>
      <c r="J58" s="39" t="n">
        <v>0</v>
      </c>
      <c r="K58" s="39">
        <f>0+AY58</f>
        <v/>
      </c>
      <c r="L58" s="39" t="n">
        <v>150</v>
      </c>
      <c r="M58" s="39" t="n">
        <v>149</v>
      </c>
      <c r="N58" s="39" t="n">
        <v>149</v>
      </c>
      <c r="O58" s="39" t="n">
        <v>148</v>
      </c>
      <c r="P58" s="39" t="n">
        <v>148</v>
      </c>
      <c r="Q58" s="39" t="n">
        <v>145</v>
      </c>
      <c r="R58" s="39" t="n">
        <v>145</v>
      </c>
      <c r="S58" s="39" t="n">
        <v>145</v>
      </c>
      <c r="T58" s="39" t="n">
        <v>145</v>
      </c>
      <c r="U58" s="39" t="n"/>
      <c r="V58" s="39" t="n"/>
      <c r="W58" s="39" t="n"/>
      <c r="X58" s="39" t="n"/>
      <c r="Y58" s="39" t="n"/>
      <c r="Z58" s="39" t="n">
        <v>142</v>
      </c>
      <c r="AA58" s="39" t="n">
        <v>142</v>
      </c>
      <c r="AB58" s="6" t="n">
        <v>142</v>
      </c>
      <c r="AC58" s="6" t="n">
        <v>142</v>
      </c>
      <c r="AD58" s="6" t="n">
        <v>142</v>
      </c>
      <c r="AE58" s="380">
        <f>AC58+IF(NOT(ISBLANK(OFFSET(AE58,0,6))),N(OFFSET(AE58,0,6)),N(OFFSET(AE58,0,7)))-AD58</f>
        <v/>
      </c>
      <c r="AF58" s="41" t="n"/>
      <c r="AG58" s="138" t="n"/>
      <c r="AH58" s="138" t="n"/>
      <c r="AJ58" s="76" t="n"/>
      <c r="AK58" s="628" t="n">
        <v>0</v>
      </c>
      <c r="AL58" s="19" t="n">
        <v>0</v>
      </c>
      <c r="AM58" s="19" t="n">
        <v>0</v>
      </c>
      <c r="AN58" s="19" t="n"/>
      <c r="AO58" s="19" t="n"/>
      <c r="AP58" s="19" t="n"/>
      <c r="AQ58" s="19" t="n"/>
      <c r="AR58" s="19" t="n"/>
      <c r="AS58" s="19" t="n"/>
      <c r="AT58" s="19" t="n"/>
      <c r="AU58" s="19" t="n"/>
      <c r="AV58" s="19" t="n"/>
      <c r="AW58" s="19" t="n"/>
      <c r="AX58" s="19" t="n"/>
      <c r="AY58" s="19" t="n"/>
      <c r="AZ58" s="19" t="n"/>
      <c r="BA58" s="19" t="n"/>
      <c r="BB58" s="19" t="n">
        <v>150</v>
      </c>
      <c r="BC58" s="19" t="n"/>
      <c r="BD58" s="19" t="n"/>
      <c r="BE58" s="19" t="n"/>
      <c r="BF58" s="19" t="n">
        <v>150</v>
      </c>
      <c r="BG58" s="19" t="n"/>
      <c r="BH58" s="19" t="n"/>
      <c r="BI58" s="19" t="n"/>
      <c r="BJ58" s="19" t="n"/>
      <c r="BK58" s="19" t="n"/>
    </row>
    <row r="59">
      <c r="A59" s="538" t="inlineStr">
        <is>
          <t>CAIXA M EUDORA</t>
        </is>
      </c>
      <c r="B59" s="223" t="n">
        <v>100</v>
      </c>
      <c r="C59" s="683" t="n">
        <v>365</v>
      </c>
      <c r="D59" s="240" t="n">
        <v>20</v>
      </c>
      <c r="E59" s="1" t="n"/>
      <c r="F59" s="39" t="n">
        <v>4</v>
      </c>
      <c r="G59" s="39" t="n">
        <v>4</v>
      </c>
      <c r="H59" s="39" t="n">
        <v>4</v>
      </c>
      <c r="I59" s="39" t="n">
        <v>4</v>
      </c>
      <c r="J59" s="39" t="n">
        <v>4</v>
      </c>
      <c r="K59" s="39" t="n">
        <v>3</v>
      </c>
      <c r="L59" s="39" t="n">
        <v>3</v>
      </c>
      <c r="M59" s="39" t="n">
        <v>3</v>
      </c>
      <c r="N59" s="39" t="n">
        <v>3</v>
      </c>
      <c r="O59" s="39" t="n">
        <v>3</v>
      </c>
      <c r="P59" s="39" t="n">
        <v>3</v>
      </c>
      <c r="Q59" s="39" t="n">
        <v>0</v>
      </c>
      <c r="R59" s="39" t="n">
        <v>0</v>
      </c>
      <c r="S59" s="39" t="n">
        <v>0</v>
      </c>
      <c r="T59" s="39" t="n">
        <v>0</v>
      </c>
      <c r="U59" s="39" t="n"/>
      <c r="V59" s="39" t="n"/>
      <c r="W59" s="39" t="n"/>
      <c r="X59" s="39" t="n"/>
      <c r="Y59" s="39" t="n"/>
      <c r="Z59" s="39" t="n">
        <v>0</v>
      </c>
      <c r="AA59" s="39" t="n">
        <v>0</v>
      </c>
      <c r="AB59" s="6" t="n">
        <v>0</v>
      </c>
      <c r="AC59" s="6" t="n">
        <v>0</v>
      </c>
      <c r="AD59" s="6" t="n">
        <v>0</v>
      </c>
      <c r="AE59" s="380">
        <f>AC59+IF(NOT(ISBLANK(OFFSET(AE59,0,6))),N(OFFSET(AE59,0,6)),N(OFFSET(AE59,0,7)))-AD59</f>
        <v/>
      </c>
      <c r="AF59" s="41" t="n"/>
      <c r="AG59" s="138" t="n"/>
      <c r="AH59" s="138" t="n"/>
      <c r="AJ59" s="76" t="n"/>
      <c r="AK59" s="628" t="n">
        <v>0</v>
      </c>
      <c r="AL59" s="19" t="n">
        <v>0</v>
      </c>
      <c r="AM59" s="19" t="n">
        <v>0</v>
      </c>
      <c r="AN59" s="19" t="n"/>
      <c r="AO59" s="19" t="n"/>
      <c r="AP59" s="19" t="n"/>
      <c r="AQ59" s="19" t="n"/>
      <c r="AR59" s="19" t="n"/>
      <c r="AS59" s="19" t="n"/>
      <c r="AT59" s="19" t="n"/>
      <c r="AU59" s="19" t="n"/>
      <c r="AV59" s="19" t="n"/>
      <c r="AW59" s="19" t="n"/>
      <c r="AX59" s="19" t="n"/>
      <c r="AY59" s="19" t="n"/>
      <c r="AZ59" s="19" t="n"/>
      <c r="BA59" s="19" t="n"/>
      <c r="BB59" s="19" t="n"/>
      <c r="BC59" s="19" t="n"/>
      <c r="BD59" s="19" t="n"/>
      <c r="BE59" s="19" t="n"/>
      <c r="BF59" s="19" t="n"/>
      <c r="BG59" s="19" t="n"/>
      <c r="BH59" s="119" t="n"/>
      <c r="BI59" s="19" t="n"/>
      <c r="BJ59" s="19" t="n"/>
      <c r="BK59" s="19" t="n"/>
    </row>
    <row r="60">
      <c r="A60" s="538" t="inlineStr">
        <is>
          <t>CAIXA G EUDORA</t>
        </is>
      </c>
      <c r="B60" s="223" t="n">
        <v>75</v>
      </c>
      <c r="C60" s="683" t="n">
        <v>438.75</v>
      </c>
      <c r="D60" s="240" t="n">
        <v>10</v>
      </c>
      <c r="E60" s="1" t="n"/>
      <c r="F60" s="39" t="n">
        <v>30</v>
      </c>
      <c r="G60" s="39" t="n">
        <v>30</v>
      </c>
      <c r="H60" s="39" t="n">
        <v>30</v>
      </c>
      <c r="I60" s="39" t="n">
        <v>30</v>
      </c>
      <c r="J60" s="39" t="n">
        <v>30</v>
      </c>
      <c r="K60" s="39" t="n">
        <v>30</v>
      </c>
      <c r="L60" s="39" t="n">
        <v>30</v>
      </c>
      <c r="M60" s="39" t="n">
        <v>30</v>
      </c>
      <c r="N60" s="39" t="n">
        <v>30</v>
      </c>
      <c r="O60" s="39" t="n">
        <v>30</v>
      </c>
      <c r="P60" s="39" t="n">
        <v>30</v>
      </c>
      <c r="Q60" s="39" t="n">
        <v>30</v>
      </c>
      <c r="R60" s="39" t="n">
        <v>30</v>
      </c>
      <c r="S60" s="39" t="n">
        <v>30</v>
      </c>
      <c r="T60" s="39" t="n">
        <v>30</v>
      </c>
      <c r="U60" s="39" t="n"/>
      <c r="V60" s="39" t="n"/>
      <c r="W60" s="39" t="n"/>
      <c r="X60" s="39" t="n"/>
      <c r="Y60" s="39" t="n"/>
      <c r="Z60" s="39" t="n">
        <v>30</v>
      </c>
      <c r="AA60" s="39" t="n">
        <v>30</v>
      </c>
      <c r="AB60" s="6" t="n">
        <v>30</v>
      </c>
      <c r="AC60" s="6" t="n">
        <v>30</v>
      </c>
      <c r="AD60" s="6" t="n">
        <v>30</v>
      </c>
      <c r="AE60" s="380">
        <f>AC60+IF(NOT(ISBLANK(OFFSET(AE60,0,6))),N(OFFSET(AE60,0,6)),N(OFFSET(AE60,0,7)))-AD60</f>
        <v/>
      </c>
      <c r="AF60" s="41" t="n"/>
      <c r="AG60" s="138" t="n"/>
      <c r="AH60" s="138" t="n"/>
      <c r="AJ60" s="76" t="n"/>
      <c r="AK60" s="628" t="n">
        <v>0</v>
      </c>
      <c r="AL60" s="19" t="n">
        <v>0</v>
      </c>
      <c r="AM60" s="19" t="n">
        <v>0</v>
      </c>
      <c r="AN60" s="163" t="n"/>
      <c r="AO60" s="163" t="n"/>
      <c r="AP60" s="163" t="n"/>
      <c r="AQ60" s="163" t="n"/>
      <c r="AR60" s="163" t="n"/>
      <c r="AS60" s="163" t="n"/>
      <c r="AT60" s="163" t="n"/>
      <c r="AU60" s="163" t="n"/>
      <c r="AV60" s="163" t="n"/>
      <c r="AW60" s="163" t="n"/>
      <c r="AX60" s="163" t="n"/>
      <c r="AY60" s="163" t="n"/>
      <c r="AZ60" s="163" t="n"/>
      <c r="BA60" s="163" t="n"/>
      <c r="BB60" s="163" t="n"/>
      <c r="BC60" s="163" t="n"/>
      <c r="BD60" s="163" t="n"/>
      <c r="BE60" s="163" t="n"/>
      <c r="BF60" s="163" t="n"/>
      <c r="BG60" s="163" t="n"/>
      <c r="BH60" s="163" t="n"/>
      <c r="BI60" s="163" t="n"/>
      <c r="BJ60" s="163" t="n"/>
      <c r="BK60" s="163" t="n"/>
    </row>
    <row r="61">
      <c r="B61" s="41" t="n"/>
      <c r="C61" s="684" t="n"/>
      <c r="D61" s="684" t="n"/>
      <c r="F61" s="2" t="n"/>
      <c r="G61" s="2" t="n"/>
      <c r="H61" s="2" t="n"/>
      <c r="I61" s="2" t="n"/>
      <c r="J61" s="2" t="n"/>
      <c r="K61" s="2" t="n"/>
      <c r="L61" s="2" t="n"/>
      <c r="M61" s="2" t="n"/>
      <c r="N61" s="2" t="n"/>
      <c r="O61" s="2" t="n"/>
      <c r="P61" s="2" t="n"/>
      <c r="Q61" s="2" t="n"/>
      <c r="R61" s="2" t="n"/>
      <c r="S61" s="2" t="n"/>
      <c r="T61" s="2" t="n"/>
      <c r="U61" s="2" t="n"/>
      <c r="V61" s="2" t="n"/>
      <c r="W61" s="2" t="n"/>
      <c r="X61" s="2" t="n"/>
      <c r="Y61" s="2" t="n"/>
      <c r="Z61" s="2" t="n"/>
      <c r="AA61" s="2" t="n"/>
      <c r="AB61" s="1" t="n"/>
      <c r="AC61" s="1" t="n"/>
      <c r="AD61" s="1" t="n"/>
      <c r="AE61" s="2" t="n"/>
      <c r="AG61" s="75" t="n"/>
      <c r="AH61" s="75" t="n"/>
      <c r="AI61" s="1" t="n"/>
      <c r="AJ61" s="15" t="n"/>
      <c r="AK61" s="396" t="n"/>
      <c r="AL61" s="75" t="n"/>
      <c r="AM61" s="75" t="n"/>
      <c r="AN61" s="75" t="n"/>
      <c r="AO61" s="75" t="n"/>
      <c r="AP61" s="75" t="n"/>
      <c r="AQ61" s="75" t="n"/>
      <c r="AR61" s="75" t="n"/>
      <c r="AS61" s="75" t="n"/>
      <c r="AT61" s="75" t="n"/>
      <c r="AU61" s="75" t="n"/>
      <c r="AV61" s="75" t="n"/>
      <c r="AW61" s="75" t="n"/>
      <c r="AX61" s="75" t="n"/>
      <c r="AY61" s="75" t="n"/>
      <c r="AZ61" s="75" t="n"/>
      <c r="BA61" s="75" t="n"/>
      <c r="BB61" s="75" t="n"/>
      <c r="BC61" s="75" t="n"/>
      <c r="BD61" s="75" t="n"/>
      <c r="BE61" s="75" t="n"/>
      <c r="BF61" s="75" t="n"/>
      <c r="BG61" s="75" t="n"/>
      <c r="BH61" s="75" t="n"/>
      <c r="BI61" s="75" t="n"/>
      <c r="BJ61" s="75" t="n"/>
      <c r="BK61" s="75" t="n"/>
    </row>
    <row r="62">
      <c r="A62" s="385" t="inlineStr">
        <is>
          <t>CAIXAS KRAFTS</t>
        </is>
      </c>
      <c r="B62" s="411" t="inlineStr">
        <is>
          <t>PC</t>
        </is>
      </c>
      <c r="C62" s="411" t="inlineStr">
        <is>
          <t>R$</t>
        </is>
      </c>
      <c r="D62" s="411" t="inlineStr">
        <is>
          <t>Estoque Ideal</t>
        </is>
      </c>
      <c r="E62" s="1" t="n"/>
      <c r="F62" s="619" t="n">
        <v>46013</v>
      </c>
      <c r="G62" s="619" t="n">
        <v>46020</v>
      </c>
      <c r="H62" s="619" t="n">
        <v>46027</v>
      </c>
      <c r="I62" s="619" t="n">
        <v>46034</v>
      </c>
      <c r="J62" s="619" t="n">
        <v>46041</v>
      </c>
      <c r="K62" s="619" t="n">
        <v>46048</v>
      </c>
      <c r="L62" s="619" t="n">
        <v>46055</v>
      </c>
      <c r="M62" s="619" t="n">
        <v>46062</v>
      </c>
      <c r="N62" s="619" t="n">
        <v>46069</v>
      </c>
      <c r="O62" s="619" t="n">
        <v>46076</v>
      </c>
      <c r="P62" s="619" t="n">
        <v>46083</v>
      </c>
      <c r="Q62" s="619" t="n">
        <v>46090</v>
      </c>
      <c r="R62" s="619" t="n">
        <v>46097</v>
      </c>
      <c r="S62" s="619" t="n">
        <v>46104</v>
      </c>
      <c r="T62" s="619" t="n">
        <v>46111</v>
      </c>
      <c r="U62" s="619" t="n">
        <v>46118</v>
      </c>
      <c r="V62" s="619" t="n">
        <v>46125</v>
      </c>
      <c r="W62" s="619" t="n">
        <v>46132</v>
      </c>
      <c r="X62" s="619" t="n">
        <v>46139</v>
      </c>
      <c r="Y62" s="619" t="n">
        <v>46146</v>
      </c>
      <c r="Z62" s="619" t="n">
        <v>46154</v>
      </c>
      <c r="AA62" s="619" t="n">
        <v>46160</v>
      </c>
      <c r="AB62" s="620" t="n">
        <v>46161.48013361111</v>
      </c>
      <c r="AC62" s="620" t="n">
        <v>46161.48080726852</v>
      </c>
      <c r="AD62" s="620" t="n">
        <v>46161.48296431134</v>
      </c>
      <c r="AE62" s="621" t="inlineStr">
        <is>
          <t>USOU</t>
        </is>
      </c>
      <c r="AG62" s="29" t="inlineStr">
        <is>
          <t>Pendências</t>
        </is>
      </c>
      <c r="AH62" s="29" t="inlineStr">
        <is>
          <t>Pendências</t>
        </is>
      </c>
      <c r="AJ62" s="9" t="inlineStr">
        <is>
          <t>Novo Pedido</t>
        </is>
      </c>
      <c r="AK62" s="673" t="n">
        <v>46161.4829636494</v>
      </c>
      <c r="AL62" s="674" t="n">
        <v>46149</v>
      </c>
      <c r="AM62" s="674" t="n">
        <v>46142</v>
      </c>
      <c r="AN62" s="674" t="n">
        <v>46114</v>
      </c>
      <c r="AO62" s="674" t="n">
        <v>46107</v>
      </c>
      <c r="AP62" s="674" t="n">
        <v>46099</v>
      </c>
      <c r="AQ62" s="675" t="n">
        <v>46065</v>
      </c>
      <c r="AR62" s="674" t="n">
        <v>46092</v>
      </c>
      <c r="AS62" s="674" t="n">
        <v>46084</v>
      </c>
      <c r="AT62" s="675" t="n">
        <v>46065</v>
      </c>
      <c r="AU62" s="676" t="n">
        <v>46045</v>
      </c>
      <c r="AV62" s="674" t="n">
        <v>46077</v>
      </c>
      <c r="AW62" s="674" t="n">
        <v>46071</v>
      </c>
      <c r="AX62" s="674" t="n">
        <v>46056</v>
      </c>
      <c r="AY62" s="674" t="n">
        <v>46048</v>
      </c>
      <c r="AZ62" s="674" t="n">
        <v>46029</v>
      </c>
      <c r="BA62" s="674" t="n">
        <v>46029</v>
      </c>
      <c r="BB62" s="674" t="n">
        <v>46043</v>
      </c>
      <c r="BC62" s="674" t="n">
        <v>46029</v>
      </c>
      <c r="BD62" s="674" t="n">
        <v>46017</v>
      </c>
      <c r="BE62" s="674" t="n">
        <v>46007</v>
      </c>
      <c r="BF62" s="674" t="n">
        <v>46001</v>
      </c>
      <c r="BG62" s="674" t="n">
        <v>46001</v>
      </c>
      <c r="BH62" s="677" t="n">
        <v>46014</v>
      </c>
      <c r="BI62" s="674" t="n">
        <v>45994</v>
      </c>
      <c r="BJ62" s="674" t="n">
        <v>45986</v>
      </c>
      <c r="BK62" s="674" t="n">
        <v>45986</v>
      </c>
    </row>
    <row r="63">
      <c r="A63" s="25" t="inlineStr">
        <is>
          <t>CAIXA P</t>
        </is>
      </c>
      <c r="B63" s="72" t="n">
        <v>25</v>
      </c>
      <c r="C63" s="685" t="n">
        <v>49.75</v>
      </c>
      <c r="D63" s="240" t="n">
        <v>500</v>
      </c>
      <c r="E63" s="41" t="n"/>
      <c r="F63" s="39" t="n">
        <v>2675</v>
      </c>
      <c r="G63" s="39" t="n">
        <v>2550</v>
      </c>
      <c r="H63" s="39" t="n">
        <v>2475</v>
      </c>
      <c r="I63" s="39" t="n">
        <v>2400</v>
      </c>
      <c r="J63" s="39" t="n">
        <v>2050</v>
      </c>
      <c r="K63" s="39" t="n">
        <v>1625</v>
      </c>
      <c r="L63" s="39" t="n">
        <v>1600</v>
      </c>
      <c r="M63" s="39" t="n">
        <v>1525</v>
      </c>
      <c r="N63" s="39" t="n">
        <v>1325</v>
      </c>
      <c r="O63" s="39" t="n">
        <v>1250</v>
      </c>
      <c r="P63" s="39" t="n">
        <v>1100</v>
      </c>
      <c r="Q63" s="39" t="n">
        <v>925</v>
      </c>
      <c r="R63" s="39" t="n">
        <v>775</v>
      </c>
      <c r="S63" s="39" t="n">
        <v>575</v>
      </c>
      <c r="T63" s="39" t="n">
        <v>400</v>
      </c>
      <c r="U63" s="39" t="n">
        <v>1275</v>
      </c>
      <c r="V63" s="39" t="n">
        <v>1075</v>
      </c>
      <c r="W63" s="39" t="n">
        <v>900</v>
      </c>
      <c r="X63" s="39" t="n">
        <v>750</v>
      </c>
      <c r="Y63" s="39" t="n">
        <v>525</v>
      </c>
      <c r="Z63" s="39" t="n">
        <v>325</v>
      </c>
      <c r="AA63" s="39" t="n"/>
      <c r="AB63" s="6" t="n"/>
      <c r="AC63" s="6" t="n"/>
      <c r="AD63" s="6" t="n"/>
      <c r="AE63" s="380">
        <f>AC63+IF(NOT(ISBLANK(OFFSET(AE63,0,6))),N(OFFSET(AE63,0,6)),N(OFFSET(AE63,0,7)))-AD63</f>
        <v/>
      </c>
      <c r="AF63" s="41" t="n"/>
      <c r="AG63" s="78" t="n"/>
      <c r="AH63" s="78" t="n"/>
      <c r="AI63" s="608" t="n"/>
      <c r="AJ63" s="32" t="n"/>
      <c r="AK63" s="628" t="n">
        <v>0</v>
      </c>
      <c r="AL63" s="114" t="n">
        <v>0</v>
      </c>
      <c r="AM63" s="114" t="n">
        <v>0</v>
      </c>
      <c r="AN63" s="114" t="n">
        <v>1000</v>
      </c>
      <c r="AO63" s="114" t="n"/>
      <c r="AP63" s="114" t="n"/>
      <c r="AQ63" s="114" t="n"/>
      <c r="AR63" s="114" t="n"/>
      <c r="AS63" s="114" t="n"/>
      <c r="AT63" s="114" t="n"/>
      <c r="AU63" s="114" t="n"/>
      <c r="AV63" s="114" t="n"/>
      <c r="AW63" s="114" t="n"/>
      <c r="AX63" s="114" t="n"/>
      <c r="AY63" s="114" t="n"/>
      <c r="AZ63" s="114" t="n"/>
      <c r="BA63" s="114" t="n"/>
      <c r="BB63" s="114" t="n"/>
      <c r="BC63" s="114" t="n"/>
      <c r="BD63" s="114" t="n"/>
      <c r="BE63" s="114" t="n">
        <v>2000</v>
      </c>
      <c r="BF63" s="114" t="n"/>
      <c r="BG63" s="114" t="n">
        <v>500</v>
      </c>
      <c r="BH63" s="114" t="n"/>
      <c r="BI63" s="114" t="n"/>
      <c r="BJ63" s="114" t="n"/>
      <c r="BK63" s="114" t="n">
        <v>500</v>
      </c>
    </row>
    <row r="64">
      <c r="A64" s="25" t="inlineStr">
        <is>
          <t>CAIXA M</t>
        </is>
      </c>
      <c r="B64" s="72" t="n">
        <v>25</v>
      </c>
      <c r="C64" s="685" t="n">
        <v>72</v>
      </c>
      <c r="D64" s="240" t="n">
        <v>500</v>
      </c>
      <c r="F64" s="39" t="n">
        <v>2650</v>
      </c>
      <c r="G64" s="39" t="n">
        <v>2350</v>
      </c>
      <c r="H64" s="39" t="n">
        <v>2300</v>
      </c>
      <c r="I64" s="39" t="n">
        <v>2125</v>
      </c>
      <c r="J64" s="39" t="n">
        <v>1850</v>
      </c>
      <c r="K64" s="39" t="n">
        <v>1600</v>
      </c>
      <c r="L64" s="39" t="n">
        <v>1325</v>
      </c>
      <c r="M64" s="39" t="n">
        <v>1075</v>
      </c>
      <c r="N64" s="39" t="n">
        <v>725</v>
      </c>
      <c r="O64" s="39" t="n">
        <v>525</v>
      </c>
      <c r="P64" s="39" t="n">
        <v>1250</v>
      </c>
      <c r="Q64" s="39" t="n">
        <v>1000</v>
      </c>
      <c r="R64" s="39" t="n">
        <v>725</v>
      </c>
      <c r="S64" s="39" t="n">
        <v>475</v>
      </c>
      <c r="T64" s="39" t="n">
        <v>250</v>
      </c>
      <c r="U64" s="39" t="n">
        <v>1050</v>
      </c>
      <c r="V64" s="39" t="n">
        <v>775</v>
      </c>
      <c r="W64" s="39" t="n">
        <v>450</v>
      </c>
      <c r="X64" s="39" t="n">
        <v>275</v>
      </c>
      <c r="Y64" s="39" t="n">
        <v>0</v>
      </c>
      <c r="Z64" s="39">
        <f>0+AI64</f>
        <v/>
      </c>
      <c r="AA64" s="39" t="n"/>
      <c r="AB64" s="6" t="n"/>
      <c r="AC64" s="6" t="n"/>
      <c r="AD64" s="6" t="n"/>
      <c r="AE64" s="380">
        <f>AC64+IF(NOT(ISBLANK(OFFSET(AE64,0,6))),N(OFFSET(AE64,0,6)),N(OFFSET(AE64,0,7)))-AD64</f>
        <v/>
      </c>
      <c r="AG64" s="78" t="n"/>
      <c r="AH64" s="78" t="n"/>
      <c r="AJ64" s="32" t="n"/>
      <c r="AK64" s="628" t="n">
        <v>0</v>
      </c>
      <c r="AL64" s="114" t="n">
        <v>500</v>
      </c>
      <c r="AM64" s="114" t="n">
        <v>0</v>
      </c>
      <c r="AN64" s="114" t="n">
        <v>1000</v>
      </c>
      <c r="AO64" s="114" t="n"/>
      <c r="AP64" s="114" t="n"/>
      <c r="AQ64" s="114" t="n"/>
      <c r="AR64" s="114" t="n"/>
      <c r="AS64" s="114" t="n"/>
      <c r="AT64" s="114" t="n"/>
      <c r="AU64" s="114" t="n"/>
      <c r="AV64" s="114" t="n">
        <v>1000</v>
      </c>
      <c r="AW64" s="114" t="n"/>
      <c r="AX64" s="114" t="n"/>
      <c r="AY64" s="114" t="n"/>
      <c r="AZ64" s="114" t="n"/>
      <c r="BA64" s="114" t="n"/>
      <c r="BB64" s="114" t="n"/>
      <c r="BC64" s="114" t="n"/>
      <c r="BD64" s="114" t="n"/>
      <c r="BE64" s="114" t="n">
        <v>1925</v>
      </c>
      <c r="BF64" s="114" t="n"/>
      <c r="BG64" s="114" t="n">
        <v>1000</v>
      </c>
      <c r="BH64" s="114" t="n"/>
      <c r="BI64" s="114" t="n"/>
      <c r="BJ64" s="114" t="n"/>
      <c r="BK64" s="114" t="n"/>
    </row>
    <row r="65">
      <c r="A65" s="25" t="inlineStr">
        <is>
          <t>CAIXA G</t>
        </is>
      </c>
      <c r="B65" s="72" t="n">
        <v>25</v>
      </c>
      <c r="C65" s="685" t="n">
        <v>93.75</v>
      </c>
      <c r="D65" s="240" t="n">
        <v>300</v>
      </c>
      <c r="F65" s="39" t="n">
        <v>650</v>
      </c>
      <c r="G65" s="39" t="n">
        <v>600</v>
      </c>
      <c r="H65" s="39" t="n">
        <v>550</v>
      </c>
      <c r="I65" s="39" t="n">
        <v>475</v>
      </c>
      <c r="J65" s="39" t="n">
        <v>425</v>
      </c>
      <c r="K65" s="39" t="n">
        <v>350</v>
      </c>
      <c r="L65" s="39" t="n">
        <v>300</v>
      </c>
      <c r="M65" s="39" t="n">
        <v>200</v>
      </c>
      <c r="N65" s="39" t="n">
        <v>150</v>
      </c>
      <c r="O65" s="39" t="n">
        <v>75</v>
      </c>
      <c r="P65" s="39" t="n">
        <v>25</v>
      </c>
      <c r="Q65" s="39" t="n">
        <v>250</v>
      </c>
      <c r="R65" s="39">
        <f>125+AO65</f>
        <v/>
      </c>
      <c r="S65" s="39" t="n">
        <v>325</v>
      </c>
      <c r="T65" s="39" t="n">
        <v>300</v>
      </c>
      <c r="U65" s="39" t="n">
        <v>850</v>
      </c>
      <c r="V65" s="39" t="n">
        <v>775</v>
      </c>
      <c r="W65" s="39" t="n">
        <v>675</v>
      </c>
      <c r="X65" s="39" t="n">
        <v>600</v>
      </c>
      <c r="Y65" s="39" t="n">
        <v>450</v>
      </c>
      <c r="Z65" s="39">
        <f>125+AI65</f>
        <v/>
      </c>
      <c r="AA65" s="39" t="n"/>
      <c r="AB65" s="6" t="n"/>
      <c r="AC65" s="6" t="n"/>
      <c r="AD65" s="6" t="n"/>
      <c r="AE65" s="380">
        <f>AC65+IF(NOT(ISBLANK(OFFSET(AE65,0,6))),N(OFFSET(AE65,0,6)),N(OFFSET(AE65,0,7)))-AD65</f>
        <v/>
      </c>
      <c r="AG65" s="78" t="n"/>
      <c r="AH65" s="78" t="n"/>
      <c r="AJ65" s="32" t="n"/>
      <c r="AK65" s="628" t="n">
        <v>0</v>
      </c>
      <c r="AL65" s="114" t="n">
        <v>300</v>
      </c>
      <c r="AM65" s="114" t="n">
        <v>0</v>
      </c>
      <c r="AN65" s="114" t="n">
        <v>600</v>
      </c>
      <c r="AO65" s="114" t="n"/>
      <c r="AP65" s="114" t="n"/>
      <c r="AQ65" s="114" t="n"/>
      <c r="AR65" s="114" t="n">
        <v>300</v>
      </c>
      <c r="AS65" s="114" t="n">
        <v>300</v>
      </c>
      <c r="AT65" s="114" t="n"/>
      <c r="AU65" s="114" t="n"/>
      <c r="AV65" s="114" t="n"/>
      <c r="AW65" s="114" t="n"/>
      <c r="AX65" s="114" t="n"/>
      <c r="AY65" s="114" t="n"/>
      <c r="AZ65" s="114" t="n"/>
      <c r="BA65" s="114" t="n"/>
      <c r="BB65" s="114" t="n"/>
      <c r="BC65" s="114" t="n"/>
      <c r="BD65" s="114" t="n"/>
      <c r="BE65" s="114" t="n">
        <v>500</v>
      </c>
      <c r="BF65" s="114" t="n"/>
      <c r="BG65" s="114" t="n">
        <v>200</v>
      </c>
      <c r="BH65" s="114" t="n"/>
      <c r="BI65" s="114" t="n"/>
      <c r="BJ65" s="114" t="n"/>
      <c r="BK65" s="114" t="n"/>
    </row>
    <row r="66"/>
    <row r="67" hidden="1">
      <c r="A67" s="263" t="inlineStr">
        <is>
          <t>HARRY POTTER/25</t>
        </is>
      </c>
      <c r="B67" s="264" t="inlineStr">
        <is>
          <t>PC</t>
        </is>
      </c>
      <c r="C67" s="264" t="inlineStr">
        <is>
          <t>R$</t>
        </is>
      </c>
      <c r="D67" s="264" t="n"/>
      <c r="F67" s="619" t="n">
        <v>46013</v>
      </c>
      <c r="G67" s="619" t="n">
        <v>46020</v>
      </c>
      <c r="H67" s="619" t="n">
        <v>46027</v>
      </c>
      <c r="I67" s="619" t="n">
        <v>46034</v>
      </c>
      <c r="J67" s="619" t="n">
        <v>46041</v>
      </c>
      <c r="K67" s="619" t="n">
        <v>46048</v>
      </c>
      <c r="L67" s="619" t="n">
        <v>46055</v>
      </c>
      <c r="M67" s="619" t="n">
        <v>46062</v>
      </c>
      <c r="N67" s="619" t="n">
        <v>46069</v>
      </c>
      <c r="O67" s="619" t="n">
        <v>46076</v>
      </c>
      <c r="P67" s="619" t="n">
        <v>46083</v>
      </c>
      <c r="Q67" s="619" t="n">
        <v>46090</v>
      </c>
      <c r="R67" s="619" t="n">
        <v>46097</v>
      </c>
      <c r="S67" s="619" t="n"/>
      <c r="T67" s="619" t="n"/>
      <c r="U67" s="619" t="n"/>
      <c r="V67" s="619" t="n"/>
      <c r="W67" s="619" t="n"/>
      <c r="X67" s="619" t="n"/>
      <c r="Y67" s="619" t="n"/>
      <c r="Z67" s="619" t="n"/>
      <c r="AA67" s="619" t="n"/>
      <c r="AB67" s="619" t="n"/>
      <c r="AC67" s="619" t="n"/>
      <c r="AD67" s="619" t="n"/>
      <c r="AE67" s="621" t="inlineStr">
        <is>
          <t>USOU</t>
        </is>
      </c>
    </row>
    <row r="68" hidden="1">
      <c r="A68" s="25" t="inlineStr">
        <is>
          <t>SACOLA G HP/25</t>
        </is>
      </c>
      <c r="B68" s="6" t="n">
        <v>100</v>
      </c>
      <c r="C68" s="632" t="n">
        <v>316</v>
      </c>
      <c r="D68" s="240" t="n"/>
      <c r="F68" s="39" t="n">
        <v>0</v>
      </c>
      <c r="G68" s="39" t="n">
        <v>0</v>
      </c>
      <c r="H68" s="39" t="n">
        <v>0</v>
      </c>
      <c r="I68" s="39" t="n">
        <v>0</v>
      </c>
      <c r="J68" s="39" t="n">
        <v>0</v>
      </c>
      <c r="K68" s="39" t="n">
        <v>0</v>
      </c>
      <c r="L68" s="39" t="n"/>
      <c r="M68" s="39" t="n"/>
      <c r="N68" s="39" t="n"/>
      <c r="O68" s="39" t="n"/>
      <c r="P68" s="39" t="n"/>
      <c r="Q68" s="39" t="n"/>
      <c r="R68" s="39" t="n"/>
      <c r="S68" s="39" t="n"/>
      <c r="T68" s="39" t="n"/>
      <c r="U68" s="39" t="n"/>
      <c r="V68" s="39" t="n"/>
      <c r="W68" s="39" t="n"/>
      <c r="X68" s="39" t="n"/>
      <c r="Y68" s="39" t="n"/>
      <c r="Z68" s="39" t="n"/>
      <c r="AA68" s="39" t="n"/>
      <c r="AB68" s="6" t="n"/>
      <c r="AC68" s="6" t="n"/>
      <c r="AD68" s="6" t="n"/>
      <c r="AE68" s="26">
        <f>AC68+IF(NOT(ISBLANK(OFFSET(AE68,0,6))),N(OFFSET(AE68,0,6)),N(OFFSET(AE68,0,7)))-AD68</f>
        <v/>
      </c>
    </row>
    <row r="69" hidden="1">
      <c r="A69" s="25" t="inlineStr">
        <is>
          <t>TAG HP/25</t>
        </is>
      </c>
      <c r="B69" s="6" t="n">
        <v>100</v>
      </c>
      <c r="C69" s="632" t="n">
        <v>41</v>
      </c>
      <c r="D69" s="240" t="n"/>
      <c r="F69" s="39" t="n">
        <v>0</v>
      </c>
      <c r="G69" s="39" t="n">
        <v>0</v>
      </c>
      <c r="H69" s="39" t="n">
        <v>0</v>
      </c>
      <c r="I69" s="39" t="n">
        <v>0</v>
      </c>
      <c r="J69" s="39" t="n">
        <v>0</v>
      </c>
      <c r="K69" s="39" t="n">
        <v>0</v>
      </c>
      <c r="L69" s="39" t="n"/>
      <c r="M69" s="39" t="n"/>
      <c r="N69" s="39" t="n"/>
      <c r="O69" s="39" t="n"/>
      <c r="P69" s="39" t="n"/>
      <c r="Q69" s="39" t="n"/>
      <c r="R69" s="39" t="n"/>
      <c r="S69" s="39" t="n"/>
      <c r="T69" s="39" t="n"/>
      <c r="U69" s="39" t="n"/>
      <c r="V69" s="39" t="n"/>
      <c r="W69" s="39" t="n"/>
      <c r="X69" s="39" t="n"/>
      <c r="Y69" s="39" t="n"/>
      <c r="Z69" s="39" t="n"/>
      <c r="AA69" s="39" t="n"/>
      <c r="AB69" s="6" t="n"/>
      <c r="AC69" s="6" t="n"/>
      <c r="AD69" s="6" t="n"/>
      <c r="AE69" s="26">
        <f>AC69+IF(NOT(ISBLANK(OFFSET(AE69,0,6))),N(OFFSET(AE69,0,6)),N(OFFSET(AE69,0,7)))-AD69</f>
        <v/>
      </c>
    </row>
    <row r="70" hidden="1">
      <c r="A70" s="25" t="inlineStr">
        <is>
          <t>CARTUCHO P HP/25</t>
        </is>
      </c>
      <c r="B70" s="6" t="n">
        <v>150</v>
      </c>
      <c r="C70" s="632" t="n">
        <v>478.5</v>
      </c>
      <c r="D70" s="240" t="n"/>
      <c r="F70" s="39" t="n">
        <v>54</v>
      </c>
      <c r="G70" s="39" t="n">
        <v>54</v>
      </c>
      <c r="H70" s="39" t="n">
        <v>54</v>
      </c>
      <c r="I70" s="39" t="n">
        <v>54</v>
      </c>
      <c r="J70" s="39" t="n">
        <v>54</v>
      </c>
      <c r="K70" s="39" t="n">
        <v>54</v>
      </c>
      <c r="L70" s="39" t="n">
        <v>54</v>
      </c>
      <c r="M70" s="211" t="n">
        <v>0</v>
      </c>
      <c r="N70" s="39" t="n">
        <v>0</v>
      </c>
      <c r="O70" s="39" t="n">
        <v>0</v>
      </c>
      <c r="P70" s="39" t="n">
        <v>0</v>
      </c>
      <c r="Q70" s="39" t="n">
        <v>0</v>
      </c>
      <c r="R70" s="39" t="n">
        <v>0</v>
      </c>
      <c r="S70" s="39" t="n"/>
      <c r="T70" s="39" t="n"/>
      <c r="U70" s="39" t="n"/>
      <c r="V70" s="39" t="n"/>
      <c r="W70" s="39" t="n"/>
      <c r="X70" s="39" t="n"/>
      <c r="Y70" s="39" t="n"/>
      <c r="Z70" s="39" t="n"/>
      <c r="AA70" s="39" t="n"/>
      <c r="AB70" s="6" t="n"/>
      <c r="AC70" s="6" t="n"/>
      <c r="AD70" s="6" t="n"/>
      <c r="AE70" s="26" t="n">
        <v>0</v>
      </c>
    </row>
    <row r="71" hidden="1">
      <c r="F71" s="2" t="n"/>
      <c r="G71" s="2" t="n"/>
      <c r="H71" s="2" t="n"/>
      <c r="I71" s="2" t="n"/>
      <c r="J71" s="2" t="n"/>
      <c r="K71" s="2" t="n"/>
      <c r="L71" s="2" t="n"/>
      <c r="M71" s="2" t="n"/>
      <c r="N71" s="2" t="n"/>
      <c r="O71" s="2" t="n"/>
      <c r="P71" s="2" t="n"/>
      <c r="Q71" s="2" t="n"/>
      <c r="R71" s="2" t="n"/>
      <c r="S71" s="2" t="n"/>
      <c r="T71" s="2" t="n"/>
      <c r="U71" s="2" t="n"/>
      <c r="V71" s="2" t="n"/>
      <c r="W71" s="2" t="n"/>
      <c r="X71" s="2" t="n"/>
      <c r="Y71" s="2" t="n"/>
      <c r="Z71" s="2" t="n"/>
      <c r="AA71" s="2" t="n"/>
      <c r="AB71" s="1" t="n"/>
      <c r="AC71" s="1" t="n"/>
      <c r="AD71" s="1" t="n"/>
    </row>
    <row r="72" hidden="1">
      <c r="A72" s="415" t="inlineStr">
        <is>
          <t>HOMEM ARANHA/25</t>
        </is>
      </c>
      <c r="B72" s="416" t="inlineStr">
        <is>
          <t>PC</t>
        </is>
      </c>
      <c r="C72" s="416" t="inlineStr">
        <is>
          <t>R$</t>
        </is>
      </c>
      <c r="D72" s="416" t="n"/>
      <c r="F72" s="619" t="n">
        <v>46013</v>
      </c>
      <c r="G72" s="619" t="n">
        <v>46020</v>
      </c>
      <c r="H72" s="619" t="n">
        <v>46027</v>
      </c>
      <c r="I72" s="619" t="n">
        <v>46034</v>
      </c>
      <c r="J72" s="619" t="n"/>
      <c r="K72" s="619" t="n"/>
      <c r="L72" s="619" t="n"/>
      <c r="M72" s="619" t="n"/>
      <c r="N72" s="619" t="n"/>
      <c r="O72" s="619" t="n"/>
      <c r="P72" s="619" t="n"/>
      <c r="Q72" s="619" t="n"/>
      <c r="R72" s="619" t="n"/>
      <c r="S72" s="619" t="n"/>
      <c r="T72" s="619" t="n"/>
      <c r="U72" s="619" t="n"/>
      <c r="V72" s="619" t="n"/>
      <c r="W72" s="619" t="n"/>
      <c r="X72" s="619" t="n"/>
      <c r="Y72" s="619" t="n"/>
      <c r="Z72" s="619" t="n"/>
      <c r="AA72" s="619" t="n"/>
      <c r="AB72" s="619" t="n"/>
      <c r="AC72" s="619" t="n"/>
      <c r="AD72" s="619" t="n"/>
      <c r="AE72" s="621" t="inlineStr">
        <is>
          <t>USOU</t>
        </is>
      </c>
    </row>
    <row r="73" hidden="1">
      <c r="A73" s="25" t="inlineStr">
        <is>
          <t>SACOLA M</t>
        </is>
      </c>
      <c r="B73" s="6" t="n">
        <v>200</v>
      </c>
      <c r="C73" s="632" t="n">
        <v>479.2</v>
      </c>
      <c r="D73" s="240" t="n"/>
      <c r="F73" s="39" t="n">
        <v>0</v>
      </c>
      <c r="G73" s="39" t="n">
        <v>0</v>
      </c>
      <c r="H73" s="39" t="n">
        <v>0</v>
      </c>
      <c r="I73" s="39" t="n">
        <v>0</v>
      </c>
      <c r="J73" s="39" t="n"/>
      <c r="K73" s="39" t="n"/>
      <c r="L73" s="39" t="n"/>
      <c r="M73" s="39" t="n"/>
      <c r="N73" s="39" t="n"/>
      <c r="O73" s="39" t="n"/>
      <c r="P73" s="39" t="n"/>
      <c r="Q73" s="39" t="n"/>
      <c r="R73" s="39" t="n"/>
      <c r="S73" s="39" t="n"/>
      <c r="T73" s="39" t="n"/>
      <c r="U73" s="39" t="n"/>
      <c r="V73" s="39" t="n"/>
      <c r="W73" s="39" t="n"/>
      <c r="X73" s="39" t="n"/>
      <c r="Y73" s="39" t="n"/>
      <c r="Z73" s="39" t="n"/>
      <c r="AA73" s="39" t="n"/>
      <c r="AB73" s="6" t="n"/>
      <c r="AC73" s="6" t="n"/>
      <c r="AD73" s="6" t="n"/>
      <c r="AE73" s="26" t="n">
        <v>0</v>
      </c>
    </row>
    <row r="74" hidden="1">
      <c r="A74" s="25" t="inlineStr">
        <is>
          <t>PAPEL DE SEDA</t>
        </is>
      </c>
      <c r="B74" s="6" t="n">
        <v>200</v>
      </c>
      <c r="C74" s="632" t="n">
        <v>45.47</v>
      </c>
      <c r="D74" s="240" t="n"/>
      <c r="F74" s="39" t="n">
        <v>0</v>
      </c>
      <c r="G74" s="39" t="n">
        <v>0</v>
      </c>
      <c r="H74" s="39" t="n">
        <v>0</v>
      </c>
      <c r="I74" s="39" t="n">
        <v>0</v>
      </c>
      <c r="J74" s="39" t="n"/>
      <c r="K74" s="39" t="n"/>
      <c r="L74" s="39" t="n"/>
      <c r="M74" s="39" t="n"/>
      <c r="N74" s="39" t="n"/>
      <c r="O74" s="39" t="n"/>
      <c r="P74" s="39" t="n"/>
      <c r="Q74" s="39" t="n"/>
      <c r="R74" s="39" t="n"/>
      <c r="S74" s="39" t="n"/>
      <c r="T74" s="39" t="n"/>
      <c r="U74" s="39" t="n"/>
      <c r="V74" s="39" t="n"/>
      <c r="W74" s="39" t="n"/>
      <c r="X74" s="39" t="n"/>
      <c r="Y74" s="39" t="n"/>
      <c r="Z74" s="39" t="n"/>
      <c r="AA74" s="39" t="n"/>
      <c r="AB74" s="6" t="n"/>
      <c r="AC74" s="6" t="n"/>
      <c r="AD74" s="6" t="n"/>
      <c r="AE74" s="26" t="n">
        <v>0</v>
      </c>
    </row>
    <row r="75" hidden="1">
      <c r="A75" s="25" t="inlineStr">
        <is>
          <t>CAIXA M</t>
        </is>
      </c>
      <c r="B75" s="6" t="n">
        <v>100</v>
      </c>
      <c r="C75" s="632" t="n">
        <v>1490</v>
      </c>
      <c r="D75" s="240" t="n"/>
      <c r="F75" s="39" t="n">
        <v>0</v>
      </c>
      <c r="G75" s="39" t="n">
        <v>0</v>
      </c>
      <c r="H75" s="39" t="n">
        <v>0</v>
      </c>
      <c r="I75" s="39" t="n">
        <v>0</v>
      </c>
      <c r="J75" s="39" t="n"/>
      <c r="K75" s="39" t="n"/>
      <c r="L75" s="39" t="n"/>
      <c r="M75" s="39" t="n"/>
      <c r="N75" s="39" t="n"/>
      <c r="O75" s="39" t="n"/>
      <c r="P75" s="39" t="n"/>
      <c r="Q75" s="39" t="n"/>
      <c r="R75" s="39" t="n"/>
      <c r="S75" s="39" t="n"/>
      <c r="T75" s="39" t="n"/>
      <c r="U75" s="39" t="n"/>
      <c r="V75" s="39" t="n"/>
      <c r="W75" s="39" t="n"/>
      <c r="X75" s="39" t="n"/>
      <c r="Y75" s="39" t="n"/>
      <c r="Z75" s="39" t="n"/>
      <c r="AA75" s="39" t="n"/>
      <c r="AB75" s="6" t="n"/>
      <c r="AC75" s="6" t="n"/>
      <c r="AD75" s="6" t="n"/>
      <c r="AE75" s="26" t="n">
        <v>0</v>
      </c>
    </row>
    <row r="76" hidden="1">
      <c r="F76" s="2" t="n"/>
      <c r="G76" s="2" t="n"/>
      <c r="H76" s="2" t="n"/>
      <c r="I76" s="2" t="n"/>
      <c r="J76" s="2" t="n"/>
      <c r="K76" s="2" t="n"/>
      <c r="L76" s="2" t="n"/>
      <c r="M76" s="2" t="n"/>
      <c r="N76" s="2" t="n"/>
      <c r="O76" s="2" t="n"/>
      <c r="P76" s="2" t="n"/>
      <c r="Q76" s="2" t="n"/>
      <c r="R76" s="2" t="n"/>
      <c r="S76" s="2" t="n"/>
      <c r="T76" s="2" t="n"/>
      <c r="U76" s="2" t="n"/>
      <c r="V76" s="2" t="n"/>
      <c r="W76" s="2" t="n"/>
      <c r="X76" s="2" t="n"/>
      <c r="Y76" s="2" t="n"/>
      <c r="Z76" s="2" t="n"/>
      <c r="AA76" s="2" t="n"/>
      <c r="AB76" s="1" t="n"/>
      <c r="AC76" s="1" t="n"/>
      <c r="AD76" s="1" t="n"/>
    </row>
    <row r="77">
      <c r="A77" s="278" t="inlineStr">
        <is>
          <t>EUDORA NATAL/25</t>
        </is>
      </c>
      <c r="B77" s="279" t="inlineStr">
        <is>
          <t>PC</t>
        </is>
      </c>
      <c r="C77" s="279" t="inlineStr">
        <is>
          <t>R$</t>
        </is>
      </c>
      <c r="D77" s="279" t="n"/>
      <c r="F77" s="619" t="n">
        <v>46013</v>
      </c>
      <c r="G77" s="619" t="n">
        <v>46020</v>
      </c>
      <c r="H77" s="619" t="n">
        <v>46027</v>
      </c>
      <c r="I77" s="619" t="n">
        <v>46034</v>
      </c>
      <c r="J77" s="619" t="n">
        <v>46041</v>
      </c>
      <c r="K77" s="619" t="n">
        <v>46048</v>
      </c>
      <c r="L77" s="619" t="n">
        <v>46055</v>
      </c>
      <c r="M77" s="619" t="n">
        <v>46062</v>
      </c>
      <c r="N77" s="619" t="n">
        <v>46069</v>
      </c>
      <c r="O77" s="619" t="n">
        <v>46076</v>
      </c>
      <c r="P77" s="619" t="n">
        <v>46083</v>
      </c>
      <c r="Q77" s="619" t="n">
        <v>46090</v>
      </c>
      <c r="R77" s="619" t="n">
        <v>46097</v>
      </c>
      <c r="S77" s="619" t="n">
        <v>46104</v>
      </c>
      <c r="T77" s="619" t="n">
        <v>46111</v>
      </c>
      <c r="U77" s="619" t="n">
        <v>46118</v>
      </c>
      <c r="V77" s="619" t="n">
        <v>46125</v>
      </c>
      <c r="W77" s="619" t="n">
        <v>46132</v>
      </c>
      <c r="X77" s="619" t="n">
        <v>46139</v>
      </c>
      <c r="Y77" s="619" t="n">
        <v>46146</v>
      </c>
      <c r="Z77" s="619" t="n">
        <v>46154</v>
      </c>
      <c r="AA77" s="619" t="n">
        <v>46160</v>
      </c>
      <c r="AB77" s="620" t="n">
        <v>46161.48013361111</v>
      </c>
      <c r="AC77" s="620" t="n">
        <v>46161.48080726852</v>
      </c>
      <c r="AD77" s="620" t="n">
        <v>46161.48296431155</v>
      </c>
      <c r="AE77" s="621" t="inlineStr">
        <is>
          <t>USOU</t>
        </is>
      </c>
    </row>
    <row r="78" hidden="1">
      <c r="A78" s="25" t="inlineStr">
        <is>
          <t xml:space="preserve">SACOLA M </t>
        </is>
      </c>
      <c r="B78" s="6" t="n">
        <v>200</v>
      </c>
      <c r="C78" s="632" t="n">
        <v>336</v>
      </c>
      <c r="D78" s="240" t="n"/>
      <c r="F78" s="39" t="n">
        <v>0</v>
      </c>
      <c r="G78" s="39" t="n">
        <v>0</v>
      </c>
      <c r="H78" s="39" t="n">
        <v>0</v>
      </c>
      <c r="I78" s="39" t="n">
        <v>0</v>
      </c>
      <c r="J78" s="39" t="n">
        <v>0</v>
      </c>
      <c r="K78" s="39" t="n">
        <v>0</v>
      </c>
      <c r="L78" s="39" t="n"/>
      <c r="M78" s="39" t="n"/>
      <c r="N78" s="39" t="n"/>
      <c r="O78" s="39" t="n"/>
      <c r="P78" s="39" t="n"/>
      <c r="Q78" s="39" t="n"/>
      <c r="R78" s="39" t="n"/>
      <c r="S78" s="39" t="n"/>
      <c r="T78" s="39" t="n"/>
      <c r="U78" s="39" t="n"/>
      <c r="V78" s="39" t="n"/>
      <c r="W78" s="39" t="n"/>
      <c r="X78" s="39" t="n"/>
      <c r="Y78" s="39" t="n"/>
      <c r="Z78" s="39" t="n"/>
      <c r="AA78" s="39" t="n"/>
      <c r="AB78" s="6" t="n"/>
      <c r="AC78" s="6" t="n"/>
      <c r="AD78" s="6" t="n"/>
      <c r="AE78" s="26">
        <f>AC78+IF(NOT(ISBLANK(OFFSET(AE78,0,6))),N(OFFSET(AE78,0,6)),N(OFFSET(AE78,0,7)))-AD78</f>
        <v/>
      </c>
    </row>
    <row r="79" hidden="1">
      <c r="A79" s="25" t="inlineStr">
        <is>
          <t>PAPEL DE SEDA</t>
        </is>
      </c>
      <c r="B79" s="6" t="n">
        <v>200</v>
      </c>
      <c r="C79" s="632" t="n">
        <v>54</v>
      </c>
      <c r="D79" s="240" t="n"/>
      <c r="F79" s="39" t="n">
        <v>0</v>
      </c>
      <c r="G79" s="39" t="n">
        <v>1</v>
      </c>
      <c r="H79" s="39" t="n">
        <v>1</v>
      </c>
      <c r="I79" s="39" t="n">
        <v>0</v>
      </c>
      <c r="J79" s="39" t="n">
        <v>0</v>
      </c>
      <c r="K79" s="39" t="n">
        <v>0</v>
      </c>
      <c r="L79" s="39" t="n"/>
      <c r="M79" s="39" t="n"/>
      <c r="N79" s="39" t="n"/>
      <c r="O79" s="39" t="n"/>
      <c r="P79" s="39" t="n"/>
      <c r="Q79" s="39" t="n"/>
      <c r="R79" s="39" t="n"/>
      <c r="S79" s="39" t="n"/>
      <c r="T79" s="39" t="n"/>
      <c r="U79" s="39" t="n"/>
      <c r="V79" s="39" t="n"/>
      <c r="W79" s="39" t="n"/>
      <c r="X79" s="39" t="n"/>
      <c r="Y79" s="39" t="n"/>
      <c r="Z79" s="39" t="n"/>
      <c r="AA79" s="39" t="n"/>
      <c r="AB79" s="6" t="n"/>
      <c r="AC79" s="6" t="n"/>
      <c r="AD79" s="6" t="n"/>
      <c r="AE79" s="26">
        <f>AC79+IF(NOT(ISBLANK(OFFSET(AE79,0,6))),N(OFFSET(AE79,0,6)),N(OFFSET(AE79,0,7)))-AD79</f>
        <v/>
      </c>
    </row>
    <row r="80">
      <c r="A80" s="25" t="inlineStr">
        <is>
          <t>KIT TAG 10 C/ 20</t>
        </is>
      </c>
      <c r="B80" s="6" t="n">
        <v>200</v>
      </c>
      <c r="C80" s="632" t="n">
        <v>40</v>
      </c>
      <c r="D80" s="240" t="n"/>
      <c r="F80" s="39" t="n">
        <v>0</v>
      </c>
      <c r="G80" s="39" t="n">
        <v>0</v>
      </c>
      <c r="H80" s="39" t="n">
        <v>0</v>
      </c>
      <c r="I80" s="39" t="n">
        <v>3</v>
      </c>
      <c r="J80" s="39" t="n">
        <v>3</v>
      </c>
      <c r="K80" s="39" t="n">
        <v>3</v>
      </c>
      <c r="L80" s="39" t="n">
        <v>3</v>
      </c>
      <c r="M80" s="39" t="n">
        <v>1</v>
      </c>
      <c r="N80" s="39" t="n">
        <v>1</v>
      </c>
      <c r="O80" s="39" t="n">
        <v>1</v>
      </c>
      <c r="P80" s="39" t="n">
        <v>0</v>
      </c>
      <c r="Q80" s="39" t="n">
        <v>0</v>
      </c>
      <c r="R80" s="39" t="n">
        <v>0</v>
      </c>
      <c r="S80" s="39" t="n">
        <v>0</v>
      </c>
      <c r="T80" s="39" t="n">
        <v>0</v>
      </c>
      <c r="U80" s="39" t="n"/>
      <c r="V80" s="39" t="n"/>
      <c r="W80" s="39" t="n"/>
      <c r="X80" s="39" t="n"/>
      <c r="Y80" s="39" t="n"/>
      <c r="Z80" s="39" t="n">
        <v>0</v>
      </c>
      <c r="AA80" s="39" t="n">
        <v>0</v>
      </c>
      <c r="AB80" s="6" t="n">
        <v>0</v>
      </c>
      <c r="AC80" s="6" t="n">
        <v>0</v>
      </c>
      <c r="AD80" s="6" t="n">
        <v>0</v>
      </c>
      <c r="AE80" s="380">
        <f>AC80+IF(NOT(ISBLANK(OFFSET(AE80,0,6))),N(OFFSET(AE80,0,6)),N(OFFSET(AE80,0,7)))-AD80</f>
        <v/>
      </c>
    </row>
    <row r="81">
      <c r="A81" s="157" t="inlineStr">
        <is>
          <t>CAIXA M</t>
        </is>
      </c>
      <c r="B81" s="72" t="n">
        <v>100</v>
      </c>
      <c r="C81" s="639" t="n">
        <v>904</v>
      </c>
      <c r="D81" s="72" t="n"/>
      <c r="F81" s="39" t="n">
        <v>44</v>
      </c>
      <c r="G81" s="39" t="n">
        <v>44</v>
      </c>
      <c r="H81" s="39" t="n">
        <v>44</v>
      </c>
      <c r="I81" s="39" t="n">
        <v>44</v>
      </c>
      <c r="J81" s="39" t="n">
        <v>44</v>
      </c>
      <c r="K81" s="39" t="n">
        <v>44</v>
      </c>
      <c r="L81" s="39" t="n">
        <v>44</v>
      </c>
      <c r="M81" s="39" t="n">
        <v>44</v>
      </c>
      <c r="N81" s="39" t="n">
        <v>42</v>
      </c>
      <c r="O81" s="39" t="n">
        <v>42</v>
      </c>
      <c r="P81" s="39" t="n">
        <v>42</v>
      </c>
      <c r="Q81" s="39" t="n">
        <v>40</v>
      </c>
      <c r="R81" s="39" t="n">
        <v>40</v>
      </c>
      <c r="S81" s="39" t="n">
        <v>40</v>
      </c>
      <c r="T81" s="39" t="n">
        <v>40</v>
      </c>
      <c r="U81" s="39" t="n"/>
      <c r="V81" s="39" t="n"/>
      <c r="W81" s="39" t="n"/>
      <c r="X81" s="39" t="n"/>
      <c r="Y81" s="39" t="n"/>
      <c r="Z81" s="39" t="n">
        <v>39</v>
      </c>
      <c r="AA81" s="39" t="n">
        <v>39</v>
      </c>
      <c r="AB81" s="6" t="n">
        <v>39</v>
      </c>
      <c r="AC81" s="6" t="n">
        <v>39</v>
      </c>
      <c r="AD81" s="6" t="n">
        <v>39</v>
      </c>
      <c r="AE81" s="380">
        <f>AC81+IF(NOT(ISBLANK(OFFSET(AE81,0,6))),N(OFFSET(AE81,0,6)),N(OFFSET(AE81,0,7)))-AD81</f>
        <v/>
      </c>
    </row>
    <row r="82">
      <c r="A82" s="157" t="inlineStr">
        <is>
          <t>CARTUCHO P</t>
        </is>
      </c>
      <c r="B82" s="72" t="n">
        <v>200</v>
      </c>
      <c r="C82" s="639" t="n">
        <v>464</v>
      </c>
      <c r="D82" s="72" t="n"/>
      <c r="F82" s="39" t="n">
        <v>88</v>
      </c>
      <c r="G82" s="39" t="n">
        <v>88</v>
      </c>
      <c r="H82" s="39" t="n">
        <v>88</v>
      </c>
      <c r="I82" s="39" t="n">
        <v>86</v>
      </c>
      <c r="J82" s="39" t="n">
        <v>84</v>
      </c>
      <c r="K82" s="39" t="n">
        <v>84</v>
      </c>
      <c r="L82" s="39" t="n">
        <v>84</v>
      </c>
      <c r="M82" s="39" t="n">
        <v>84</v>
      </c>
      <c r="N82" s="39" t="n">
        <v>83</v>
      </c>
      <c r="O82" s="39" t="n">
        <v>82</v>
      </c>
      <c r="P82" s="39" t="n">
        <v>80</v>
      </c>
      <c r="Q82" s="39" t="n">
        <v>80</v>
      </c>
      <c r="R82" s="39" t="n">
        <v>80</v>
      </c>
      <c r="S82" s="39" t="n">
        <v>80</v>
      </c>
      <c r="T82" s="39" t="n">
        <v>80</v>
      </c>
      <c r="U82" s="39" t="n"/>
      <c r="V82" s="39" t="n"/>
      <c r="W82" s="39" t="n"/>
      <c r="X82" s="39" t="n"/>
      <c r="Y82" s="39" t="n"/>
      <c r="Z82" s="39" t="n">
        <v>75</v>
      </c>
      <c r="AA82" s="39" t="n">
        <v>75</v>
      </c>
      <c r="AB82" s="6" t="n">
        <v>75</v>
      </c>
      <c r="AC82" s="6" t="n">
        <v>75</v>
      </c>
      <c r="AD82" s="6" t="n">
        <v>75</v>
      </c>
      <c r="AE82" s="380">
        <f>AC82+IF(NOT(ISBLANK(OFFSET(AE82,0,6))),N(OFFSET(AE82,0,6)),N(OFFSET(AE82,0,7)))-AD82</f>
        <v/>
      </c>
    </row>
    <row r="83">
      <c r="F83" s="2" t="n"/>
      <c r="G83" s="2" t="n"/>
      <c r="H83" s="2" t="n"/>
      <c r="I83" s="2" t="n"/>
      <c r="J83" s="2" t="n"/>
      <c r="K83" s="2" t="n"/>
      <c r="L83" s="2" t="n"/>
      <c r="M83" s="2" t="n"/>
      <c r="N83" s="2" t="n"/>
      <c r="O83" s="2" t="n"/>
      <c r="P83" s="2" t="n"/>
      <c r="Q83" s="2" t="n"/>
      <c r="R83" s="2" t="n"/>
      <c r="S83" s="2" t="n"/>
      <c r="T83" s="2" t="n"/>
      <c r="U83" s="2" t="n"/>
      <c r="V83" s="2" t="n"/>
      <c r="W83" s="2" t="n"/>
      <c r="X83" s="2" t="n"/>
      <c r="Y83" s="2" t="n"/>
      <c r="Z83" s="2" t="n"/>
      <c r="AA83" s="2" t="n"/>
      <c r="AB83" s="1" t="n"/>
      <c r="AC83" s="1" t="n"/>
      <c r="AD83" s="1" t="n"/>
    </row>
    <row r="84">
      <c r="A84" s="280" t="inlineStr">
        <is>
          <t>BOTICÁRIO NATAL/25</t>
        </is>
      </c>
      <c r="B84" s="255" t="inlineStr">
        <is>
          <t>PC</t>
        </is>
      </c>
      <c r="C84" s="255" t="inlineStr">
        <is>
          <t>R$</t>
        </is>
      </c>
      <c r="D84" s="255" t="n"/>
      <c r="F84" s="619" t="n">
        <v>46013</v>
      </c>
      <c r="G84" s="619" t="n">
        <v>46020</v>
      </c>
      <c r="H84" s="619" t="n">
        <v>46027</v>
      </c>
      <c r="I84" s="619" t="n">
        <v>46034</v>
      </c>
      <c r="J84" s="619" t="n">
        <v>46041</v>
      </c>
      <c r="K84" s="619" t="n">
        <v>46048</v>
      </c>
      <c r="L84" s="619" t="n">
        <v>46055</v>
      </c>
      <c r="M84" s="619" t="n">
        <v>46062</v>
      </c>
      <c r="N84" s="619" t="n">
        <v>46069</v>
      </c>
      <c r="O84" s="619" t="n">
        <v>46076</v>
      </c>
      <c r="P84" s="619" t="n">
        <v>46083</v>
      </c>
      <c r="Q84" s="619" t="n">
        <v>46090</v>
      </c>
      <c r="R84" s="619" t="n">
        <v>46097</v>
      </c>
      <c r="S84" s="619" t="n">
        <v>46104</v>
      </c>
      <c r="T84" s="619" t="n">
        <v>46111</v>
      </c>
      <c r="U84" s="619" t="n">
        <v>46118</v>
      </c>
      <c r="V84" s="619" t="n">
        <v>46125</v>
      </c>
      <c r="W84" s="619" t="n">
        <v>46132</v>
      </c>
      <c r="X84" s="619" t="n">
        <v>46139</v>
      </c>
      <c r="Y84" s="619" t="n">
        <v>46146</v>
      </c>
      <c r="Z84" s="619" t="n">
        <v>46154</v>
      </c>
      <c r="AA84" s="619" t="n">
        <v>46160</v>
      </c>
      <c r="AB84" s="620" t="n">
        <v>46161.48013361111</v>
      </c>
      <c r="AC84" s="620" t="n">
        <v>46161.48080726852</v>
      </c>
      <c r="AD84" s="620" t="n">
        <v>46161.48296431173</v>
      </c>
      <c r="AE84" s="621" t="inlineStr">
        <is>
          <t>USOU</t>
        </is>
      </c>
    </row>
    <row r="85" hidden="1">
      <c r="A85" s="25" t="inlineStr">
        <is>
          <t>SACOLA P</t>
        </is>
      </c>
      <c r="B85" s="6" t="n">
        <v>200</v>
      </c>
      <c r="C85" s="632" t="n">
        <v>274.2</v>
      </c>
      <c r="D85" s="240" t="n"/>
      <c r="F85" s="39" t="n">
        <v>59</v>
      </c>
      <c r="G85" s="39" t="n">
        <v>59</v>
      </c>
      <c r="H85" s="39" t="n">
        <v>58</v>
      </c>
      <c r="I85" s="39" t="n">
        <v>47</v>
      </c>
      <c r="J85" s="39" t="n">
        <v>47</v>
      </c>
      <c r="K85" s="39" t="n">
        <v>46</v>
      </c>
      <c r="L85" s="39" t="n">
        <v>46</v>
      </c>
      <c r="M85" s="39" t="n">
        <v>26</v>
      </c>
      <c r="N85" s="39" t="n">
        <v>0</v>
      </c>
      <c r="O85" s="39" t="n">
        <v>0</v>
      </c>
      <c r="P85" s="39" t="n">
        <v>0</v>
      </c>
      <c r="Q85" s="39" t="n">
        <v>0</v>
      </c>
      <c r="R85" s="39" t="n">
        <v>0</v>
      </c>
      <c r="S85" s="39" t="n"/>
      <c r="T85" s="39" t="n"/>
      <c r="U85" s="39" t="n"/>
      <c r="V85" s="39" t="n"/>
      <c r="W85" s="39" t="n"/>
      <c r="X85" s="39" t="n"/>
      <c r="Y85" s="39" t="n"/>
      <c r="Z85" s="39" t="n"/>
      <c r="AA85" s="39" t="n"/>
      <c r="AB85" s="6" t="n"/>
      <c r="AC85" s="6" t="n"/>
      <c r="AD85" s="6" t="n"/>
      <c r="AE85" s="26">
        <f>AC85+IF(NOT(ISBLANK(OFFSET(AE85,0,6))),N(OFFSET(AE85,0,6)),N(OFFSET(AE85,0,7)))-AD85</f>
        <v/>
      </c>
    </row>
    <row r="86" hidden="1">
      <c r="A86" s="25" t="inlineStr">
        <is>
          <t>SACOLA M</t>
        </is>
      </c>
      <c r="B86" s="6" t="n">
        <v>200</v>
      </c>
      <c r="C86" s="632" t="n">
        <v>347.8</v>
      </c>
      <c r="D86" s="240" t="n"/>
      <c r="F86" s="39" t="n">
        <v>160</v>
      </c>
      <c r="G86" s="39" t="n">
        <v>160</v>
      </c>
      <c r="H86" s="39" t="n">
        <v>160</v>
      </c>
      <c r="I86" s="39" t="n">
        <v>131</v>
      </c>
      <c r="J86" s="39" t="n">
        <v>0</v>
      </c>
      <c r="K86" s="39" t="n">
        <v>0</v>
      </c>
      <c r="L86" s="39" t="n">
        <v>0</v>
      </c>
      <c r="M86" s="39" t="n">
        <v>0</v>
      </c>
      <c r="N86" s="39" t="n">
        <v>0</v>
      </c>
      <c r="O86" s="39" t="n">
        <v>0</v>
      </c>
      <c r="P86" s="39" t="n">
        <v>0</v>
      </c>
      <c r="Q86" s="39" t="n">
        <v>0</v>
      </c>
      <c r="R86" s="39" t="n">
        <v>0</v>
      </c>
      <c r="S86" s="39" t="n"/>
      <c r="T86" s="39" t="n"/>
      <c r="U86" s="39" t="n"/>
      <c r="V86" s="39" t="n"/>
      <c r="W86" s="39" t="n"/>
      <c r="X86" s="39" t="n"/>
      <c r="Y86" s="39" t="n"/>
      <c r="Z86" s="39" t="n"/>
      <c r="AA86" s="39" t="n"/>
      <c r="AB86" s="6" t="n"/>
      <c r="AC86" s="6" t="n"/>
      <c r="AD86" s="6" t="n"/>
      <c r="AE86" s="26">
        <f>AC86+IF(NOT(ISBLANK(OFFSET(AE86,0,6))),N(OFFSET(AE86,0,6)),N(OFFSET(AE86,0,7)))-AD86</f>
        <v/>
      </c>
    </row>
    <row r="87" hidden="1">
      <c r="A87" s="25" t="inlineStr">
        <is>
          <t>SACOLA G</t>
        </is>
      </c>
      <c r="B87" s="6" t="n">
        <v>100</v>
      </c>
      <c r="C87" s="632" t="n">
        <v>267</v>
      </c>
      <c r="D87" s="240" t="n"/>
      <c r="F87" s="39" t="n">
        <v>37</v>
      </c>
      <c r="G87" s="39" t="n">
        <v>37</v>
      </c>
      <c r="H87" s="39" t="n">
        <v>37</v>
      </c>
      <c r="I87" s="39" t="n">
        <v>16</v>
      </c>
      <c r="J87" s="39" t="n">
        <v>0</v>
      </c>
      <c r="K87" s="39" t="n">
        <v>0</v>
      </c>
      <c r="L87" s="39" t="n">
        <v>0</v>
      </c>
      <c r="M87" s="39" t="n">
        <v>0</v>
      </c>
      <c r="N87" s="39" t="n">
        <v>0</v>
      </c>
      <c r="O87" s="39" t="n">
        <v>0</v>
      </c>
      <c r="P87" s="39" t="n">
        <v>0</v>
      </c>
      <c r="Q87" s="39" t="n">
        <v>0</v>
      </c>
      <c r="R87" s="39" t="n">
        <v>0</v>
      </c>
      <c r="S87" s="39" t="n"/>
      <c r="T87" s="39" t="n"/>
      <c r="U87" s="39" t="n"/>
      <c r="V87" s="39" t="n"/>
      <c r="W87" s="39" t="n"/>
      <c r="X87" s="39" t="n"/>
      <c r="Y87" s="39" t="n"/>
      <c r="Z87" s="39" t="n"/>
      <c r="AA87" s="39" t="n"/>
      <c r="AB87" s="6" t="n"/>
      <c r="AC87" s="6" t="n"/>
      <c r="AD87" s="6" t="n"/>
      <c r="AE87" s="26">
        <f>AC87+IF(NOT(ISBLANK(OFFSET(AE87,0,6))),N(OFFSET(AE87,0,6)),N(OFFSET(AE87,0,7)))-AD87</f>
        <v/>
      </c>
    </row>
    <row r="88" hidden="1">
      <c r="A88" s="157" t="inlineStr">
        <is>
          <t>KIT PAPEL DE SEDA 10 C/ 20</t>
        </is>
      </c>
      <c r="B88" s="72" t="n">
        <v>200</v>
      </c>
      <c r="C88" s="639" t="n">
        <v>44.4</v>
      </c>
      <c r="D88" s="72" t="n"/>
      <c r="F88" s="39" t="n">
        <v>0</v>
      </c>
      <c r="G88" s="39" t="n">
        <v>0</v>
      </c>
      <c r="H88" s="39" t="n">
        <v>0</v>
      </c>
      <c r="I88" s="39" t="n">
        <v>0</v>
      </c>
      <c r="J88" s="39" t="n">
        <v>0</v>
      </c>
      <c r="K88" s="39" t="n">
        <v>0</v>
      </c>
      <c r="L88" s="39" t="n">
        <v>0</v>
      </c>
      <c r="M88" s="39" t="n">
        <v>0</v>
      </c>
      <c r="N88" s="39" t="n">
        <v>0</v>
      </c>
      <c r="O88" s="39" t="n">
        <v>0</v>
      </c>
      <c r="P88" s="39" t="n">
        <v>0</v>
      </c>
      <c r="Q88" s="39" t="n">
        <v>0</v>
      </c>
      <c r="R88" s="39" t="n">
        <v>0</v>
      </c>
      <c r="S88" s="39" t="n"/>
      <c r="T88" s="39" t="n"/>
      <c r="U88" s="39" t="n"/>
      <c r="V88" s="39" t="n"/>
      <c r="W88" s="39" t="n"/>
      <c r="X88" s="39" t="n"/>
      <c r="Y88" s="39" t="n"/>
      <c r="Z88" s="39" t="n"/>
      <c r="AA88" s="39" t="n"/>
      <c r="AB88" s="6" t="n"/>
      <c r="AC88" s="6" t="n"/>
      <c r="AD88" s="6" t="n"/>
      <c r="AE88" s="26">
        <f>AC88+IF(NOT(ISBLANK(OFFSET(AE88,0,6))),N(OFFSET(AE88,0,6)),N(OFFSET(AE88,0,7)))-AD88</f>
        <v/>
      </c>
    </row>
    <row r="89">
      <c r="A89" s="157" t="inlineStr">
        <is>
          <t>CAIXA P</t>
        </is>
      </c>
      <c r="B89" s="72" t="n">
        <v>150</v>
      </c>
      <c r="C89" s="639" t="n">
        <v>805.35</v>
      </c>
      <c r="D89" s="72" t="n"/>
      <c r="F89" s="39" t="n">
        <v>60</v>
      </c>
      <c r="G89" s="39" t="n">
        <v>60</v>
      </c>
      <c r="H89" s="39" t="n">
        <v>60</v>
      </c>
      <c r="I89" s="39" t="n">
        <v>59</v>
      </c>
      <c r="J89" s="39" t="n">
        <v>59</v>
      </c>
      <c r="K89" s="39" t="n">
        <v>59</v>
      </c>
      <c r="L89" s="39" t="n">
        <v>59</v>
      </c>
      <c r="M89" s="39" t="n">
        <v>59</v>
      </c>
      <c r="N89" s="39" t="n">
        <v>59</v>
      </c>
      <c r="O89" s="39" t="n">
        <v>59</v>
      </c>
      <c r="P89" s="39" t="n">
        <v>59</v>
      </c>
      <c r="Q89" s="39" t="n">
        <v>59</v>
      </c>
      <c r="R89" s="39" t="n">
        <v>55</v>
      </c>
      <c r="S89" s="39" t="n">
        <v>53</v>
      </c>
      <c r="T89" s="39" t="n">
        <v>53</v>
      </c>
      <c r="U89" s="39" t="n"/>
      <c r="V89" s="39" t="n"/>
      <c r="W89" s="39" t="n"/>
      <c r="X89" s="39" t="n"/>
      <c r="Y89" s="39" t="n"/>
      <c r="Z89" s="39" t="n">
        <v>49</v>
      </c>
      <c r="AA89" s="39" t="n">
        <v>49</v>
      </c>
      <c r="AB89" s="6" t="n">
        <v>49</v>
      </c>
      <c r="AC89" s="6" t="n">
        <v>49</v>
      </c>
      <c r="AD89" s="6" t="n">
        <v>49</v>
      </c>
      <c r="AE89" s="380">
        <f>AC89+IF(NOT(ISBLANK(OFFSET(AE89,0,6))),N(OFFSET(AE89,0,6)),N(OFFSET(AE89,0,7)))-AD89</f>
        <v/>
      </c>
    </row>
    <row r="90">
      <c r="A90" s="157" t="inlineStr">
        <is>
          <t>CAIXA M</t>
        </is>
      </c>
      <c r="B90" s="72" t="n">
        <v>100</v>
      </c>
      <c r="C90" s="639" t="n">
        <v>792.2</v>
      </c>
      <c r="D90" s="72" t="n"/>
      <c r="F90" s="39" t="n">
        <v>1</v>
      </c>
      <c r="G90" s="39" t="n">
        <v>1</v>
      </c>
      <c r="H90" s="39" t="n">
        <v>1</v>
      </c>
      <c r="I90" s="39" t="n">
        <v>1</v>
      </c>
      <c r="J90" s="39" t="n">
        <v>1</v>
      </c>
      <c r="K90" s="39" t="n">
        <v>0</v>
      </c>
      <c r="L90" s="39" t="n">
        <v>0</v>
      </c>
      <c r="M90" s="39" t="n">
        <v>0</v>
      </c>
      <c r="N90" s="39" t="n">
        <v>0</v>
      </c>
      <c r="O90" s="39" t="n">
        <v>0</v>
      </c>
      <c r="P90" s="39" t="n">
        <v>0</v>
      </c>
      <c r="Q90" s="39" t="n">
        <v>0</v>
      </c>
      <c r="R90" s="39" t="n">
        <v>0</v>
      </c>
      <c r="S90" s="39" t="n">
        <v>0</v>
      </c>
      <c r="T90" s="39" t="n">
        <v>0</v>
      </c>
      <c r="U90" s="39" t="n"/>
      <c r="V90" s="39" t="n"/>
      <c r="W90" s="39" t="n"/>
      <c r="X90" s="39" t="n"/>
      <c r="Y90" s="39" t="n"/>
      <c r="Z90" s="39" t="n">
        <v>0</v>
      </c>
      <c r="AA90" s="39" t="n">
        <v>0</v>
      </c>
      <c r="AB90" s="6" t="n">
        <v>0</v>
      </c>
      <c r="AC90" s="6" t="n">
        <v>0</v>
      </c>
      <c r="AD90" s="6" t="n">
        <v>0</v>
      </c>
      <c r="AE90" s="380">
        <f>AC90+IF(NOT(ISBLANK(OFFSET(AE90,0,6))),N(OFFSET(AE90,0,6)),N(OFFSET(AE90,0,7)))-AD90</f>
        <v/>
      </c>
    </row>
    <row r="91">
      <c r="A91" s="157" t="inlineStr">
        <is>
          <t>CARTUCHO P</t>
        </is>
      </c>
      <c r="B91" s="72" t="n">
        <v>200</v>
      </c>
      <c r="C91" s="639" t="n">
        <v>487.2</v>
      </c>
      <c r="D91" s="72" t="n"/>
      <c r="F91" s="39" t="n">
        <v>6</v>
      </c>
      <c r="G91" s="39" t="n">
        <v>6</v>
      </c>
      <c r="H91" s="39" t="n">
        <v>6</v>
      </c>
      <c r="I91" s="39" t="n">
        <v>6</v>
      </c>
      <c r="J91" s="39" t="n">
        <v>6</v>
      </c>
      <c r="K91" s="39" t="n">
        <v>6</v>
      </c>
      <c r="L91" s="39" t="n">
        <v>6</v>
      </c>
      <c r="M91" s="39" t="n">
        <v>6</v>
      </c>
      <c r="N91" s="39" t="n">
        <v>6</v>
      </c>
      <c r="O91" s="39" t="n">
        <v>6</v>
      </c>
      <c r="P91" s="39" t="n">
        <v>6</v>
      </c>
      <c r="Q91" s="39" t="n">
        <v>6</v>
      </c>
      <c r="R91" s="39" t="n">
        <v>6</v>
      </c>
      <c r="S91" s="39" t="n">
        <v>6</v>
      </c>
      <c r="T91" s="39" t="n">
        <v>6</v>
      </c>
      <c r="U91" s="39" t="n"/>
      <c r="V91" s="39" t="n"/>
      <c r="W91" s="39" t="n"/>
      <c r="X91" s="39" t="n"/>
      <c r="Y91" s="39" t="n"/>
      <c r="Z91" s="39" t="n">
        <v>6</v>
      </c>
      <c r="AA91" s="39" t="n">
        <v>3</v>
      </c>
      <c r="AB91" s="6" t="n">
        <v>3</v>
      </c>
      <c r="AC91" s="6" t="n">
        <v>3</v>
      </c>
      <c r="AD91" s="6" t="n">
        <v>3</v>
      </c>
      <c r="AE91" s="380">
        <f>AC91+IF(NOT(ISBLANK(OFFSET(AE91,0,6))),N(OFFSET(AE91,0,6)),N(OFFSET(AE91,0,7)))-AD91</f>
        <v/>
      </c>
    </row>
    <row r="92">
      <c r="A92" s="157" t="inlineStr">
        <is>
          <t>CARTUCHO M</t>
        </is>
      </c>
      <c r="B92" s="72" t="n">
        <v>150</v>
      </c>
      <c r="C92" s="639" t="n">
        <v>460.35</v>
      </c>
      <c r="D92" s="72" t="n"/>
      <c r="F92" s="39" t="n">
        <v>11</v>
      </c>
      <c r="G92" s="39" t="n">
        <v>11</v>
      </c>
      <c r="H92" s="39" t="n">
        <v>11</v>
      </c>
      <c r="I92" s="39" t="n">
        <v>11</v>
      </c>
      <c r="J92" s="39" t="n">
        <v>11</v>
      </c>
      <c r="K92" s="39" t="n">
        <v>11</v>
      </c>
      <c r="L92" s="39" t="n">
        <v>11</v>
      </c>
      <c r="M92" s="39" t="n">
        <v>11</v>
      </c>
      <c r="N92" s="39" t="n">
        <v>11</v>
      </c>
      <c r="O92" s="39" t="n">
        <v>11</v>
      </c>
      <c r="P92" s="39" t="n">
        <v>11</v>
      </c>
      <c r="Q92" s="39" t="n">
        <v>11</v>
      </c>
      <c r="R92" s="39" t="n">
        <v>11</v>
      </c>
      <c r="S92" s="39" t="n">
        <v>11</v>
      </c>
      <c r="T92" s="39" t="n">
        <v>11</v>
      </c>
      <c r="U92" s="39" t="n"/>
      <c r="V92" s="39" t="n"/>
      <c r="W92" s="39" t="n"/>
      <c r="X92" s="39" t="n"/>
      <c r="Y92" s="39" t="n"/>
      <c r="Z92" s="39" t="n">
        <v>11</v>
      </c>
      <c r="AA92" s="39" t="n">
        <v>11</v>
      </c>
      <c r="AB92" s="6" t="n">
        <v>11</v>
      </c>
      <c r="AC92" s="6" t="n">
        <v>11</v>
      </c>
      <c r="AD92" s="6" t="n">
        <v>11</v>
      </c>
      <c r="AE92" s="380">
        <f>AC92+IF(NOT(ISBLANK(OFFSET(AE92,0,6))),N(OFFSET(AE92,0,6)),N(OFFSET(AE92,0,7)))-AD92</f>
        <v/>
      </c>
    </row>
    <row r="93">
      <c r="F93" s="2" t="n"/>
      <c r="G93" s="2" t="n"/>
      <c r="H93" s="2" t="n"/>
      <c r="I93" s="2" t="n"/>
      <c r="J93" s="2" t="n"/>
      <c r="K93" s="2" t="n"/>
      <c r="L93" s="2" t="n"/>
      <c r="M93" s="2" t="n"/>
      <c r="N93" s="2" t="n"/>
      <c r="O93" s="2" t="n"/>
      <c r="P93" s="2" t="n"/>
      <c r="Q93" s="2" t="n"/>
      <c r="R93" s="2" t="n"/>
      <c r="S93" s="2" t="n"/>
      <c r="T93" s="2" t="n"/>
      <c r="U93" s="2" t="n"/>
      <c r="V93" s="2" t="n"/>
      <c r="W93" s="2" t="n"/>
      <c r="X93" s="2" t="n"/>
      <c r="Y93" s="2" t="n"/>
      <c r="Z93" s="2" t="n"/>
      <c r="AA93" s="2" t="n"/>
      <c r="AB93" s="1" t="n"/>
      <c r="AC93" s="1" t="n"/>
      <c r="AD93" s="1" t="n"/>
    </row>
    <row r="94">
      <c r="A94" s="415" t="inlineStr">
        <is>
          <t>ETIQUETAS ZEBRA</t>
        </is>
      </c>
      <c r="B94" s="416" t="inlineStr">
        <is>
          <t>PC</t>
        </is>
      </c>
      <c r="C94" s="416" t="inlineStr">
        <is>
          <t>R$</t>
        </is>
      </c>
      <c r="D94" s="416" t="n"/>
      <c r="F94" s="2" t="n"/>
      <c r="G94" s="2" t="n"/>
      <c r="H94" s="2" t="n"/>
      <c r="I94" s="2" t="n"/>
      <c r="J94" s="619" t="n">
        <v>46041</v>
      </c>
      <c r="K94" s="619" t="n">
        <v>46048</v>
      </c>
      <c r="L94" s="619" t="n">
        <v>46055</v>
      </c>
      <c r="M94" s="619" t="n">
        <v>46062</v>
      </c>
      <c r="N94" s="619" t="n">
        <v>46069</v>
      </c>
      <c r="O94" s="619" t="n">
        <v>46076</v>
      </c>
      <c r="P94" s="619" t="n">
        <v>46083</v>
      </c>
      <c r="Q94" s="619" t="n">
        <v>46090</v>
      </c>
      <c r="R94" s="619" t="n">
        <v>46097</v>
      </c>
      <c r="S94" s="619" t="n">
        <v>46104</v>
      </c>
      <c r="T94" s="619" t="n">
        <v>46111</v>
      </c>
      <c r="U94" s="619" t="n">
        <v>46118</v>
      </c>
      <c r="V94" s="619" t="n">
        <v>46125</v>
      </c>
      <c r="W94" s="619" t="n">
        <v>46132</v>
      </c>
      <c r="X94" s="619" t="n">
        <v>46139</v>
      </c>
      <c r="Y94" s="619" t="n">
        <v>46146</v>
      </c>
      <c r="Z94" s="619" t="n">
        <v>46154</v>
      </c>
      <c r="AA94" s="619" t="n">
        <v>46160</v>
      </c>
      <c r="AB94" s="620" t="n">
        <v>46161.48013362269</v>
      </c>
      <c r="AC94" s="620" t="n">
        <v>46161.48080726852</v>
      </c>
      <c r="AD94" s="620" t="n">
        <v>46161.48296431197</v>
      </c>
      <c r="AE94" s="621" t="inlineStr">
        <is>
          <t>USOU</t>
        </is>
      </c>
    </row>
    <row r="95">
      <c r="A95" s="25" t="inlineStr">
        <is>
          <t>ETIQUETA BRANCA 100X80</t>
        </is>
      </c>
      <c r="B95" s="6" t="n">
        <v>1</v>
      </c>
      <c r="C95" s="632" t="n">
        <v>25.9</v>
      </c>
      <c r="D95" s="240" t="n"/>
      <c r="F95" s="2" t="n"/>
      <c r="G95" s="2" t="n"/>
      <c r="H95" s="2" t="n"/>
      <c r="I95" s="2" t="n"/>
      <c r="J95" s="39" t="n">
        <v>14</v>
      </c>
      <c r="K95" s="39" t="n">
        <v>14</v>
      </c>
      <c r="L95" s="39" t="n">
        <v>12</v>
      </c>
      <c r="M95" s="39" t="n">
        <v>12</v>
      </c>
      <c r="N95" s="39" t="n">
        <v>12</v>
      </c>
      <c r="O95" s="39" t="n">
        <v>10</v>
      </c>
      <c r="P95" s="39" t="n">
        <v>9</v>
      </c>
      <c r="Q95" s="39" t="n"/>
      <c r="R95" s="39" t="n"/>
      <c r="S95" s="39" t="n"/>
      <c r="T95" s="39" t="n"/>
      <c r="U95" s="39" t="n"/>
      <c r="V95" s="39" t="n"/>
      <c r="W95" s="39" t="n">
        <v>8</v>
      </c>
      <c r="X95" s="39" t="n">
        <v>8</v>
      </c>
      <c r="Y95" s="39" t="n">
        <v>8</v>
      </c>
      <c r="Z95" s="39" t="n">
        <v>7</v>
      </c>
      <c r="AA95" s="39" t="n"/>
      <c r="AB95" s="6" t="n"/>
      <c r="AC95" s="6" t="n"/>
      <c r="AD95" s="6" t="n"/>
      <c r="AE95" s="380">
        <f>AC95+IF(NOT(ISBLANK(OFFSET(AE95,0,6))),N(OFFSET(AE95,0,6)),N(OFFSET(AE95,0,7)))-AD95</f>
        <v/>
      </c>
    </row>
    <row r="96">
      <c r="A96" s="25" t="inlineStr">
        <is>
          <t>RIBBON DE CERA 110X74</t>
        </is>
      </c>
      <c r="B96" s="6" t="n">
        <v>1</v>
      </c>
      <c r="C96" s="632" t="n">
        <v>7.9</v>
      </c>
      <c r="D96" s="240" t="n"/>
      <c r="F96" s="2" t="n"/>
      <c r="G96" s="2" t="n"/>
      <c r="H96" s="2" t="n"/>
      <c r="I96" s="2" t="n"/>
      <c r="J96" s="39" t="n">
        <v>21</v>
      </c>
      <c r="K96" s="39" t="n">
        <v>21</v>
      </c>
      <c r="L96" s="39" t="n">
        <v>20</v>
      </c>
      <c r="M96" s="39" t="n">
        <v>20</v>
      </c>
      <c r="N96" s="39" t="n">
        <v>20</v>
      </c>
      <c r="O96" s="39" t="n">
        <v>19</v>
      </c>
      <c r="P96" s="39" t="n">
        <v>19</v>
      </c>
      <c r="Q96" s="39" t="n"/>
      <c r="R96" s="39" t="n"/>
      <c r="S96" s="39" t="n"/>
      <c r="T96" s="39" t="n"/>
      <c r="U96" s="39" t="n"/>
      <c r="V96" s="39" t="n"/>
      <c r="W96" s="39" t="n">
        <v>19</v>
      </c>
      <c r="X96" s="39" t="n">
        <v>18</v>
      </c>
      <c r="Y96" s="39" t="n">
        <v>18</v>
      </c>
      <c r="Z96" s="39" t="n">
        <v>18</v>
      </c>
      <c r="AA96" s="39" t="n"/>
      <c r="AB96" s="6" t="n"/>
      <c r="AC96" s="6" t="n"/>
      <c r="AD96" s="6" t="n"/>
      <c r="AE96" s="380">
        <f>AC96+IF(NOT(ISBLANK(OFFSET(AE96,0,6))),N(OFFSET(AE96,0,6)),N(OFFSET(AE96,0,7)))-AD96</f>
        <v/>
      </c>
    </row>
    <row r="97" ht="19.5" customHeight="1" thickBot="1">
      <c r="F97" s="2" t="n"/>
      <c r="G97" s="2" t="n"/>
      <c r="H97" s="2" t="n"/>
      <c r="I97" s="2" t="n"/>
      <c r="J97" s="2" t="n"/>
      <c r="K97" s="2" t="n"/>
      <c r="L97" s="2" t="n"/>
      <c r="M97" s="2" t="n"/>
      <c r="N97" s="2" t="n"/>
      <c r="O97" s="2" t="n"/>
      <c r="P97" s="2" t="n"/>
      <c r="Q97" s="2" t="n"/>
      <c r="R97" s="2" t="n"/>
      <c r="S97" s="2" t="n"/>
      <c r="T97" s="2" t="n"/>
      <c r="U97" s="2" t="n"/>
      <c r="V97" s="2" t="n"/>
      <c r="W97" s="2" t="n"/>
      <c r="X97" s="2" t="n"/>
      <c r="Y97" s="2" t="n"/>
      <c r="Z97" s="2" t="n"/>
      <c r="AA97" s="2" t="n"/>
      <c r="AB97" s="1" t="n"/>
      <c r="AC97" s="1" t="n"/>
      <c r="AD97" s="1" t="n"/>
    </row>
    <row r="98" ht="24" customHeight="1" thickBot="1">
      <c r="A98" s="496" t="n">
        <v>2026</v>
      </c>
      <c r="B98" s="686" t="n"/>
      <c r="C98" s="686" t="n"/>
      <c r="D98" s="686" t="n"/>
      <c r="E98" s="686" t="n"/>
      <c r="F98" s="686" t="n"/>
      <c r="G98" s="686" t="n"/>
      <c r="H98" s="686" t="n"/>
      <c r="I98" s="686" t="n"/>
      <c r="J98" s="686" t="n"/>
      <c r="K98" s="686" t="n"/>
      <c r="L98" s="686" t="n"/>
      <c r="M98" s="686" t="n"/>
      <c r="N98" s="686" t="n"/>
      <c r="O98" s="686" t="n"/>
      <c r="P98" s="686" t="n"/>
      <c r="Q98" s="686" t="n"/>
      <c r="R98" s="686" t="n"/>
      <c r="S98" s="686" t="n"/>
      <c r="T98" s="686" t="n"/>
      <c r="U98" s="686" t="n"/>
      <c r="V98" s="686" t="n"/>
      <c r="W98" s="686" t="n"/>
      <c r="X98" s="686" t="n"/>
      <c r="Y98" s="686" t="n"/>
      <c r="Z98" s="686" t="n"/>
      <c r="AA98" s="686" t="n"/>
      <c r="AB98" s="687" t="n"/>
      <c r="AC98" s="687" t="n"/>
      <c r="AD98" s="687" t="n"/>
      <c r="AE98" s="500" t="n"/>
    </row>
    <row r="99" ht="23.25" customHeight="1">
      <c r="A99" s="299" t="n"/>
      <c r="B99" s="299" t="n"/>
      <c r="C99" s="299" t="n"/>
      <c r="D99" s="299" t="n"/>
      <c r="E99" s="299" t="n"/>
      <c r="F99" s="299" t="n"/>
      <c r="G99" s="299" t="n"/>
      <c r="H99" s="299" t="n"/>
      <c r="I99" s="299" t="n"/>
      <c r="J99" s="299" t="n"/>
      <c r="K99" s="299" t="n"/>
      <c r="L99" s="299" t="n"/>
      <c r="M99" s="299" t="n"/>
      <c r="N99" s="299" t="n"/>
      <c r="O99" s="299" t="n"/>
      <c r="P99" s="299" t="n"/>
      <c r="Q99" s="299" t="n"/>
      <c r="R99" s="299" t="n"/>
      <c r="S99" s="299" t="n"/>
      <c r="T99" s="299" t="n"/>
      <c r="U99" s="299" t="n"/>
      <c r="V99" s="299" t="n"/>
      <c r="W99" s="299" t="n"/>
      <c r="X99" s="299" t="n"/>
      <c r="Y99" s="299" t="n"/>
      <c r="Z99" s="299" t="n"/>
      <c r="AA99" s="299" t="n"/>
      <c r="AB99" s="299" t="n"/>
      <c r="AC99" s="299" t="n"/>
      <c r="AD99" s="299" t="n"/>
      <c r="AE99" s="299" t="n"/>
    </row>
    <row r="100">
      <c r="A100" s="278" t="inlineStr">
        <is>
          <t>EUDORA MÃES/26</t>
        </is>
      </c>
      <c r="B100" s="279" t="inlineStr">
        <is>
          <t>PC</t>
        </is>
      </c>
      <c r="C100" s="279" t="inlineStr">
        <is>
          <t>R$</t>
        </is>
      </c>
      <c r="D100" s="279" t="n"/>
      <c r="F100" s="688" t="n">
        <v>46013</v>
      </c>
      <c r="G100" s="688" t="n">
        <v>46020</v>
      </c>
      <c r="H100" s="688" t="n">
        <v>46027</v>
      </c>
      <c r="I100" s="688" t="n">
        <v>46034</v>
      </c>
      <c r="J100" s="688" t="n">
        <v>46041</v>
      </c>
      <c r="K100" s="688" t="n">
        <v>46048</v>
      </c>
      <c r="L100" s="688" t="n">
        <v>46055</v>
      </c>
      <c r="M100" s="619" t="n">
        <v>46062</v>
      </c>
      <c r="N100" s="619" t="n">
        <v>46069</v>
      </c>
      <c r="O100" s="619" t="n">
        <v>46076</v>
      </c>
      <c r="P100" s="619" t="n">
        <v>46083</v>
      </c>
      <c r="Q100" s="619" t="n">
        <v>46090</v>
      </c>
      <c r="R100" s="619" t="n">
        <v>46097</v>
      </c>
      <c r="S100" s="619" t="n">
        <v>46104</v>
      </c>
      <c r="T100" s="619" t="n">
        <v>46111</v>
      </c>
      <c r="U100" s="619" t="n">
        <v>46118</v>
      </c>
      <c r="V100" s="619" t="n">
        <v>46125</v>
      </c>
      <c r="W100" s="619" t="n">
        <v>46132</v>
      </c>
      <c r="X100" s="619" t="n">
        <v>46139</v>
      </c>
      <c r="Y100" s="619" t="n">
        <v>46146</v>
      </c>
      <c r="Z100" s="619" t="n">
        <v>46154</v>
      </c>
      <c r="AA100" s="619" t="n">
        <v>46160</v>
      </c>
      <c r="AB100" s="620" t="n">
        <v>46161.48013362269</v>
      </c>
      <c r="AC100" s="620" t="n">
        <v>46161.48080726852</v>
      </c>
      <c r="AD100" s="620" t="n">
        <v>46161.4829643121</v>
      </c>
      <c r="AE100" s="621" t="inlineStr">
        <is>
          <t>USOU</t>
        </is>
      </c>
    </row>
    <row r="101">
      <c r="A101" s="25" t="inlineStr">
        <is>
          <t xml:space="preserve">SACOLA M </t>
        </is>
      </c>
      <c r="B101" s="6" t="n">
        <v>150</v>
      </c>
      <c r="C101" s="632" t="n"/>
      <c r="D101" s="240" t="n"/>
      <c r="F101" s="39" t="n">
        <v>0</v>
      </c>
      <c r="G101" s="39" t="n">
        <v>0</v>
      </c>
      <c r="H101" s="39" t="n">
        <v>0</v>
      </c>
      <c r="I101" s="39" t="n">
        <v>0</v>
      </c>
      <c r="J101" s="39" t="n">
        <v>0</v>
      </c>
      <c r="K101" s="39" t="n">
        <v>0</v>
      </c>
      <c r="L101" s="39" t="n"/>
      <c r="M101" s="39" t="n">
        <v>0</v>
      </c>
      <c r="N101" s="39" t="n">
        <v>0</v>
      </c>
      <c r="O101" s="39" t="n">
        <v>0</v>
      </c>
      <c r="P101" s="39">
        <f>AR10</f>
        <v/>
      </c>
      <c r="Q101" s="39" t="n">
        <v>2100</v>
      </c>
      <c r="R101" s="39" t="n">
        <v>1950</v>
      </c>
      <c r="S101" s="39" t="n">
        <v>1650</v>
      </c>
      <c r="T101" s="39" t="n">
        <v>1600</v>
      </c>
      <c r="U101" s="39" t="n">
        <v>1400</v>
      </c>
      <c r="V101" s="39" t="n">
        <v>900</v>
      </c>
      <c r="W101" s="39" t="n">
        <v>600</v>
      </c>
      <c r="X101" s="39" t="n">
        <v>300</v>
      </c>
      <c r="Y101" s="39" t="n">
        <v>0</v>
      </c>
      <c r="Z101" s="39" t="n">
        <v>0</v>
      </c>
      <c r="AA101" s="39" t="n"/>
      <c r="AB101" s="6" t="n"/>
      <c r="AC101" s="6" t="n"/>
      <c r="AD101" s="6" t="n"/>
      <c r="AE101" s="380">
        <f>AC101+IF(NOT(ISBLANK(OFFSET(AE101,0,6))),N(OFFSET(AE101,0,6)),N(OFFSET(AE101,0,7)))-AD101</f>
        <v/>
      </c>
    </row>
    <row r="102">
      <c r="A102" s="25" t="inlineStr">
        <is>
          <t>ADESIVO</t>
        </is>
      </c>
      <c r="B102" s="6" t="n">
        <v>1000</v>
      </c>
      <c r="C102" s="632" t="n"/>
      <c r="D102" s="240" t="n"/>
      <c r="F102" s="39" t="n"/>
      <c r="G102" s="39" t="n"/>
      <c r="H102" s="39" t="n"/>
      <c r="I102" s="39" t="n"/>
      <c r="J102" s="39" t="n"/>
      <c r="K102" s="39" t="n"/>
      <c r="L102" s="39" t="n"/>
      <c r="M102" s="39" t="n">
        <v>0</v>
      </c>
      <c r="N102" s="39" t="n">
        <v>0</v>
      </c>
      <c r="O102" s="39" t="n">
        <v>0</v>
      </c>
      <c r="P102" s="39">
        <f>AR20</f>
        <v/>
      </c>
      <c r="Q102" s="39" t="n">
        <v>3</v>
      </c>
      <c r="R102" s="39" t="n">
        <v>2</v>
      </c>
      <c r="S102" s="39" t="n">
        <v>2</v>
      </c>
      <c r="T102" s="39" t="n">
        <v>2</v>
      </c>
      <c r="U102" s="39" t="n">
        <v>2</v>
      </c>
      <c r="V102" s="39" t="n">
        <v>1</v>
      </c>
      <c r="W102" s="39" t="n">
        <v>1</v>
      </c>
      <c r="X102" s="39" t="n">
        <v>0</v>
      </c>
      <c r="Y102" s="39" t="n">
        <v>0</v>
      </c>
      <c r="Z102" s="39" t="n">
        <v>0</v>
      </c>
      <c r="AA102" s="39" t="n"/>
      <c r="AB102" s="6" t="n"/>
      <c r="AC102" s="6" t="n"/>
      <c r="AD102" s="6" t="n"/>
      <c r="AE102" s="380">
        <f>AC102+IF(NOT(ISBLANK(OFFSET(AE102,0,6))),N(OFFSET(AE102,0,6)),N(OFFSET(AE102,0,7)))-AD102</f>
        <v/>
      </c>
    </row>
    <row r="103">
      <c r="A103" s="25" t="inlineStr">
        <is>
          <t>PAPEL DE SEDA</t>
        </is>
      </c>
      <c r="B103" s="6" t="n">
        <v>200</v>
      </c>
      <c r="C103" s="632" t="n"/>
      <c r="D103" s="240" t="n"/>
      <c r="F103" s="39" t="n">
        <v>0</v>
      </c>
      <c r="G103" s="39" t="n">
        <v>1</v>
      </c>
      <c r="H103" s="39" t="n">
        <v>1</v>
      </c>
      <c r="I103" s="39" t="n">
        <v>0</v>
      </c>
      <c r="J103" s="39" t="n">
        <v>0</v>
      </c>
      <c r="K103" s="39" t="n">
        <v>0</v>
      </c>
      <c r="L103" s="39" t="n"/>
      <c r="M103" s="39" t="n">
        <v>0</v>
      </c>
      <c r="N103" s="39" t="n">
        <v>0</v>
      </c>
      <c r="O103" s="39" t="n">
        <v>0</v>
      </c>
      <c r="P103" s="39">
        <f>AR19</f>
        <v/>
      </c>
      <c r="Q103" s="39" t="n">
        <v>200</v>
      </c>
      <c r="R103" s="39" t="n">
        <v>200</v>
      </c>
      <c r="S103" s="39" t="n">
        <v>200</v>
      </c>
      <c r="T103" s="39" t="n">
        <v>200</v>
      </c>
      <c r="U103" s="39" t="n">
        <v>200</v>
      </c>
      <c r="V103" s="39" t="n">
        <v>200</v>
      </c>
      <c r="W103" s="39" t="n">
        <v>200</v>
      </c>
      <c r="X103" s="39" t="n">
        <v>200</v>
      </c>
      <c r="Y103" s="39" t="n">
        <v>200</v>
      </c>
      <c r="Z103" s="39" t="n">
        <v>200</v>
      </c>
      <c r="AA103" s="39" t="n"/>
      <c r="AB103" s="6" t="n"/>
      <c r="AC103" s="6" t="n"/>
      <c r="AD103" s="6" t="n"/>
      <c r="AE103" s="380">
        <f>AC103+IF(NOT(ISBLANK(OFFSET(AE103,0,6))),N(OFFSET(AE103,0,6)),N(OFFSET(AE103,0,7)))-AD103</f>
        <v/>
      </c>
    </row>
    <row r="104">
      <c r="A104" s="25" t="inlineStr">
        <is>
          <t>SACOLA M VENDA</t>
        </is>
      </c>
      <c r="B104" s="6" t="n">
        <v>150</v>
      </c>
      <c r="C104" s="632" t="n"/>
      <c r="D104" s="240" t="n"/>
      <c r="F104" s="39" t="n"/>
      <c r="G104" s="39" t="n"/>
      <c r="H104" s="39" t="n"/>
      <c r="I104" s="39" t="n"/>
      <c r="J104" s="39" t="n"/>
      <c r="K104" s="39" t="n"/>
      <c r="L104" s="39" t="n"/>
      <c r="M104" s="39" t="n">
        <v>0</v>
      </c>
      <c r="N104" s="39" t="n">
        <v>0</v>
      </c>
      <c r="O104" s="39" t="n">
        <v>0</v>
      </c>
      <c r="P104" s="39">
        <f>AR16</f>
        <v/>
      </c>
      <c r="Q104" s="39" t="n">
        <v>598</v>
      </c>
      <c r="R104" s="39" t="n">
        <v>462</v>
      </c>
      <c r="S104" s="39" t="n">
        <v>266</v>
      </c>
      <c r="T104" s="39" t="n">
        <v>206</v>
      </c>
      <c r="U104" s="39" t="n"/>
      <c r="V104" s="39" t="n"/>
      <c r="W104" s="39" t="n"/>
      <c r="X104" s="39" t="n"/>
      <c r="Y104" s="39" t="n"/>
      <c r="Z104" s="39" t="n">
        <v>0</v>
      </c>
      <c r="AA104" s="39" t="n">
        <v>0</v>
      </c>
      <c r="AB104" s="6" t="n">
        <v>0</v>
      </c>
      <c r="AC104" s="6" t="n">
        <v>0</v>
      </c>
      <c r="AD104" s="6" t="n">
        <v>0</v>
      </c>
      <c r="AE104" s="380">
        <f>AC104+IF(NOT(ISBLANK(OFFSET(AE104,0,6))),N(OFFSET(AE104,0,6)),N(OFFSET(AE104,0,7)))-AD104</f>
        <v/>
      </c>
    </row>
    <row r="105">
      <c r="A105" s="25" t="inlineStr">
        <is>
          <t>KIT TAG 10 C/ 20</t>
        </is>
      </c>
      <c r="B105" s="6" t="n">
        <v>200</v>
      </c>
      <c r="C105" s="632" t="n"/>
      <c r="D105" s="240" t="n"/>
      <c r="F105" s="39" t="n">
        <v>0</v>
      </c>
      <c r="G105" s="39" t="n">
        <v>0</v>
      </c>
      <c r="H105" s="39" t="n">
        <v>0</v>
      </c>
      <c r="I105" s="39" t="n">
        <v>3</v>
      </c>
      <c r="J105" s="39" t="n">
        <v>3</v>
      </c>
      <c r="K105" s="39" t="n">
        <v>3</v>
      </c>
      <c r="L105" s="39" t="n">
        <v>3</v>
      </c>
      <c r="M105" s="39" t="n">
        <v>0</v>
      </c>
      <c r="N105" s="39" t="n">
        <v>0</v>
      </c>
      <c r="O105" s="39" t="n">
        <v>0</v>
      </c>
      <c r="P105" s="39">
        <f>AR21</f>
        <v/>
      </c>
      <c r="Q105" s="39" t="n">
        <v>5</v>
      </c>
      <c r="R105" s="39" t="n">
        <v>5</v>
      </c>
      <c r="S105" s="39" t="n">
        <v>5</v>
      </c>
      <c r="T105" s="39" t="n">
        <v>5</v>
      </c>
      <c r="U105" s="39" t="n"/>
      <c r="V105" s="39" t="n"/>
      <c r="W105" s="39" t="n"/>
      <c r="X105" s="39" t="n"/>
      <c r="Y105" s="39" t="n"/>
      <c r="Z105" s="39" t="n">
        <v>5</v>
      </c>
      <c r="AA105" s="39" t="n">
        <v>5</v>
      </c>
      <c r="AB105" s="6" t="n">
        <v>5</v>
      </c>
      <c r="AC105" s="6" t="n">
        <v>5</v>
      </c>
      <c r="AD105" s="6" t="n">
        <v>5</v>
      </c>
      <c r="AE105" s="380">
        <f>AC105+IF(NOT(ISBLANK(OFFSET(AE105,0,6))),N(OFFSET(AE105,0,6)),N(OFFSET(AE105,0,7)))-AD105</f>
        <v/>
      </c>
    </row>
    <row r="106">
      <c r="A106" s="157" t="inlineStr">
        <is>
          <t>CAIXA M</t>
        </is>
      </c>
      <c r="B106" s="72" t="n">
        <v>100</v>
      </c>
      <c r="C106" s="639" t="n"/>
      <c r="D106" s="72" t="n"/>
      <c r="F106" s="39" t="n">
        <v>44</v>
      </c>
      <c r="G106" s="39" t="n">
        <v>44</v>
      </c>
      <c r="H106" s="39" t="n">
        <v>44</v>
      </c>
      <c r="I106" s="39" t="n">
        <v>44</v>
      </c>
      <c r="J106" s="39" t="n">
        <v>44</v>
      </c>
      <c r="K106" s="39" t="n">
        <v>44</v>
      </c>
      <c r="L106" s="39" t="n">
        <v>44</v>
      </c>
      <c r="M106" s="39" t="n">
        <v>0</v>
      </c>
      <c r="N106" s="39" t="n">
        <v>0</v>
      </c>
      <c r="O106" s="39" t="n">
        <v>0</v>
      </c>
      <c r="P106" s="39">
        <f>AR25</f>
        <v/>
      </c>
      <c r="Q106" s="39" t="n">
        <v>100</v>
      </c>
      <c r="R106" s="39" t="n">
        <v>99</v>
      </c>
      <c r="S106" s="39" t="n">
        <v>99</v>
      </c>
      <c r="T106" s="39" t="n">
        <v>99</v>
      </c>
      <c r="U106" s="39" t="n"/>
      <c r="V106" s="39" t="n"/>
      <c r="W106" s="39" t="n"/>
      <c r="X106" s="39" t="n"/>
      <c r="Y106" s="39" t="n"/>
      <c r="Z106" s="39" t="n">
        <v>96</v>
      </c>
      <c r="AA106" s="39" t="n">
        <v>96</v>
      </c>
      <c r="AB106" s="6" t="n">
        <v>96</v>
      </c>
      <c r="AC106" s="6" t="n">
        <v>96</v>
      </c>
      <c r="AD106" s="6" t="n">
        <v>96</v>
      </c>
      <c r="AE106" s="380">
        <f>AC106+IF(NOT(ISBLANK(OFFSET(AE106,0,6))),N(OFFSET(AE106,0,6)),N(OFFSET(AE106,0,7)))-AD106</f>
        <v/>
      </c>
    </row>
    <row r="107">
      <c r="A107" s="157" t="inlineStr">
        <is>
          <t>CARTUCHO P</t>
        </is>
      </c>
      <c r="B107" s="72" t="n">
        <v>200</v>
      </c>
      <c r="C107" s="639" t="n"/>
      <c r="D107" s="72" t="n"/>
      <c r="F107" s="39" t="n">
        <v>88</v>
      </c>
      <c r="G107" s="39" t="n">
        <v>88</v>
      </c>
      <c r="H107" s="39" t="n">
        <v>88</v>
      </c>
      <c r="I107" s="39" t="n">
        <v>86</v>
      </c>
      <c r="J107" s="39" t="n">
        <v>84</v>
      </c>
      <c r="K107" s="39" t="n">
        <v>84</v>
      </c>
      <c r="L107" s="39" t="n">
        <v>84</v>
      </c>
      <c r="M107" s="39" t="n">
        <v>0</v>
      </c>
      <c r="N107" s="39" t="n">
        <v>0</v>
      </c>
      <c r="O107" s="39" t="n">
        <v>0</v>
      </c>
      <c r="P107" s="39" t="n">
        <v>0</v>
      </c>
      <c r="Q107" s="211" t="n">
        <v>50</v>
      </c>
      <c r="R107" s="39" t="n">
        <v>47</v>
      </c>
      <c r="S107" s="39" t="n">
        <v>47</v>
      </c>
      <c r="T107" s="39" t="n">
        <v>45</v>
      </c>
      <c r="U107" s="39" t="n"/>
      <c r="V107" s="39" t="n"/>
      <c r="W107" s="39" t="n"/>
      <c r="X107" s="39" t="n"/>
      <c r="Y107" s="39" t="n"/>
      <c r="Z107" s="39" t="n">
        <v>36</v>
      </c>
      <c r="AA107" s="39" t="n">
        <v>21</v>
      </c>
      <c r="AB107" s="6" t="n">
        <v>21</v>
      </c>
      <c r="AC107" s="6" t="n">
        <v>21</v>
      </c>
      <c r="AD107" s="6" t="n">
        <v>21</v>
      </c>
      <c r="AE107" s="380">
        <f>AC107+IF(NOT(ISBLANK(OFFSET(AE107,0,6))),N(OFFSET(AE107,0,6)),N(OFFSET(AE107,0,7)))-AD107</f>
        <v/>
      </c>
    </row>
    <row r="108">
      <c r="F108" s="2" t="n"/>
      <c r="G108" s="2" t="n"/>
      <c r="H108" s="2" t="n"/>
      <c r="I108" s="2" t="n"/>
      <c r="J108" s="2" t="n"/>
      <c r="K108" s="2" t="n"/>
      <c r="L108" s="2" t="n"/>
      <c r="M108" s="2" t="n"/>
      <c r="N108" s="2" t="n"/>
      <c r="O108" s="2" t="n"/>
      <c r="P108" s="2" t="n"/>
      <c r="Q108" s="2" t="n"/>
      <c r="R108" s="2" t="n"/>
      <c r="S108" s="2" t="n"/>
      <c r="T108" s="2" t="n"/>
      <c r="U108" s="2" t="n"/>
      <c r="V108" s="2" t="n"/>
      <c r="W108" s="2" t="n"/>
      <c r="X108" s="2" t="n"/>
      <c r="Y108" s="2" t="n"/>
      <c r="Z108" s="2" t="n"/>
      <c r="AA108" s="2" t="n"/>
      <c r="AB108" s="1" t="n"/>
      <c r="AC108" s="1" t="n"/>
      <c r="AD108" s="1" t="n"/>
    </row>
    <row r="109">
      <c r="A109" s="280" t="inlineStr">
        <is>
          <t>BOTICÁRIO MÃES/26</t>
        </is>
      </c>
      <c r="B109" s="255" t="inlineStr">
        <is>
          <t>PC</t>
        </is>
      </c>
      <c r="C109" s="255" t="inlineStr">
        <is>
          <t>R$</t>
        </is>
      </c>
      <c r="D109" s="255" t="n"/>
      <c r="F109" s="619" t="n">
        <v>46013</v>
      </c>
      <c r="G109" s="619" t="n">
        <v>46020</v>
      </c>
      <c r="H109" s="619" t="n">
        <v>46027</v>
      </c>
      <c r="I109" s="619" t="n">
        <v>46034</v>
      </c>
      <c r="J109" s="619" t="n">
        <v>46041</v>
      </c>
      <c r="K109" s="619" t="n">
        <v>46048</v>
      </c>
      <c r="L109" s="619" t="n">
        <v>46055</v>
      </c>
      <c r="M109" s="619" t="n">
        <v>46062</v>
      </c>
      <c r="N109" s="619" t="n">
        <v>46069</v>
      </c>
      <c r="O109" s="619" t="n">
        <v>46076</v>
      </c>
      <c r="P109" s="619" t="n">
        <v>46083</v>
      </c>
      <c r="Q109" s="619" t="n">
        <v>46090</v>
      </c>
      <c r="R109" s="619" t="n">
        <v>46097</v>
      </c>
      <c r="S109" s="619" t="n">
        <v>46104</v>
      </c>
      <c r="T109" s="619" t="n">
        <v>46111</v>
      </c>
      <c r="U109" s="619" t="n">
        <v>46118</v>
      </c>
      <c r="V109" s="619" t="n">
        <v>46125</v>
      </c>
      <c r="W109" s="619" t="n">
        <v>46132</v>
      </c>
      <c r="X109" s="619" t="n">
        <v>46139</v>
      </c>
      <c r="Y109" s="619" t="n">
        <v>46146</v>
      </c>
      <c r="Z109" s="619" t="n">
        <v>46154</v>
      </c>
      <c r="AA109" s="619" t="n">
        <v>46160</v>
      </c>
      <c r="AB109" s="620" t="n">
        <v>46161.48013362269</v>
      </c>
      <c r="AC109" s="620" t="n">
        <v>46161.48080726852</v>
      </c>
      <c r="AD109" s="620" t="n">
        <v>46161.48296431229</v>
      </c>
      <c r="AE109" s="621" t="inlineStr">
        <is>
          <t>USOU</t>
        </is>
      </c>
    </row>
    <row r="110">
      <c r="A110" s="25" t="inlineStr">
        <is>
          <t>SACOLA P</t>
        </is>
      </c>
      <c r="B110" s="6" t="n">
        <v>200</v>
      </c>
      <c r="C110" s="632" t="n"/>
      <c r="D110" s="240" t="n"/>
      <c r="F110" s="39" t="n">
        <v>59</v>
      </c>
      <c r="G110" s="39" t="n">
        <v>59</v>
      </c>
      <c r="H110" s="39" t="n">
        <v>58</v>
      </c>
      <c r="I110" s="39" t="n">
        <v>47</v>
      </c>
      <c r="J110" s="39" t="n">
        <v>47</v>
      </c>
      <c r="K110" s="39" t="n">
        <v>46</v>
      </c>
      <c r="L110" s="39" t="n">
        <v>46</v>
      </c>
      <c r="M110" s="39" t="n">
        <v>0</v>
      </c>
      <c r="N110" s="39" t="n">
        <v>0</v>
      </c>
      <c r="O110" s="39" t="n">
        <v>0</v>
      </c>
      <c r="P110" s="39" t="n">
        <v>0</v>
      </c>
      <c r="Q110" s="39" t="n">
        <v>0</v>
      </c>
      <c r="R110" s="39" t="n">
        <v>0</v>
      </c>
      <c r="S110" s="39">
        <f>AN9</f>
        <v/>
      </c>
      <c r="T110" s="39" t="n">
        <v>4000</v>
      </c>
      <c r="U110" s="39" t="n">
        <v>4000</v>
      </c>
      <c r="V110" s="39" t="n">
        <v>4000</v>
      </c>
      <c r="W110" s="39" t="n">
        <v>4000</v>
      </c>
      <c r="X110" s="39" t="n">
        <v>3000</v>
      </c>
      <c r="Y110" s="39" t="n">
        <v>1600</v>
      </c>
      <c r="Z110" s="211" t="n">
        <v>600</v>
      </c>
      <c r="AA110" s="211" t="n"/>
      <c r="AB110" s="381" t="n"/>
      <c r="AC110" s="381" t="n"/>
      <c r="AD110" s="381" t="n"/>
      <c r="AE110" s="380">
        <f>AC110+IF(NOT(ISBLANK(OFFSET(AE110,0,6))),N(OFFSET(AE110,0,6)),N(OFFSET(AE110,0,7)))-AD110</f>
        <v/>
      </c>
    </row>
    <row r="111">
      <c r="A111" s="25" t="inlineStr">
        <is>
          <t>SACOLA M</t>
        </is>
      </c>
      <c r="B111" s="6" t="n">
        <v>200</v>
      </c>
      <c r="C111" s="632" t="n"/>
      <c r="D111" s="240" t="n"/>
      <c r="F111" s="39" t="n">
        <v>160</v>
      </c>
      <c r="G111" s="39" t="n">
        <v>160</v>
      </c>
      <c r="H111" s="39" t="n">
        <v>160</v>
      </c>
      <c r="I111" s="39" t="n">
        <v>131</v>
      </c>
      <c r="J111" s="39" t="n">
        <v>0</v>
      </c>
      <c r="K111" s="39" t="n">
        <v>0</v>
      </c>
      <c r="L111" s="39" t="n">
        <v>0</v>
      </c>
      <c r="M111" s="39" t="n">
        <v>0</v>
      </c>
      <c r="N111" s="39" t="n">
        <v>0</v>
      </c>
      <c r="O111" s="39" t="n">
        <v>0</v>
      </c>
      <c r="P111" s="39" t="n">
        <v>0</v>
      </c>
      <c r="Q111" s="39" t="n">
        <v>0</v>
      </c>
      <c r="R111" s="39" t="n">
        <v>0</v>
      </c>
      <c r="S111" s="39">
        <f>AN10</f>
        <v/>
      </c>
      <c r="T111" s="39" t="n">
        <v>2200</v>
      </c>
      <c r="U111" s="39" t="n">
        <v>2200</v>
      </c>
      <c r="V111" s="39" t="n">
        <v>2200</v>
      </c>
      <c r="W111" s="39" t="n">
        <v>2200</v>
      </c>
      <c r="X111" s="39" t="n">
        <v>1800</v>
      </c>
      <c r="Y111" s="39" t="n">
        <v>1400</v>
      </c>
      <c r="Z111" s="211" t="n">
        <v>0</v>
      </c>
      <c r="AA111" s="211" t="n"/>
      <c r="AB111" s="381" t="n"/>
      <c r="AC111" s="381" t="n"/>
      <c r="AD111" s="381" t="n"/>
      <c r="AE111" s="380">
        <f>AC111+IF(NOT(ISBLANK(OFFSET(AE111,0,6))),N(OFFSET(AE111,0,6)),N(OFFSET(AE111,0,7)))-AD111</f>
        <v/>
      </c>
    </row>
    <row r="112">
      <c r="A112" s="25" t="inlineStr">
        <is>
          <t>SACOLA G</t>
        </is>
      </c>
      <c r="B112" s="6" t="n">
        <v>100</v>
      </c>
      <c r="C112" s="632" t="n"/>
      <c r="D112" s="240" t="n"/>
      <c r="F112" s="39" t="n">
        <v>37</v>
      </c>
      <c r="G112" s="39" t="n">
        <v>37</v>
      </c>
      <c r="H112" s="39" t="n">
        <v>37</v>
      </c>
      <c r="I112" s="39" t="n">
        <v>16</v>
      </c>
      <c r="J112" s="39" t="n">
        <v>0</v>
      </c>
      <c r="K112" s="39" t="n">
        <v>0</v>
      </c>
      <c r="L112" s="39" t="n">
        <v>0</v>
      </c>
      <c r="M112" s="39" t="n">
        <v>0</v>
      </c>
      <c r="N112" s="39" t="n">
        <v>0</v>
      </c>
      <c r="O112" s="39" t="n">
        <v>0</v>
      </c>
      <c r="P112" s="39" t="n">
        <v>0</v>
      </c>
      <c r="Q112" s="39" t="n">
        <v>0</v>
      </c>
      <c r="R112" s="39" t="n">
        <v>0</v>
      </c>
      <c r="S112" s="39">
        <f>AN11</f>
        <v/>
      </c>
      <c r="T112" s="39" t="n">
        <v>800</v>
      </c>
      <c r="U112" s="39" t="n">
        <v>800</v>
      </c>
      <c r="V112" s="39" t="n">
        <v>800</v>
      </c>
      <c r="W112" s="39" t="n">
        <v>800</v>
      </c>
      <c r="X112" s="39" t="n">
        <v>700</v>
      </c>
      <c r="Y112" s="39" t="n">
        <v>600</v>
      </c>
      <c r="Z112" s="211" t="n">
        <v>300</v>
      </c>
      <c r="AA112" s="211" t="n"/>
      <c r="AB112" s="381" t="n"/>
      <c r="AC112" s="381" t="n"/>
      <c r="AD112" s="381" t="n"/>
      <c r="AE112" s="380">
        <f>AC112+IF(NOT(ISBLANK(OFFSET(AE112,0,6))),N(OFFSET(AE112,0,6)),N(OFFSET(AE112,0,7)))-AD112</f>
        <v/>
      </c>
    </row>
    <row r="113">
      <c r="A113" s="25" t="inlineStr">
        <is>
          <t>SACOLA P VENDA</t>
        </is>
      </c>
      <c r="B113" s="6" t="n">
        <v>200</v>
      </c>
      <c r="C113" s="632" t="n"/>
      <c r="D113" s="240" t="n"/>
      <c r="F113" s="39" t="n"/>
      <c r="G113" s="39" t="n"/>
      <c r="H113" s="39" t="n"/>
      <c r="I113" s="39" t="n"/>
      <c r="J113" s="39" t="n"/>
      <c r="K113" s="39" t="n"/>
      <c r="L113" s="39" t="n"/>
      <c r="M113" s="39" t="n">
        <v>0</v>
      </c>
      <c r="N113" s="39" t="n">
        <v>0</v>
      </c>
      <c r="O113" s="39" t="n">
        <v>0</v>
      </c>
      <c r="P113" s="39" t="n">
        <v>0</v>
      </c>
      <c r="Q113" s="39" t="n">
        <v>0</v>
      </c>
      <c r="R113" s="39" t="n">
        <v>0</v>
      </c>
      <c r="S113" s="39">
        <f>AN15</f>
        <v/>
      </c>
      <c r="T113" s="39" t="n">
        <v>334</v>
      </c>
      <c r="U113" s="39" t="n"/>
      <c r="V113" s="39" t="n"/>
      <c r="W113" s="39" t="n"/>
      <c r="X113" s="39" t="n"/>
      <c r="Y113" s="39" t="n"/>
      <c r="Z113" s="39" t="n">
        <v>0</v>
      </c>
      <c r="AA113" s="39" t="n">
        <v>0</v>
      </c>
      <c r="AB113" s="6" t="n">
        <v>0</v>
      </c>
      <c r="AC113" s="6" t="n">
        <v>0</v>
      </c>
      <c r="AD113" s="6" t="n">
        <v>0</v>
      </c>
      <c r="AE113" s="380">
        <f>AC113+IF(NOT(ISBLANK(OFFSET(AE113,0,6))),N(OFFSET(AE113,0,6)),N(OFFSET(AE113,0,7)))-AD113</f>
        <v/>
      </c>
    </row>
    <row r="114">
      <c r="A114" s="25" t="inlineStr">
        <is>
          <t>SACOLA M VENDA</t>
        </is>
      </c>
      <c r="B114" s="6" t="n">
        <v>200</v>
      </c>
      <c r="C114" s="632" t="n"/>
      <c r="D114" s="240" t="n"/>
      <c r="F114" s="39" t="n"/>
      <c r="G114" s="39" t="n"/>
      <c r="H114" s="39" t="n"/>
      <c r="I114" s="39" t="n"/>
      <c r="J114" s="39" t="n"/>
      <c r="K114" s="39" t="n"/>
      <c r="L114" s="39" t="n"/>
      <c r="M114" s="39" t="n">
        <v>0</v>
      </c>
      <c r="N114" s="39" t="n">
        <v>0</v>
      </c>
      <c r="O114" s="39" t="n">
        <v>0</v>
      </c>
      <c r="P114" s="39" t="n">
        <v>0</v>
      </c>
      <c r="Q114" s="39" t="n">
        <v>0</v>
      </c>
      <c r="R114" s="39" t="n">
        <v>0</v>
      </c>
      <c r="S114" s="39">
        <f>AN16</f>
        <v/>
      </c>
      <c r="T114" s="39" t="n">
        <v>154</v>
      </c>
      <c r="U114" s="39" t="n"/>
      <c r="V114" s="39" t="n"/>
      <c r="W114" s="39" t="n"/>
      <c r="X114" s="39" t="n"/>
      <c r="Y114" s="39" t="n"/>
      <c r="Z114" s="39" t="n">
        <v>0</v>
      </c>
      <c r="AA114" s="39" t="n">
        <v>0</v>
      </c>
      <c r="AB114" s="6" t="n">
        <v>0</v>
      </c>
      <c r="AC114" s="6" t="n">
        <v>0</v>
      </c>
      <c r="AD114" s="6" t="n">
        <v>0</v>
      </c>
      <c r="AE114" s="380">
        <f>AC114+IF(NOT(ISBLANK(OFFSET(AE114,0,6))),N(OFFSET(AE114,0,6)),N(OFFSET(AE114,0,7)))-AD114</f>
        <v/>
      </c>
    </row>
    <row r="115">
      <c r="A115" s="157" t="inlineStr">
        <is>
          <t>KIT PAPEL DE SEDA 10 C/ 20</t>
        </is>
      </c>
      <c r="B115" s="72" t="n">
        <v>200</v>
      </c>
      <c r="C115" s="639" t="n"/>
      <c r="D115" s="72" t="n"/>
      <c r="F115" s="39" t="n">
        <v>0</v>
      </c>
      <c r="G115" s="39" t="n">
        <v>0</v>
      </c>
      <c r="H115" s="39" t="n">
        <v>0</v>
      </c>
      <c r="I115" s="39" t="n">
        <v>0</v>
      </c>
      <c r="J115" s="39" t="n">
        <v>0</v>
      </c>
      <c r="K115" s="39" t="n">
        <v>0</v>
      </c>
      <c r="L115" s="39" t="n">
        <v>0</v>
      </c>
      <c r="M115" s="39" t="n">
        <v>0</v>
      </c>
      <c r="N115" s="39" t="n">
        <v>0</v>
      </c>
      <c r="O115" s="39" t="n">
        <v>0</v>
      </c>
      <c r="P115" s="39" t="n">
        <v>0</v>
      </c>
      <c r="Q115" s="39" t="n">
        <v>0</v>
      </c>
      <c r="R115" s="39" t="n">
        <v>0</v>
      </c>
      <c r="S115" s="39">
        <f>AN19</f>
        <v/>
      </c>
      <c r="T115" s="39" t="n">
        <v>5</v>
      </c>
      <c r="U115" s="39" t="n"/>
      <c r="V115" s="39" t="n"/>
      <c r="W115" s="39" t="n"/>
      <c r="X115" s="39" t="n"/>
      <c r="Y115" s="39" t="n"/>
      <c r="Z115" s="39" t="n">
        <v>0</v>
      </c>
      <c r="AA115" s="39" t="n">
        <v>0</v>
      </c>
      <c r="AB115" s="6" t="n">
        <v>0</v>
      </c>
      <c r="AC115" s="6" t="n">
        <v>0</v>
      </c>
      <c r="AD115" s="6" t="n">
        <v>0</v>
      </c>
      <c r="AE115" s="380">
        <f>AC115+IF(NOT(ISBLANK(OFFSET(AE115,0,6))),N(OFFSET(AE115,0,6)),N(OFFSET(AE115,0,7)))-AD115</f>
        <v/>
      </c>
    </row>
    <row r="116">
      <c r="A116" s="157" t="inlineStr">
        <is>
          <t>CAIXA P</t>
        </is>
      </c>
      <c r="B116" s="72" t="n">
        <v>150</v>
      </c>
      <c r="C116" s="639" t="n"/>
      <c r="D116" s="72" t="n"/>
      <c r="F116" s="39" t="n">
        <v>60</v>
      </c>
      <c r="G116" s="39" t="n">
        <v>60</v>
      </c>
      <c r="H116" s="39" t="n">
        <v>60</v>
      </c>
      <c r="I116" s="39" t="n">
        <v>59</v>
      </c>
      <c r="J116" s="39" t="n">
        <v>59</v>
      </c>
      <c r="K116" s="39" t="n">
        <v>59</v>
      </c>
      <c r="L116" s="39" t="n">
        <v>59</v>
      </c>
      <c r="M116" s="39" t="n">
        <v>0</v>
      </c>
      <c r="N116" s="39" t="n">
        <v>0</v>
      </c>
      <c r="O116" s="39" t="n">
        <v>0</v>
      </c>
      <c r="P116" s="39">
        <f>AQ24</f>
        <v/>
      </c>
      <c r="Q116" s="39" t="n">
        <v>150</v>
      </c>
      <c r="R116" s="39" t="n">
        <v>150</v>
      </c>
      <c r="S116" s="39" t="n">
        <v>150</v>
      </c>
      <c r="T116" s="39" t="n">
        <v>68</v>
      </c>
      <c r="U116" s="39" t="n"/>
      <c r="V116" s="39" t="n"/>
      <c r="W116" s="39" t="n"/>
      <c r="X116" s="39" t="n"/>
      <c r="Y116" s="39" t="n"/>
      <c r="Z116" s="39" t="n">
        <v>0</v>
      </c>
      <c r="AA116" s="39" t="n">
        <v>0</v>
      </c>
      <c r="AB116" s="6" t="n">
        <v>0</v>
      </c>
      <c r="AC116" s="6" t="n">
        <v>0</v>
      </c>
      <c r="AD116" s="6" t="n">
        <v>0</v>
      </c>
      <c r="AE116" s="380">
        <f>AC116+IF(NOT(ISBLANK(OFFSET(AE116,0,6))),N(OFFSET(AE116,0,6)),N(OFFSET(AE116,0,7)))-AD116</f>
        <v/>
      </c>
    </row>
    <row r="117">
      <c r="A117" s="157" t="inlineStr">
        <is>
          <t>CAIXA M</t>
        </is>
      </c>
      <c r="B117" s="72" t="n">
        <v>100</v>
      </c>
      <c r="C117" s="639" t="n"/>
      <c r="D117" s="72" t="n"/>
      <c r="F117" s="39" t="n">
        <v>1</v>
      </c>
      <c r="G117" s="39" t="n">
        <v>1</v>
      </c>
      <c r="H117" s="39" t="n">
        <v>1</v>
      </c>
      <c r="I117" s="39" t="n">
        <v>1</v>
      </c>
      <c r="J117" s="39" t="n">
        <v>1</v>
      </c>
      <c r="K117" s="39" t="n">
        <v>0</v>
      </c>
      <c r="L117" s="39" t="n">
        <v>0</v>
      </c>
      <c r="M117" s="39" t="n">
        <v>0</v>
      </c>
      <c r="N117" s="39" t="n">
        <v>0</v>
      </c>
      <c r="O117" s="39" t="n">
        <v>0</v>
      </c>
      <c r="P117" s="39" t="n">
        <v>0</v>
      </c>
      <c r="Q117" s="39" t="n">
        <v>0</v>
      </c>
      <c r="R117" s="39" t="n">
        <v>0</v>
      </c>
      <c r="S117" s="39">
        <f>AN25</f>
        <v/>
      </c>
      <c r="T117" s="39" t="n">
        <v>78</v>
      </c>
      <c r="U117" s="39" t="n"/>
      <c r="V117" s="39" t="n"/>
      <c r="W117" s="39" t="n"/>
      <c r="X117" s="39" t="n"/>
      <c r="Y117" s="39" t="n"/>
      <c r="Z117" s="39" t="n">
        <v>0</v>
      </c>
      <c r="AA117" s="39" t="n">
        <v>0</v>
      </c>
      <c r="AB117" s="6" t="n">
        <v>0</v>
      </c>
      <c r="AC117" s="6" t="n">
        <v>0</v>
      </c>
      <c r="AD117" s="6" t="n">
        <v>0</v>
      </c>
      <c r="AE117" s="380">
        <f>AC117+IF(NOT(ISBLANK(OFFSET(AE117,0,6))),N(OFFSET(AE117,0,6)),N(OFFSET(AE117,0,7)))-AD117</f>
        <v/>
      </c>
    </row>
    <row r="118">
      <c r="A118" s="157" t="inlineStr">
        <is>
          <t>CARTUCHO M</t>
        </is>
      </c>
      <c r="B118" s="72" t="n">
        <v>150</v>
      </c>
      <c r="C118" s="639" t="n"/>
      <c r="D118" s="72" t="n"/>
      <c r="F118" s="39" t="n">
        <v>11</v>
      </c>
      <c r="G118" s="39" t="n">
        <v>11</v>
      </c>
      <c r="H118" s="39" t="n">
        <v>11</v>
      </c>
      <c r="I118" s="39" t="n">
        <v>11</v>
      </c>
      <c r="J118" s="39" t="n">
        <v>11</v>
      </c>
      <c r="K118" s="39" t="n">
        <v>11</v>
      </c>
      <c r="L118" s="39" t="n">
        <v>11</v>
      </c>
      <c r="M118" s="39" t="n">
        <v>0</v>
      </c>
      <c r="N118" s="39" t="n">
        <v>0</v>
      </c>
      <c r="O118" s="39" t="n">
        <v>0</v>
      </c>
      <c r="P118" s="39" t="n">
        <v>0</v>
      </c>
      <c r="Q118" s="39" t="n">
        <v>0</v>
      </c>
      <c r="R118" s="39" t="n">
        <v>0</v>
      </c>
      <c r="S118" s="39">
        <f>AN26</f>
        <v/>
      </c>
      <c r="T118" s="39" t="n">
        <v>88</v>
      </c>
      <c r="U118" s="39" t="n"/>
      <c r="V118" s="39" t="n"/>
      <c r="W118" s="39" t="n"/>
      <c r="X118" s="39" t="n"/>
      <c r="Y118" s="39" t="n"/>
      <c r="Z118" s="39" t="n">
        <v>0</v>
      </c>
      <c r="AA118" s="39" t="n">
        <v>0</v>
      </c>
      <c r="AB118" s="6" t="n">
        <v>0</v>
      </c>
      <c r="AC118" s="6" t="n">
        <v>0</v>
      </c>
      <c r="AD118" s="6" t="n">
        <v>0</v>
      </c>
      <c r="AE118" s="380">
        <f>AC118+IF(NOT(ISBLANK(OFFSET(AE118,0,6))),N(OFFSET(AE118,0,6)),N(OFFSET(AE118,0,7)))-AD118</f>
        <v/>
      </c>
    </row>
    <row r="119">
      <c r="F119" s="2" t="n"/>
      <c r="G119" s="2" t="n"/>
      <c r="H119" s="2" t="n"/>
      <c r="I119" s="2" t="n"/>
      <c r="J119" s="2" t="n"/>
      <c r="K119" s="2" t="n"/>
      <c r="L119" s="2" t="n"/>
      <c r="M119" s="2" t="n"/>
      <c r="N119" s="2" t="n"/>
      <c r="O119" s="2" t="n"/>
      <c r="P119" s="2" t="n"/>
      <c r="Q119" s="2" t="n"/>
      <c r="R119" s="2" t="n"/>
      <c r="S119" s="2" t="n"/>
      <c r="T119" s="2" t="n"/>
      <c r="U119" s="2" t="n"/>
      <c r="V119" s="2" t="n"/>
      <c r="W119" s="2" t="n"/>
      <c r="X119" s="2" t="n"/>
      <c r="Y119" s="2" t="n"/>
      <c r="Z119" s="2" t="n"/>
      <c r="AA119" s="2" t="n"/>
      <c r="AB119" s="1" t="n"/>
      <c r="AC119" s="1" t="n"/>
      <c r="AD119" s="1" t="n"/>
    </row>
    <row r="120">
      <c r="F120" s="2" t="n"/>
      <c r="G120" s="2" t="n"/>
      <c r="H120" s="2" t="n"/>
      <c r="I120" s="2" t="n"/>
      <c r="J120" s="2" t="n"/>
      <c r="K120" s="2" t="n"/>
      <c r="L120" s="2" t="n"/>
      <c r="M120" s="2" t="n"/>
      <c r="N120" s="2" t="n"/>
      <c r="O120" s="2" t="n"/>
      <c r="P120" s="2" t="n"/>
      <c r="Q120" s="2" t="n"/>
      <c r="R120" s="2" t="n"/>
      <c r="S120" s="2" t="n"/>
      <c r="T120" s="2" t="n"/>
      <c r="U120" s="2" t="n"/>
      <c r="V120" s="2" t="n"/>
      <c r="W120" s="2" t="n"/>
      <c r="X120" s="2" t="n"/>
      <c r="Y120" s="2" t="n"/>
      <c r="Z120" s="2" t="n"/>
      <c r="AA120" s="2" t="n"/>
      <c r="AB120" s="1" t="n"/>
      <c r="AC120" s="1" t="n"/>
      <c r="AD120" s="1" t="n"/>
    </row>
    <row r="121">
      <c r="F121" s="2" t="n"/>
      <c r="G121" s="2" t="n"/>
      <c r="H121" s="2" t="n"/>
      <c r="I121" s="2" t="n"/>
      <c r="J121" s="2" t="n"/>
      <c r="K121" s="2" t="n"/>
      <c r="L121" s="2" t="n"/>
      <c r="M121" s="2" t="n"/>
      <c r="N121" s="2" t="n"/>
      <c r="O121" s="2" t="n"/>
      <c r="P121" s="2" t="n"/>
      <c r="Q121" s="2" t="n"/>
      <c r="R121" s="2" t="n"/>
      <c r="S121" s="2" t="n"/>
      <c r="T121" s="2" t="n"/>
    </row>
    <row r="122">
      <c r="F122" s="2" t="n"/>
      <c r="G122" s="2" t="n"/>
      <c r="H122" s="2" t="n"/>
      <c r="I122" s="2" t="n"/>
      <c r="J122" s="2" t="n"/>
      <c r="K122" s="2" t="n"/>
      <c r="L122" s="2" t="n"/>
      <c r="M122" s="2" t="n"/>
      <c r="N122" s="2" t="n"/>
      <c r="O122" s="2" t="n"/>
      <c r="P122" s="2" t="n"/>
      <c r="Q122" s="2" t="n"/>
      <c r="R122" s="2" t="n"/>
      <c r="S122" s="2" t="n"/>
      <c r="T122" s="2" t="n"/>
    </row>
    <row r="123">
      <c r="F123" s="2" t="n"/>
      <c r="G123" s="2" t="n"/>
      <c r="H123" s="2" t="n"/>
      <c r="I123" s="2" t="n"/>
      <c r="J123" s="2" t="n"/>
      <c r="K123" s="2" t="n"/>
      <c r="L123" s="2" t="n"/>
      <c r="M123" s="2" t="n"/>
      <c r="N123" s="2" t="n"/>
      <c r="O123" s="2" t="n"/>
      <c r="P123" s="2" t="n"/>
      <c r="Q123" s="2" t="n"/>
      <c r="R123" s="2" t="n"/>
      <c r="S123" s="2" t="n"/>
      <c r="T123" s="2" t="n"/>
      <c r="U123" s="2" t="n"/>
      <c r="V123" s="2" t="n"/>
      <c r="W123" s="2" t="n"/>
      <c r="X123" s="2" t="n"/>
      <c r="Y123" s="2" t="n"/>
      <c r="Z123" s="2" t="n"/>
      <c r="AA123" s="2" t="n"/>
      <c r="AB123" s="1" t="n"/>
      <c r="AC123" s="1" t="n"/>
      <c r="AD123" s="1" t="n"/>
      <c r="AJ123" s="15" t="n"/>
      <c r="AK123" s="396" t="n"/>
      <c r="AL123" s="75" t="n"/>
      <c r="AM123" s="75" t="n"/>
      <c r="AN123" s="75" t="n"/>
    </row>
    <row r="124">
      <c r="F124" s="2" t="n"/>
      <c r="G124" s="2" t="n"/>
      <c r="H124" s="2" t="n"/>
      <c r="I124" s="2" t="n"/>
      <c r="J124" s="2" t="n"/>
      <c r="K124" s="2" t="n"/>
      <c r="L124" s="2" t="n"/>
      <c r="M124" s="2" t="n"/>
      <c r="N124" s="2" t="n"/>
      <c r="O124" s="2" t="n"/>
      <c r="P124" s="2" t="n"/>
      <c r="Q124" s="2" t="n"/>
      <c r="R124" s="2" t="n"/>
      <c r="S124" s="2" t="n"/>
      <c r="T124" s="2" t="n"/>
      <c r="U124" s="2" t="n"/>
      <c r="V124" s="2" t="n"/>
      <c r="W124" s="2" t="n"/>
      <c r="X124" s="2" t="n"/>
      <c r="Y124" s="2" t="n"/>
      <c r="Z124" s="2" t="n"/>
      <c r="AA124" s="2" t="n"/>
      <c r="AB124" s="1" t="n"/>
      <c r="AC124" s="1" t="n"/>
      <c r="AD124" s="1" t="n"/>
      <c r="AJ124" s="15" t="n"/>
      <c r="AK124" s="396" t="n"/>
      <c r="AL124" s="75" t="n"/>
      <c r="AM124" s="75" t="n"/>
      <c r="AN124" s="75" t="n"/>
    </row>
    <row r="125" ht="21" customHeight="1">
      <c r="A125" s="402" t="inlineStr">
        <is>
          <t>SOBRAS DATAS COMEMORATIVAS</t>
        </is>
      </c>
      <c r="B125" s="402" t="n"/>
      <c r="C125" s="402" t="n"/>
    </row>
    <row r="126" ht="37.5" customHeight="1">
      <c r="A126" s="369" t="inlineStr">
        <is>
          <t>ITENS</t>
        </is>
      </c>
      <c r="B126" s="369" t="n"/>
      <c r="C126" s="369" t="inlineStr">
        <is>
          <t>TEMOS EM ESTOQUE</t>
        </is>
      </c>
    </row>
    <row r="127">
      <c r="A127" s="689" t="n"/>
      <c r="B127" s="378" t="n"/>
      <c r="C127" s="365" t="n"/>
      <c r="F127" s="2" t="n"/>
      <c r="G127" s="2" t="n"/>
      <c r="H127" s="2" t="n"/>
      <c r="I127" s="2" t="n"/>
      <c r="J127" s="2" t="n"/>
      <c r="K127" s="2" t="n"/>
      <c r="L127" s="2" t="n"/>
      <c r="M127" s="2" t="n"/>
      <c r="N127" s="2" t="n"/>
      <c r="O127" s="2" t="n"/>
      <c r="P127" s="2" t="n"/>
      <c r="Q127" s="2" t="n"/>
      <c r="R127" s="2" t="n"/>
      <c r="S127" s="2" t="n"/>
      <c r="T127" s="2" t="n"/>
      <c r="AE127" s="2" t="n"/>
      <c r="AG127" s="75" t="n"/>
      <c r="AH127" s="75" t="n"/>
      <c r="AI127" s="1" t="n"/>
      <c r="AK127" s="41" t="n"/>
      <c r="AO127" s="75" t="n"/>
      <c r="AP127" s="75" t="n"/>
      <c r="AQ127" s="75" t="n"/>
      <c r="AR127" s="75" t="n"/>
      <c r="AS127" s="75" t="n"/>
      <c r="AT127" s="75" t="n"/>
      <c r="AU127" s="75" t="n"/>
      <c r="AV127" s="75" t="n"/>
      <c r="AW127" s="75" t="n"/>
      <c r="AX127" s="75" t="n"/>
      <c r="AY127" s="75" t="n"/>
      <c r="AZ127" s="75" t="n"/>
      <c r="BA127" s="75" t="n"/>
      <c r="BB127" s="75" t="n"/>
      <c r="BC127" s="75" t="n"/>
      <c r="BD127" s="75" t="n"/>
      <c r="BE127" s="75" t="n"/>
      <c r="BF127" s="75" t="n"/>
      <c r="BG127" s="75" t="n"/>
      <c r="BH127" s="75" t="n"/>
      <c r="BI127" s="75" t="n"/>
      <c r="BJ127" s="75" t="n"/>
      <c r="BK127" s="75" t="n"/>
    </row>
    <row r="128">
      <c r="A128" s="186" t="n"/>
      <c r="B128" s="375" t="n"/>
      <c r="C128" s="376" t="n"/>
      <c r="F128" s="2" t="n"/>
      <c r="G128" s="2" t="n"/>
      <c r="H128" s="2" t="n"/>
      <c r="I128" s="2" t="n"/>
      <c r="J128" s="2" t="n"/>
      <c r="K128" s="2" t="n"/>
      <c r="L128" s="2" t="n"/>
      <c r="M128" s="2" t="n"/>
      <c r="N128" s="2" t="n"/>
      <c r="O128" s="2" t="n"/>
      <c r="P128" s="2" t="n"/>
      <c r="Q128" s="2" t="n"/>
      <c r="R128" s="2" t="n"/>
      <c r="S128" s="2" t="n"/>
      <c r="T128" s="2" t="n"/>
      <c r="AE128" s="2" t="n"/>
      <c r="AG128" s="75" t="n"/>
      <c r="AH128" s="75" t="n"/>
      <c r="AI128" s="1" t="n"/>
      <c r="AK128" s="41" t="n"/>
      <c r="AO128" s="75" t="n"/>
      <c r="AP128" s="75" t="n"/>
      <c r="AQ128" s="75" t="n"/>
      <c r="AR128" s="75" t="n"/>
      <c r="AS128" s="75" t="n"/>
      <c r="AT128" s="75" t="n"/>
      <c r="AU128" s="75" t="n"/>
      <c r="AV128" s="75" t="n"/>
      <c r="AW128" s="75" t="n"/>
      <c r="AX128" s="75" t="n"/>
      <c r="AY128" s="75" t="n"/>
      <c r="AZ128" s="75" t="n"/>
      <c r="BA128" s="75" t="n"/>
      <c r="BB128" s="75" t="n"/>
      <c r="BC128" s="75" t="n"/>
      <c r="BD128" s="75" t="n"/>
      <c r="BE128" s="75" t="n"/>
      <c r="BF128" s="75" t="n"/>
      <c r="BG128" s="75" t="n"/>
      <c r="BH128" s="75" t="n"/>
      <c r="BI128" s="75" t="n"/>
      <c r="BJ128" s="75" t="n"/>
      <c r="BK128" s="75" t="n"/>
    </row>
    <row r="129">
      <c r="E129" s="11" t="n"/>
      <c r="F129" s="11" t="n"/>
      <c r="G129" s="11" t="n"/>
      <c r="H129" s="11" t="n"/>
      <c r="I129" s="11" t="n"/>
      <c r="J129" s="11" t="n"/>
      <c r="K129" s="11" t="n"/>
      <c r="L129" s="11" t="n"/>
      <c r="M129" s="11" t="n"/>
      <c r="N129" s="11" t="n"/>
      <c r="O129" s="11" t="n"/>
      <c r="P129" s="11" t="n"/>
      <c r="Q129" s="11" t="n"/>
      <c r="R129" s="11" t="n"/>
      <c r="S129" s="11" t="n"/>
      <c r="T129" s="11" t="n"/>
      <c r="U129" s="11" t="n"/>
      <c r="V129" s="11" t="n"/>
      <c r="W129" s="11" t="n"/>
      <c r="X129" s="11" t="n"/>
      <c r="Y129" s="11" t="n"/>
      <c r="Z129" s="11" t="n"/>
      <c r="AA129" s="11" t="n"/>
      <c r="AB129" s="11" t="n"/>
      <c r="AC129" s="11" t="n"/>
      <c r="AD129" s="11" t="n"/>
      <c r="AE129" s="11" t="n"/>
      <c r="AF129" s="11" t="n"/>
      <c r="AG129" s="71" t="n"/>
      <c r="AH129" s="71" t="n"/>
      <c r="AI129" s="11" t="n"/>
      <c r="AJ129" s="34" t="n"/>
      <c r="AK129" s="11" t="n"/>
      <c r="AL129" s="34" t="n"/>
      <c r="AM129" s="34" t="n"/>
      <c r="AN129" s="34" t="n"/>
      <c r="AO129" s="34" t="n"/>
      <c r="AP129" s="34" t="n"/>
      <c r="AQ129" s="34" t="n"/>
      <c r="AR129" s="34" t="n"/>
      <c r="AS129" s="34" t="n"/>
      <c r="AT129" s="34" t="n"/>
      <c r="AU129" s="34" t="n"/>
      <c r="AV129" s="34" t="n"/>
      <c r="AW129" s="34" t="n"/>
      <c r="AX129" s="34" t="n"/>
      <c r="AY129" s="34" t="n"/>
      <c r="AZ129" s="34" t="n"/>
      <c r="BA129" s="34" t="n"/>
      <c r="BB129" s="34" t="n"/>
      <c r="BC129" s="34" t="n"/>
      <c r="BD129" s="34" t="n"/>
      <c r="BE129" s="34" t="n"/>
      <c r="BF129" s="34" t="n"/>
      <c r="BG129" s="34" t="n"/>
      <c r="BH129" s="34" t="n"/>
      <c r="BI129" s="34" t="n"/>
      <c r="BJ129" s="34" t="n"/>
      <c r="BK129" s="34" t="n"/>
    </row>
    <row r="130">
      <c r="E130" s="11" t="n"/>
      <c r="F130" s="11" t="n"/>
      <c r="G130" s="11" t="n"/>
      <c r="H130" s="11" t="n"/>
      <c r="I130" s="11" t="n"/>
      <c r="J130" s="11" t="n"/>
      <c r="K130" s="11" t="n"/>
      <c r="L130" s="11" t="n"/>
      <c r="M130" s="11" t="n"/>
      <c r="N130" s="11" t="n"/>
      <c r="O130" s="11" t="n"/>
      <c r="P130" s="11" t="n"/>
      <c r="Q130" s="11" t="n"/>
      <c r="R130" s="11" t="n"/>
      <c r="S130" s="11" t="n"/>
      <c r="T130" s="11" t="n"/>
      <c r="U130" s="11" t="n"/>
      <c r="V130" s="11" t="n"/>
      <c r="W130" s="11" t="n"/>
      <c r="X130" s="11" t="n"/>
      <c r="Y130" s="11" t="n"/>
      <c r="Z130" s="11" t="n"/>
      <c r="AA130" s="11" t="n"/>
      <c r="AB130" s="11" t="n"/>
      <c r="AC130" s="11" t="n"/>
      <c r="AD130" s="11" t="n"/>
      <c r="AE130" s="11" t="n"/>
      <c r="AF130" s="11" t="n"/>
      <c r="AG130" s="71" t="n"/>
      <c r="AH130" s="71" t="n"/>
      <c r="AI130" s="11" t="n"/>
      <c r="AJ130" s="34" t="n"/>
      <c r="AK130" s="11" t="n"/>
      <c r="AL130" s="34" t="n"/>
      <c r="AM130" s="34" t="n"/>
      <c r="AN130" s="34" t="n"/>
      <c r="AO130" s="34" t="n"/>
      <c r="AP130" s="34" t="n"/>
      <c r="AQ130" s="34" t="n"/>
      <c r="AR130" s="34" t="n"/>
      <c r="AS130" s="34" t="n"/>
      <c r="AT130" s="34" t="n"/>
      <c r="AU130" s="34" t="n"/>
      <c r="AV130" s="34" t="n"/>
      <c r="AW130" s="34" t="n"/>
      <c r="AX130" s="34" t="n"/>
      <c r="AY130" s="34" t="n"/>
      <c r="AZ130" s="34" t="n"/>
      <c r="BA130" s="34" t="n"/>
      <c r="BB130" s="34" t="n"/>
      <c r="BC130" s="34" t="n"/>
      <c r="BD130" s="34" t="n"/>
      <c r="BE130" s="34" t="n"/>
      <c r="BF130" s="34" t="n"/>
      <c r="BG130" s="34" t="n"/>
      <c r="BH130" s="34" t="n"/>
      <c r="BI130" s="34" t="n"/>
      <c r="BJ130" s="34" t="n"/>
      <c r="BK130" s="34" t="n"/>
    </row>
    <row r="131">
      <c r="E131" s="11" t="n"/>
      <c r="F131" s="11" t="n"/>
      <c r="G131" s="11" t="n"/>
      <c r="H131" s="11" t="n"/>
      <c r="I131" s="11" t="n"/>
      <c r="J131" s="11" t="n"/>
      <c r="K131" s="11" t="n"/>
      <c r="L131" s="11" t="n"/>
      <c r="M131" s="11" t="n"/>
      <c r="N131" s="11" t="n"/>
      <c r="O131" s="11" t="n"/>
      <c r="P131" s="11" t="n"/>
      <c r="Q131" s="11" t="n"/>
      <c r="R131" s="11" t="n"/>
      <c r="S131" s="11" t="n"/>
      <c r="T131" s="11" t="n"/>
      <c r="U131" s="11" t="n"/>
      <c r="V131" s="11" t="n"/>
      <c r="W131" s="11" t="n"/>
      <c r="X131" s="11" t="n"/>
      <c r="Y131" s="11" t="n"/>
      <c r="Z131" s="11" t="n"/>
      <c r="AA131" s="11" t="n"/>
      <c r="AB131" s="11" t="n"/>
      <c r="AC131" s="11" t="n"/>
      <c r="AD131" s="11" t="n"/>
      <c r="AE131" s="11" t="n"/>
      <c r="AF131" s="11" t="n"/>
      <c r="AG131" s="71" t="n"/>
      <c r="AH131" s="71" t="n"/>
      <c r="AI131" s="11" t="n"/>
      <c r="AJ131" s="34" t="n"/>
      <c r="AK131" s="11" t="n"/>
      <c r="AL131" s="34" t="n"/>
      <c r="AM131" s="34" t="n"/>
      <c r="AN131" s="34" t="n"/>
      <c r="AO131" s="34" t="n"/>
      <c r="AP131" s="34" t="n"/>
      <c r="AQ131" s="34" t="n"/>
      <c r="AR131" s="34" t="n"/>
      <c r="AS131" s="34" t="n"/>
      <c r="AT131" s="34" t="n"/>
      <c r="AU131" s="34" t="n"/>
      <c r="AV131" s="34" t="n"/>
      <c r="AW131" s="34" t="n"/>
      <c r="AX131" s="34" t="n"/>
      <c r="AY131" s="34" t="n"/>
      <c r="AZ131" s="34" t="n"/>
      <c r="BA131" s="34" t="n"/>
      <c r="BB131" s="34" t="n"/>
      <c r="BC131" s="34" t="n"/>
      <c r="BD131" s="34" t="n"/>
      <c r="BE131" s="34" t="n"/>
      <c r="BF131" s="34" t="n"/>
      <c r="BG131" s="34" t="n"/>
      <c r="BH131" s="34" t="n"/>
      <c r="BI131" s="34" t="n"/>
      <c r="BJ131" s="34" t="n"/>
      <c r="BK131" s="34" t="n"/>
    </row>
    <row r="132">
      <c r="B132" s="41" t="n"/>
      <c r="C132" s="684" t="n"/>
      <c r="D132" s="684" t="n"/>
    </row>
    <row r="133">
      <c r="B133" s="41" t="n"/>
      <c r="C133" s="684" t="n"/>
      <c r="D133" s="684" t="n"/>
    </row>
  </sheetData>
  <mergeCells count="9">
    <mergeCell ref="A5:A6"/>
    <mergeCell ref="B3:D3"/>
    <mergeCell ref="F5:AA5"/>
    <mergeCell ref="A1:AB1"/>
    <mergeCell ref="A98:AA98"/>
    <mergeCell ref="C5:C6"/>
    <mergeCell ref="B5:B6"/>
    <mergeCell ref="B2:D2"/>
    <mergeCell ref="D5:D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53" horizontalDpi="4294967295" verticalDpi="4294967295"/>
  <legacyDrawing xmlns:r="http://schemas.openxmlformats.org/officeDocument/2006/relationships" r:id="anysvml"/>
</worksheet>
</file>

<file path=xl/worksheets/sheet27.xml><?xml version="1.0" encoding="utf-8"?>
<worksheet xmlns="http://schemas.openxmlformats.org/spreadsheetml/2006/main">
  <sheetPr codeName="Planilha23">
    <tabColor theme="9"/>
    <outlinePr summaryBelow="1" summaryRight="1"/>
    <pageSetUpPr fitToPage="1"/>
  </sheetPr>
  <dimension ref="A1:BD123"/>
  <sheetViews>
    <sheetView showGridLines="0" topLeftCell="A54" zoomScale="80" zoomScaleNormal="80" zoomScaleSheetLayoutView="50" workbookViewId="0">
      <selection activeCell="AA2" sqref="AA1:AA1048576"/>
    </sheetView>
  </sheetViews>
  <sheetFormatPr baseColWidth="8" defaultColWidth="9.140625" defaultRowHeight="18.75"/>
  <cols>
    <col width="38.42578125" customWidth="1" style="62" min="1" max="1"/>
    <col width="8.140625" customWidth="1" style="11" min="2" max="2"/>
    <col width="14.7109375" customWidth="1" style="11" min="3" max="3"/>
    <col width="16.85546875" customWidth="1" style="11" min="4" max="4"/>
    <col width="2" customWidth="1" style="11" min="5" max="5"/>
    <col hidden="1" width="8.28515625" customWidth="1" style="11" min="6" max="18"/>
    <col width="8.28515625" customWidth="1" style="11" min="19" max="26"/>
    <col width="9.5703125" bestFit="1" customWidth="1" style="11" min="27" max="27"/>
    <col width="1.42578125" customWidth="1" style="11" min="28" max="28"/>
    <col width="14.28515625" bestFit="1" customWidth="1" style="71" min="29" max="30"/>
    <col width="1.7109375" customWidth="1" style="11" min="31" max="31"/>
    <col width="15.85546875" bestFit="1" customWidth="1" style="34" min="32" max="32"/>
    <col width="1.28515625" customWidth="1" style="11" min="33" max="33"/>
    <col width="9.140625" customWidth="1" style="34" min="34" max="40"/>
    <col hidden="1" width="9.140625" customWidth="1" style="34" min="41" max="49"/>
    <col hidden="1" width="13.5703125" customWidth="1" style="207" min="50" max="51"/>
    <col hidden="1" width="14.28515625" customWidth="1" style="207" min="52" max="52"/>
    <col hidden="1" width="12.28515625" customWidth="1" style="34" min="53" max="54"/>
    <col hidden="1" width="14.28515625" customWidth="1" style="207" min="55" max="55"/>
    <col hidden="1" width="18.85546875" customWidth="1" style="34" min="56" max="56"/>
    <col width="9.140625" customWidth="1" style="11" min="57" max="16384"/>
  </cols>
  <sheetData>
    <row r="1" ht="23.25" customHeight="1">
      <c r="A1" s="501" t="inlineStr">
        <is>
          <t>Controle de Contagem Semanal - Antilhas</t>
        </is>
      </c>
      <c r="AE1" s="34" t="n"/>
      <c r="AF1" s="11" t="n"/>
      <c r="AG1" s="34" t="n"/>
    </row>
    <row r="2">
      <c r="A2" s="63" t="inlineStr">
        <is>
          <t>LOJA:</t>
        </is>
      </c>
      <c r="B2" s="604" t="inlineStr">
        <is>
          <t>ER SÃO MANUEL</t>
        </is>
      </c>
      <c r="C2" s="605" t="n"/>
      <c r="D2" s="606" t="n"/>
      <c r="AE2" s="34" t="n"/>
      <c r="AF2" s="11" t="n"/>
      <c r="AG2" s="34" t="n"/>
    </row>
    <row r="3">
      <c r="A3" s="63" t="inlineStr">
        <is>
          <t>Responsável:</t>
        </is>
      </c>
      <c r="B3" s="607" t="inlineStr">
        <is>
          <t>SABRINA</t>
        </is>
      </c>
      <c r="C3" s="605" t="n"/>
      <c r="D3" s="606" t="n"/>
      <c r="E3" s="608" t="n"/>
      <c r="F3" s="608" t="n"/>
      <c r="G3" s="608" t="n"/>
      <c r="H3" s="608" t="n"/>
      <c r="I3" s="608" t="n"/>
      <c r="J3" s="608" t="n"/>
      <c r="K3" s="608" t="n"/>
      <c r="L3" s="608" t="n"/>
      <c r="M3" s="608" t="n"/>
      <c r="N3" s="608" t="n"/>
      <c r="O3" s="608" t="n"/>
      <c r="P3" s="608" t="n"/>
      <c r="Q3" s="608" t="n"/>
      <c r="R3" s="608" t="n"/>
      <c r="S3" s="608" t="n"/>
      <c r="T3" s="608" t="n"/>
      <c r="U3" s="608" t="n"/>
      <c r="V3" s="608" t="n"/>
      <c r="W3" s="608" t="n"/>
      <c r="X3" s="608" t="n"/>
      <c r="Y3" s="608" t="n"/>
      <c r="Z3" s="608" t="n"/>
      <c r="AA3" s="608" t="n"/>
      <c r="AB3" s="608" t="n"/>
      <c r="AE3" s="34" t="n"/>
    </row>
    <row r="4">
      <c r="AC4" s="41" t="n"/>
      <c r="AD4" s="41" t="n"/>
      <c r="AF4" s="11" t="n"/>
      <c r="AH4" s="11" t="n"/>
      <c r="AI4" s="11" t="n"/>
      <c r="AJ4" s="11" t="n"/>
      <c r="AK4" s="11" t="n"/>
      <c r="AL4" s="11" t="n"/>
      <c r="AM4" s="11" t="n"/>
      <c r="AN4" s="11" t="n"/>
      <c r="AO4" s="11" t="n"/>
      <c r="AP4" s="11" t="n"/>
      <c r="AQ4" s="11" t="n"/>
      <c r="AR4" s="11" t="n"/>
      <c r="AS4" s="11" t="n"/>
      <c r="AT4" s="11" t="n"/>
      <c r="AU4" s="11" t="n"/>
      <c r="AV4" s="11" t="n"/>
      <c r="AW4" s="11" t="n"/>
      <c r="AX4" s="208" t="n"/>
      <c r="AY4" s="208" t="n"/>
      <c r="AZ4" s="208" t="n"/>
      <c r="BA4" s="11" t="n"/>
      <c r="BB4" s="11" t="n"/>
      <c r="BC4" s="208" t="n"/>
      <c r="BD4" s="11" t="n"/>
    </row>
    <row r="5" ht="24.75" customHeight="1">
      <c r="A5" s="610" t="inlineStr">
        <is>
          <t>Descrição</t>
        </is>
      </c>
      <c r="B5" s="611" t="inlineStr">
        <is>
          <t>PCT</t>
        </is>
      </c>
      <c r="C5" s="611" t="inlineStr">
        <is>
          <t xml:space="preserve">R$ </t>
        </is>
      </c>
      <c r="D5" s="612" t="inlineStr">
        <is>
          <t>Estoque Ideal</t>
        </is>
      </c>
      <c r="F5" s="647" t="n"/>
      <c r="G5" s="625" t="n"/>
      <c r="H5" s="625" t="n"/>
      <c r="I5" s="625" t="n"/>
      <c r="J5" s="625" t="n"/>
      <c r="K5" s="625" t="n"/>
      <c r="L5" s="625" t="n"/>
      <c r="M5" s="625" t="n"/>
      <c r="N5" s="625" t="n"/>
      <c r="O5" s="625" t="n"/>
      <c r="P5" s="625" t="n"/>
      <c r="Q5" s="625" t="n"/>
      <c r="R5" s="625" t="n"/>
      <c r="S5" s="625" t="n"/>
      <c r="T5" s="625" t="n"/>
      <c r="U5" s="625" t="n"/>
      <c r="V5" s="625" t="n"/>
      <c r="W5" s="625" t="n"/>
      <c r="X5" s="625" t="n"/>
      <c r="Y5" s="625" t="n"/>
      <c r="Z5" s="625" t="n"/>
      <c r="AA5" s="641" t="n"/>
      <c r="AC5" s="29" t="inlineStr">
        <is>
          <t>Pendências</t>
        </is>
      </c>
      <c r="AD5" s="29" t="inlineStr">
        <is>
          <t>Pendências</t>
        </is>
      </c>
      <c r="AF5" s="9" t="inlineStr">
        <is>
          <t>Novo Pedido</t>
        </is>
      </c>
      <c r="AH5" s="674" t="n">
        <v>46149</v>
      </c>
      <c r="AI5" s="674" t="n">
        <v>46142</v>
      </c>
      <c r="AJ5" s="674" t="n">
        <v>46114</v>
      </c>
      <c r="AK5" s="674" t="n">
        <v>46099</v>
      </c>
      <c r="AL5" s="675" t="n">
        <v>46065</v>
      </c>
      <c r="AM5" s="674" t="n">
        <v>46077</v>
      </c>
      <c r="AN5" s="676" t="n">
        <v>46045</v>
      </c>
      <c r="AO5" s="674" t="n">
        <v>46056</v>
      </c>
      <c r="AP5" s="674" t="n">
        <v>46017</v>
      </c>
      <c r="AQ5" s="674" t="n">
        <v>46007</v>
      </c>
      <c r="AR5" s="674" t="n">
        <v>46001</v>
      </c>
      <c r="AS5" s="674" t="n">
        <v>45994</v>
      </c>
      <c r="AT5" s="674" t="n">
        <v>45986</v>
      </c>
      <c r="AU5" s="674" t="n">
        <v>45980</v>
      </c>
      <c r="AV5" s="674" t="n">
        <v>45980</v>
      </c>
      <c r="AW5" s="674" t="n">
        <v>45973</v>
      </c>
      <c r="AX5" s="677" t="inlineStr">
        <is>
          <t>TRANSF.</t>
        </is>
      </c>
      <c r="AY5" s="677" t="inlineStr">
        <is>
          <t>TRANSF.</t>
        </is>
      </c>
      <c r="AZ5" s="690" t="inlineStr">
        <is>
          <t>TRANSF.</t>
        </is>
      </c>
      <c r="BA5" s="690" t="inlineStr">
        <is>
          <t>TRANSF.</t>
        </is>
      </c>
      <c r="BB5" s="691" t="inlineStr">
        <is>
          <t>TRANSF.</t>
        </is>
      </c>
      <c r="BC5" s="677" t="inlineStr">
        <is>
          <t>TRANSF.</t>
        </is>
      </c>
      <c r="BD5" s="692" t="inlineStr">
        <is>
          <t>TRANSF.</t>
        </is>
      </c>
    </row>
    <row r="6" customFormat="1" s="3">
      <c r="A6" s="618" t="n"/>
      <c r="B6" s="618" t="n"/>
      <c r="C6" s="618" t="n"/>
      <c r="D6" s="618" t="n"/>
      <c r="E6" s="30" t="n"/>
      <c r="F6" s="619" t="n">
        <v>46006</v>
      </c>
      <c r="G6" s="619" t="n">
        <v>46013</v>
      </c>
      <c r="H6" s="619" t="n">
        <v>46020</v>
      </c>
      <c r="I6" s="619" t="n">
        <v>46027</v>
      </c>
      <c r="J6" s="619" t="n">
        <v>46034</v>
      </c>
      <c r="K6" s="619" t="n">
        <v>46041</v>
      </c>
      <c r="L6" s="619" t="n">
        <v>46048</v>
      </c>
      <c r="M6" s="619" t="n">
        <v>46055</v>
      </c>
      <c r="N6" s="619" t="n">
        <v>46062</v>
      </c>
      <c r="O6" s="619" t="n">
        <v>46069</v>
      </c>
      <c r="P6" s="619" t="n">
        <v>46076</v>
      </c>
      <c r="Q6" s="619" t="n">
        <v>46083</v>
      </c>
      <c r="R6" s="619" t="n">
        <v>46090</v>
      </c>
      <c r="S6" s="619" t="n">
        <v>46097</v>
      </c>
      <c r="T6" s="619" t="n">
        <v>46104</v>
      </c>
      <c r="U6" s="619" t="n">
        <v>46111</v>
      </c>
      <c r="V6" s="619" t="n">
        <v>46118</v>
      </c>
      <c r="W6" s="619" t="n">
        <v>46125</v>
      </c>
      <c r="X6" s="619" t="n">
        <v>46132</v>
      </c>
      <c r="Y6" s="619" t="n">
        <v>46139</v>
      </c>
      <c r="Z6" s="619" t="n">
        <v>46146</v>
      </c>
      <c r="AA6" s="678" t="inlineStr">
        <is>
          <t>USOU</t>
        </is>
      </c>
      <c r="AB6" s="30" t="n"/>
      <c r="AC6" s="664" t="n"/>
      <c r="AD6" s="664" t="n">
        <v>46149</v>
      </c>
      <c r="AE6" s="623" t="n"/>
      <c r="AF6" s="624" t="n"/>
      <c r="AG6" s="623" t="n"/>
      <c r="AH6" s="674" t="n"/>
      <c r="AI6" s="674" t="n">
        <v>46149</v>
      </c>
      <c r="AJ6" s="674" t="n">
        <v>46125</v>
      </c>
      <c r="AK6" s="674" t="n">
        <v>46104</v>
      </c>
      <c r="AL6" s="675" t="n">
        <v>46104</v>
      </c>
      <c r="AM6" s="674" t="n">
        <v>46086</v>
      </c>
      <c r="AN6" s="676" t="n">
        <v>46094</v>
      </c>
      <c r="AO6" s="674" t="n">
        <v>46062</v>
      </c>
      <c r="AP6" s="674" t="n">
        <v>46027</v>
      </c>
      <c r="AQ6" s="674" t="n">
        <v>46010</v>
      </c>
      <c r="AR6" s="674" t="n">
        <v>46010</v>
      </c>
      <c r="AS6" s="674" t="n">
        <v>46001</v>
      </c>
      <c r="AT6" s="674" t="n">
        <v>45996</v>
      </c>
      <c r="AU6" s="674" t="n">
        <v>45992</v>
      </c>
      <c r="AV6" s="674" t="n">
        <v>45988</v>
      </c>
      <c r="AW6" s="674" t="n">
        <v>45986</v>
      </c>
      <c r="AX6" s="677" t="n">
        <v>45982</v>
      </c>
      <c r="AY6" s="677" t="n">
        <v>45979</v>
      </c>
      <c r="AZ6" s="693" t="n">
        <v>45974</v>
      </c>
      <c r="BA6" s="693" t="n">
        <v>45972</v>
      </c>
      <c r="BB6" s="691" t="n">
        <v>45968</v>
      </c>
      <c r="BC6" s="677" t="n">
        <v>45967</v>
      </c>
      <c r="BD6" s="692" t="n">
        <v>45964</v>
      </c>
    </row>
    <row r="7" ht="21.75" customFormat="1" customHeight="1" s="3">
      <c r="A7" s="20" t="inlineStr">
        <is>
          <t>SACOLAS BOTICÁRIO</t>
        </is>
      </c>
      <c r="B7" s="4" t="n"/>
      <c r="C7" s="5" t="n"/>
      <c r="D7" s="239" t="n"/>
      <c r="E7" s="11" t="n"/>
      <c r="F7" s="12" t="n"/>
      <c r="G7" s="12" t="n"/>
      <c r="H7" s="12" t="n"/>
      <c r="I7" s="12" t="n"/>
      <c r="J7" s="12" t="n"/>
      <c r="K7" s="12" t="n"/>
      <c r="L7" s="12" t="n"/>
      <c r="M7" s="12" t="n"/>
      <c r="N7" s="12" t="n"/>
      <c r="O7" s="12" t="n"/>
      <c r="P7" s="12" t="n"/>
      <c r="Q7" s="12" t="n"/>
      <c r="R7" s="12" t="n"/>
      <c r="S7" s="12" t="n"/>
      <c r="T7" s="12" t="n"/>
      <c r="U7" s="12" t="n"/>
      <c r="V7" s="12" t="n"/>
      <c r="W7" s="12" t="n"/>
      <c r="X7" s="12" t="n"/>
      <c r="Y7" s="12" t="n"/>
      <c r="Z7" s="12" t="n"/>
      <c r="AA7" s="12" t="n"/>
      <c r="AB7" s="11" t="n"/>
      <c r="AC7" s="85" t="n"/>
      <c r="AD7" s="85" t="n"/>
      <c r="AE7" s="11" t="n"/>
      <c r="AF7" s="113" t="n"/>
      <c r="AG7" s="11" t="n"/>
      <c r="AH7" s="116" t="n"/>
      <c r="AI7" s="116" t="n"/>
      <c r="AJ7" s="116" t="n"/>
      <c r="AK7" s="116" t="n"/>
      <c r="AL7" s="116" t="inlineStr">
        <is>
          <t>MÃES</t>
        </is>
      </c>
      <c r="AM7" s="116" t="n"/>
      <c r="AN7" s="116" t="inlineStr">
        <is>
          <t>MÃES</t>
        </is>
      </c>
      <c r="AO7" s="116" t="n"/>
      <c r="AP7" s="116" t="n"/>
      <c r="AQ7" s="116" t="n"/>
      <c r="AR7" s="116" t="n"/>
      <c r="AS7" s="116" t="n"/>
      <c r="AT7" s="116" t="n"/>
      <c r="AU7" s="116" t="n"/>
      <c r="AV7" s="116" t="n"/>
      <c r="AW7" s="116" t="n"/>
      <c r="AX7" s="116" t="n"/>
      <c r="AY7" s="116" t="n"/>
      <c r="AZ7" s="116" t="inlineStr">
        <is>
          <t>VENDA</t>
        </is>
      </c>
      <c r="BA7" s="116" t="n"/>
      <c r="BB7" s="116" t="inlineStr">
        <is>
          <t>HP</t>
        </is>
      </c>
      <c r="BC7" s="116" t="n"/>
      <c r="BD7" s="116" t="inlineStr">
        <is>
          <t>VND. NAT. EUD</t>
        </is>
      </c>
    </row>
    <row r="8" customFormat="1" s="3">
      <c r="A8" s="21" t="inlineStr">
        <is>
          <t>SACOLA PP VERDE</t>
        </is>
      </c>
      <c r="B8" s="6" t="n">
        <v>300</v>
      </c>
      <c r="C8" s="627" t="n">
        <v>178.21</v>
      </c>
      <c r="D8" s="240" t="n"/>
      <c r="E8" s="11" t="n"/>
      <c r="F8" s="39" t="n">
        <v>370</v>
      </c>
      <c r="G8" s="39" t="n">
        <v>791</v>
      </c>
      <c r="H8" s="39" t="n">
        <v>753</v>
      </c>
      <c r="I8" s="39">
        <f>736+AP8</f>
        <v/>
      </c>
      <c r="J8" s="39" t="n">
        <v>1212</v>
      </c>
      <c r="K8" s="39" t="n">
        <v>1171</v>
      </c>
      <c r="L8" s="39" t="n">
        <v>878</v>
      </c>
      <c r="M8" s="39" t="n">
        <v>508</v>
      </c>
      <c r="N8" s="39">
        <f>501+AO8</f>
        <v/>
      </c>
      <c r="O8" s="125" t="n">
        <v>1056</v>
      </c>
      <c r="P8" s="125" t="n">
        <v>733</v>
      </c>
      <c r="Q8" s="125">
        <f>646+AM8</f>
        <v/>
      </c>
      <c r="R8" s="125" t="n">
        <v>694</v>
      </c>
      <c r="S8" s="125" t="n">
        <v>484</v>
      </c>
      <c r="T8" s="125">
        <f>411+AK8</f>
        <v/>
      </c>
      <c r="U8" s="125" t="n">
        <v>526</v>
      </c>
      <c r="V8" s="125" t="n">
        <v>412</v>
      </c>
      <c r="W8" s="125" t="n">
        <v>0</v>
      </c>
      <c r="X8" s="125" t="n">
        <v>0</v>
      </c>
      <c r="Y8" s="125" t="n">
        <v>0</v>
      </c>
      <c r="Z8" s="125">
        <f>0+AI8</f>
        <v/>
      </c>
      <c r="AA8" s="126">
        <f>Y8+IF(NOT(ISBLANK(OFFSET(AA8,0,6))),N(OFFSET(AA8,0,6)),N(OFFSET(AA8,0,7)))-Z8</f>
        <v/>
      </c>
      <c r="AB8" s="11" t="n"/>
      <c r="AC8" s="78" t="n"/>
      <c r="AD8" s="78" t="n"/>
      <c r="AE8" s="11" t="n"/>
      <c r="AF8" s="32" t="n"/>
      <c r="AG8" s="11" t="n"/>
      <c r="AH8" s="19" t="n">
        <v>0</v>
      </c>
      <c r="AI8" s="19" t="n">
        <v>300</v>
      </c>
      <c r="AJ8" s="19" t="n">
        <v>0</v>
      </c>
      <c r="AK8" s="19" t="n">
        <v>300</v>
      </c>
      <c r="AL8" s="19" t="n"/>
      <c r="AM8" s="19" t="n">
        <v>300</v>
      </c>
      <c r="AN8" s="19" t="n"/>
      <c r="AO8" s="19" t="n">
        <v>600</v>
      </c>
      <c r="AP8" s="19" t="n">
        <v>600</v>
      </c>
      <c r="AQ8" s="19" t="n">
        <v>300</v>
      </c>
      <c r="AR8" s="19" t="n">
        <v>300</v>
      </c>
      <c r="AS8" s="19" t="n">
        <v>300</v>
      </c>
      <c r="AT8" s="19" t="n"/>
      <c r="AU8" s="19" t="n">
        <v>300</v>
      </c>
      <c r="AV8" s="19" t="n"/>
      <c r="AW8" s="19" t="n">
        <v>300</v>
      </c>
      <c r="AX8" s="119" t="n"/>
      <c r="AY8" s="119" t="n"/>
      <c r="AZ8" s="119" t="n"/>
      <c r="BA8" s="19" t="n"/>
      <c r="BB8" s="19" t="n"/>
      <c r="BC8" s="119" t="n"/>
      <c r="BD8" s="119" t="n"/>
    </row>
    <row r="9" customFormat="1" s="3">
      <c r="A9" s="21" t="inlineStr">
        <is>
          <t xml:space="preserve">SACOLA P VERDE </t>
        </is>
      </c>
      <c r="B9" s="6" t="n">
        <v>200</v>
      </c>
      <c r="C9" s="627" t="n">
        <v>183.89</v>
      </c>
      <c r="D9" s="240" t="n"/>
      <c r="E9" s="11" t="n"/>
      <c r="F9" s="125" t="n">
        <v>936</v>
      </c>
      <c r="G9" s="125" t="n">
        <v>1164</v>
      </c>
      <c r="H9" s="125" t="n">
        <v>1148</v>
      </c>
      <c r="I9" s="125">
        <f>1003+AP9</f>
        <v/>
      </c>
      <c r="J9" s="125" t="n">
        <v>1699</v>
      </c>
      <c r="K9" s="125" t="n">
        <v>1533</v>
      </c>
      <c r="L9" s="125" t="n">
        <v>1388</v>
      </c>
      <c r="M9" s="125" t="n">
        <v>1175</v>
      </c>
      <c r="N9" s="125" t="n">
        <v>1008</v>
      </c>
      <c r="O9" s="125" t="n">
        <v>880</v>
      </c>
      <c r="P9" s="125" t="n">
        <v>767</v>
      </c>
      <c r="Q9" s="125">
        <f>580+AM9</f>
        <v/>
      </c>
      <c r="R9" s="125" t="n">
        <v>592</v>
      </c>
      <c r="S9" s="125" t="n">
        <v>478</v>
      </c>
      <c r="T9" s="125" t="n">
        <v>340</v>
      </c>
      <c r="U9" s="125" t="n">
        <v>190</v>
      </c>
      <c r="V9" s="125" t="n">
        <v>85</v>
      </c>
      <c r="W9" s="125" t="n">
        <v>600</v>
      </c>
      <c r="X9" s="125" t="n">
        <v>462</v>
      </c>
      <c r="Y9" s="125" t="n">
        <v>244</v>
      </c>
      <c r="Z9" s="125">
        <f>20+AI9</f>
        <v/>
      </c>
      <c r="AA9" s="126">
        <f>Y9+IF(NOT(ISBLANK(OFFSET(AA9,0,6))),N(OFFSET(AA9,0,6)),N(OFFSET(AA9,0,7)))-Z9</f>
        <v/>
      </c>
      <c r="AB9" s="11" t="n"/>
      <c r="AC9" s="78" t="n"/>
      <c r="AD9" s="78" t="n"/>
      <c r="AE9" s="11" t="n"/>
      <c r="AF9" s="32" t="n"/>
      <c r="AG9" s="11" t="n"/>
      <c r="AH9" s="19" t="n">
        <v>0</v>
      </c>
      <c r="AI9" s="19" t="n">
        <v>600</v>
      </c>
      <c r="AJ9" s="19" t="n">
        <v>600</v>
      </c>
      <c r="AK9" s="19" t="n"/>
      <c r="AL9" s="251" t="n">
        <v>400</v>
      </c>
      <c r="AM9" s="19" t="n">
        <v>200</v>
      </c>
      <c r="AN9" s="19" t="n"/>
      <c r="AO9" s="19" t="n"/>
      <c r="AP9" s="19" t="n">
        <v>800</v>
      </c>
      <c r="AQ9" s="19" t="n">
        <v>400</v>
      </c>
      <c r="AR9" s="19" t="n"/>
      <c r="AS9" s="19" t="n">
        <v>600</v>
      </c>
      <c r="AT9" s="19" t="n"/>
      <c r="AU9" s="19" t="n">
        <v>400</v>
      </c>
      <c r="AV9" s="19" t="n"/>
      <c r="AW9" s="19" t="n">
        <v>400</v>
      </c>
      <c r="AX9" s="260" t="inlineStr">
        <is>
          <t>200 DE SM</t>
        </is>
      </c>
      <c r="AY9" s="119" t="n"/>
      <c r="AZ9" s="251" t="inlineStr">
        <is>
          <t>200 DE ERJ</t>
        </is>
      </c>
      <c r="BA9" s="19" t="n"/>
      <c r="BB9" s="19" t="n"/>
      <c r="BC9" s="260" t="inlineStr">
        <is>
          <t>400 DE ERJ</t>
        </is>
      </c>
      <c r="BD9" s="119" t="n"/>
    </row>
    <row r="10" customFormat="1" s="3">
      <c r="A10" s="21" t="inlineStr">
        <is>
          <t>SACOLA M VERDE</t>
        </is>
      </c>
      <c r="B10" s="6" t="n">
        <v>200</v>
      </c>
      <c r="C10" s="627" t="n">
        <v>241.74</v>
      </c>
      <c r="D10" s="240" t="n"/>
      <c r="E10" s="11" t="n"/>
      <c r="F10" s="125" t="n">
        <v>329</v>
      </c>
      <c r="G10" s="125" t="n">
        <v>471</v>
      </c>
      <c r="H10" s="125" t="n">
        <v>400</v>
      </c>
      <c r="I10" s="125">
        <f>391+AP10</f>
        <v/>
      </c>
      <c r="J10" s="125" t="n">
        <v>733</v>
      </c>
      <c r="K10" s="125" t="n">
        <v>679</v>
      </c>
      <c r="L10" s="125" t="n">
        <v>601</v>
      </c>
      <c r="M10" s="125" t="n">
        <v>450</v>
      </c>
      <c r="N10" s="125" t="n">
        <v>542</v>
      </c>
      <c r="O10" s="125" t="n">
        <v>539</v>
      </c>
      <c r="P10" s="125" t="n">
        <v>167</v>
      </c>
      <c r="Q10" s="125">
        <f>8+AM10</f>
        <v/>
      </c>
      <c r="R10" s="125" t="n">
        <v>110</v>
      </c>
      <c r="S10" s="125" t="n">
        <v>46</v>
      </c>
      <c r="T10" s="125">
        <f>5+AK10</f>
        <v/>
      </c>
      <c r="U10" s="125" t="n">
        <v>400</v>
      </c>
      <c r="V10" s="125" t="n">
        <v>499</v>
      </c>
      <c r="W10" s="125" t="n">
        <v>340</v>
      </c>
      <c r="X10" s="125" t="n">
        <v>200</v>
      </c>
      <c r="Y10" s="125" t="n">
        <v>163</v>
      </c>
      <c r="Z10" s="125">
        <f>0+AI10</f>
        <v/>
      </c>
      <c r="AA10" s="126">
        <f>Y10+IF(NOT(ISBLANK(OFFSET(AA10,0,6))),N(OFFSET(AA10,0,6)),N(OFFSET(AA10,0,7)))-Z10</f>
        <v/>
      </c>
      <c r="AB10" s="11" t="n"/>
      <c r="AC10" s="78" t="n"/>
      <c r="AD10" s="78" t="n"/>
      <c r="AE10" s="11" t="n"/>
      <c r="AF10" s="32" t="n"/>
      <c r="AG10" s="11" t="n"/>
      <c r="AH10" s="19" t="n">
        <v>0</v>
      </c>
      <c r="AI10" s="19" t="n">
        <v>200</v>
      </c>
      <c r="AJ10" s="19" t="n">
        <v>0</v>
      </c>
      <c r="AK10" s="19" t="n">
        <v>400</v>
      </c>
      <c r="AL10" s="251" t="n">
        <v>200</v>
      </c>
      <c r="AM10" s="19" t="n">
        <v>200</v>
      </c>
      <c r="AN10" s="301" t="n">
        <v>150</v>
      </c>
      <c r="AO10" s="19" t="n"/>
      <c r="AP10" s="19" t="n">
        <v>400</v>
      </c>
      <c r="AQ10" s="19" t="n">
        <v>400</v>
      </c>
      <c r="AR10" s="19" t="n"/>
      <c r="AS10" s="19" t="n">
        <v>200</v>
      </c>
      <c r="AT10" s="19" t="n"/>
      <c r="AU10" s="19" t="n">
        <v>200</v>
      </c>
      <c r="AV10" s="19" t="n"/>
      <c r="AW10" s="19" t="n">
        <v>200</v>
      </c>
      <c r="AX10" s="119" t="n"/>
      <c r="AY10" s="119" t="n"/>
      <c r="AZ10" s="251" t="inlineStr">
        <is>
          <t>200 DE ERJ</t>
        </is>
      </c>
      <c r="BA10" s="19" t="n"/>
      <c r="BB10" s="19" t="n"/>
      <c r="BC10" s="260" t="inlineStr">
        <is>
          <t>200 DE ERJ</t>
        </is>
      </c>
      <c r="BD10" s="258" t="inlineStr">
        <is>
          <t>200 DE ERJ</t>
        </is>
      </c>
    </row>
    <row r="11" ht="19.5" customFormat="1" customHeight="1" s="3">
      <c r="A11" s="22" t="inlineStr">
        <is>
          <t xml:space="preserve">SACOLA G VERDE </t>
        </is>
      </c>
      <c r="B11" s="6" t="n">
        <v>100</v>
      </c>
      <c r="C11" s="627" t="n">
        <v>175.78</v>
      </c>
      <c r="D11" s="240" t="n"/>
      <c r="E11" s="11" t="n"/>
      <c r="F11" s="39" t="n">
        <v>0</v>
      </c>
      <c r="G11" s="39" t="n">
        <v>300</v>
      </c>
      <c r="H11" s="39" t="n">
        <v>281</v>
      </c>
      <c r="I11" s="39">
        <f>279+AP11</f>
        <v/>
      </c>
      <c r="J11" s="39" t="n">
        <v>533</v>
      </c>
      <c r="K11" s="39" t="n">
        <v>503</v>
      </c>
      <c r="L11" s="39" t="n">
        <v>474</v>
      </c>
      <c r="M11" s="39" t="n">
        <v>432</v>
      </c>
      <c r="N11" s="39" t="n">
        <v>402</v>
      </c>
      <c r="O11" s="39" t="n">
        <v>350</v>
      </c>
      <c r="P11" s="39" t="n">
        <v>262</v>
      </c>
      <c r="Q11" s="39">
        <f>221+AM11</f>
        <v/>
      </c>
      <c r="R11" s="39" t="n">
        <v>262</v>
      </c>
      <c r="S11" s="39" t="n">
        <v>209</v>
      </c>
      <c r="T11" s="39" t="n">
        <v>190</v>
      </c>
      <c r="U11" s="39" t="n">
        <v>190</v>
      </c>
      <c r="V11" s="39" t="n">
        <v>267</v>
      </c>
      <c r="W11" s="39" t="n">
        <v>220</v>
      </c>
      <c r="X11" s="39" t="n">
        <v>178</v>
      </c>
      <c r="Y11" s="39" t="n">
        <v>133</v>
      </c>
      <c r="Z11" s="39">
        <f>0+AI11</f>
        <v/>
      </c>
      <c r="AA11" s="126">
        <f>Y11+IF(NOT(ISBLANK(OFFSET(AA11,0,6))),N(OFFSET(AA11,0,6)),N(OFFSET(AA11,0,7)))-Z11</f>
        <v/>
      </c>
      <c r="AB11" s="11" t="n"/>
      <c r="AC11" s="78" t="n"/>
      <c r="AD11" s="78" t="n"/>
      <c r="AE11" s="11" t="n"/>
      <c r="AF11" s="32" t="n"/>
      <c r="AG11" s="11" t="n"/>
      <c r="AH11" s="19" t="n">
        <v>0</v>
      </c>
      <c r="AI11" s="19" t="n">
        <v>100</v>
      </c>
      <c r="AJ11" s="19" t="n">
        <v>0</v>
      </c>
      <c r="AK11" s="19" t="n"/>
      <c r="AL11" s="251" t="n">
        <v>100</v>
      </c>
      <c r="AM11" s="19" t="n">
        <v>100</v>
      </c>
      <c r="AN11" s="19" t="n"/>
      <c r="AO11" s="19" t="n"/>
      <c r="AP11" s="19" t="n">
        <v>300</v>
      </c>
      <c r="AQ11" s="19" t="n">
        <v>300</v>
      </c>
      <c r="AR11" s="19" t="n"/>
      <c r="AS11" s="19" t="n"/>
      <c r="AT11" s="19" t="n"/>
      <c r="AU11" s="19" t="n">
        <v>100</v>
      </c>
      <c r="AV11" s="19" t="n"/>
      <c r="AW11" s="19" t="n"/>
      <c r="AX11" s="119" t="n"/>
      <c r="AY11" s="119" t="n"/>
      <c r="AZ11" s="119" t="n"/>
      <c r="BA11" s="251" t="inlineStr">
        <is>
          <t>50 DE CDJ</t>
        </is>
      </c>
      <c r="BB11" s="19" t="n"/>
      <c r="BC11" s="260" t="inlineStr">
        <is>
          <t>100 DE ERJ</t>
        </is>
      </c>
      <c r="BD11" s="19" t="n"/>
    </row>
    <row r="12" hidden="1" ht="19.5" customFormat="1" customHeight="1" s="3">
      <c r="A12" s="144" t="inlineStr">
        <is>
          <t>SACOLA KRAFT M PARDA</t>
        </is>
      </c>
      <c r="B12" s="145" t="n">
        <v>200</v>
      </c>
      <c r="C12" s="694" t="n">
        <v>144.12</v>
      </c>
      <c r="D12" s="240" t="n"/>
      <c r="E12" s="11" t="n"/>
      <c r="F12" s="39" t="n">
        <v>0</v>
      </c>
      <c r="G12" s="39" t="n">
        <v>0</v>
      </c>
      <c r="H12" s="39" t="n">
        <v>0</v>
      </c>
      <c r="I12" s="39" t="n">
        <v>0</v>
      </c>
      <c r="J12" s="39" t="n"/>
      <c r="K12" s="39" t="n"/>
      <c r="L12" s="39" t="n"/>
      <c r="M12" s="39" t="n"/>
      <c r="N12" s="39" t="n"/>
      <c r="O12" s="39" t="n"/>
      <c r="P12" s="39" t="n"/>
      <c r="Q12" s="39" t="n"/>
      <c r="R12" s="39" t="n"/>
      <c r="S12" s="39" t="n"/>
      <c r="T12" s="39" t="n"/>
      <c r="U12" s="39" t="n"/>
      <c r="V12" s="39" t="n"/>
      <c r="W12" s="39" t="n"/>
      <c r="X12" s="39" t="n"/>
      <c r="Y12" s="39" t="n"/>
      <c r="Z12" s="39" t="n">
        <v>0</v>
      </c>
      <c r="AA12" s="126">
        <f>Y12+IF(NOT(ISBLANK(OFFSET(AA12,0,6))),N(OFFSET(AA12,0,6)),N(OFFSET(AA12,0,7)))-Z12</f>
        <v/>
      </c>
      <c r="AB12" s="11" t="n"/>
      <c r="AC12" s="250" t="n"/>
      <c r="AD12" s="250" t="n"/>
      <c r="AE12" s="11" t="n"/>
      <c r="AF12" s="32" t="n"/>
      <c r="AG12" s="11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19" t="n"/>
      <c r="AY12" s="119" t="n"/>
      <c r="AZ12" s="119" t="n"/>
      <c r="BA12" s="19" t="n"/>
      <c r="BB12" s="19" t="n"/>
      <c r="BC12" s="119" t="n"/>
      <c r="BD12" s="19" t="n"/>
    </row>
    <row r="13" hidden="1" ht="19.5" customFormat="1" customHeight="1" s="3">
      <c r="A13" s="144" t="inlineStr">
        <is>
          <t>SACOLA KRAFT G PARDA</t>
        </is>
      </c>
      <c r="B13" s="145" t="n">
        <v>100</v>
      </c>
      <c r="C13" s="694" t="n">
        <v>115.12</v>
      </c>
      <c r="D13" s="240" t="n"/>
      <c r="E13" s="11" t="n"/>
      <c r="F13" s="39" t="n">
        <v>0</v>
      </c>
      <c r="G13" s="39" t="n">
        <v>0</v>
      </c>
      <c r="H13" s="39" t="n">
        <v>0</v>
      </c>
      <c r="I13" s="39" t="n">
        <v>0</v>
      </c>
      <c r="J13" s="39" t="n"/>
      <c r="K13" s="39" t="n"/>
      <c r="L13" s="39" t="n"/>
      <c r="M13" s="39" t="n"/>
      <c r="N13" s="39" t="n"/>
      <c r="O13" s="39" t="n"/>
      <c r="P13" s="39" t="n"/>
      <c r="Q13" s="39" t="n"/>
      <c r="R13" s="39" t="n"/>
      <c r="S13" s="39" t="n"/>
      <c r="T13" s="39" t="n"/>
      <c r="U13" s="39" t="n"/>
      <c r="V13" s="39" t="n"/>
      <c r="W13" s="39" t="n"/>
      <c r="X13" s="39" t="n"/>
      <c r="Y13" s="39" t="n"/>
      <c r="Z13" s="39" t="n">
        <v>0</v>
      </c>
      <c r="AA13" s="126">
        <f>Y13+IF(NOT(ISBLANK(OFFSET(AA13,0,6))),N(OFFSET(AA13,0,6)),N(OFFSET(AA13,0,7)))-Z13</f>
        <v/>
      </c>
      <c r="AB13" s="11" t="n"/>
      <c r="AC13" s="250" t="n"/>
      <c r="AD13" s="250" t="n"/>
      <c r="AE13" s="11" t="n"/>
      <c r="AF13" s="32" t="n"/>
      <c r="AG13" s="11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19" t="n"/>
      <c r="AY13" s="119" t="n"/>
      <c r="AZ13" s="119" t="n"/>
      <c r="BA13" s="19" t="n"/>
      <c r="BB13" s="19" t="n"/>
      <c r="BC13" s="119" t="n"/>
      <c r="BD13" s="19" t="n"/>
    </row>
    <row r="14" ht="15" customHeight="1">
      <c r="AX14" s="209" t="n"/>
      <c r="AY14" s="209" t="n"/>
      <c r="AZ14" s="209" t="n"/>
      <c r="BC14" s="209" t="n"/>
    </row>
    <row r="15">
      <c r="A15" s="548" t="inlineStr">
        <is>
          <t>DIVERSOS</t>
        </is>
      </c>
      <c r="B15" s="12" t="n"/>
      <c r="C15" s="631" t="n"/>
      <c r="D15" s="631" t="n"/>
      <c r="F15" s="619" t="n">
        <v>46006</v>
      </c>
      <c r="G15" s="619" t="n">
        <v>46013</v>
      </c>
      <c r="H15" s="619" t="n">
        <v>46020</v>
      </c>
      <c r="I15" s="619" t="n">
        <v>46027</v>
      </c>
      <c r="J15" s="619" t="n">
        <v>46034</v>
      </c>
      <c r="K15" s="619" t="n">
        <v>46041</v>
      </c>
      <c r="L15" s="619" t="n">
        <v>46048</v>
      </c>
      <c r="M15" s="619" t="n">
        <v>46055</v>
      </c>
      <c r="N15" s="619" t="n">
        <v>46062</v>
      </c>
      <c r="O15" s="619" t="n">
        <v>46069</v>
      </c>
      <c r="P15" s="619" t="n">
        <v>46076</v>
      </c>
      <c r="Q15" s="619" t="n">
        <v>46083</v>
      </c>
      <c r="R15" s="619" t="n">
        <v>46090</v>
      </c>
      <c r="S15" s="619" t="n">
        <v>46097</v>
      </c>
      <c r="T15" s="619" t="n">
        <v>46104</v>
      </c>
      <c r="U15" s="619" t="n">
        <v>46111</v>
      </c>
      <c r="V15" s="619" t="n">
        <v>46118</v>
      </c>
      <c r="W15" s="619" t="n">
        <v>46125</v>
      </c>
      <c r="X15" s="619" t="n">
        <v>46132</v>
      </c>
      <c r="Y15" s="619" t="n">
        <v>46139</v>
      </c>
      <c r="Z15" s="619" t="n">
        <v>46146</v>
      </c>
      <c r="AA15" s="678" t="inlineStr">
        <is>
          <t>USOU</t>
        </is>
      </c>
      <c r="AC15" s="29" t="inlineStr">
        <is>
          <t>Pendências</t>
        </is>
      </c>
      <c r="AD15" s="29" t="inlineStr">
        <is>
          <t>Pendências</t>
        </is>
      </c>
      <c r="AE15" s="11" t="n"/>
      <c r="AF15" s="9" t="inlineStr">
        <is>
          <t>Novo Pedido</t>
        </is>
      </c>
      <c r="AH15" s="674" t="n">
        <v>46149</v>
      </c>
      <c r="AI15" s="674" t="n">
        <v>46142</v>
      </c>
      <c r="AJ15" s="674" t="n">
        <v>46114</v>
      </c>
      <c r="AK15" s="674" t="n">
        <v>46099</v>
      </c>
      <c r="AL15" s="675" t="n">
        <v>46065</v>
      </c>
      <c r="AM15" s="674" t="n">
        <v>46077</v>
      </c>
      <c r="AN15" s="676" t="n">
        <v>46045</v>
      </c>
      <c r="AO15" s="674" t="n">
        <v>46056</v>
      </c>
      <c r="AP15" s="674" t="n">
        <v>46017</v>
      </c>
      <c r="AQ15" s="674" t="n">
        <v>46007</v>
      </c>
      <c r="AR15" s="674" t="n">
        <v>46001</v>
      </c>
      <c r="AS15" s="674" t="n">
        <v>45994</v>
      </c>
      <c r="AT15" s="674" t="n">
        <v>45986</v>
      </c>
      <c r="AU15" s="674" t="n">
        <v>45980</v>
      </c>
      <c r="AV15" s="674" t="n">
        <v>45980</v>
      </c>
      <c r="AW15" s="674" t="n">
        <v>45973</v>
      </c>
      <c r="AX15" s="677" t="n">
        <v>45982</v>
      </c>
      <c r="AY15" s="677" t="n">
        <v>45979</v>
      </c>
      <c r="AZ15" s="693" t="n">
        <v>45974</v>
      </c>
      <c r="BA15" s="693" t="n">
        <v>45972</v>
      </c>
      <c r="BB15" s="691" t="n">
        <v>45968</v>
      </c>
      <c r="BC15" s="677" t="n">
        <v>45967</v>
      </c>
      <c r="BD15" s="692" t="n">
        <v>45964</v>
      </c>
    </row>
    <row r="16">
      <c r="A16" s="25" t="inlineStr">
        <is>
          <t xml:space="preserve">PAPEL DE SEDA </t>
        </is>
      </c>
      <c r="B16" s="6" t="n">
        <v>500</v>
      </c>
      <c r="C16" s="632" t="n">
        <v>95.90000000000001</v>
      </c>
      <c r="D16" s="240" t="n"/>
      <c r="F16" s="6" t="n">
        <v>2</v>
      </c>
      <c r="G16" s="6" t="n">
        <v>3</v>
      </c>
      <c r="H16" s="6" t="n">
        <v>3</v>
      </c>
      <c r="I16" s="6">
        <f>3+AP16</f>
        <v/>
      </c>
      <c r="J16" s="6" t="n">
        <v>5</v>
      </c>
      <c r="K16" s="6" t="n">
        <v>5</v>
      </c>
      <c r="L16" s="6" t="n">
        <v>5</v>
      </c>
      <c r="M16" s="6" t="n">
        <v>5</v>
      </c>
      <c r="N16" s="6" t="n">
        <v>4</v>
      </c>
      <c r="O16" s="6" t="n">
        <v>4</v>
      </c>
      <c r="P16" s="6" t="n">
        <v>4</v>
      </c>
      <c r="Q16" s="6" t="n">
        <v>4</v>
      </c>
      <c r="R16" s="6" t="n">
        <v>4</v>
      </c>
      <c r="S16" s="6" t="n">
        <v>4</v>
      </c>
      <c r="T16" s="6" t="n">
        <v>3</v>
      </c>
      <c r="U16" s="6" t="n">
        <v>3</v>
      </c>
      <c r="V16" s="6" t="n">
        <v>3</v>
      </c>
      <c r="W16" s="6" t="n">
        <v>3</v>
      </c>
      <c r="X16" s="6" t="n">
        <v>3</v>
      </c>
      <c r="Y16" s="6" t="n">
        <v>3</v>
      </c>
      <c r="Z16" s="6" t="n">
        <v>3</v>
      </c>
      <c r="AA16" s="26">
        <f>Y16+IF(NOT(ISBLANK(OFFSET(AA16,0,6))),N(OFFSET(AA16,0,6)),N(OFFSET(AA16,0,7)))-Z16</f>
        <v/>
      </c>
      <c r="AC16" s="138" t="n"/>
      <c r="AD16" s="138" t="n"/>
      <c r="AF16" s="32" t="n"/>
      <c r="AH16" s="19" t="n">
        <v>0</v>
      </c>
      <c r="AI16" s="19" t="n">
        <v>0</v>
      </c>
      <c r="AJ16" s="19" t="n">
        <v>0</v>
      </c>
      <c r="AK16" s="19" t="n"/>
      <c r="AL16" s="19" t="n"/>
      <c r="AM16" s="19" t="n"/>
      <c r="AN16" s="301" t="n">
        <v>200</v>
      </c>
      <c r="AO16" s="19" t="n"/>
      <c r="AP16" s="19" t="n">
        <v>2</v>
      </c>
      <c r="AQ16" s="19" t="n"/>
      <c r="AR16" s="19" t="n">
        <v>1</v>
      </c>
      <c r="AS16" s="19" t="n"/>
      <c r="AT16" s="19" t="n"/>
      <c r="AU16" s="19" t="n">
        <v>3</v>
      </c>
      <c r="AV16" s="19" t="n"/>
      <c r="AW16" s="19" t="n"/>
      <c r="AX16" s="119" t="n"/>
      <c r="AY16" s="119" t="n"/>
      <c r="AZ16" s="119" t="n"/>
      <c r="BA16" s="19" t="n"/>
      <c r="BB16" s="19" t="n"/>
      <c r="BC16" s="119" t="n"/>
      <c r="BD16" s="19" t="n"/>
    </row>
    <row r="17">
      <c r="A17" s="25" t="inlineStr">
        <is>
          <t>ETIQUETAS</t>
        </is>
      </c>
      <c r="B17" s="6" t="n">
        <v>2000</v>
      </c>
      <c r="C17" s="632" t="n">
        <v>53.49</v>
      </c>
      <c r="D17" s="240" t="n"/>
      <c r="F17" s="6" t="n">
        <v>1</v>
      </c>
      <c r="G17" s="6" t="n">
        <v>0</v>
      </c>
      <c r="H17" s="6" t="n">
        <v>0</v>
      </c>
      <c r="I17" s="6">
        <f>0+AP17</f>
        <v/>
      </c>
      <c r="J17" s="6" t="n">
        <v>4</v>
      </c>
      <c r="K17" s="6" t="n">
        <v>4</v>
      </c>
      <c r="L17" s="6" t="n">
        <v>4</v>
      </c>
      <c r="M17" s="6" t="n">
        <v>8</v>
      </c>
      <c r="N17" s="6" t="n">
        <v>8</v>
      </c>
      <c r="O17" s="6" t="n">
        <v>7</v>
      </c>
      <c r="P17" s="6" t="n">
        <v>7</v>
      </c>
      <c r="Q17" s="6" t="n">
        <v>7</v>
      </c>
      <c r="R17" s="6" t="n">
        <v>7</v>
      </c>
      <c r="S17" s="6" t="n">
        <v>7</v>
      </c>
      <c r="T17" s="6" t="n">
        <v>6</v>
      </c>
      <c r="U17" s="6" t="n">
        <v>6</v>
      </c>
      <c r="V17" s="6" t="n">
        <v>5</v>
      </c>
      <c r="W17" s="6" t="n">
        <v>4</v>
      </c>
      <c r="X17" s="6" t="n">
        <v>3</v>
      </c>
      <c r="Y17" s="6" t="n">
        <v>2</v>
      </c>
      <c r="Z17" s="6" t="n">
        <v>2</v>
      </c>
      <c r="AA17" s="26">
        <f>Y17+IF(NOT(ISBLANK(OFFSET(AA17,0,6))),N(OFFSET(AA17,0,6)),N(OFFSET(AA17,0,7)))-Z17</f>
        <v/>
      </c>
      <c r="AC17" s="138" t="n"/>
      <c r="AD17" s="138" t="n"/>
      <c r="AF17" s="32" t="n"/>
      <c r="AH17" s="19" t="n">
        <v>0</v>
      </c>
      <c r="AI17" s="19" t="n">
        <v>0</v>
      </c>
      <c r="AJ17" s="19" t="n">
        <v>0</v>
      </c>
      <c r="AK17" s="19" t="n"/>
      <c r="AL17" s="19" t="n"/>
      <c r="AM17" s="19" t="n"/>
      <c r="AN17" s="301" t="n">
        <v>1</v>
      </c>
      <c r="AO17" s="19" t="n"/>
      <c r="AP17" s="19" t="n">
        <v>4</v>
      </c>
      <c r="AQ17" s="19" t="n"/>
      <c r="AR17" s="19" t="n">
        <v>3</v>
      </c>
      <c r="AS17" s="19" t="n"/>
      <c r="AT17" s="19" t="n"/>
      <c r="AU17" s="19" t="n">
        <v>3</v>
      </c>
      <c r="AV17" s="19" t="n"/>
      <c r="AW17" s="19" t="n"/>
      <c r="AX17" s="119" t="n"/>
      <c r="AY17" s="119" t="n"/>
      <c r="AZ17" s="119" t="n"/>
      <c r="BA17" s="19" t="n"/>
      <c r="BB17" s="19" t="n"/>
      <c r="BC17" s="119" t="n"/>
      <c r="BD17" s="19" t="n"/>
    </row>
    <row r="18">
      <c r="A18" s="25" t="inlineStr">
        <is>
          <t xml:space="preserve">TAGS </t>
        </is>
      </c>
      <c r="B18" s="6" t="n">
        <v>200</v>
      </c>
      <c r="C18" s="632" t="n">
        <v>9.93</v>
      </c>
      <c r="D18" s="240" t="n"/>
      <c r="F18" s="6" t="n">
        <v>0</v>
      </c>
      <c r="G18" s="6" t="n">
        <v>0</v>
      </c>
      <c r="H18" s="6" t="n">
        <v>0</v>
      </c>
      <c r="I18" s="6" t="n">
        <v>0</v>
      </c>
      <c r="J18" s="6" t="n">
        <v>0</v>
      </c>
      <c r="K18" s="6" t="n">
        <v>0</v>
      </c>
      <c r="L18" s="6" t="n">
        <v>0</v>
      </c>
      <c r="M18" s="6" t="n">
        <v>0</v>
      </c>
      <c r="N18" s="6" t="n">
        <v>0</v>
      </c>
      <c r="O18" s="6" t="n">
        <v>0</v>
      </c>
      <c r="P18" s="6" t="n">
        <v>0</v>
      </c>
      <c r="Q18" s="6" t="n">
        <v>0</v>
      </c>
      <c r="R18" s="6" t="n">
        <v>0</v>
      </c>
      <c r="S18" s="6" t="n">
        <v>0</v>
      </c>
      <c r="T18" s="6" t="n">
        <v>0</v>
      </c>
      <c r="U18" s="6" t="n">
        <v>0</v>
      </c>
      <c r="V18" s="6" t="n">
        <v>0</v>
      </c>
      <c r="W18" s="6" t="n">
        <v>0</v>
      </c>
      <c r="X18" s="6" t="n">
        <v>0</v>
      </c>
      <c r="Y18" s="6" t="n">
        <v>0</v>
      </c>
      <c r="Z18" s="6" t="n">
        <v>0</v>
      </c>
      <c r="AA18" s="26">
        <f>Y18+IF(NOT(ISBLANK(OFFSET(AA18,0,6))),N(OFFSET(AA18,0,6)),N(OFFSET(AA18,0,7)))-Z18</f>
        <v/>
      </c>
      <c r="AC18" s="138" t="n"/>
      <c r="AD18" s="138" t="n"/>
      <c r="AF18" s="32" t="n"/>
      <c r="AH18" s="19" t="n">
        <v>0</v>
      </c>
      <c r="AI18" s="19" t="n">
        <v>0</v>
      </c>
      <c r="AJ18" s="19" t="n">
        <v>0</v>
      </c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19" t="n"/>
      <c r="AY18" s="119" t="n"/>
      <c r="AZ18" s="119" t="n"/>
      <c r="BA18" s="19" t="n"/>
      <c r="BB18" s="19" t="n"/>
      <c r="BC18" s="119" t="n"/>
      <c r="BD18" s="19" t="n"/>
    </row>
    <row r="19">
      <c r="A19" s="25" t="inlineStr">
        <is>
          <t>LÂMINA OLFATIVA</t>
        </is>
      </c>
      <c r="B19" s="6" t="n">
        <v>3000</v>
      </c>
      <c r="C19" s="632" t="n">
        <v>69.37</v>
      </c>
      <c r="D19" s="240" t="n"/>
      <c r="F19" s="84" t="n">
        <v>3</v>
      </c>
      <c r="G19" s="84" t="n">
        <v>3</v>
      </c>
      <c r="H19" s="84" t="n">
        <v>3</v>
      </c>
      <c r="I19" s="84" t="n">
        <v>3</v>
      </c>
      <c r="J19" s="84" t="n">
        <v>3</v>
      </c>
      <c r="K19" s="84" t="n">
        <v>3</v>
      </c>
      <c r="L19" s="84" t="n">
        <v>3</v>
      </c>
      <c r="M19" s="84" t="n">
        <v>3</v>
      </c>
      <c r="N19" s="84" t="n">
        <v>3</v>
      </c>
      <c r="O19" s="84" t="n">
        <v>3</v>
      </c>
      <c r="P19" s="84" t="n">
        <v>3</v>
      </c>
      <c r="Q19" s="84" t="n">
        <v>2</v>
      </c>
      <c r="R19" s="84" t="n">
        <v>2</v>
      </c>
      <c r="S19" s="84" t="n">
        <v>2</v>
      </c>
      <c r="T19" s="84" t="n">
        <v>2</v>
      </c>
      <c r="U19" s="84" t="n">
        <v>2</v>
      </c>
      <c r="V19" s="84" t="n">
        <v>2</v>
      </c>
      <c r="W19" s="84" t="n">
        <v>2</v>
      </c>
      <c r="X19" s="84" t="n">
        <v>2</v>
      </c>
      <c r="Y19" s="84" t="n">
        <v>2</v>
      </c>
      <c r="Z19" s="84" t="n">
        <v>2</v>
      </c>
      <c r="AA19" s="126">
        <f>Y19+IF(NOT(ISBLANK(OFFSET(AA19,0,6))),N(OFFSET(AA19,0,6)),N(OFFSET(AA19,0,7)))-Z19</f>
        <v/>
      </c>
      <c r="AC19" s="138" t="n"/>
      <c r="AD19" s="138" t="n"/>
      <c r="AF19" s="32" t="n"/>
      <c r="AH19" s="19" t="n">
        <v>0</v>
      </c>
      <c r="AI19" s="19" t="n">
        <v>0</v>
      </c>
      <c r="AJ19" s="19" t="n">
        <v>0</v>
      </c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>
        <v>3</v>
      </c>
      <c r="AV19" s="19" t="n"/>
      <c r="AW19" s="19" t="n"/>
      <c r="AX19" s="119" t="n"/>
      <c r="AY19" s="119" t="n"/>
      <c r="AZ19" s="119" t="n"/>
      <c r="BA19" s="19" t="n"/>
      <c r="BB19" s="19" t="n"/>
      <c r="BC19" s="119" t="n"/>
      <c r="BD19" s="19" t="n"/>
    </row>
    <row r="20" ht="19.5" customFormat="1" customHeight="1" s="3">
      <c r="A20" s="132" t="n"/>
      <c r="B20" s="133" t="n"/>
      <c r="C20" s="633" t="n"/>
      <c r="D20" s="633" t="n"/>
      <c r="E20" s="11" t="n"/>
      <c r="F20" s="2" t="n"/>
      <c r="G20" s="2" t="n"/>
      <c r="H20" s="2" t="n"/>
      <c r="I20" s="2" t="n"/>
      <c r="J20" s="2" t="n"/>
      <c r="K20" s="2" t="n"/>
      <c r="L20" s="2" t="n"/>
      <c r="M20" s="2" t="n"/>
      <c r="N20" s="2" t="n"/>
      <c r="O20" s="2" t="n"/>
      <c r="P20" s="2" t="n"/>
      <c r="Q20" s="2" t="n"/>
      <c r="R20" s="2" t="n"/>
      <c r="S20" s="2" t="n"/>
      <c r="T20" s="2" t="n"/>
      <c r="U20" s="2" t="n"/>
      <c r="V20" s="2" t="n"/>
      <c r="W20" s="2" t="n"/>
      <c r="X20" s="2" t="n"/>
      <c r="Y20" s="2" t="n"/>
      <c r="Z20" s="2" t="n"/>
      <c r="AA20" s="2" t="n"/>
      <c r="AB20" s="11" t="n"/>
      <c r="AC20" s="10" t="n"/>
      <c r="AD20" s="10" t="n"/>
      <c r="AE20" s="11" t="n"/>
      <c r="AF20" s="33" t="n"/>
      <c r="AG20" s="11" t="n"/>
      <c r="AH20" s="75" t="n"/>
      <c r="AI20" s="75" t="n"/>
      <c r="AJ20" s="75" t="n"/>
      <c r="AK20" s="75" t="n"/>
      <c r="AL20" s="75" t="n"/>
      <c r="AM20" s="75" t="n"/>
      <c r="AN20" s="75" t="n"/>
      <c r="AO20" s="75" t="n"/>
      <c r="AP20" s="75" t="n"/>
      <c r="AQ20" s="75" t="n"/>
      <c r="AR20" s="75" t="n"/>
      <c r="AS20" s="75" t="n"/>
      <c r="AT20" s="75" t="n"/>
      <c r="AU20" s="75" t="n"/>
      <c r="AV20" s="75" t="n"/>
      <c r="AW20" s="75" t="n"/>
      <c r="AX20" s="206" t="n"/>
      <c r="AY20" s="206" t="n"/>
      <c r="AZ20" s="206" t="n"/>
      <c r="BA20" s="75" t="n"/>
      <c r="BB20" s="75" t="n"/>
      <c r="BC20" s="206" t="n"/>
      <c r="BD20" s="75" t="n"/>
    </row>
    <row r="21" customFormat="1" s="3">
      <c r="A21" s="548" t="inlineStr">
        <is>
          <t>SACOLAS P/ VENDA EM UND</t>
        </is>
      </c>
      <c r="B21" s="12" t="inlineStr">
        <is>
          <t>PC</t>
        </is>
      </c>
      <c r="C21" s="631" t="inlineStr">
        <is>
          <t>R$</t>
        </is>
      </c>
      <c r="D21" s="12" t="inlineStr">
        <is>
          <t>Estoque Ideal</t>
        </is>
      </c>
      <c r="E21" s="608" t="n"/>
      <c r="F21" s="619" t="n">
        <v>46006</v>
      </c>
      <c r="G21" s="619" t="n">
        <v>46013</v>
      </c>
      <c r="H21" s="619" t="n">
        <v>46020</v>
      </c>
      <c r="I21" s="619" t="n">
        <v>46027</v>
      </c>
      <c r="J21" s="619" t="n">
        <v>46034</v>
      </c>
      <c r="K21" s="619" t="n">
        <v>46041</v>
      </c>
      <c r="L21" s="619" t="n">
        <v>46048</v>
      </c>
      <c r="M21" s="619" t="n">
        <v>46055</v>
      </c>
      <c r="N21" s="619" t="n">
        <v>46062</v>
      </c>
      <c r="O21" s="619" t="n">
        <v>46069</v>
      </c>
      <c r="P21" s="619" t="n">
        <v>46076</v>
      </c>
      <c r="Q21" s="619" t="n">
        <v>46083</v>
      </c>
      <c r="R21" s="619" t="n">
        <v>46090</v>
      </c>
      <c r="S21" s="619" t="n">
        <v>46097</v>
      </c>
      <c r="T21" s="619" t="n">
        <v>46104</v>
      </c>
      <c r="U21" s="619" t="n">
        <v>46111</v>
      </c>
      <c r="V21" s="619" t="n">
        <v>46118</v>
      </c>
      <c r="W21" s="619" t="n">
        <v>46125</v>
      </c>
      <c r="X21" s="619" t="n">
        <v>46132</v>
      </c>
      <c r="Y21" s="619" t="n">
        <v>46139</v>
      </c>
      <c r="Z21" s="619" t="n">
        <v>46146</v>
      </c>
      <c r="AA21" s="678" t="inlineStr">
        <is>
          <t>USOU</t>
        </is>
      </c>
      <c r="AB21" s="11" t="n"/>
      <c r="AC21" s="29" t="inlineStr">
        <is>
          <t>Pendências</t>
        </is>
      </c>
      <c r="AD21" s="29" t="inlineStr">
        <is>
          <t>Pendências</t>
        </is>
      </c>
      <c r="AF21" s="9" t="inlineStr">
        <is>
          <t>Novo Pedido</t>
        </is>
      </c>
      <c r="AH21" s="674" t="n">
        <v>46149</v>
      </c>
      <c r="AI21" s="674" t="n">
        <v>46142</v>
      </c>
      <c r="AJ21" s="674" t="n">
        <v>46114</v>
      </c>
      <c r="AK21" s="674" t="n">
        <v>46099</v>
      </c>
      <c r="AL21" s="675" t="n">
        <v>46065</v>
      </c>
      <c r="AM21" s="674" t="n">
        <v>46077</v>
      </c>
      <c r="AN21" s="676" t="n">
        <v>46045</v>
      </c>
      <c r="AO21" s="674" t="n">
        <v>46056</v>
      </c>
      <c r="AP21" s="674" t="n">
        <v>46017</v>
      </c>
      <c r="AQ21" s="674" t="n">
        <v>46007</v>
      </c>
      <c r="AR21" s="674" t="n">
        <v>46001</v>
      </c>
      <c r="AS21" s="674" t="n">
        <v>45994</v>
      </c>
      <c r="AT21" s="674" t="n">
        <v>45986</v>
      </c>
      <c r="AU21" s="674" t="n">
        <v>45980</v>
      </c>
      <c r="AV21" s="674" t="n">
        <v>45980</v>
      </c>
      <c r="AW21" s="674" t="n">
        <v>45973</v>
      </c>
      <c r="AX21" s="677" t="n">
        <v>45982</v>
      </c>
      <c r="AY21" s="677" t="n">
        <v>45979</v>
      </c>
      <c r="AZ21" s="693" t="n">
        <v>45974</v>
      </c>
      <c r="BA21" s="693" t="n">
        <v>45972</v>
      </c>
      <c r="BB21" s="691" t="n">
        <v>45968</v>
      </c>
      <c r="BC21" s="677" t="n">
        <v>45967</v>
      </c>
      <c r="BD21" s="692" t="n">
        <v>45964</v>
      </c>
    </row>
    <row r="22" customFormat="1" s="3">
      <c r="A22" s="25" t="inlineStr">
        <is>
          <t>SACOLA PP 2025</t>
        </is>
      </c>
      <c r="B22" s="6" t="n">
        <v>300</v>
      </c>
      <c r="C22" s="632" t="n">
        <v>216</v>
      </c>
      <c r="D22" s="240" t="n"/>
      <c r="E22" s="695" t="n"/>
      <c r="F22" s="131" t="n">
        <v>65</v>
      </c>
      <c r="G22" s="131" t="n">
        <v>65</v>
      </c>
      <c r="H22" s="131" t="n">
        <v>65</v>
      </c>
      <c r="I22" s="131" t="n">
        <v>65</v>
      </c>
      <c r="J22" s="131" t="n">
        <v>65</v>
      </c>
      <c r="K22" s="131" t="n">
        <v>65</v>
      </c>
      <c r="L22" s="131" t="n">
        <v>65</v>
      </c>
      <c r="M22" s="131" t="n">
        <v>65</v>
      </c>
      <c r="N22" s="131" t="n">
        <v>65</v>
      </c>
      <c r="O22" s="131" t="n">
        <v>65</v>
      </c>
      <c r="P22" s="131" t="n">
        <v>65</v>
      </c>
      <c r="Q22" s="131" t="n">
        <v>65</v>
      </c>
      <c r="R22" s="131" t="n">
        <v>65</v>
      </c>
      <c r="S22" s="131" t="n">
        <v>61</v>
      </c>
      <c r="T22" s="131" t="n">
        <v>61</v>
      </c>
      <c r="U22" s="131" t="n">
        <v>61</v>
      </c>
      <c r="V22" s="131" t="n"/>
      <c r="W22" s="131" t="n"/>
      <c r="X22" s="131" t="n"/>
      <c r="Y22" s="131" t="n"/>
      <c r="Z22" s="131" t="n"/>
      <c r="AA22" s="26">
        <f>Y22+IF(NOT(ISBLANK(OFFSET(AA22,0,6))),N(OFFSET(AA22,0,6)),N(OFFSET(AA22,0,7)))-Z22</f>
        <v/>
      </c>
      <c r="AB22" s="128" t="n"/>
      <c r="AC22" s="78" t="n"/>
      <c r="AD22" s="78" t="n"/>
      <c r="AE22" s="129" t="n"/>
      <c r="AF22" s="32" t="n"/>
      <c r="AG22" s="129" t="n"/>
      <c r="AH22" s="19" t="n">
        <v>0</v>
      </c>
      <c r="AI22" s="19" t="n">
        <v>0</v>
      </c>
      <c r="AJ22" s="19" t="n">
        <v>0</v>
      </c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19" t="n"/>
      <c r="AY22" s="260" t="inlineStr">
        <is>
          <t>100 DE CDJ</t>
        </is>
      </c>
      <c r="AZ22" s="119" t="n"/>
      <c r="BA22" s="19" t="n"/>
      <c r="BB22" s="19" t="n"/>
      <c r="BC22" s="119" t="n"/>
      <c r="BD22" s="19" t="n"/>
    </row>
    <row r="23" customFormat="1" s="3">
      <c r="A23" s="25" t="inlineStr">
        <is>
          <t>SACOLA P 2025</t>
        </is>
      </c>
      <c r="B23" s="6" t="n">
        <v>200</v>
      </c>
      <c r="C23" s="632" t="n">
        <v>246.28</v>
      </c>
      <c r="D23" s="240" t="n"/>
      <c r="E23" s="1" t="n"/>
      <c r="F23" s="39" t="n">
        <v>0</v>
      </c>
      <c r="G23" s="39" t="n">
        <v>0</v>
      </c>
      <c r="H23" s="39" t="n">
        <v>0</v>
      </c>
      <c r="I23" s="39" t="n">
        <v>0</v>
      </c>
      <c r="J23" s="39" t="n">
        <v>0</v>
      </c>
      <c r="K23" s="39" t="n">
        <v>0</v>
      </c>
      <c r="L23" s="39" t="n">
        <v>0</v>
      </c>
      <c r="M23" s="39" t="n">
        <v>0</v>
      </c>
      <c r="N23" s="39" t="n">
        <v>0</v>
      </c>
      <c r="O23" s="39" t="n">
        <v>0</v>
      </c>
      <c r="P23" s="39" t="n">
        <v>0</v>
      </c>
      <c r="Q23" s="39" t="n">
        <v>0</v>
      </c>
      <c r="R23" s="39" t="n">
        <v>0</v>
      </c>
      <c r="S23" s="39" t="n">
        <v>0</v>
      </c>
      <c r="T23" s="39" t="n">
        <v>0</v>
      </c>
      <c r="U23" s="39" t="n">
        <v>0</v>
      </c>
      <c r="V23" s="39" t="n"/>
      <c r="W23" s="39" t="n"/>
      <c r="X23" s="39" t="n"/>
      <c r="Y23" s="39" t="n"/>
      <c r="Z23" s="39" t="n"/>
      <c r="AA23" s="26">
        <f>Y23+IF(NOT(ISBLANK(OFFSET(AA23,0,6))),N(OFFSET(AA23,0,6)),N(OFFSET(AA23,0,7)))-Z23</f>
        <v/>
      </c>
      <c r="AB23" s="128" t="n"/>
      <c r="AC23" s="78" t="inlineStr">
        <is>
          <t>100 DE ERJ</t>
        </is>
      </c>
      <c r="AD23" s="78" t="n"/>
      <c r="AE23" s="129" t="n"/>
      <c r="AF23" s="32" t="n"/>
      <c r="AG23" s="129" t="n"/>
      <c r="AH23" s="19" t="n">
        <v>0</v>
      </c>
      <c r="AI23" s="19" t="n">
        <v>0</v>
      </c>
      <c r="AJ23" s="19" t="n">
        <v>0</v>
      </c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19" t="n"/>
      <c r="AY23" s="119" t="n"/>
      <c r="AZ23" s="119" t="n"/>
      <c r="BA23" s="19" t="n"/>
      <c r="BB23" s="19" t="n"/>
      <c r="BC23" s="119" t="n"/>
      <c r="BD23" s="19" t="n"/>
    </row>
    <row r="24" customFormat="1" s="3">
      <c r="A24" s="25" t="inlineStr">
        <is>
          <t>SACOLA M 2025</t>
        </is>
      </c>
      <c r="B24" s="6" t="n">
        <v>200</v>
      </c>
      <c r="C24" s="632" t="n">
        <v>316.91</v>
      </c>
      <c r="D24" s="240" t="n"/>
      <c r="E24" s="1" t="n"/>
      <c r="F24" s="39" t="n">
        <v>0</v>
      </c>
      <c r="G24" s="39" t="n">
        <v>0</v>
      </c>
      <c r="H24" s="39" t="n">
        <v>0</v>
      </c>
      <c r="I24" s="39" t="n">
        <v>0</v>
      </c>
      <c r="J24" s="39" t="n">
        <v>0</v>
      </c>
      <c r="K24" s="39" t="n">
        <v>0</v>
      </c>
      <c r="L24" s="39" t="n">
        <v>0</v>
      </c>
      <c r="M24" s="39" t="n">
        <v>0</v>
      </c>
      <c r="N24" s="39" t="n">
        <v>0</v>
      </c>
      <c r="O24" s="39" t="n">
        <v>0</v>
      </c>
      <c r="P24" s="39" t="n">
        <v>0</v>
      </c>
      <c r="Q24" s="39" t="n">
        <v>0</v>
      </c>
      <c r="R24" s="39" t="n">
        <v>0</v>
      </c>
      <c r="S24" s="39" t="n">
        <v>0</v>
      </c>
      <c r="T24" s="39" t="n">
        <v>0</v>
      </c>
      <c r="U24" s="39" t="n">
        <v>0</v>
      </c>
      <c r="V24" s="39" t="n"/>
      <c r="W24" s="39" t="n"/>
      <c r="X24" s="39" t="n"/>
      <c r="Y24" s="39" t="n"/>
      <c r="Z24" s="39" t="n"/>
      <c r="AA24" s="26">
        <f>Y24+IF(NOT(ISBLANK(OFFSET(AA24,0,6))),N(OFFSET(AA24,0,6)),N(OFFSET(AA24,0,7)))-Z24</f>
        <v/>
      </c>
      <c r="AB24" s="128" t="n"/>
      <c r="AC24" s="78" t="inlineStr">
        <is>
          <t>100 DE ERJ</t>
        </is>
      </c>
      <c r="AD24" s="78" t="n"/>
      <c r="AE24" s="129" t="n"/>
      <c r="AF24" s="32" t="n"/>
      <c r="AG24" s="129" t="n"/>
      <c r="AH24" s="19" t="n">
        <v>0</v>
      </c>
      <c r="AI24" s="19" t="n">
        <v>0</v>
      </c>
      <c r="AJ24" s="19" t="n">
        <v>0</v>
      </c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19" t="n"/>
      <c r="AY24" s="119" t="n"/>
      <c r="AZ24" s="119" t="n"/>
      <c r="BA24" s="19" t="n"/>
      <c r="BB24" s="19" t="n"/>
      <c r="BC24" s="119" t="n"/>
      <c r="BD24" s="19" t="n"/>
    </row>
    <row r="25" ht="16.5" customFormat="1" customHeight="1" s="3">
      <c r="A25" s="23" t="n"/>
      <c r="B25" s="1" t="n"/>
      <c r="C25" s="630" t="n"/>
      <c r="D25" s="630" t="n"/>
      <c r="E25" s="11" t="n"/>
      <c r="F25" s="2" t="n"/>
      <c r="G25" s="2" t="n"/>
      <c r="H25" s="2" t="n"/>
      <c r="I25" s="2" t="n"/>
      <c r="J25" s="2" t="n"/>
      <c r="K25" s="2" t="n"/>
      <c r="L25" s="2" t="n"/>
      <c r="M25" s="2" t="n"/>
      <c r="N25" s="2" t="n"/>
      <c r="O25" s="2" t="n"/>
      <c r="P25" s="2" t="n"/>
      <c r="Q25" s="2" t="n"/>
      <c r="R25" s="2" t="n"/>
      <c r="S25" s="2" t="n"/>
      <c r="T25" s="2" t="n"/>
      <c r="U25" s="2" t="n"/>
      <c r="V25" s="2" t="n"/>
      <c r="W25" s="2" t="n"/>
      <c r="X25" s="2" t="n"/>
      <c r="Y25" s="2" t="n"/>
      <c r="Z25" s="2" t="n"/>
      <c r="AA25" s="2" t="n"/>
      <c r="AB25" s="11" t="n"/>
      <c r="AC25" s="10" t="n"/>
      <c r="AD25" s="10" t="n"/>
      <c r="AE25" s="11" t="n"/>
      <c r="AF25" s="33" t="n"/>
      <c r="AG25" s="11" t="n"/>
      <c r="AH25" s="15" t="n"/>
      <c r="AI25" s="15" t="n"/>
      <c r="AJ25" s="15" t="n"/>
      <c r="AK25" s="15" t="n"/>
      <c r="AL25" s="15" t="n"/>
      <c r="AM25" s="15" t="n"/>
      <c r="AN25" s="15" t="n"/>
      <c r="AO25" s="15" t="n"/>
      <c r="AP25" s="15" t="n"/>
      <c r="AQ25" s="15" t="n"/>
      <c r="AR25" s="15" t="n"/>
      <c r="AS25" s="15" t="n"/>
      <c r="AT25" s="15" t="n"/>
      <c r="AU25" s="15" t="n"/>
      <c r="AV25" s="15" t="n"/>
      <c r="AW25" s="15" t="n"/>
      <c r="AX25" s="206" t="n"/>
      <c r="AY25" s="206" t="n"/>
      <c r="AZ25" s="206" t="n"/>
      <c r="BA25" s="15" t="n"/>
      <c r="BB25" s="15" t="n"/>
      <c r="BC25" s="206" t="n"/>
      <c r="BD25" s="15" t="n"/>
    </row>
    <row r="26" customFormat="1" s="3">
      <c r="A26" s="548" t="inlineStr">
        <is>
          <t>DIVERSOS BOTICÁRIO</t>
        </is>
      </c>
      <c r="B26" s="12" t="n"/>
      <c r="C26" s="631" t="n"/>
      <c r="D26" s="631" t="n"/>
      <c r="E26" s="608" t="n"/>
      <c r="F26" s="619" t="n">
        <v>46006</v>
      </c>
      <c r="G26" s="619" t="n">
        <v>46013</v>
      </c>
      <c r="H26" s="619" t="n">
        <v>46020</v>
      </c>
      <c r="I26" s="619" t="n">
        <v>46027</v>
      </c>
      <c r="J26" s="619" t="n">
        <v>46034</v>
      </c>
      <c r="K26" s="619" t="n">
        <v>46041</v>
      </c>
      <c r="L26" s="619" t="n">
        <v>46048</v>
      </c>
      <c r="M26" s="619" t="n">
        <v>46055</v>
      </c>
      <c r="N26" s="619" t="n">
        <v>46062</v>
      </c>
      <c r="O26" s="619" t="n">
        <v>46069</v>
      </c>
      <c r="P26" s="619" t="n">
        <v>46076</v>
      </c>
      <c r="Q26" s="619" t="n">
        <v>46083</v>
      </c>
      <c r="R26" s="619" t="n">
        <v>46090</v>
      </c>
      <c r="S26" s="619" t="n">
        <v>46097</v>
      </c>
      <c r="T26" s="619" t="n">
        <v>46104</v>
      </c>
      <c r="U26" s="619" t="n">
        <v>46111</v>
      </c>
      <c r="V26" s="619" t="n">
        <v>46118</v>
      </c>
      <c r="W26" s="619" t="n">
        <v>46125</v>
      </c>
      <c r="X26" s="619" t="n">
        <v>46132</v>
      </c>
      <c r="Y26" s="619" t="n">
        <v>46139</v>
      </c>
      <c r="Z26" s="619" t="n">
        <v>46146</v>
      </c>
      <c r="AA26" s="621" t="inlineStr">
        <is>
          <t>USOU</t>
        </is>
      </c>
      <c r="AB26" s="608" t="n"/>
      <c r="AC26" s="29" t="inlineStr">
        <is>
          <t>Pendências</t>
        </is>
      </c>
      <c r="AD26" s="29" t="inlineStr">
        <is>
          <t>Pendências</t>
        </is>
      </c>
      <c r="AE26" s="11" t="n"/>
      <c r="AF26" s="9" t="inlineStr">
        <is>
          <t>Novo Pedido</t>
        </is>
      </c>
      <c r="AG26" s="608" t="n"/>
      <c r="AH26" s="674" t="n">
        <v>46149</v>
      </c>
      <c r="AI26" s="674" t="n">
        <v>46142</v>
      </c>
      <c r="AJ26" s="674" t="n">
        <v>46114</v>
      </c>
      <c r="AK26" s="674" t="n">
        <v>46099</v>
      </c>
      <c r="AL26" s="675" t="n">
        <v>46065</v>
      </c>
      <c r="AM26" s="674" t="n">
        <v>46077</v>
      </c>
      <c r="AN26" s="676" t="n">
        <v>46045</v>
      </c>
      <c r="AO26" s="674" t="n">
        <v>46056</v>
      </c>
      <c r="AP26" s="674" t="n">
        <v>46017</v>
      </c>
      <c r="AQ26" s="674" t="n">
        <v>46007</v>
      </c>
      <c r="AR26" s="674" t="n">
        <v>46001</v>
      </c>
      <c r="AS26" s="674" t="n">
        <v>45994</v>
      </c>
      <c r="AT26" s="674" t="n">
        <v>45986</v>
      </c>
      <c r="AU26" s="674" t="n">
        <v>45980</v>
      </c>
      <c r="AV26" s="674" t="n">
        <v>45980</v>
      </c>
      <c r="AW26" s="674" t="n">
        <v>45973</v>
      </c>
      <c r="AX26" s="677" t="n">
        <v>45982</v>
      </c>
      <c r="AY26" s="677" t="n">
        <v>45979</v>
      </c>
      <c r="AZ26" s="693" t="n">
        <v>45974</v>
      </c>
      <c r="BA26" s="693" t="n">
        <v>45972</v>
      </c>
      <c r="BB26" s="691" t="n">
        <v>45968</v>
      </c>
      <c r="BC26" s="677" t="n">
        <v>45967</v>
      </c>
      <c r="BD26" s="692" t="n">
        <v>45964</v>
      </c>
    </row>
    <row r="27" customFormat="1" s="3">
      <c r="A27" s="25" t="inlineStr">
        <is>
          <t>PAPEL DE SEDA 2025</t>
        </is>
      </c>
      <c r="B27" s="6" t="n">
        <v>200</v>
      </c>
      <c r="C27" s="632" t="n">
        <v>38</v>
      </c>
      <c r="D27" s="240" t="n"/>
      <c r="E27" s="608" t="n"/>
      <c r="F27" s="39" t="n">
        <v>77</v>
      </c>
      <c r="G27" s="39" t="n">
        <v>77</v>
      </c>
      <c r="H27" s="39" t="n">
        <v>77</v>
      </c>
      <c r="I27" s="39" t="n">
        <v>77</v>
      </c>
      <c r="J27" s="39" t="n">
        <v>77</v>
      </c>
      <c r="K27" s="39" t="n">
        <v>77</v>
      </c>
      <c r="L27" s="39" t="n">
        <v>77</v>
      </c>
      <c r="M27" s="39" t="n">
        <v>77</v>
      </c>
      <c r="N27" s="39" t="n">
        <v>77</v>
      </c>
      <c r="O27" s="39" t="n">
        <v>77</v>
      </c>
      <c r="P27" s="39" t="n">
        <v>77</v>
      </c>
      <c r="Q27" s="39" t="n">
        <v>77</v>
      </c>
      <c r="R27" s="39" t="n">
        <v>77</v>
      </c>
      <c r="S27" s="39" t="n">
        <v>38</v>
      </c>
      <c r="T27" s="39" t="n">
        <v>38</v>
      </c>
      <c r="U27" s="39" t="n">
        <v>38</v>
      </c>
      <c r="V27" s="39" t="n"/>
      <c r="W27" s="39" t="n"/>
      <c r="X27" s="39" t="n"/>
      <c r="Y27" s="39" t="n"/>
      <c r="Z27" s="39" t="n"/>
      <c r="AA27" s="26">
        <f>Y27+IF(NOT(ISBLANK(OFFSET(AA27,0,6))),N(OFFSET(AA27,0,6)),N(OFFSET(AA27,0,7)))-Z27</f>
        <v/>
      </c>
      <c r="AB27" s="608" t="n"/>
      <c r="AC27" s="78" t="n"/>
      <c r="AD27" s="78" t="n"/>
      <c r="AE27" s="608" t="n"/>
      <c r="AF27" s="76" t="n"/>
      <c r="AG27" s="608" t="n"/>
      <c r="AH27" s="19" t="n">
        <v>0</v>
      </c>
      <c r="AI27" s="19" t="n">
        <v>0</v>
      </c>
      <c r="AJ27" s="19" t="n">
        <v>0</v>
      </c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19" t="n"/>
      <c r="AY27" s="119" t="n"/>
      <c r="AZ27" s="251" t="inlineStr">
        <is>
          <t>200 DE ERJ</t>
        </is>
      </c>
      <c r="BA27" s="19" t="n"/>
      <c r="BB27" s="19" t="n"/>
      <c r="BC27" s="260" t="inlineStr">
        <is>
          <t>100 DE CDJ</t>
        </is>
      </c>
      <c r="BD27" s="258" t="inlineStr">
        <is>
          <t>200 DE ERJ</t>
        </is>
      </c>
    </row>
    <row r="28" customFormat="1" s="3">
      <c r="A28" s="25" t="inlineStr">
        <is>
          <t>KIT ETIQUETAS (50 c/ 50 un)</t>
        </is>
      </c>
      <c r="B28" s="6" t="n">
        <v>2500</v>
      </c>
      <c r="C28" s="632" t="n">
        <v>66.87</v>
      </c>
      <c r="D28" s="240" t="n"/>
      <c r="E28" s="608" t="n"/>
      <c r="F28" s="211" t="n">
        <v>0</v>
      </c>
      <c r="G28" s="39" t="n">
        <v>0</v>
      </c>
      <c r="H28" s="39" t="n">
        <v>9</v>
      </c>
      <c r="I28" s="39" t="n">
        <v>9</v>
      </c>
      <c r="J28" s="39" t="n">
        <v>9</v>
      </c>
      <c r="K28" s="39" t="n">
        <v>4</v>
      </c>
      <c r="L28" s="39" t="n">
        <v>3</v>
      </c>
      <c r="M28" s="39" t="n">
        <v>3</v>
      </c>
      <c r="N28" s="39" t="n">
        <v>2</v>
      </c>
      <c r="O28" s="39" t="n">
        <v>2</v>
      </c>
      <c r="P28" s="39" t="n">
        <v>2</v>
      </c>
      <c r="Q28" s="39" t="n">
        <v>2</v>
      </c>
      <c r="R28" s="39" t="n">
        <v>2</v>
      </c>
      <c r="S28" s="39" t="n">
        <v>2</v>
      </c>
      <c r="T28" s="39" t="n">
        <v>1</v>
      </c>
      <c r="U28" s="39" t="n">
        <v>1</v>
      </c>
      <c r="V28" s="39" t="n"/>
      <c r="W28" s="39" t="n"/>
      <c r="X28" s="39" t="n"/>
      <c r="Y28" s="39" t="n"/>
      <c r="Z28" s="39" t="n"/>
      <c r="AA28" s="26">
        <f>Y28+IF(NOT(ISBLANK(OFFSET(AA28,0,6))),N(OFFSET(AA28,0,6)),N(OFFSET(AA28,0,7)))-Z28</f>
        <v/>
      </c>
      <c r="AB28" s="608" t="n"/>
      <c r="AC28" s="78" t="n"/>
      <c r="AD28" s="78" t="n"/>
      <c r="AE28" s="608" t="n"/>
      <c r="AF28" s="76" t="n"/>
      <c r="AG28" s="608" t="n"/>
      <c r="AH28" s="19" t="n">
        <v>0</v>
      </c>
      <c r="AI28" s="19" t="n">
        <v>0</v>
      </c>
      <c r="AJ28" s="19" t="n">
        <v>0</v>
      </c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19" t="n"/>
      <c r="AY28" s="119" t="n"/>
      <c r="AZ28" s="119" t="n"/>
      <c r="BA28" s="19" t="n"/>
      <c r="BB28" s="19" t="n"/>
      <c r="BC28" s="260" t="inlineStr">
        <is>
          <t>10 DE CDJ</t>
        </is>
      </c>
      <c r="BD28" s="19" t="n"/>
    </row>
    <row r="29" customFormat="1" s="3">
      <c r="A29" s="25" t="inlineStr">
        <is>
          <t>KIT TAGS  (21 c/ 50 un)</t>
        </is>
      </c>
      <c r="B29" s="6" t="n">
        <v>1050</v>
      </c>
      <c r="C29" s="632" t="n">
        <v>52.14</v>
      </c>
      <c r="D29" s="240" t="n"/>
      <c r="E29" s="1" t="n"/>
      <c r="F29" s="39" t="n">
        <v>8</v>
      </c>
      <c r="G29" s="39" t="n">
        <v>8</v>
      </c>
      <c r="H29" s="39" t="n">
        <v>0</v>
      </c>
      <c r="I29" s="39" t="n">
        <v>0</v>
      </c>
      <c r="J29" s="39" t="n">
        <v>0</v>
      </c>
      <c r="K29" s="39" t="n">
        <v>0</v>
      </c>
      <c r="L29" s="39" t="n">
        <v>0</v>
      </c>
      <c r="M29" s="39" t="n">
        <v>0</v>
      </c>
      <c r="N29" s="39" t="n">
        <v>0</v>
      </c>
      <c r="O29" s="39" t="n">
        <v>0</v>
      </c>
      <c r="P29" s="39" t="n">
        <v>0</v>
      </c>
      <c r="Q29" s="39" t="n">
        <v>0</v>
      </c>
      <c r="R29" s="39" t="n">
        <v>0</v>
      </c>
      <c r="S29" s="39" t="n">
        <v>0</v>
      </c>
      <c r="T29" s="39" t="n">
        <v>0</v>
      </c>
      <c r="U29" s="39" t="n">
        <v>0</v>
      </c>
      <c r="V29" s="39" t="n"/>
      <c r="W29" s="39" t="n"/>
      <c r="X29" s="39" t="n"/>
      <c r="Y29" s="39" t="n"/>
      <c r="Z29" s="39" t="n"/>
      <c r="AA29" s="26">
        <f>Y29+IF(NOT(ISBLANK(OFFSET(AA29,0,6))),N(OFFSET(AA29,0,6)),N(OFFSET(AA29,0,7)))-Z29</f>
        <v/>
      </c>
      <c r="AB29" s="1" t="n"/>
      <c r="AC29" s="78" t="n"/>
      <c r="AD29" s="78" t="n"/>
      <c r="AE29" s="1" t="n"/>
      <c r="AF29" s="76" t="n"/>
      <c r="AG29" s="1" t="n"/>
      <c r="AH29" s="19" t="n">
        <v>0</v>
      </c>
      <c r="AI29" s="19" t="n">
        <v>0</v>
      </c>
      <c r="AJ29" s="19" t="n">
        <v>0</v>
      </c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19" t="n"/>
      <c r="AY29" s="119" t="n"/>
      <c r="AZ29" s="119" t="n"/>
      <c r="BA29" s="19" t="n"/>
      <c r="BB29" s="19" t="n"/>
      <c r="BC29" s="260" t="inlineStr">
        <is>
          <t>08 DE ERJ</t>
        </is>
      </c>
      <c r="BD29" s="258" t="inlineStr">
        <is>
          <t>02 DE ERJ</t>
        </is>
      </c>
    </row>
    <row r="30" ht="17.25" customFormat="1" customHeight="1" s="3">
      <c r="A30" s="23" t="n"/>
      <c r="B30" s="1" t="n"/>
      <c r="C30" s="630" t="n"/>
      <c r="D30" s="630" t="n"/>
      <c r="E30" s="1" t="n"/>
      <c r="F30" s="2" t="n"/>
      <c r="G30" s="2" t="n"/>
      <c r="H30" s="2" t="n"/>
      <c r="I30" s="2" t="n"/>
      <c r="J30" s="2" t="n"/>
      <c r="K30" s="2" t="n"/>
      <c r="L30" s="2" t="n"/>
      <c r="M30" s="2" t="n"/>
      <c r="N30" s="2" t="n"/>
      <c r="O30" s="2" t="n"/>
      <c r="P30" s="2" t="n"/>
      <c r="Q30" s="2" t="n"/>
      <c r="R30" s="2" t="n"/>
      <c r="S30" s="2" t="n"/>
      <c r="T30" s="2" t="n"/>
      <c r="U30" s="2" t="n"/>
      <c r="V30" s="2" t="n"/>
      <c r="W30" s="2" t="n"/>
      <c r="X30" s="2" t="n"/>
      <c r="Y30" s="2" t="n"/>
      <c r="Z30" s="2" t="n"/>
      <c r="AB30" s="1" t="n"/>
      <c r="AC30" s="10" t="n"/>
      <c r="AD30" s="10" t="n"/>
      <c r="AE30" s="1" t="n"/>
      <c r="AF30" s="210" t="n"/>
      <c r="AG30" s="1" t="n"/>
      <c r="AH30" s="75" t="n"/>
      <c r="AI30" s="75" t="n"/>
      <c r="AJ30" s="75" t="n"/>
      <c r="AK30" s="75" t="n"/>
      <c r="AL30" s="75" t="n"/>
      <c r="AM30" s="75" t="n"/>
      <c r="AN30" s="75" t="n"/>
      <c r="AO30" s="75" t="n"/>
      <c r="AP30" s="75" t="n"/>
      <c r="AQ30" s="75" t="n"/>
      <c r="AR30" s="75" t="n"/>
      <c r="AS30" s="75" t="n"/>
      <c r="AT30" s="75" t="n"/>
      <c r="AU30" s="75" t="n"/>
      <c r="AV30" s="75" t="n"/>
      <c r="AW30" s="75" t="n"/>
      <c r="AX30" s="206" t="n"/>
      <c r="AY30" s="206" t="n"/>
      <c r="AZ30" s="206" t="n"/>
      <c r="BA30" s="75" t="n"/>
      <c r="BB30" s="75" t="n"/>
      <c r="BC30" s="206" t="n"/>
      <c r="BD30" s="75" t="n"/>
    </row>
    <row r="31" customFormat="1" s="3">
      <c r="A31" s="548" t="inlineStr">
        <is>
          <t>CAIXAS BOTICÁRIO</t>
        </is>
      </c>
      <c r="B31" s="12" t="n"/>
      <c r="C31" s="631" t="n"/>
      <c r="D31" s="631" t="n"/>
      <c r="E31" s="1" t="n"/>
      <c r="F31" s="619" t="n">
        <v>46006</v>
      </c>
      <c r="G31" s="619" t="n">
        <v>46013</v>
      </c>
      <c r="H31" s="619" t="n">
        <v>46020</v>
      </c>
      <c r="I31" s="619" t="n">
        <v>46027</v>
      </c>
      <c r="J31" s="619" t="n">
        <v>46034</v>
      </c>
      <c r="K31" s="619" t="n">
        <v>46041</v>
      </c>
      <c r="L31" s="619" t="n">
        <v>46048</v>
      </c>
      <c r="M31" s="619" t="n">
        <v>46055</v>
      </c>
      <c r="N31" s="619" t="n">
        <v>46062</v>
      </c>
      <c r="O31" s="619" t="n">
        <v>46069</v>
      </c>
      <c r="P31" s="619" t="n">
        <v>46076</v>
      </c>
      <c r="Q31" s="619" t="n">
        <v>46083</v>
      </c>
      <c r="R31" s="619" t="n">
        <v>46090</v>
      </c>
      <c r="S31" s="619" t="n">
        <v>46097</v>
      </c>
      <c r="T31" s="619" t="n">
        <v>46104</v>
      </c>
      <c r="U31" s="619" t="n">
        <v>46111</v>
      </c>
      <c r="V31" s="619" t="n">
        <v>46118</v>
      </c>
      <c r="W31" s="619" t="n">
        <v>46125</v>
      </c>
      <c r="X31" s="619" t="n">
        <v>46132</v>
      </c>
      <c r="Y31" s="619" t="n">
        <v>46139</v>
      </c>
      <c r="Z31" s="619" t="n">
        <v>46146</v>
      </c>
      <c r="AA31" s="621" t="inlineStr">
        <is>
          <t>USOU</t>
        </is>
      </c>
      <c r="AB31" s="11" t="n"/>
      <c r="AC31" s="29" t="inlineStr">
        <is>
          <t>Pendências</t>
        </is>
      </c>
      <c r="AD31" s="29" t="inlineStr">
        <is>
          <t>Pendências</t>
        </is>
      </c>
      <c r="AE31" s="11" t="n"/>
      <c r="AF31" s="9" t="inlineStr">
        <is>
          <t>Novo Pedido</t>
        </is>
      </c>
      <c r="AG31" s="1" t="n"/>
      <c r="AH31" s="674" t="n">
        <v>46149</v>
      </c>
      <c r="AI31" s="674" t="n">
        <v>46142</v>
      </c>
      <c r="AJ31" s="674" t="n">
        <v>46114</v>
      </c>
      <c r="AK31" s="674" t="n">
        <v>46099</v>
      </c>
      <c r="AL31" s="675" t="n">
        <v>46065</v>
      </c>
      <c r="AM31" s="674" t="n">
        <v>46077</v>
      </c>
      <c r="AN31" s="676" t="n">
        <v>46045</v>
      </c>
      <c r="AO31" s="674" t="n">
        <v>46056</v>
      </c>
      <c r="AP31" s="674" t="n">
        <v>46017</v>
      </c>
      <c r="AQ31" s="674" t="n">
        <v>46007</v>
      </c>
      <c r="AR31" s="674" t="n">
        <v>46001</v>
      </c>
      <c r="AS31" s="674" t="n">
        <v>45994</v>
      </c>
      <c r="AT31" s="674" t="n">
        <v>45986</v>
      </c>
      <c r="AU31" s="674" t="n">
        <v>45980</v>
      </c>
      <c r="AV31" s="674" t="n">
        <v>45980</v>
      </c>
      <c r="AW31" s="674" t="n">
        <v>45973</v>
      </c>
      <c r="AX31" s="677" t="n">
        <v>45982</v>
      </c>
      <c r="AY31" s="677" t="n">
        <v>45979</v>
      </c>
      <c r="AZ31" s="693" t="n">
        <v>45974</v>
      </c>
      <c r="BA31" s="693" t="n">
        <v>45972</v>
      </c>
      <c r="BB31" s="691" t="n">
        <v>45968</v>
      </c>
      <c r="BC31" s="677" t="n">
        <v>45967</v>
      </c>
      <c r="BD31" s="692" t="n">
        <v>45942</v>
      </c>
    </row>
    <row r="32" customFormat="1" s="3">
      <c r="A32" s="25" t="inlineStr">
        <is>
          <t>KIT CAIXA P VERDE</t>
        </is>
      </c>
      <c r="B32" s="139" t="n">
        <v>75</v>
      </c>
      <c r="C32" s="634" t="n">
        <v>225.67</v>
      </c>
      <c r="D32" s="240" t="n"/>
      <c r="E32" s="1" t="n"/>
      <c r="F32" s="39" t="n">
        <v>5</v>
      </c>
      <c r="G32" s="39" t="n">
        <v>5</v>
      </c>
      <c r="H32" s="39" t="n">
        <v>5</v>
      </c>
      <c r="I32" s="39" t="n">
        <v>5</v>
      </c>
      <c r="J32" s="39" t="n">
        <v>5</v>
      </c>
      <c r="K32" s="39" t="n">
        <v>5</v>
      </c>
      <c r="L32" s="39" t="n">
        <v>5</v>
      </c>
      <c r="M32" s="39" t="n">
        <v>5</v>
      </c>
      <c r="N32" s="39" t="n">
        <v>5</v>
      </c>
      <c r="O32" s="39" t="n">
        <v>5</v>
      </c>
      <c r="P32" s="39" t="n">
        <v>5</v>
      </c>
      <c r="Q32" s="39" t="n">
        <v>5</v>
      </c>
      <c r="R32" s="39" t="n">
        <v>5</v>
      </c>
      <c r="S32" s="39" t="n">
        <v>5</v>
      </c>
      <c r="T32" s="39" t="n">
        <v>5</v>
      </c>
      <c r="U32" s="39" t="n">
        <v>5</v>
      </c>
      <c r="V32" s="39" t="n"/>
      <c r="W32" s="39" t="n"/>
      <c r="X32" s="39" t="n"/>
      <c r="Y32" s="39" t="n"/>
      <c r="Z32" s="39" t="n"/>
      <c r="AA32" s="26">
        <f>Y32+IF(NOT(ISBLANK(OFFSET(AA32,0,6))),N(OFFSET(AA32,0,6)),N(OFFSET(AA32,0,7)))-Z32</f>
        <v/>
      </c>
      <c r="AB32" s="11" t="n"/>
      <c r="AC32" s="78" t="n"/>
      <c r="AD32" s="78" t="n"/>
      <c r="AE32" s="1" t="n"/>
      <c r="AF32" s="32" t="n"/>
      <c r="AG32" s="1" t="n"/>
      <c r="AH32" s="19" t="n">
        <v>0</v>
      </c>
      <c r="AI32" s="19" t="n">
        <v>0</v>
      </c>
      <c r="AJ32" s="19" t="n">
        <v>0</v>
      </c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19" t="n"/>
      <c r="AY32" s="119" t="n"/>
      <c r="AZ32" s="251" t="inlineStr">
        <is>
          <t>50 DE ERJ</t>
        </is>
      </c>
      <c r="BA32" s="19" t="n"/>
      <c r="BB32" s="19" t="n"/>
      <c r="BC32" s="260" t="inlineStr">
        <is>
          <t>05 DE ERJ</t>
        </is>
      </c>
      <c r="BD32" s="19" t="n"/>
    </row>
    <row r="33" customFormat="1" s="3">
      <c r="A33" s="25" t="inlineStr">
        <is>
          <t>KIT CAIXA M VERDE</t>
        </is>
      </c>
      <c r="B33" s="139" t="n">
        <v>75</v>
      </c>
      <c r="C33" s="632" t="n">
        <v>294.59</v>
      </c>
      <c r="D33" s="240" t="n"/>
      <c r="E33" s="1" t="n"/>
      <c r="F33" s="39" t="n">
        <v>0</v>
      </c>
      <c r="G33" s="39" t="n">
        <v>0</v>
      </c>
      <c r="H33" s="39" t="n">
        <v>0</v>
      </c>
      <c r="I33" s="39" t="n">
        <v>0</v>
      </c>
      <c r="J33" s="39" t="n">
        <v>0</v>
      </c>
      <c r="K33" s="39" t="n">
        <v>0</v>
      </c>
      <c r="L33" s="39" t="n">
        <v>0</v>
      </c>
      <c r="M33" s="39" t="n">
        <v>0</v>
      </c>
      <c r="N33" s="39" t="n">
        <v>0</v>
      </c>
      <c r="O33" s="39" t="n">
        <v>0</v>
      </c>
      <c r="P33" s="39" t="n">
        <v>0</v>
      </c>
      <c r="Q33" s="39" t="n">
        <v>0</v>
      </c>
      <c r="R33" s="39" t="n">
        <v>0</v>
      </c>
      <c r="S33" s="39" t="n">
        <v>0</v>
      </c>
      <c r="T33" s="39" t="n">
        <v>0</v>
      </c>
      <c r="U33" s="39" t="n">
        <v>0</v>
      </c>
      <c r="V33" s="39" t="n"/>
      <c r="W33" s="39" t="n"/>
      <c r="X33" s="39" t="n"/>
      <c r="Y33" s="39" t="n"/>
      <c r="Z33" s="39" t="n"/>
      <c r="AA33" s="26">
        <f>Y33+IF(NOT(ISBLANK(OFFSET(AA33,0,6))),N(OFFSET(AA33,0,6)),N(OFFSET(AA33,0,7)))-Z33</f>
        <v/>
      </c>
      <c r="AB33" s="11" t="n"/>
      <c r="AC33" s="78" t="n"/>
      <c r="AD33" s="78" t="n"/>
      <c r="AF33" s="32" t="n"/>
      <c r="AH33" s="19" t="n">
        <v>0</v>
      </c>
      <c r="AI33" s="19" t="n">
        <v>0</v>
      </c>
      <c r="AJ33" s="19" t="n">
        <v>0</v>
      </c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19" t="n"/>
      <c r="AY33" s="119" t="n"/>
      <c r="AZ33" s="251" t="inlineStr">
        <is>
          <t>70 DE ERJ</t>
        </is>
      </c>
      <c r="BA33" s="19" t="n"/>
      <c r="BB33" s="19" t="n"/>
      <c r="BC33" s="119" t="n"/>
      <c r="BD33" s="258" t="inlineStr">
        <is>
          <t>30 DE ERJ</t>
        </is>
      </c>
    </row>
    <row r="34">
      <c r="A34" s="25" t="inlineStr">
        <is>
          <t>KIT CAIXA G VERDE</t>
        </is>
      </c>
      <c r="B34" s="139" t="n">
        <v>50</v>
      </c>
      <c r="C34" s="632" t="n">
        <v>346.84</v>
      </c>
      <c r="D34" s="240" t="n"/>
      <c r="F34" s="39" t="n">
        <v>3</v>
      </c>
      <c r="G34" s="39" t="n">
        <v>3</v>
      </c>
      <c r="H34" s="39" t="n">
        <v>3</v>
      </c>
      <c r="I34" s="39" t="n">
        <v>3</v>
      </c>
      <c r="J34" s="39" t="n">
        <v>3</v>
      </c>
      <c r="K34" s="39" t="n">
        <v>3</v>
      </c>
      <c r="L34" s="39" t="n">
        <v>3</v>
      </c>
      <c r="M34" s="39" t="n">
        <v>3</v>
      </c>
      <c r="N34" s="39" t="n">
        <v>3</v>
      </c>
      <c r="O34" s="39" t="n">
        <v>3</v>
      </c>
      <c r="P34" s="39" t="n">
        <v>3</v>
      </c>
      <c r="Q34" s="39" t="n">
        <v>3</v>
      </c>
      <c r="R34" s="39" t="n">
        <v>3</v>
      </c>
      <c r="S34" s="39" t="n">
        <v>2</v>
      </c>
      <c r="T34" s="39" t="n">
        <v>2</v>
      </c>
      <c r="U34" s="39" t="n">
        <v>2</v>
      </c>
      <c r="V34" s="39" t="n"/>
      <c r="W34" s="39" t="n"/>
      <c r="X34" s="39" t="n"/>
      <c r="Y34" s="39" t="n"/>
      <c r="Z34" s="39" t="n"/>
      <c r="AA34" s="26">
        <f>Y34+IF(NOT(ISBLANK(OFFSET(AA34,0,6))),N(OFFSET(AA34,0,6)),N(OFFSET(AA34,0,7)))-Z34</f>
        <v/>
      </c>
      <c r="AC34" s="78" t="n"/>
      <c r="AD34" s="78" t="n"/>
      <c r="AE34" s="1" t="n"/>
      <c r="AF34" s="32" t="n"/>
      <c r="AG34" s="1" t="n"/>
      <c r="AH34" s="19" t="n">
        <v>0</v>
      </c>
      <c r="AI34" s="19" t="n">
        <v>0</v>
      </c>
      <c r="AJ34" s="19" t="n">
        <v>0</v>
      </c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19" t="n"/>
      <c r="AY34" s="119" t="n"/>
      <c r="AZ34" s="251" t="inlineStr">
        <is>
          <t>20 DE ERJ</t>
        </is>
      </c>
      <c r="BA34" s="19" t="n"/>
      <c r="BB34" s="283" t="inlineStr">
        <is>
          <t>10 DE CDJ</t>
        </is>
      </c>
      <c r="BC34" s="260" t="inlineStr">
        <is>
          <t>03 DE ERJ</t>
        </is>
      </c>
      <c r="BD34" s="258" t="inlineStr">
        <is>
          <t>40 DE ERJ</t>
        </is>
      </c>
    </row>
    <row r="35" hidden="1">
      <c r="A35" s="23" t="n"/>
      <c r="B35" s="1" t="n"/>
      <c r="C35" s="630" t="n"/>
      <c r="D35" s="630" t="n"/>
      <c r="F35" s="2" t="n"/>
      <c r="G35" s="2" t="n"/>
      <c r="H35" s="2" t="n"/>
      <c r="I35" s="2" t="n"/>
      <c r="J35" s="2" t="n"/>
      <c r="K35" s="2" t="n"/>
      <c r="L35" s="2" t="n"/>
      <c r="M35" s="2" t="n"/>
      <c r="N35" s="2" t="n"/>
      <c r="O35" s="2" t="n"/>
      <c r="P35" s="2" t="n"/>
      <c r="Q35" s="2" t="n"/>
      <c r="R35" s="2" t="n"/>
      <c r="S35" s="2" t="n"/>
      <c r="T35" s="2" t="n"/>
      <c r="U35" s="2" t="n"/>
      <c r="V35" s="2" t="n"/>
      <c r="W35" s="2" t="n"/>
      <c r="X35" s="2" t="n"/>
      <c r="Y35" s="2" t="n"/>
      <c r="Z35" s="2" t="n"/>
      <c r="AE35" s="1" t="n"/>
      <c r="AF35" s="33" t="n"/>
      <c r="AG35" s="1" t="n"/>
      <c r="AH35" s="75" t="n"/>
      <c r="AI35" s="75" t="n"/>
      <c r="AJ35" s="75" t="n"/>
      <c r="AK35" s="75" t="n"/>
      <c r="AL35" s="75" t="n"/>
      <c r="AM35" s="75" t="n"/>
      <c r="AN35" s="75" t="n"/>
      <c r="AO35" s="75" t="n"/>
      <c r="AP35" s="75" t="n"/>
      <c r="AQ35" s="75" t="n"/>
      <c r="AR35" s="75" t="n"/>
      <c r="AS35" s="75" t="n"/>
      <c r="AT35" s="75" t="n"/>
      <c r="AU35" s="75" t="n"/>
      <c r="AV35" s="75" t="n"/>
      <c r="AW35" s="75" t="n"/>
      <c r="AX35" s="206" t="n"/>
      <c r="AY35" s="206" t="n"/>
      <c r="AZ35" s="251" t="inlineStr">
        <is>
          <t>70 DE ERJ</t>
        </is>
      </c>
      <c r="BA35" s="75" t="n"/>
      <c r="BB35" s="75" t="n"/>
      <c r="BC35" s="206" t="n"/>
      <c r="BD35" s="75" t="n"/>
    </row>
    <row r="36" hidden="1">
      <c r="A36" s="548" t="inlineStr">
        <is>
          <t xml:space="preserve">SACOLAS OMNI </t>
        </is>
      </c>
      <c r="B36" s="12" t="inlineStr">
        <is>
          <t>PC</t>
        </is>
      </c>
      <c r="C36" s="12" t="n"/>
      <c r="D36" s="12" t="inlineStr">
        <is>
          <t>Estoque Ideal</t>
        </is>
      </c>
      <c r="F36" s="619" t="n"/>
      <c r="G36" s="619" t="n"/>
      <c r="H36" s="619" t="n"/>
      <c r="I36" s="619" t="n"/>
      <c r="J36" s="619" t="n"/>
      <c r="K36" s="619" t="n"/>
      <c r="L36" s="619" t="n"/>
      <c r="M36" s="619" t="n"/>
      <c r="N36" s="619" t="n"/>
      <c r="O36" s="619" t="n"/>
      <c r="P36" s="619" t="n"/>
      <c r="Q36" s="619" t="n"/>
      <c r="R36" s="619" t="n"/>
      <c r="S36" s="619" t="n"/>
      <c r="T36" s="619" t="n"/>
      <c r="U36" s="619" t="n"/>
      <c r="V36" s="619" t="n"/>
      <c r="W36" s="619" t="n"/>
      <c r="X36" s="619" t="n"/>
      <c r="Y36" s="619" t="n"/>
      <c r="Z36" s="619" t="n"/>
      <c r="AA36" s="621" t="inlineStr">
        <is>
          <t>USOU</t>
        </is>
      </c>
      <c r="AC36" s="29" t="inlineStr">
        <is>
          <t>Pendências</t>
        </is>
      </c>
      <c r="AD36" s="29" t="inlineStr">
        <is>
          <t>Pendências</t>
        </is>
      </c>
      <c r="AE36" s="1" t="n"/>
      <c r="AF36" s="9" t="inlineStr">
        <is>
          <t>Novo Pedido</t>
        </is>
      </c>
      <c r="AG36" s="1" t="n"/>
      <c r="AH36" s="674" t="n"/>
      <c r="AI36" s="674" t="n"/>
      <c r="AJ36" s="674" t="n"/>
      <c r="AK36" s="674" t="n"/>
      <c r="AL36" s="674" t="n"/>
      <c r="AM36" s="674" t="n"/>
      <c r="AN36" s="674" t="n"/>
      <c r="AO36" s="674" t="n"/>
      <c r="AP36" s="674" t="n"/>
      <c r="AQ36" s="674" t="n"/>
      <c r="AR36" s="674" t="n"/>
      <c r="AS36" s="674" t="n">
        <v>45994</v>
      </c>
      <c r="AT36" s="674" t="n">
        <v>45986</v>
      </c>
      <c r="AU36" s="674" t="n">
        <v>45980</v>
      </c>
      <c r="AV36" s="674" t="n">
        <v>45980</v>
      </c>
      <c r="AW36" s="674" t="n">
        <v>45973</v>
      </c>
      <c r="AX36" s="677" t="n">
        <v>45982</v>
      </c>
      <c r="AY36" s="677" t="n">
        <v>45979</v>
      </c>
      <c r="AZ36" s="693" t="n">
        <v>45974</v>
      </c>
      <c r="BA36" s="693" t="n">
        <v>45972</v>
      </c>
      <c r="BB36" s="691" t="n">
        <v>45968</v>
      </c>
      <c r="BC36" s="677" t="n">
        <v>45967</v>
      </c>
      <c r="BD36" s="692" t="n">
        <v>45964</v>
      </c>
    </row>
    <row r="37" hidden="1">
      <c r="A37" s="25" t="inlineStr">
        <is>
          <t>KIT OVERBAG OMNI P</t>
        </is>
      </c>
      <c r="B37" s="6" t="n">
        <v>25</v>
      </c>
      <c r="C37" s="632" t="n">
        <v>41.75</v>
      </c>
      <c r="D37" s="240" t="n"/>
      <c r="F37" s="72" t="n"/>
      <c r="G37" s="72" t="n"/>
      <c r="H37" s="72" t="n"/>
      <c r="I37" s="72" t="n"/>
      <c r="J37" s="72" t="n"/>
      <c r="K37" s="72" t="n"/>
      <c r="L37" s="72" t="n"/>
      <c r="M37" s="72" t="n"/>
      <c r="N37" s="72" t="n"/>
      <c r="O37" s="72" t="n"/>
      <c r="P37" s="72" t="n"/>
      <c r="Q37" s="72" t="n"/>
      <c r="R37" s="72" t="n"/>
      <c r="S37" s="72" t="n"/>
      <c r="T37" s="72" t="n"/>
      <c r="U37" s="72" t="n"/>
      <c r="V37" s="72" t="n"/>
      <c r="W37" s="72" t="n"/>
      <c r="X37" s="72" t="n"/>
      <c r="Y37" s="72" t="n"/>
      <c r="Z37" s="72" t="n"/>
      <c r="AA37" s="26">
        <f>Y37+IF(NOT(ISBLANK(OFFSET(AA37,0,6))),N(OFFSET(AA37,0,6)),N(OFFSET(AA37,0,7)))-Z37</f>
        <v/>
      </c>
      <c r="AC37" s="78" t="n"/>
      <c r="AD37" s="78" t="n"/>
      <c r="AE37" s="1" t="n"/>
      <c r="AF37" s="32" t="n"/>
      <c r="AG37" s="1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19" t="n"/>
      <c r="AY37" s="119" t="n"/>
      <c r="AZ37" s="119" t="n"/>
      <c r="BA37" s="19" t="n"/>
      <c r="BB37" s="19" t="n"/>
      <c r="BC37" s="119" t="n"/>
      <c r="BD37" s="19" t="n"/>
    </row>
    <row r="38" hidden="1">
      <c r="A38" s="25" t="inlineStr">
        <is>
          <t>KIT OVERBAG OMNI M</t>
        </is>
      </c>
      <c r="B38" s="6" t="n">
        <v>25</v>
      </c>
      <c r="C38" s="632" t="n">
        <v>57</v>
      </c>
      <c r="D38" s="240" t="n"/>
      <c r="F38" s="72" t="n"/>
      <c r="G38" s="72" t="n"/>
      <c r="H38" s="72" t="n"/>
      <c r="I38" s="72" t="n"/>
      <c r="J38" s="72" t="n"/>
      <c r="K38" s="72" t="n"/>
      <c r="L38" s="72" t="n"/>
      <c r="M38" s="72" t="n"/>
      <c r="N38" s="72" t="n"/>
      <c r="O38" s="72" t="n"/>
      <c r="P38" s="72" t="n"/>
      <c r="Q38" s="72" t="n"/>
      <c r="R38" s="72" t="n"/>
      <c r="S38" s="72" t="n"/>
      <c r="T38" s="72" t="n"/>
      <c r="U38" s="72" t="n"/>
      <c r="V38" s="72" t="n"/>
      <c r="W38" s="72" t="n"/>
      <c r="X38" s="72" t="n"/>
      <c r="Y38" s="72" t="n"/>
      <c r="Z38" s="72" t="n"/>
      <c r="AA38" s="26">
        <f>Y38+IF(NOT(ISBLANK(OFFSET(AA38,0,6))),N(OFFSET(AA38,0,6)),N(OFFSET(AA38,0,7)))-Z38</f>
        <v/>
      </c>
      <c r="AC38" s="78" t="n"/>
      <c r="AD38" s="78" t="n"/>
      <c r="AE38" s="1" t="n"/>
      <c r="AF38" s="32" t="n"/>
      <c r="AG38" s="1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19" t="n"/>
      <c r="AY38" s="119" t="n"/>
      <c r="AZ38" s="119" t="n"/>
      <c r="BA38" s="19" t="n"/>
      <c r="BB38" s="19" t="n"/>
      <c r="BC38" s="119" t="n"/>
      <c r="BD38" s="19" t="n"/>
    </row>
    <row r="39">
      <c r="A39" s="23" t="n"/>
      <c r="B39" s="1" t="n"/>
      <c r="C39" s="630" t="n"/>
      <c r="D39" s="630" t="n"/>
      <c r="F39" s="2" t="n"/>
      <c r="G39" s="2" t="n"/>
      <c r="H39" s="2" t="n"/>
      <c r="I39" s="2" t="n"/>
      <c r="J39" s="2" t="n"/>
      <c r="K39" s="2" t="n"/>
      <c r="L39" s="2" t="n"/>
      <c r="M39" s="2" t="n"/>
      <c r="N39" s="2" t="n"/>
      <c r="O39" s="2" t="n"/>
      <c r="P39" s="2" t="n"/>
      <c r="Q39" s="2" t="n"/>
      <c r="R39" s="2" t="n"/>
      <c r="S39" s="2" t="n"/>
      <c r="T39" s="2" t="n"/>
      <c r="U39" s="2" t="n"/>
      <c r="V39" s="2" t="n"/>
      <c r="W39" s="2" t="n"/>
      <c r="X39" s="2" t="n"/>
      <c r="Y39" s="2" t="n"/>
      <c r="Z39" s="2" t="n"/>
      <c r="AC39" s="10" t="n"/>
      <c r="AD39" s="10" t="n"/>
      <c r="AE39" s="1" t="n"/>
      <c r="AF39" s="33" t="n"/>
      <c r="AG39" s="1" t="n"/>
      <c r="AH39" s="75" t="n"/>
      <c r="AI39" s="75" t="n"/>
      <c r="AJ39" s="75" t="n"/>
      <c r="AK39" s="75" t="n"/>
      <c r="AL39" s="75" t="n"/>
      <c r="AM39" s="75" t="n"/>
      <c r="AN39" s="75" t="n"/>
      <c r="AO39" s="75" t="n"/>
      <c r="AP39" s="75" t="n"/>
      <c r="AQ39" s="75" t="n"/>
      <c r="AR39" s="75" t="n"/>
      <c r="AS39" s="75" t="n"/>
      <c r="AT39" s="75" t="n"/>
      <c r="AU39" s="75" t="n"/>
      <c r="AV39" s="75" t="n"/>
      <c r="AW39" s="75" t="n"/>
      <c r="AX39" s="206" t="n"/>
      <c r="AY39" s="206" t="n"/>
      <c r="AZ39" s="206" t="n"/>
      <c r="BA39" s="75" t="n"/>
      <c r="BB39" s="75" t="n"/>
      <c r="BC39" s="206" t="n"/>
      <c r="BD39" s="75" t="n"/>
    </row>
    <row r="40">
      <c r="A40" s="147" t="inlineStr">
        <is>
          <t>SACOLAS/SACO/DIVERSOS OUI</t>
        </is>
      </c>
      <c r="B40" s="148" t="n"/>
      <c r="C40" s="148" t="n"/>
      <c r="D40" s="148" t="n"/>
      <c r="E40" s="1" t="n"/>
      <c r="F40" s="619" t="n">
        <v>46006</v>
      </c>
      <c r="G40" s="619" t="n">
        <v>46013</v>
      </c>
      <c r="H40" s="619" t="n">
        <v>46020</v>
      </c>
      <c r="I40" s="619" t="n">
        <v>46027</v>
      </c>
      <c r="J40" s="619" t="n">
        <v>46034</v>
      </c>
      <c r="K40" s="619" t="n">
        <v>46041</v>
      </c>
      <c r="L40" s="619" t="n">
        <v>46048</v>
      </c>
      <c r="M40" s="619" t="n">
        <v>46055</v>
      </c>
      <c r="N40" s="619" t="n">
        <v>46062</v>
      </c>
      <c r="O40" s="619" t="n">
        <v>46069</v>
      </c>
      <c r="P40" s="619" t="n">
        <v>46076</v>
      </c>
      <c r="Q40" s="619" t="n">
        <v>46083</v>
      </c>
      <c r="R40" s="619" t="n">
        <v>46090</v>
      </c>
      <c r="S40" s="619" t="n">
        <v>46097</v>
      </c>
      <c r="T40" s="619" t="n">
        <v>46104</v>
      </c>
      <c r="U40" s="619" t="n">
        <v>46111</v>
      </c>
      <c r="V40" s="619" t="n">
        <v>46118</v>
      </c>
      <c r="W40" s="619" t="n">
        <v>46125</v>
      </c>
      <c r="X40" s="619" t="n">
        <v>46132</v>
      </c>
      <c r="Y40" s="619" t="n">
        <v>46139</v>
      </c>
      <c r="Z40" s="619" t="n">
        <v>46146</v>
      </c>
      <c r="AA40" s="621" t="inlineStr">
        <is>
          <t>USOU</t>
        </is>
      </c>
      <c r="AB40" s="41" t="n"/>
      <c r="AC40" s="29" t="inlineStr">
        <is>
          <t>Pendências</t>
        </is>
      </c>
      <c r="AD40" s="29" t="inlineStr">
        <is>
          <t>Pendências</t>
        </is>
      </c>
      <c r="AF40" s="9" t="inlineStr">
        <is>
          <t>Novo Pedido</t>
        </is>
      </c>
      <c r="AG40" s="41" t="n"/>
      <c r="AH40" s="674" t="n">
        <v>46149</v>
      </c>
      <c r="AI40" s="674" t="n">
        <v>46142</v>
      </c>
      <c r="AJ40" s="674" t="n">
        <v>46114</v>
      </c>
      <c r="AK40" s="674" t="n">
        <v>46099</v>
      </c>
      <c r="AL40" s="675" t="n">
        <v>46065</v>
      </c>
      <c r="AM40" s="674" t="n">
        <v>46077</v>
      </c>
      <c r="AN40" s="676" t="n">
        <v>46045</v>
      </c>
      <c r="AO40" s="674" t="n">
        <v>46056</v>
      </c>
      <c r="AP40" s="674" t="n">
        <v>46017</v>
      </c>
      <c r="AQ40" s="674" t="n">
        <v>46007</v>
      </c>
      <c r="AR40" s="674" t="n">
        <v>46001</v>
      </c>
      <c r="AS40" s="674" t="n">
        <v>45994</v>
      </c>
      <c r="AT40" s="674" t="n">
        <v>45986</v>
      </c>
      <c r="AU40" s="674" t="n">
        <v>45980</v>
      </c>
      <c r="AV40" s="674" t="n">
        <v>45980</v>
      </c>
      <c r="AW40" s="674" t="n">
        <v>45973</v>
      </c>
      <c r="AX40" s="677" t="n">
        <v>45982</v>
      </c>
      <c r="AY40" s="677" t="n">
        <v>45979</v>
      </c>
      <c r="AZ40" s="693" t="n">
        <v>45974</v>
      </c>
      <c r="BA40" s="693" t="n">
        <v>45972</v>
      </c>
      <c r="BB40" s="691" t="n">
        <v>45968</v>
      </c>
      <c r="BC40" s="677" t="n">
        <v>45967</v>
      </c>
      <c r="BD40" s="692" t="n">
        <v>45964</v>
      </c>
    </row>
    <row r="41">
      <c r="A41" s="25" t="inlineStr">
        <is>
          <t>SACOLA P OUI</t>
        </is>
      </c>
      <c r="B41" s="72" t="n">
        <v>150</v>
      </c>
      <c r="C41" s="639" t="n">
        <v>453.38</v>
      </c>
      <c r="D41" s="240" t="n"/>
      <c r="E41" s="41" t="n"/>
      <c r="F41" s="72" t="n">
        <v>3</v>
      </c>
      <c r="G41" s="72" t="n">
        <v>3</v>
      </c>
      <c r="H41" s="72" t="n">
        <v>3</v>
      </c>
      <c r="I41" s="72" t="n">
        <v>3</v>
      </c>
      <c r="J41" s="72" t="n">
        <v>3</v>
      </c>
      <c r="K41" s="72" t="n">
        <v>3</v>
      </c>
      <c r="L41" s="72" t="n">
        <v>3</v>
      </c>
      <c r="M41" s="72" t="n">
        <v>3</v>
      </c>
      <c r="N41" s="72" t="n">
        <v>3</v>
      </c>
      <c r="O41" s="72" t="n">
        <v>3</v>
      </c>
      <c r="P41" s="72" t="n">
        <v>3</v>
      </c>
      <c r="Q41" s="72" t="n">
        <v>3</v>
      </c>
      <c r="R41" s="72" t="n">
        <v>3</v>
      </c>
      <c r="S41" s="72" t="n">
        <v>3</v>
      </c>
      <c r="T41" s="72" t="n">
        <v>3</v>
      </c>
      <c r="U41" s="72" t="n">
        <v>3</v>
      </c>
      <c r="V41" s="72" t="n"/>
      <c r="W41" s="72" t="n"/>
      <c r="X41" s="72" t="n"/>
      <c r="Y41" s="72" t="n"/>
      <c r="Z41" s="72" t="n"/>
      <c r="AA41" s="26">
        <f>Y41+IF(NOT(ISBLANK(OFFSET(AA41,0,6))),N(OFFSET(AA41,0,6)),N(OFFSET(AA41,0,7)))-Z41</f>
        <v/>
      </c>
      <c r="AB41" s="41" t="n"/>
      <c r="AC41" s="138" t="n"/>
      <c r="AD41" s="138" t="n"/>
      <c r="AE41" s="1" t="n"/>
      <c r="AF41" s="32" t="n"/>
      <c r="AG41" s="41" t="n"/>
      <c r="AH41" s="19" t="n">
        <v>0</v>
      </c>
      <c r="AI41" s="19" t="n">
        <v>0</v>
      </c>
      <c r="AJ41" s="19" t="n">
        <v>0</v>
      </c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19" t="n"/>
      <c r="AY41" s="119" t="n"/>
      <c r="AZ41" s="119" t="n"/>
      <c r="BA41" s="19" t="n"/>
      <c r="BB41" s="19" t="n"/>
      <c r="BC41" s="260" t="inlineStr">
        <is>
          <t>04 DE CDJ</t>
        </is>
      </c>
      <c r="BD41" s="19" t="n"/>
    </row>
    <row r="42">
      <c r="A42" s="25" t="inlineStr">
        <is>
          <t>SACOLA M OUI</t>
        </is>
      </c>
      <c r="B42" s="72" t="n">
        <v>100</v>
      </c>
      <c r="C42" s="639" t="n">
        <v>355.78</v>
      </c>
      <c r="D42" s="240" t="n"/>
      <c r="E42" s="41" t="n"/>
      <c r="F42" s="72" t="n">
        <v>0</v>
      </c>
      <c r="G42" s="72" t="n">
        <v>0</v>
      </c>
      <c r="H42" s="72" t="n">
        <v>0</v>
      </c>
      <c r="I42" s="72" t="n">
        <v>0</v>
      </c>
      <c r="J42" s="72" t="n">
        <v>0</v>
      </c>
      <c r="K42" s="72" t="n">
        <v>0</v>
      </c>
      <c r="L42" s="72" t="n">
        <v>0</v>
      </c>
      <c r="M42" s="72" t="n">
        <v>0</v>
      </c>
      <c r="N42" s="72" t="n">
        <v>0</v>
      </c>
      <c r="O42" s="72" t="n">
        <v>0</v>
      </c>
      <c r="P42" s="72" t="n">
        <v>0</v>
      </c>
      <c r="Q42" s="72" t="n">
        <v>0</v>
      </c>
      <c r="R42" s="72" t="n">
        <v>0</v>
      </c>
      <c r="S42" s="72" t="n">
        <v>0</v>
      </c>
      <c r="T42" s="72" t="n">
        <v>0</v>
      </c>
      <c r="U42" s="72" t="n">
        <v>0</v>
      </c>
      <c r="V42" s="72" t="n"/>
      <c r="W42" s="72" t="n"/>
      <c r="X42" s="72" t="n"/>
      <c r="Y42" s="72" t="n"/>
      <c r="Z42" s="72" t="n"/>
      <c r="AA42" s="26">
        <f>Y42+IF(NOT(ISBLANK(OFFSET(AA42,0,6))),N(OFFSET(AA42,0,6)),N(OFFSET(AA42,0,7)))-Z42</f>
        <v/>
      </c>
      <c r="AB42" s="41" t="n"/>
      <c r="AC42" s="78" t="n"/>
      <c r="AD42" s="78" t="n"/>
      <c r="AE42" s="1" t="n"/>
      <c r="AF42" s="32" t="n"/>
      <c r="AG42" s="41" t="n"/>
      <c r="AH42" s="19" t="n">
        <v>0</v>
      </c>
      <c r="AI42" s="19" t="n">
        <v>0</v>
      </c>
      <c r="AJ42" s="19" t="n">
        <v>0</v>
      </c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19" t="n"/>
      <c r="AY42" s="119" t="n"/>
      <c r="AZ42" s="119" t="n"/>
      <c r="BA42" s="19" t="n"/>
      <c r="BB42" s="19" t="n"/>
      <c r="BC42" s="260" t="inlineStr">
        <is>
          <t>05 DE ERJ</t>
        </is>
      </c>
      <c r="BD42" s="19" t="n"/>
    </row>
    <row r="43">
      <c r="A43" s="25" t="inlineStr">
        <is>
          <t>SACOLA G OUI</t>
        </is>
      </c>
      <c r="B43" s="72" t="n">
        <v>50</v>
      </c>
      <c r="C43" s="639" t="n">
        <v>249.26</v>
      </c>
      <c r="D43" s="240" t="n"/>
      <c r="E43" s="41" t="n"/>
      <c r="F43" s="72" t="n">
        <v>5</v>
      </c>
      <c r="G43" s="72" t="n">
        <v>5</v>
      </c>
      <c r="H43" s="72" t="n">
        <v>5</v>
      </c>
      <c r="I43" s="72" t="n">
        <v>5</v>
      </c>
      <c r="J43" s="72" t="n">
        <v>5</v>
      </c>
      <c r="K43" s="72" t="n">
        <v>5</v>
      </c>
      <c r="L43" s="72" t="n">
        <v>5</v>
      </c>
      <c r="M43" s="72" t="n">
        <v>5</v>
      </c>
      <c r="N43" s="72" t="n">
        <v>5</v>
      </c>
      <c r="O43" s="72" t="n">
        <v>5</v>
      </c>
      <c r="P43" s="72" t="n">
        <v>5</v>
      </c>
      <c r="Q43" s="72" t="n">
        <v>5</v>
      </c>
      <c r="R43" s="72" t="n">
        <v>5</v>
      </c>
      <c r="S43" s="72" t="n">
        <v>5</v>
      </c>
      <c r="T43" s="72" t="n">
        <v>4</v>
      </c>
      <c r="U43" s="72" t="n">
        <v>4</v>
      </c>
      <c r="V43" s="72" t="n"/>
      <c r="W43" s="72" t="n"/>
      <c r="X43" s="72" t="n"/>
      <c r="Y43" s="72" t="n"/>
      <c r="Z43" s="72" t="n"/>
      <c r="AA43" s="26">
        <f>Y43+IF(NOT(ISBLANK(OFFSET(AA43,0,6))),N(OFFSET(AA43,0,6)),N(OFFSET(AA43,0,7)))-Z43</f>
        <v/>
      </c>
      <c r="AB43" s="41" t="n"/>
      <c r="AC43" s="138" t="n"/>
      <c r="AD43" s="138" t="n"/>
      <c r="AE43" s="3" t="n"/>
      <c r="AF43" s="32" t="n"/>
      <c r="AG43" s="41" t="n"/>
      <c r="AH43" s="19" t="n">
        <v>0</v>
      </c>
      <c r="AI43" s="19" t="n">
        <v>0</v>
      </c>
      <c r="AJ43" s="19" t="n">
        <v>0</v>
      </c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19" t="n"/>
      <c r="AY43" s="119" t="n"/>
      <c r="AZ43" s="119" t="n"/>
      <c r="BA43" s="19" t="n"/>
      <c r="BB43" s="19" t="n"/>
      <c r="BC43" s="260" t="inlineStr">
        <is>
          <t>05 DE ERJ</t>
        </is>
      </c>
      <c r="BD43" s="19" t="n"/>
    </row>
    <row r="44">
      <c r="A44" s="25" t="inlineStr">
        <is>
          <t>PAPEL DE SEDA O.U.I.</t>
        </is>
      </c>
      <c r="B44" s="6" t="n">
        <v>500</v>
      </c>
      <c r="C44" s="632" t="n">
        <v>138.53</v>
      </c>
      <c r="D44" s="240" t="n"/>
      <c r="E44" s="1" t="n"/>
      <c r="F44" s="72" t="n">
        <v>0</v>
      </c>
      <c r="G44" s="72" t="n">
        <v>1</v>
      </c>
      <c r="H44" s="72" t="n">
        <v>1</v>
      </c>
      <c r="I44" s="72" t="n">
        <v>1</v>
      </c>
      <c r="J44" s="72" t="n">
        <v>1</v>
      </c>
      <c r="K44" s="72" t="n">
        <v>1</v>
      </c>
      <c r="L44" s="72" t="n">
        <v>1</v>
      </c>
      <c r="M44" s="72" t="n">
        <v>1</v>
      </c>
      <c r="N44" s="72" t="n">
        <v>1</v>
      </c>
      <c r="O44" s="72" t="n">
        <v>1</v>
      </c>
      <c r="P44" s="72" t="n">
        <v>1</v>
      </c>
      <c r="Q44" s="72" t="n">
        <v>1</v>
      </c>
      <c r="R44" s="72" t="n">
        <v>1</v>
      </c>
      <c r="S44" s="72" t="n">
        <v>1</v>
      </c>
      <c r="T44" s="72" t="n">
        <v>1</v>
      </c>
      <c r="U44" s="72" t="n">
        <v>1</v>
      </c>
      <c r="V44" s="72" t="n">
        <v>1</v>
      </c>
      <c r="W44" s="72" t="n">
        <v>1</v>
      </c>
      <c r="X44" s="72" t="n">
        <v>1</v>
      </c>
      <c r="Y44" s="72" t="n">
        <v>1</v>
      </c>
      <c r="Z44" s="72" t="n">
        <v>1</v>
      </c>
      <c r="AA44" s="26">
        <f>Y44+IF(NOT(ISBLANK(OFFSET(AA44,0,6))),N(OFFSET(AA44,0,6)),N(OFFSET(AA44,0,7)))-Z44</f>
        <v/>
      </c>
      <c r="AB44" s="41" t="n"/>
      <c r="AC44" s="138" t="n"/>
      <c r="AD44" s="138" t="n"/>
      <c r="AE44" s="608" t="n"/>
      <c r="AF44" s="32" t="n"/>
      <c r="AG44" s="41" t="n"/>
      <c r="AH44" s="19" t="n">
        <v>0</v>
      </c>
      <c r="AI44" s="19" t="n">
        <v>0</v>
      </c>
      <c r="AJ44" s="19" t="n">
        <v>0</v>
      </c>
      <c r="AK44" s="19" t="n"/>
      <c r="AL44" s="19" t="n"/>
      <c r="AM44" s="19" t="n"/>
      <c r="AN44" s="19" t="n"/>
      <c r="AO44" s="19" t="n"/>
      <c r="AP44" s="19" t="n"/>
      <c r="AQ44" s="19" t="n">
        <v>1</v>
      </c>
      <c r="AR44" s="19" t="n"/>
      <c r="AS44" s="19" t="n"/>
      <c r="AT44" s="19" t="n"/>
      <c r="AU44" s="19" t="n"/>
      <c r="AV44" s="19" t="n"/>
      <c r="AW44" s="19" t="n"/>
      <c r="AX44" s="119" t="n"/>
      <c r="AY44" s="119" t="n"/>
      <c r="AZ44" s="119" t="n"/>
      <c r="BA44" s="19" t="n"/>
      <c r="BB44" s="19" t="n"/>
      <c r="BC44" s="119" t="n"/>
      <c r="BD44" s="19" t="n"/>
    </row>
    <row r="45">
      <c r="A45" s="25" t="inlineStr">
        <is>
          <t>ETIQUETA O.U.I.</t>
        </is>
      </c>
      <c r="B45" s="84" t="n">
        <v>1000</v>
      </c>
      <c r="C45" s="632" t="n">
        <v>181.15</v>
      </c>
      <c r="D45" s="240" t="n"/>
      <c r="E45" s="1" t="n"/>
      <c r="F45" s="72" t="n">
        <v>0</v>
      </c>
      <c r="G45" s="72" t="n">
        <v>1</v>
      </c>
      <c r="H45" s="72" t="n">
        <v>1</v>
      </c>
      <c r="I45" s="72" t="n">
        <v>1</v>
      </c>
      <c r="J45" s="72" t="n">
        <v>1</v>
      </c>
      <c r="K45" s="72" t="n">
        <v>1</v>
      </c>
      <c r="L45" s="72" t="n">
        <v>1</v>
      </c>
      <c r="M45" s="72" t="n">
        <v>1</v>
      </c>
      <c r="N45" s="72" t="n">
        <v>1</v>
      </c>
      <c r="O45" s="72" t="n">
        <v>1</v>
      </c>
      <c r="P45" s="72" t="n">
        <v>1</v>
      </c>
      <c r="Q45" s="72" t="n">
        <v>1</v>
      </c>
      <c r="R45" s="72" t="n">
        <v>1</v>
      </c>
      <c r="S45" s="72" t="n">
        <v>1</v>
      </c>
      <c r="T45" s="72" t="n">
        <v>1</v>
      </c>
      <c r="U45" s="72" t="n">
        <v>1</v>
      </c>
      <c r="V45" s="72" t="n">
        <v>1</v>
      </c>
      <c r="W45" s="72" t="n">
        <v>1</v>
      </c>
      <c r="X45" s="72" t="n">
        <v>1</v>
      </c>
      <c r="Y45" s="72" t="n">
        <v>1</v>
      </c>
      <c r="Z45" s="72" t="n">
        <v>1</v>
      </c>
      <c r="AA45" s="26">
        <f>Y45+IF(NOT(ISBLANK(OFFSET(AA45,0,6))),N(OFFSET(AA45,0,6)),N(OFFSET(AA45,0,7)))-Z45</f>
        <v/>
      </c>
      <c r="AB45" s="41" t="n"/>
      <c r="AC45" s="78" t="n"/>
      <c r="AD45" s="78" t="n"/>
      <c r="AE45" s="608" t="n"/>
      <c r="AF45" s="32" t="n"/>
      <c r="AG45" s="41" t="n"/>
      <c r="AH45" s="19" t="n">
        <v>0</v>
      </c>
      <c r="AI45" s="19" t="n">
        <v>0</v>
      </c>
      <c r="AJ45" s="19" t="n">
        <v>0</v>
      </c>
      <c r="AK45" s="19" t="n"/>
      <c r="AL45" s="19" t="n"/>
      <c r="AM45" s="19" t="n"/>
      <c r="AN45" s="19" t="n"/>
      <c r="AO45" s="19" t="n"/>
      <c r="AP45" s="19" t="n"/>
      <c r="AQ45" s="19" t="n">
        <v>1</v>
      </c>
      <c r="AR45" s="19" t="n"/>
      <c r="AS45" s="19" t="n"/>
      <c r="AT45" s="19" t="n"/>
      <c r="AU45" s="19" t="n"/>
      <c r="AV45" s="19" t="n"/>
      <c r="AW45" s="19" t="n"/>
      <c r="AX45" s="119" t="n"/>
      <c r="AY45" s="119" t="n"/>
      <c r="AZ45" s="119" t="n"/>
      <c r="BA45" s="19" t="n"/>
      <c r="BB45" s="19" t="n"/>
      <c r="BC45" s="119" t="n"/>
      <c r="BD45" s="19" t="n"/>
    </row>
    <row r="46">
      <c r="A46" s="25" t="inlineStr">
        <is>
          <t>LÂMINA OLFATIVA O.U.I.</t>
        </is>
      </c>
      <c r="B46" s="6" t="n">
        <v>3000</v>
      </c>
      <c r="C46" s="632" t="n">
        <v>223.78</v>
      </c>
      <c r="D46" s="240" t="n"/>
      <c r="E46" s="1" t="n"/>
      <c r="F46" s="72" t="n">
        <v>0</v>
      </c>
      <c r="G46" s="72" t="n">
        <v>1</v>
      </c>
      <c r="H46" s="72" t="n">
        <v>1</v>
      </c>
      <c r="I46" s="72" t="n">
        <v>1</v>
      </c>
      <c r="J46" s="72" t="n">
        <v>1</v>
      </c>
      <c r="K46" s="72" t="n">
        <v>1</v>
      </c>
      <c r="L46" s="72" t="n">
        <v>1</v>
      </c>
      <c r="M46" s="72" t="n">
        <v>2</v>
      </c>
      <c r="N46" s="72" t="n">
        <v>2</v>
      </c>
      <c r="O46" s="72" t="n">
        <v>2</v>
      </c>
      <c r="P46" s="72" t="n">
        <v>2</v>
      </c>
      <c r="Q46" s="72" t="n">
        <v>2</v>
      </c>
      <c r="R46" s="72" t="n">
        <v>2</v>
      </c>
      <c r="S46" s="72" t="n">
        <v>2</v>
      </c>
      <c r="T46" s="72" t="n">
        <v>2</v>
      </c>
      <c r="U46" s="72" t="n">
        <v>2</v>
      </c>
      <c r="V46" s="72" t="n">
        <v>2</v>
      </c>
      <c r="W46" s="72" t="n">
        <v>2</v>
      </c>
      <c r="X46" s="72" t="n">
        <v>2</v>
      </c>
      <c r="Y46" s="72" t="n">
        <v>2</v>
      </c>
      <c r="Z46" s="72" t="n">
        <v>2</v>
      </c>
      <c r="AA46" s="26">
        <f>Y46+IF(NOT(ISBLANK(OFFSET(AA46,0,6))),N(OFFSET(AA46,0,6)),N(OFFSET(AA46,0,7)))-Z46</f>
        <v/>
      </c>
      <c r="AB46" s="41" t="n"/>
      <c r="AC46" s="138" t="n"/>
      <c r="AD46" s="138" t="n"/>
      <c r="AE46" s="608" t="n"/>
      <c r="AF46" s="32" t="n"/>
      <c r="AG46" s="41" t="n"/>
      <c r="AH46" s="19" t="n">
        <v>0</v>
      </c>
      <c r="AI46" s="19" t="n">
        <v>0</v>
      </c>
      <c r="AJ46" s="19" t="n">
        <v>0</v>
      </c>
      <c r="AK46" s="19" t="n"/>
      <c r="AL46" s="19" t="n"/>
      <c r="AM46" s="19" t="n"/>
      <c r="AN46" s="19" t="n"/>
      <c r="AO46" s="19" t="n"/>
      <c r="AP46" s="19" t="n"/>
      <c r="AQ46" s="19" t="n">
        <v>1</v>
      </c>
      <c r="AR46" s="19" t="n"/>
      <c r="AS46" s="19" t="n"/>
      <c r="AT46" s="19" t="n"/>
      <c r="AU46" s="19" t="n"/>
      <c r="AV46" s="19" t="n"/>
      <c r="AW46" s="19" t="n"/>
      <c r="AX46" s="119" t="n"/>
      <c r="AY46" s="119" t="n"/>
      <c r="AZ46" s="119" t="n"/>
      <c r="BA46" s="19" t="n"/>
      <c r="BB46" s="19" t="n"/>
      <c r="BC46" s="119" t="n"/>
      <c r="BD46" s="19" t="n"/>
    </row>
    <row r="47">
      <c r="A47" s="25" t="inlineStr">
        <is>
          <t>SACO M OUI (BRINDE)</t>
        </is>
      </c>
      <c r="B47" s="6" t="n">
        <v>200</v>
      </c>
      <c r="C47" s="632" t="n">
        <v>249.78</v>
      </c>
      <c r="D47" s="240" t="n"/>
      <c r="E47" s="1" t="n"/>
      <c r="F47" s="72" t="n">
        <v>160</v>
      </c>
      <c r="G47" s="72" t="n">
        <v>153</v>
      </c>
      <c r="H47" s="72" t="n">
        <v>149</v>
      </c>
      <c r="I47" s="72" t="n">
        <v>149</v>
      </c>
      <c r="J47" s="72" t="n">
        <v>149</v>
      </c>
      <c r="K47" s="72" t="n">
        <v>137</v>
      </c>
      <c r="L47" s="72" t="n">
        <v>124</v>
      </c>
      <c r="M47" s="72" t="n">
        <v>123</v>
      </c>
      <c r="N47" s="72" t="n">
        <v>120</v>
      </c>
      <c r="O47" s="72" t="n">
        <v>120</v>
      </c>
      <c r="P47" s="72" t="n">
        <v>149</v>
      </c>
      <c r="Q47" s="72" t="n">
        <v>101</v>
      </c>
      <c r="R47" s="72" t="n">
        <v>92</v>
      </c>
      <c r="S47" s="72" t="n">
        <v>96</v>
      </c>
      <c r="T47" s="72" t="n">
        <v>89</v>
      </c>
      <c r="U47" s="72" t="n">
        <v>67</v>
      </c>
      <c r="V47" s="72" t="n">
        <v>58</v>
      </c>
      <c r="W47" s="72" t="n">
        <v>50</v>
      </c>
      <c r="X47" s="72" t="n">
        <v>46</v>
      </c>
      <c r="Y47" s="72" t="n">
        <v>42</v>
      </c>
      <c r="Z47" s="72" t="n">
        <v>42</v>
      </c>
      <c r="AA47" s="26">
        <f>Y47+IF(NOT(ISBLANK(OFFSET(AA47,0,6))),N(OFFSET(AA47,0,6)),N(OFFSET(AA47,0,7)))-Z47</f>
        <v/>
      </c>
      <c r="AB47" s="41" t="n"/>
      <c r="AC47" s="138" t="n"/>
      <c r="AD47" s="138" t="n"/>
      <c r="AE47" s="608" t="n"/>
      <c r="AF47" s="32" t="n"/>
      <c r="AG47" s="41" t="n"/>
      <c r="AH47" s="19" t="n">
        <v>0</v>
      </c>
      <c r="AI47" s="19" t="n">
        <v>0</v>
      </c>
      <c r="AJ47" s="19" t="n">
        <v>0</v>
      </c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19" t="n"/>
      <c r="AY47" s="119" t="n"/>
      <c r="AZ47" s="119" t="n"/>
      <c r="BA47" s="19" t="n"/>
      <c r="BB47" s="19" t="n"/>
      <c r="BC47" s="260" t="inlineStr">
        <is>
          <t>200 DE ERJ</t>
        </is>
      </c>
      <c r="BD47" s="19" t="n"/>
    </row>
    <row r="48">
      <c r="B48" s="41" t="n"/>
      <c r="E48" s="41" t="n"/>
      <c r="F48" s="41" t="n"/>
      <c r="G48" s="41" t="n"/>
      <c r="H48" s="41" t="n"/>
      <c r="I48" s="41" t="n"/>
      <c r="J48" s="41" t="n"/>
      <c r="K48" s="41" t="n"/>
      <c r="L48" s="41" t="n"/>
      <c r="M48" s="41" t="n"/>
      <c r="N48" s="41" t="n"/>
      <c r="O48" s="41" t="n"/>
      <c r="P48" s="41" t="n"/>
      <c r="Q48" s="41" t="n"/>
      <c r="R48" s="41" t="n"/>
      <c r="S48" s="41" t="n"/>
      <c r="T48" s="41" t="n"/>
      <c r="U48" s="41" t="n"/>
      <c r="V48" s="41" t="n"/>
      <c r="W48" s="41" t="n"/>
      <c r="X48" s="41" t="n"/>
      <c r="Y48" s="41" t="n"/>
      <c r="Z48" s="41" t="n"/>
      <c r="AB48" s="41" t="n"/>
      <c r="AE48" s="41" t="n"/>
      <c r="AG48" s="41" t="n"/>
    </row>
    <row r="49">
      <c r="A49" s="147" t="inlineStr">
        <is>
          <t>CAIXAS OUI</t>
        </is>
      </c>
      <c r="B49" s="148" t="n"/>
      <c r="C49" s="148" t="n"/>
      <c r="D49" s="148" t="n"/>
      <c r="E49" s="1" t="n"/>
      <c r="F49" s="619" t="n">
        <v>46006</v>
      </c>
      <c r="G49" s="619" t="n">
        <v>46013</v>
      </c>
      <c r="H49" s="619" t="n">
        <v>46020</v>
      </c>
      <c r="I49" s="619" t="n">
        <v>46027</v>
      </c>
      <c r="J49" s="619" t="n">
        <v>46034</v>
      </c>
      <c r="K49" s="619" t="n">
        <v>46041</v>
      </c>
      <c r="L49" s="619" t="n">
        <v>46048</v>
      </c>
      <c r="M49" s="619" t="n">
        <v>46055</v>
      </c>
      <c r="N49" s="619" t="n">
        <v>46062</v>
      </c>
      <c r="O49" s="619" t="n">
        <v>46069</v>
      </c>
      <c r="P49" s="619" t="n">
        <v>46076</v>
      </c>
      <c r="Q49" s="619" t="n">
        <v>46083</v>
      </c>
      <c r="R49" s="619" t="n">
        <v>46090</v>
      </c>
      <c r="S49" s="619" t="n">
        <v>46097</v>
      </c>
      <c r="T49" s="619" t="n">
        <v>46104</v>
      </c>
      <c r="U49" s="619" t="n">
        <v>46111</v>
      </c>
      <c r="V49" s="619" t="n">
        <v>46118</v>
      </c>
      <c r="W49" s="619" t="n">
        <v>46125</v>
      </c>
      <c r="X49" s="619" t="n">
        <v>46132</v>
      </c>
      <c r="Y49" s="619" t="n">
        <v>46139</v>
      </c>
      <c r="Z49" s="619" t="n">
        <v>46146</v>
      </c>
      <c r="AA49" s="621" t="inlineStr">
        <is>
          <t>USOU</t>
        </is>
      </c>
      <c r="AB49" s="41" t="n"/>
      <c r="AC49" s="29" t="inlineStr">
        <is>
          <t>Pendências</t>
        </is>
      </c>
      <c r="AD49" s="29" t="inlineStr">
        <is>
          <t>Pendências</t>
        </is>
      </c>
      <c r="AF49" s="9" t="inlineStr">
        <is>
          <t>Novo Pedido</t>
        </is>
      </c>
      <c r="AG49" s="41" t="n"/>
      <c r="AH49" s="674" t="n">
        <v>46149</v>
      </c>
      <c r="AI49" s="674" t="n">
        <v>46142</v>
      </c>
      <c r="AJ49" s="674" t="n">
        <v>46114</v>
      </c>
      <c r="AK49" s="674" t="n">
        <v>46099</v>
      </c>
      <c r="AL49" s="675" t="n">
        <v>46065</v>
      </c>
      <c r="AM49" s="674" t="n">
        <v>46077</v>
      </c>
      <c r="AN49" s="676" t="n">
        <v>46045</v>
      </c>
      <c r="AO49" s="674" t="n">
        <v>46056</v>
      </c>
      <c r="AP49" s="674" t="n">
        <v>46017</v>
      </c>
      <c r="AQ49" s="674" t="n">
        <v>46007</v>
      </c>
      <c r="AR49" s="674" t="n">
        <v>46001</v>
      </c>
      <c r="AS49" s="674" t="n">
        <v>45994</v>
      </c>
      <c r="AT49" s="674" t="n">
        <v>45986</v>
      </c>
      <c r="AU49" s="674" t="n">
        <v>45980</v>
      </c>
      <c r="AV49" s="674" t="n">
        <v>45980</v>
      </c>
      <c r="AW49" s="674" t="n">
        <v>45973</v>
      </c>
      <c r="AX49" s="677" t="n">
        <v>45982</v>
      </c>
      <c r="AY49" s="677" t="n">
        <v>45979</v>
      </c>
      <c r="AZ49" s="693" t="n">
        <v>45974</v>
      </c>
      <c r="BA49" s="693" t="n">
        <v>45972</v>
      </c>
      <c r="BB49" s="691" t="n">
        <v>45968</v>
      </c>
      <c r="BC49" s="677" t="n">
        <v>45967</v>
      </c>
      <c r="BD49" s="692" t="n">
        <v>45964</v>
      </c>
    </row>
    <row r="50">
      <c r="A50" s="25" t="inlineStr">
        <is>
          <t>KIT CAIXA P OUI</t>
        </is>
      </c>
      <c r="B50" s="72" t="n">
        <v>100</v>
      </c>
      <c r="C50" s="639" t="n">
        <v>539.7</v>
      </c>
      <c r="D50" s="240" t="n"/>
      <c r="E50" s="41" t="n"/>
      <c r="F50" s="72" t="n">
        <v>8</v>
      </c>
      <c r="G50" s="72" t="n">
        <v>8</v>
      </c>
      <c r="H50" s="72" t="n">
        <v>8</v>
      </c>
      <c r="I50" s="72" t="n">
        <v>8</v>
      </c>
      <c r="J50" s="72" t="n">
        <v>8</v>
      </c>
      <c r="K50" s="72" t="n">
        <v>8</v>
      </c>
      <c r="L50" s="72" t="n">
        <v>8</v>
      </c>
      <c r="M50" s="72" t="n">
        <v>8</v>
      </c>
      <c r="N50" s="72" t="n">
        <v>2</v>
      </c>
      <c r="O50" s="72" t="n">
        <v>2</v>
      </c>
      <c r="P50" s="72" t="n">
        <v>2</v>
      </c>
      <c r="Q50" s="72" t="n">
        <v>2</v>
      </c>
      <c r="R50" s="72" t="n">
        <v>2</v>
      </c>
      <c r="S50" s="303" t="n">
        <v>6</v>
      </c>
      <c r="T50" s="72" t="n">
        <v>6</v>
      </c>
      <c r="U50" s="72" t="n">
        <v>6</v>
      </c>
      <c r="V50" s="72" t="n"/>
      <c r="W50" s="72" t="n"/>
      <c r="X50" s="72" t="n"/>
      <c r="Y50" s="72" t="n"/>
      <c r="Z50" s="72" t="n"/>
      <c r="AA50" s="26">
        <f>Y50+IF(NOT(ISBLANK(OFFSET(AA50,0,6))),N(OFFSET(AA50,0,6)),N(OFFSET(AA50,0,7)))-Z50</f>
        <v/>
      </c>
      <c r="AB50" s="41" t="n"/>
      <c r="AC50" s="138" t="n"/>
      <c r="AD50" s="138" t="n"/>
      <c r="AE50" s="608" t="n"/>
      <c r="AF50" s="32" t="n"/>
      <c r="AG50" s="41" t="n"/>
      <c r="AH50" s="19" t="n">
        <v>0</v>
      </c>
      <c r="AI50" s="19" t="n">
        <v>0</v>
      </c>
      <c r="AJ50" s="19" t="n">
        <v>0</v>
      </c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19" t="n"/>
      <c r="AY50" s="119" t="n"/>
      <c r="AZ50" s="119" t="n"/>
      <c r="BA50" s="19" t="n"/>
      <c r="BB50" s="19" t="n"/>
      <c r="BC50" s="260" t="inlineStr">
        <is>
          <t>10 DE CDJ</t>
        </is>
      </c>
      <c r="BD50" s="19" t="n"/>
    </row>
    <row r="51">
      <c r="A51" s="25" t="inlineStr">
        <is>
          <t>KIT CAIXA M OUI</t>
        </is>
      </c>
      <c r="B51" s="72" t="n">
        <v>100</v>
      </c>
      <c r="C51" s="639" t="n">
        <v>652.05</v>
      </c>
      <c r="D51" s="240" t="n"/>
      <c r="E51" s="41" t="n"/>
      <c r="F51" s="72" t="n">
        <v>10</v>
      </c>
      <c r="G51" s="72" t="n">
        <v>10</v>
      </c>
      <c r="H51" s="72" t="n">
        <v>10</v>
      </c>
      <c r="I51" s="72" t="n">
        <v>10</v>
      </c>
      <c r="J51" s="72" t="n">
        <v>10</v>
      </c>
      <c r="K51" s="72" t="n">
        <v>10</v>
      </c>
      <c r="L51" s="72" t="n">
        <v>10</v>
      </c>
      <c r="M51" s="72" t="n">
        <v>10</v>
      </c>
      <c r="N51" s="72" t="n">
        <v>9</v>
      </c>
      <c r="O51" s="72" t="n">
        <v>9</v>
      </c>
      <c r="P51" s="72" t="n">
        <v>9</v>
      </c>
      <c r="Q51" s="72" t="n">
        <v>9</v>
      </c>
      <c r="R51" s="72" t="n">
        <v>9</v>
      </c>
      <c r="S51" s="72" t="n">
        <v>8</v>
      </c>
      <c r="T51" s="72" t="n">
        <v>8</v>
      </c>
      <c r="U51" s="72" t="n">
        <v>8</v>
      </c>
      <c r="V51" s="72" t="n"/>
      <c r="W51" s="72" t="n"/>
      <c r="X51" s="72" t="n"/>
      <c r="Y51" s="72" t="n"/>
      <c r="Z51" s="72" t="n"/>
      <c r="AA51" s="26">
        <f>Y51+IF(NOT(ISBLANK(OFFSET(AA51,0,6))),N(OFFSET(AA51,0,6)),N(OFFSET(AA51,0,7)))-Z51</f>
        <v/>
      </c>
      <c r="AB51" s="41" t="n"/>
      <c r="AC51" s="138" t="n"/>
      <c r="AD51" s="138" t="n"/>
      <c r="AE51" s="1" t="n"/>
      <c r="AF51" s="32" t="n"/>
      <c r="AG51" s="41" t="n"/>
      <c r="AH51" s="19" t="n">
        <v>0</v>
      </c>
      <c r="AI51" s="19" t="n">
        <v>0</v>
      </c>
      <c r="AJ51" s="19" t="n">
        <v>0</v>
      </c>
      <c r="AK51" s="19" t="n"/>
      <c r="AL51" s="19" t="n"/>
      <c r="AM51" s="19" t="n"/>
      <c r="AN51" s="19" t="n"/>
      <c r="AO51" s="19" t="n"/>
      <c r="AP51" s="19" t="n"/>
      <c r="AQ51" s="19" t="n"/>
      <c r="AR51" s="19" t="n"/>
      <c r="AS51" s="19" t="n"/>
      <c r="AT51" s="19" t="n"/>
      <c r="AU51" s="19" t="n"/>
      <c r="AV51" s="19" t="n"/>
      <c r="AW51" s="19" t="n"/>
      <c r="AX51" s="119" t="n"/>
      <c r="AY51" s="119" t="n"/>
      <c r="AZ51" s="119" t="n"/>
      <c r="BA51" s="19" t="n"/>
      <c r="BB51" s="19" t="n"/>
      <c r="BC51" s="260" t="inlineStr">
        <is>
          <t>10 DE CDJ</t>
        </is>
      </c>
      <c r="BD51" s="19" t="n"/>
    </row>
    <row r="52">
      <c r="A52" s="25" t="inlineStr">
        <is>
          <t>KIT CAIXA G OUI</t>
        </is>
      </c>
      <c r="B52" s="72" t="n">
        <v>50</v>
      </c>
      <c r="C52" s="639" t="n">
        <v>567.53</v>
      </c>
      <c r="D52" s="240" t="n"/>
      <c r="E52" s="41" t="n"/>
      <c r="F52" s="72" t="n">
        <v>10</v>
      </c>
      <c r="G52" s="72" t="n">
        <v>10</v>
      </c>
      <c r="H52" s="72" t="n">
        <v>10</v>
      </c>
      <c r="I52" s="72" t="n">
        <v>10</v>
      </c>
      <c r="J52" s="72" t="n">
        <v>10</v>
      </c>
      <c r="K52" s="72" t="n">
        <v>10</v>
      </c>
      <c r="L52" s="72" t="n">
        <v>10</v>
      </c>
      <c r="M52" s="72" t="n">
        <v>10</v>
      </c>
      <c r="N52" s="72" t="n">
        <v>10</v>
      </c>
      <c r="O52" s="72" t="n">
        <v>10</v>
      </c>
      <c r="P52" s="72" t="n">
        <v>10</v>
      </c>
      <c r="Q52" s="72" t="n">
        <v>10</v>
      </c>
      <c r="R52" s="72" t="n">
        <v>10</v>
      </c>
      <c r="S52" s="72" t="n">
        <v>10</v>
      </c>
      <c r="T52" s="72" t="n">
        <v>10</v>
      </c>
      <c r="U52" s="72" t="n">
        <v>10</v>
      </c>
      <c r="V52" s="72" t="n"/>
      <c r="W52" s="72" t="n"/>
      <c r="X52" s="72" t="n"/>
      <c r="Y52" s="72" t="n"/>
      <c r="Z52" s="72" t="n"/>
      <c r="AA52" s="26">
        <f>Y52+IF(NOT(ISBLANK(OFFSET(AA52,0,6))),N(OFFSET(AA52,0,6)),N(OFFSET(AA52,0,7)))-Z52</f>
        <v/>
      </c>
      <c r="AB52" s="41" t="n"/>
      <c r="AC52" s="138" t="n"/>
      <c r="AD52" s="138" t="n"/>
      <c r="AE52" s="1" t="n"/>
      <c r="AF52" s="32" t="n"/>
      <c r="AG52" s="41" t="n"/>
      <c r="AH52" s="19" t="n">
        <v>0</v>
      </c>
      <c r="AI52" s="19" t="n">
        <v>0</v>
      </c>
      <c r="AJ52" s="19" t="n">
        <v>0</v>
      </c>
      <c r="AK52" s="19" t="n"/>
      <c r="AL52" s="19" t="n"/>
      <c r="AM52" s="19" t="n"/>
      <c r="AN52" s="19" t="n"/>
      <c r="AO52" s="19" t="n"/>
      <c r="AP52" s="19" t="n"/>
      <c r="AQ52" s="19" t="n"/>
      <c r="AR52" s="19" t="n"/>
      <c r="AS52" s="19" t="n"/>
      <c r="AT52" s="19" t="n"/>
      <c r="AU52" s="19" t="n"/>
      <c r="AV52" s="19" t="n"/>
      <c r="AW52" s="19" t="n"/>
      <c r="AX52" s="119" t="n"/>
      <c r="AY52" s="119" t="n"/>
      <c r="AZ52" s="119" t="n"/>
      <c r="BA52" s="19" t="n"/>
      <c r="BB52" s="19" t="n"/>
      <c r="BC52" s="260" t="inlineStr">
        <is>
          <t>10 DE CDJ</t>
        </is>
      </c>
      <c r="BD52" s="19" t="n"/>
    </row>
    <row r="53">
      <c r="B53" s="41" t="n"/>
      <c r="C53" s="41" t="n"/>
      <c r="D53" s="41" t="n"/>
      <c r="E53" s="41" t="n"/>
      <c r="F53" s="41" t="n"/>
      <c r="G53" s="41" t="n"/>
      <c r="H53" s="41" t="n"/>
      <c r="I53" s="41" t="n"/>
      <c r="J53" s="41" t="n"/>
      <c r="K53" s="41" t="n"/>
      <c r="L53" s="41" t="n"/>
      <c r="M53" s="41" t="n"/>
      <c r="N53" s="41" t="n"/>
      <c r="O53" s="41" t="n"/>
      <c r="P53" s="41" t="n"/>
      <c r="Q53" s="41" t="n"/>
      <c r="R53" s="41" t="n"/>
      <c r="S53" s="41" t="n"/>
      <c r="T53" s="41" t="n"/>
      <c r="U53" s="41" t="n"/>
      <c r="V53" s="41" t="n"/>
      <c r="W53" s="41" t="n"/>
      <c r="X53" s="41" t="n"/>
      <c r="Y53" s="41" t="n"/>
      <c r="Z53" s="41" t="n"/>
      <c r="AA53" s="41" t="n"/>
      <c r="AB53" s="41" t="n"/>
      <c r="AE53" s="41" t="n"/>
      <c r="AG53" s="41" t="n"/>
      <c r="AH53" s="648" t="n"/>
      <c r="AI53" s="648" t="n"/>
      <c r="AJ53" s="648" t="n"/>
      <c r="AK53" s="648" t="n"/>
      <c r="AL53" s="648" t="n"/>
      <c r="AM53" s="648" t="n"/>
      <c r="AN53" s="648" t="n"/>
      <c r="AO53" s="648" t="n"/>
      <c r="AP53" s="648" t="n"/>
      <c r="AQ53" s="648" t="n"/>
      <c r="AR53" s="648" t="n"/>
      <c r="AS53" s="648" t="n"/>
      <c r="AT53" s="648" t="n"/>
      <c r="AU53" s="648" t="n"/>
      <c r="AV53" s="648" t="n"/>
      <c r="AW53" s="648" t="n"/>
      <c r="AX53" s="648" t="n"/>
      <c r="AY53" s="648" t="n"/>
      <c r="AZ53" s="648" t="n"/>
      <c r="BA53" s="648" t="n"/>
      <c r="BB53" s="648" t="n"/>
      <c r="BC53" s="648" t="n"/>
      <c r="BD53" s="648" t="n"/>
    </row>
    <row r="54">
      <c r="A54" s="149" t="inlineStr">
        <is>
          <t>SACOLAS E CAIXAS QDB</t>
        </is>
      </c>
      <c r="B54" s="150" t="n"/>
      <c r="C54" s="150" t="n"/>
      <c r="D54" s="150" t="n"/>
      <c r="E54" s="1" t="n"/>
      <c r="F54" s="619" t="n">
        <v>46006</v>
      </c>
      <c r="G54" s="619" t="n">
        <v>46013</v>
      </c>
      <c r="H54" s="619" t="n">
        <v>46020</v>
      </c>
      <c r="I54" s="619" t="n">
        <v>46027</v>
      </c>
      <c r="J54" s="619" t="n">
        <v>46034</v>
      </c>
      <c r="K54" s="619" t="n">
        <v>46041</v>
      </c>
      <c r="L54" s="619" t="n">
        <v>46048</v>
      </c>
      <c r="M54" s="619" t="n">
        <v>46055</v>
      </c>
      <c r="N54" s="619" t="n">
        <v>46062</v>
      </c>
      <c r="O54" s="619" t="n">
        <v>46069</v>
      </c>
      <c r="P54" s="619" t="n">
        <v>46076</v>
      </c>
      <c r="Q54" s="619" t="n">
        <v>46083</v>
      </c>
      <c r="R54" s="619" t="n">
        <v>46090</v>
      </c>
      <c r="S54" s="619" t="n">
        <v>46097</v>
      </c>
      <c r="T54" s="619" t="n">
        <v>46104</v>
      </c>
      <c r="U54" s="619" t="n">
        <v>46111</v>
      </c>
      <c r="V54" s="619" t="n">
        <v>46118</v>
      </c>
      <c r="W54" s="619" t="n">
        <v>46125</v>
      </c>
      <c r="X54" s="619" t="n">
        <v>46132</v>
      </c>
      <c r="Y54" s="619" t="n">
        <v>46139</v>
      </c>
      <c r="Z54" s="619" t="n">
        <v>46146</v>
      </c>
      <c r="AA54" s="621" t="inlineStr">
        <is>
          <t>USOU</t>
        </is>
      </c>
      <c r="AB54" s="41" t="n"/>
      <c r="AC54" s="29" t="inlineStr">
        <is>
          <t>Pendências</t>
        </is>
      </c>
      <c r="AD54" s="29" t="inlineStr">
        <is>
          <t>Pendências</t>
        </is>
      </c>
      <c r="AF54" s="9" t="inlineStr">
        <is>
          <t>Novo Pedido</t>
        </is>
      </c>
      <c r="AG54" s="41" t="n"/>
      <c r="AH54" s="674" t="n">
        <v>46149</v>
      </c>
      <c r="AI54" s="674" t="n">
        <v>46142</v>
      </c>
      <c r="AJ54" s="674" t="n">
        <v>46114</v>
      </c>
      <c r="AK54" s="674" t="n">
        <v>46099</v>
      </c>
      <c r="AL54" s="675" t="n">
        <v>46065</v>
      </c>
      <c r="AM54" s="674" t="n">
        <v>46077</v>
      </c>
      <c r="AN54" s="676" t="n">
        <v>46045</v>
      </c>
      <c r="AO54" s="674" t="n">
        <v>46056</v>
      </c>
      <c r="AP54" s="674" t="n">
        <v>46017</v>
      </c>
      <c r="AQ54" s="674" t="n">
        <v>46007</v>
      </c>
      <c r="AR54" s="674" t="n">
        <v>46001</v>
      </c>
      <c r="AS54" s="674" t="n">
        <v>45994</v>
      </c>
      <c r="AT54" s="674" t="n">
        <v>45986</v>
      </c>
      <c r="AU54" s="674" t="n">
        <v>45980</v>
      </c>
      <c r="AV54" s="674" t="n">
        <v>45980</v>
      </c>
      <c r="AW54" s="674" t="n">
        <v>45973</v>
      </c>
      <c r="AX54" s="677" t="n">
        <v>45982</v>
      </c>
      <c r="AY54" s="677" t="n">
        <v>45979</v>
      </c>
      <c r="AZ54" s="693" t="n">
        <v>45974</v>
      </c>
      <c r="BA54" s="693" t="n">
        <v>45972</v>
      </c>
      <c r="BB54" s="691" t="n">
        <v>45968</v>
      </c>
      <c r="BC54" s="677" t="n">
        <v>45967</v>
      </c>
      <c r="BD54" s="692" t="n">
        <v>45964</v>
      </c>
    </row>
    <row r="55">
      <c r="A55" s="25" t="inlineStr">
        <is>
          <t>SACOLA P - QDB</t>
        </is>
      </c>
      <c r="B55" s="6" t="n">
        <v>300</v>
      </c>
      <c r="C55" s="632" t="n">
        <v>169.8</v>
      </c>
      <c r="D55" s="240" t="n"/>
      <c r="E55" s="1" t="n"/>
      <c r="F55" s="39" t="n">
        <v>0</v>
      </c>
      <c r="G55" s="39" t="n">
        <v>0</v>
      </c>
      <c r="H55" s="39" t="n">
        <v>0</v>
      </c>
      <c r="I55" s="39" t="n">
        <v>0</v>
      </c>
      <c r="J55" s="39" t="n">
        <v>0</v>
      </c>
      <c r="K55" s="39" t="n">
        <v>0</v>
      </c>
      <c r="L55" s="39" t="n">
        <v>0</v>
      </c>
      <c r="M55" s="39" t="n">
        <v>0</v>
      </c>
      <c r="N55" s="39" t="n">
        <v>0</v>
      </c>
      <c r="O55" s="39" t="n">
        <v>0</v>
      </c>
      <c r="P55" s="39" t="n">
        <v>0</v>
      </c>
      <c r="Q55" s="39" t="n">
        <v>0</v>
      </c>
      <c r="R55" s="39" t="n">
        <v>0</v>
      </c>
      <c r="S55" s="39" t="n">
        <v>0</v>
      </c>
      <c r="T55" s="39" t="n">
        <v>0</v>
      </c>
      <c r="U55" s="39" t="n">
        <v>0</v>
      </c>
      <c r="V55" s="39" t="n">
        <v>0</v>
      </c>
      <c r="W55" s="39" t="n">
        <v>0</v>
      </c>
      <c r="X55" s="39" t="n">
        <v>0</v>
      </c>
      <c r="Y55" s="39" t="n">
        <v>0</v>
      </c>
      <c r="Z55" s="39" t="n">
        <v>0</v>
      </c>
      <c r="AA55" s="26">
        <f>Y55+IF(NOT(ISBLANK(OFFSET(AA55,0,6))),N(OFFSET(AA55,0,6)),N(OFFSET(AA55,0,7)))-Z55</f>
        <v/>
      </c>
      <c r="AB55" s="41" t="n"/>
      <c r="AC55" s="138" t="n"/>
      <c r="AD55" s="138" t="n"/>
      <c r="AF55" s="76" t="n"/>
      <c r="AG55" s="41" t="n"/>
      <c r="AH55" s="19" t="n">
        <v>0</v>
      </c>
      <c r="AI55" s="19" t="n">
        <v>0</v>
      </c>
      <c r="AJ55" s="19" t="n">
        <v>0</v>
      </c>
      <c r="AK55" s="19" t="n"/>
      <c r="AL55" s="19" t="n"/>
      <c r="AM55" s="19" t="n"/>
      <c r="AN55" s="19" t="n"/>
      <c r="AO55" s="19" t="n"/>
      <c r="AP55" s="19" t="n"/>
      <c r="AQ55" s="19" t="n"/>
      <c r="AR55" s="19" t="n"/>
      <c r="AS55" s="19" t="n"/>
      <c r="AT55" s="19" t="n"/>
      <c r="AU55" s="19" t="n"/>
      <c r="AV55" s="19" t="n"/>
      <c r="AW55" s="19" t="n"/>
      <c r="AX55" s="119" t="n"/>
      <c r="AY55" s="119" t="n"/>
      <c r="AZ55" s="119" t="n"/>
      <c r="BA55" s="19" t="n"/>
      <c r="BB55" s="19" t="n"/>
      <c r="BC55" s="119" t="n"/>
      <c r="BD55" s="19" t="n"/>
    </row>
    <row r="56">
      <c r="A56" s="25" t="inlineStr">
        <is>
          <t>SACOLA M - QDB</t>
        </is>
      </c>
      <c r="B56" s="6" t="n">
        <v>200</v>
      </c>
      <c r="C56" s="632" t="n">
        <v>175.22</v>
      </c>
      <c r="D56" s="240" t="n"/>
      <c r="E56" s="1" t="n"/>
      <c r="F56" s="39" t="n">
        <v>0</v>
      </c>
      <c r="G56" s="39" t="n">
        <v>0</v>
      </c>
      <c r="H56" s="39" t="n">
        <v>0</v>
      </c>
      <c r="I56" s="39" t="n">
        <v>0</v>
      </c>
      <c r="J56" s="39" t="n">
        <v>0</v>
      </c>
      <c r="K56" s="39" t="n">
        <v>0</v>
      </c>
      <c r="L56" s="39" t="n">
        <v>0</v>
      </c>
      <c r="M56" s="39" t="n">
        <v>0</v>
      </c>
      <c r="N56" s="39" t="n">
        <v>0</v>
      </c>
      <c r="O56" s="39" t="n">
        <v>0</v>
      </c>
      <c r="P56" s="39" t="n">
        <v>0</v>
      </c>
      <c r="Q56" s="39" t="n">
        <v>0</v>
      </c>
      <c r="R56" s="39" t="n">
        <v>0</v>
      </c>
      <c r="S56" s="39" t="n">
        <v>0</v>
      </c>
      <c r="T56" s="39" t="n">
        <v>0</v>
      </c>
      <c r="U56" s="39" t="n">
        <v>0</v>
      </c>
      <c r="V56" s="39" t="n">
        <v>0</v>
      </c>
      <c r="W56" s="39" t="n">
        <v>0</v>
      </c>
      <c r="X56" s="39" t="n">
        <v>0</v>
      </c>
      <c r="Y56" s="39" t="n">
        <v>0</v>
      </c>
      <c r="Z56" s="39" t="n">
        <v>0</v>
      </c>
      <c r="AA56" s="26">
        <f>Y56+IF(NOT(ISBLANK(OFFSET(AA56,0,6))),N(OFFSET(AA56,0,6)),N(OFFSET(AA56,0,7)))-Z56</f>
        <v/>
      </c>
      <c r="AB56" s="41" t="n"/>
      <c r="AC56" s="138" t="n"/>
      <c r="AD56" s="138" t="n"/>
      <c r="AF56" s="76" t="n"/>
      <c r="AG56" s="41" t="n"/>
      <c r="AH56" s="19" t="n">
        <v>0</v>
      </c>
      <c r="AI56" s="19" t="n">
        <v>0</v>
      </c>
      <c r="AJ56" s="19" t="n">
        <v>0</v>
      </c>
      <c r="AK56" s="19" t="n"/>
      <c r="AL56" s="19" t="n"/>
      <c r="AM56" s="19" t="n"/>
      <c r="AN56" s="19" t="n"/>
      <c r="AO56" s="19" t="n"/>
      <c r="AP56" s="19" t="n"/>
      <c r="AQ56" s="19" t="n"/>
      <c r="AR56" s="19" t="n"/>
      <c r="AS56" s="19" t="n"/>
      <c r="AT56" s="19" t="n"/>
      <c r="AU56" s="19" t="n"/>
      <c r="AV56" s="19" t="n"/>
      <c r="AW56" s="19" t="n"/>
      <c r="AX56" s="119" t="n"/>
      <c r="AY56" s="119" t="n"/>
      <c r="AZ56" s="119" t="n"/>
      <c r="BA56" s="19" t="n"/>
      <c r="BB56" s="19" t="n"/>
      <c r="BC56" s="119" t="n"/>
      <c r="BD56" s="19" t="n"/>
    </row>
    <row r="57">
      <c r="A57" s="25" t="inlineStr">
        <is>
          <t>SACOLA G - QDB</t>
        </is>
      </c>
      <c r="B57" s="6" t="n">
        <v>200</v>
      </c>
      <c r="C57" s="632" t="n">
        <v>230.34</v>
      </c>
      <c r="D57" s="240" t="n"/>
      <c r="E57" s="1" t="n"/>
      <c r="F57" s="39" t="n">
        <v>0</v>
      </c>
      <c r="G57" s="39" t="n">
        <v>0</v>
      </c>
      <c r="H57" s="39" t="n">
        <v>0</v>
      </c>
      <c r="I57" s="39" t="n">
        <v>0</v>
      </c>
      <c r="J57" s="39" t="n">
        <v>0</v>
      </c>
      <c r="K57" s="39" t="n">
        <v>0</v>
      </c>
      <c r="L57" s="39" t="n">
        <v>0</v>
      </c>
      <c r="M57" s="39" t="n">
        <v>0</v>
      </c>
      <c r="N57" s="39" t="n">
        <v>0</v>
      </c>
      <c r="O57" s="39" t="n">
        <v>0</v>
      </c>
      <c r="P57" s="39" t="n">
        <v>0</v>
      </c>
      <c r="Q57" s="39" t="n">
        <v>0</v>
      </c>
      <c r="R57" s="39" t="n">
        <v>0</v>
      </c>
      <c r="S57" s="39" t="n">
        <v>0</v>
      </c>
      <c r="T57" s="39" t="n">
        <v>0</v>
      </c>
      <c r="U57" s="39" t="n">
        <v>0</v>
      </c>
      <c r="V57" s="39" t="n">
        <v>0</v>
      </c>
      <c r="W57" s="39" t="n">
        <v>0</v>
      </c>
      <c r="X57" s="39" t="n">
        <v>0</v>
      </c>
      <c r="Y57" s="39" t="n">
        <v>0</v>
      </c>
      <c r="Z57" s="39" t="n">
        <v>0</v>
      </c>
      <c r="AA57" s="26">
        <f>Y57+IF(NOT(ISBLANK(OFFSET(AA57,0,6))),N(OFFSET(AA57,0,6)),N(OFFSET(AA57,0,7)))-Z57</f>
        <v/>
      </c>
      <c r="AB57" s="41" t="n"/>
      <c r="AC57" s="138" t="n"/>
      <c r="AD57" s="138" t="n"/>
      <c r="AF57" s="76" t="n"/>
      <c r="AG57" s="41" t="n"/>
      <c r="AH57" s="19" t="n">
        <v>0</v>
      </c>
      <c r="AI57" s="19" t="n">
        <v>0</v>
      </c>
      <c r="AJ57" s="19" t="n">
        <v>0</v>
      </c>
      <c r="AK57" s="19" t="n"/>
      <c r="AL57" s="19" t="n"/>
      <c r="AM57" s="19" t="n"/>
      <c r="AN57" s="19" t="n"/>
      <c r="AO57" s="19" t="n"/>
      <c r="AP57" s="19" t="n"/>
      <c r="AQ57" s="19" t="n"/>
      <c r="AR57" s="19" t="n"/>
      <c r="AS57" s="19" t="n"/>
      <c r="AT57" s="19" t="n"/>
      <c r="AU57" s="19" t="n"/>
      <c r="AV57" s="19" t="n"/>
      <c r="AW57" s="19" t="n"/>
      <c r="AX57" s="119" t="n"/>
      <c r="AY57" s="119" t="n"/>
      <c r="AZ57" s="119" t="n"/>
      <c r="BA57" s="19" t="n"/>
      <c r="BB57" s="19" t="n"/>
      <c r="BC57" s="119" t="n"/>
      <c r="BD57" s="19" t="n"/>
    </row>
    <row r="58">
      <c r="A58" s="538" t="inlineStr">
        <is>
          <t>PAPEL DE SEDA QDB</t>
        </is>
      </c>
      <c r="B58" s="72" t="n">
        <v>100</v>
      </c>
      <c r="C58" s="639" t="n">
        <v>22.98</v>
      </c>
      <c r="D58" s="240" t="n"/>
      <c r="F58" s="39" t="n">
        <v>0</v>
      </c>
      <c r="G58" s="39" t="n">
        <v>0</v>
      </c>
      <c r="H58" s="39" t="n">
        <v>0</v>
      </c>
      <c r="I58" s="39" t="n">
        <v>0</v>
      </c>
      <c r="J58" s="39" t="n">
        <v>0</v>
      </c>
      <c r="K58" s="39" t="n">
        <v>0</v>
      </c>
      <c r="L58" s="39" t="n">
        <v>0</v>
      </c>
      <c r="M58" s="39" t="n">
        <v>0</v>
      </c>
      <c r="N58" s="39" t="n">
        <v>0</v>
      </c>
      <c r="O58" s="39" t="n">
        <v>0</v>
      </c>
      <c r="P58" s="39" t="n">
        <v>0</v>
      </c>
      <c r="Q58" s="39" t="n">
        <v>0</v>
      </c>
      <c r="R58" s="39" t="n">
        <v>0</v>
      </c>
      <c r="S58" s="39" t="n">
        <v>0</v>
      </c>
      <c r="T58" s="39" t="n">
        <v>0</v>
      </c>
      <c r="U58" s="39" t="n">
        <v>0</v>
      </c>
      <c r="V58" s="39" t="n">
        <v>0</v>
      </c>
      <c r="W58" s="39" t="n">
        <v>0</v>
      </c>
      <c r="X58" s="39" t="n">
        <v>0</v>
      </c>
      <c r="Y58" s="39" t="n">
        <v>0</v>
      </c>
      <c r="Z58" s="39" t="n">
        <v>0</v>
      </c>
      <c r="AA58" s="26">
        <f>Y58+IF(NOT(ISBLANK(OFFSET(AA58,0,6))),N(OFFSET(AA58,0,6)),N(OFFSET(AA58,0,7)))-Z58</f>
        <v/>
      </c>
      <c r="AC58" s="138" t="n"/>
      <c r="AD58" s="138" t="n"/>
      <c r="AE58" s="1" t="n"/>
      <c r="AF58" s="32" t="n"/>
      <c r="AG58" s="41" t="n"/>
      <c r="AH58" s="19" t="n">
        <v>0</v>
      </c>
      <c r="AI58" s="19" t="n">
        <v>0</v>
      </c>
      <c r="AJ58" s="19" t="n">
        <v>0</v>
      </c>
      <c r="AK58" s="19" t="n"/>
      <c r="AL58" s="19" t="n"/>
      <c r="AM58" s="19" t="n"/>
      <c r="AN58" s="19" t="n"/>
      <c r="AO58" s="19" t="n"/>
      <c r="AP58" s="19" t="n"/>
      <c r="AQ58" s="19" t="n"/>
      <c r="AR58" s="19" t="n"/>
      <c r="AS58" s="19" t="n"/>
      <c r="AT58" s="19" t="n"/>
      <c r="AU58" s="19" t="n"/>
      <c r="AV58" s="19" t="n"/>
      <c r="AW58" s="19" t="n"/>
      <c r="AX58" s="119" t="n"/>
      <c r="AY58" s="119" t="n"/>
      <c r="AZ58" s="119" t="n"/>
      <c r="BA58" s="19" t="n"/>
      <c r="BB58" s="19" t="n"/>
      <c r="BC58" s="119" t="n"/>
      <c r="BD58" s="19" t="n"/>
    </row>
    <row r="59">
      <c r="A59" s="25" t="inlineStr">
        <is>
          <t>ETIQUETA QDB</t>
        </is>
      </c>
      <c r="B59" s="6" t="n">
        <v>1000</v>
      </c>
      <c r="C59" s="632" t="n">
        <v>7.75</v>
      </c>
      <c r="D59" s="240" t="n"/>
      <c r="E59" s="1" t="n"/>
      <c r="F59" s="39" t="n">
        <v>0</v>
      </c>
      <c r="G59" s="39" t="n">
        <v>0</v>
      </c>
      <c r="H59" s="39" t="n">
        <v>0</v>
      </c>
      <c r="I59" s="39" t="n">
        <v>0</v>
      </c>
      <c r="J59" s="39" t="n">
        <v>0</v>
      </c>
      <c r="K59" s="39" t="n">
        <v>0</v>
      </c>
      <c r="L59" s="39" t="n">
        <v>0</v>
      </c>
      <c r="M59" s="39" t="n">
        <v>0</v>
      </c>
      <c r="N59" s="39" t="n">
        <v>0</v>
      </c>
      <c r="O59" s="39" t="n">
        <v>0</v>
      </c>
      <c r="P59" s="39" t="n">
        <v>0</v>
      </c>
      <c r="Q59" s="39" t="n">
        <v>0</v>
      </c>
      <c r="R59" s="39" t="n">
        <v>0</v>
      </c>
      <c r="S59" s="39" t="n">
        <v>0</v>
      </c>
      <c r="T59" s="39" t="n">
        <v>0</v>
      </c>
      <c r="U59" s="39" t="n">
        <v>0</v>
      </c>
      <c r="V59" s="39" t="n">
        <v>0</v>
      </c>
      <c r="W59" s="39" t="n">
        <v>0</v>
      </c>
      <c r="X59" s="39" t="n">
        <v>0</v>
      </c>
      <c r="Y59" s="39" t="n">
        <v>0</v>
      </c>
      <c r="Z59" s="39" t="n">
        <v>0</v>
      </c>
      <c r="AA59" s="26">
        <f>Y59+IF(NOT(ISBLANK(OFFSET(AA59,0,6))),N(OFFSET(AA59,0,6)),N(OFFSET(AA59,0,7)))-Z59</f>
        <v/>
      </c>
      <c r="AB59" s="41" t="n"/>
      <c r="AC59" s="138" t="n"/>
      <c r="AD59" s="138" t="n"/>
      <c r="AF59" s="76" t="n"/>
      <c r="AG59" s="41" t="n"/>
      <c r="AH59" s="19" t="n">
        <v>0</v>
      </c>
      <c r="AI59" s="19" t="n">
        <v>0</v>
      </c>
      <c r="AJ59" s="19" t="n">
        <v>0</v>
      </c>
      <c r="AK59" s="19" t="n"/>
      <c r="AL59" s="19" t="n"/>
      <c r="AM59" s="19" t="n"/>
      <c r="AN59" s="19" t="n"/>
      <c r="AO59" s="19" t="n"/>
      <c r="AP59" s="19" t="n"/>
      <c r="AQ59" s="19" t="n"/>
      <c r="AR59" s="19" t="n"/>
      <c r="AS59" s="19" t="n"/>
      <c r="AT59" s="19" t="n"/>
      <c r="AU59" s="19" t="n"/>
      <c r="AV59" s="19" t="n"/>
      <c r="AW59" s="19" t="n"/>
      <c r="AX59" s="119" t="n"/>
      <c r="AY59" s="119" t="n"/>
      <c r="AZ59" s="119" t="n"/>
      <c r="BA59" s="19" t="n"/>
      <c r="BB59" s="19" t="n"/>
      <c r="BC59" s="119" t="n"/>
      <c r="BD59" s="19" t="n"/>
    </row>
    <row r="60">
      <c r="A60" s="25" t="inlineStr">
        <is>
          <t>TAG QDB</t>
        </is>
      </c>
      <c r="B60" s="6" t="n">
        <v>300</v>
      </c>
      <c r="C60" s="632" t="n">
        <v>53.97</v>
      </c>
      <c r="D60" s="240" t="n"/>
      <c r="E60" s="1" t="n"/>
      <c r="F60" s="39" t="n">
        <v>0</v>
      </c>
      <c r="G60" s="39" t="n">
        <v>0</v>
      </c>
      <c r="H60" s="39" t="n">
        <v>0</v>
      </c>
      <c r="I60" s="39" t="n">
        <v>0</v>
      </c>
      <c r="J60" s="39" t="n">
        <v>0</v>
      </c>
      <c r="K60" s="39" t="n">
        <v>0</v>
      </c>
      <c r="L60" s="39" t="n">
        <v>0</v>
      </c>
      <c r="M60" s="39" t="n">
        <v>0</v>
      </c>
      <c r="N60" s="39" t="n">
        <v>0</v>
      </c>
      <c r="O60" s="39" t="n">
        <v>0</v>
      </c>
      <c r="P60" s="39" t="n">
        <v>0</v>
      </c>
      <c r="Q60" s="39" t="n">
        <v>0</v>
      </c>
      <c r="R60" s="39" t="n">
        <v>0</v>
      </c>
      <c r="S60" s="39" t="n">
        <v>0</v>
      </c>
      <c r="T60" s="39" t="n">
        <v>0</v>
      </c>
      <c r="U60" s="39" t="n">
        <v>0</v>
      </c>
      <c r="V60" s="39" t="n">
        <v>0</v>
      </c>
      <c r="W60" s="39" t="n">
        <v>0</v>
      </c>
      <c r="X60" s="39" t="n">
        <v>0</v>
      </c>
      <c r="Y60" s="39" t="n">
        <v>0</v>
      </c>
      <c r="Z60" s="39" t="n">
        <v>0</v>
      </c>
      <c r="AA60" s="26">
        <f>Y60+IF(NOT(ISBLANK(OFFSET(AA60,0,6))),N(OFFSET(AA60,0,6)),N(OFFSET(AA60,0,7)))-Z60</f>
        <v/>
      </c>
      <c r="AB60" s="41" t="n"/>
      <c r="AC60" s="138" t="n"/>
      <c r="AD60" s="138" t="n"/>
      <c r="AF60" s="76" t="n"/>
      <c r="AG60" s="41" t="n"/>
      <c r="AH60" s="19" t="n">
        <v>0</v>
      </c>
      <c r="AI60" s="19" t="n">
        <v>0</v>
      </c>
      <c r="AJ60" s="19" t="n">
        <v>0</v>
      </c>
      <c r="AK60" s="19" t="n"/>
      <c r="AL60" s="19" t="n"/>
      <c r="AM60" s="19" t="n"/>
      <c r="AN60" s="19" t="n"/>
      <c r="AO60" s="19" t="n"/>
      <c r="AP60" s="19" t="n"/>
      <c r="AQ60" s="19" t="n"/>
      <c r="AR60" s="19" t="n"/>
      <c r="AS60" s="19" t="n"/>
      <c r="AT60" s="19" t="n"/>
      <c r="AU60" s="19" t="n"/>
      <c r="AV60" s="19" t="n"/>
      <c r="AW60" s="19" t="n"/>
      <c r="AX60" s="119" t="n"/>
      <c r="AY60" s="119" t="n"/>
      <c r="AZ60" s="119" t="n"/>
      <c r="BA60" s="19" t="n"/>
      <c r="BB60" s="19" t="n"/>
      <c r="BC60" s="119" t="n"/>
      <c r="BD60" s="19" t="n"/>
    </row>
    <row r="61">
      <c r="A61" s="25" t="inlineStr">
        <is>
          <t>LÂMINA OLFATIVA QDB</t>
        </is>
      </c>
      <c r="B61" s="6" t="n">
        <v>3000</v>
      </c>
      <c r="C61" s="632" t="n">
        <v>213</v>
      </c>
      <c r="D61" s="240" t="n"/>
      <c r="E61" s="1" t="n"/>
      <c r="F61" s="39" t="n">
        <v>0</v>
      </c>
      <c r="G61" s="39" t="n">
        <v>0</v>
      </c>
      <c r="H61" s="39" t="n">
        <v>0</v>
      </c>
      <c r="I61" s="39" t="n">
        <v>0</v>
      </c>
      <c r="J61" s="39" t="n">
        <v>0</v>
      </c>
      <c r="K61" s="39" t="n">
        <v>0</v>
      </c>
      <c r="L61" s="39" t="n">
        <v>0</v>
      </c>
      <c r="M61" s="39" t="n">
        <v>0</v>
      </c>
      <c r="N61" s="39" t="n">
        <v>0</v>
      </c>
      <c r="O61" s="39" t="n">
        <v>0</v>
      </c>
      <c r="P61" s="39" t="n">
        <v>0</v>
      </c>
      <c r="Q61" s="39" t="n">
        <v>0</v>
      </c>
      <c r="R61" s="39" t="n">
        <v>0</v>
      </c>
      <c r="S61" s="39" t="n">
        <v>0</v>
      </c>
      <c r="T61" s="39" t="n">
        <v>0</v>
      </c>
      <c r="U61" s="39" t="n">
        <v>0</v>
      </c>
      <c r="V61" s="39" t="n">
        <v>0</v>
      </c>
      <c r="W61" s="39" t="n">
        <v>0</v>
      </c>
      <c r="X61" s="39" t="n">
        <v>0</v>
      </c>
      <c r="Y61" s="39" t="n">
        <v>0</v>
      </c>
      <c r="Z61" s="39" t="n">
        <v>0</v>
      </c>
      <c r="AA61" s="26">
        <f>Y61+IF(NOT(ISBLANK(OFFSET(AA61,0,6))),N(OFFSET(AA61,0,6)),N(OFFSET(AA61,0,7)))-Z61</f>
        <v/>
      </c>
      <c r="AB61" s="41" t="n"/>
      <c r="AC61" s="138" t="n"/>
      <c r="AD61" s="138" t="n"/>
      <c r="AF61" s="76" t="n"/>
      <c r="AG61" s="41" t="n"/>
      <c r="AH61" s="19" t="n">
        <v>0</v>
      </c>
      <c r="AI61" s="19" t="n">
        <v>0</v>
      </c>
      <c r="AJ61" s="19" t="n">
        <v>0</v>
      </c>
      <c r="AK61" s="19" t="n"/>
      <c r="AL61" s="19" t="n"/>
      <c r="AM61" s="19" t="n"/>
      <c r="AN61" s="19" t="n"/>
      <c r="AO61" s="19" t="n"/>
      <c r="AP61" s="19" t="n"/>
      <c r="AQ61" s="19" t="n"/>
      <c r="AR61" s="19" t="n"/>
      <c r="AS61" s="19" t="n"/>
      <c r="AT61" s="19" t="n"/>
      <c r="AU61" s="19" t="n"/>
      <c r="AV61" s="19" t="n"/>
      <c r="AW61" s="19" t="n"/>
      <c r="AX61" s="119" t="n"/>
      <c r="AY61" s="119" t="n"/>
      <c r="AZ61" s="119" t="n"/>
      <c r="BA61" s="19" t="n"/>
      <c r="BB61" s="19" t="n"/>
      <c r="BC61" s="119" t="n"/>
      <c r="BD61" s="19" t="n"/>
    </row>
    <row r="62">
      <c r="A62" s="25" t="inlineStr">
        <is>
          <t>CAIXA P QDB</t>
        </is>
      </c>
      <c r="B62" s="6" t="n">
        <v>150</v>
      </c>
      <c r="C62" s="632" t="n">
        <v>306</v>
      </c>
      <c r="D62" s="240" t="n"/>
      <c r="E62" s="1" t="n"/>
      <c r="F62" s="39" t="n">
        <v>20</v>
      </c>
      <c r="G62" s="39" t="n">
        <v>19</v>
      </c>
      <c r="H62" s="39" t="n">
        <v>19</v>
      </c>
      <c r="I62" s="39" t="n">
        <v>19</v>
      </c>
      <c r="J62" s="39" t="n">
        <v>19</v>
      </c>
      <c r="K62" s="39" t="n">
        <v>19</v>
      </c>
      <c r="L62" s="39" t="n">
        <v>19</v>
      </c>
      <c r="M62" s="39" t="n">
        <v>19</v>
      </c>
      <c r="N62" s="39" t="n">
        <v>19</v>
      </c>
      <c r="O62" s="39" t="n">
        <v>19</v>
      </c>
      <c r="P62" s="39" t="n">
        <v>19</v>
      </c>
      <c r="Q62" s="39" t="n">
        <v>19</v>
      </c>
      <c r="R62" s="39" t="n">
        <v>19</v>
      </c>
      <c r="S62" s="39" t="n">
        <v>19</v>
      </c>
      <c r="T62" s="39" t="n">
        <v>19</v>
      </c>
      <c r="U62" s="39" t="n">
        <v>18</v>
      </c>
      <c r="V62" s="39" t="n"/>
      <c r="W62" s="39" t="n"/>
      <c r="X62" s="39" t="n"/>
      <c r="Y62" s="39" t="n"/>
      <c r="Z62" s="39" t="n"/>
      <c r="AA62" s="26">
        <f>Y62+IF(NOT(ISBLANK(OFFSET(AA62,0,6))),N(OFFSET(AA62,0,6)),N(OFFSET(AA62,0,7)))-Z62</f>
        <v/>
      </c>
      <c r="AB62" s="41" t="n"/>
      <c r="AC62" s="138" t="n"/>
      <c r="AD62" s="138" t="n"/>
      <c r="AF62" s="76" t="n"/>
      <c r="AG62" s="41" t="n"/>
      <c r="AH62" s="19" t="n">
        <v>0</v>
      </c>
      <c r="AI62" s="19" t="n">
        <v>0</v>
      </c>
      <c r="AJ62" s="19" t="n">
        <v>0</v>
      </c>
      <c r="AK62" s="163" t="n"/>
      <c r="AL62" s="163" t="n"/>
      <c r="AM62" s="163" t="n"/>
      <c r="AN62" s="163" t="n"/>
      <c r="AO62" s="163" t="n"/>
      <c r="AP62" s="163" t="n"/>
      <c r="AQ62" s="163" t="n"/>
      <c r="AR62" s="163" t="n"/>
      <c r="AS62" s="163" t="n"/>
      <c r="AT62" s="163" t="n"/>
      <c r="AU62" s="163" t="n"/>
      <c r="AV62" s="163" t="n"/>
      <c r="AW62" s="163" t="n"/>
      <c r="AX62" s="163" t="n"/>
      <c r="AY62" s="163" t="n"/>
      <c r="AZ62" s="163" t="n"/>
      <c r="BA62" s="163" t="n"/>
      <c r="BB62" s="163" t="n"/>
      <c r="BC62" s="262" t="inlineStr">
        <is>
          <t>10 DE ERJ</t>
        </is>
      </c>
      <c r="BD62" s="163" t="n"/>
    </row>
    <row r="63">
      <c r="A63" s="25" t="inlineStr">
        <is>
          <t>CAIXA M QDB</t>
        </is>
      </c>
      <c r="B63" s="6" t="n">
        <v>75</v>
      </c>
      <c r="C63" s="632" t="n">
        <v>216.38</v>
      </c>
      <c r="D63" s="240" t="n"/>
      <c r="E63" s="1" t="n"/>
      <c r="F63" s="39" t="n">
        <v>10</v>
      </c>
      <c r="G63" s="39" t="n">
        <v>9</v>
      </c>
      <c r="H63" s="39" t="n">
        <v>9</v>
      </c>
      <c r="I63" s="39" t="n">
        <v>9</v>
      </c>
      <c r="J63" s="39" t="n">
        <v>9</v>
      </c>
      <c r="K63" s="39" t="n">
        <v>9</v>
      </c>
      <c r="L63" s="39" t="n">
        <v>9</v>
      </c>
      <c r="M63" s="39" t="n">
        <v>9</v>
      </c>
      <c r="N63" s="39" t="n">
        <v>9</v>
      </c>
      <c r="O63" s="39" t="n">
        <v>9</v>
      </c>
      <c r="P63" s="39" t="n">
        <v>9</v>
      </c>
      <c r="Q63" s="39" t="n">
        <v>9</v>
      </c>
      <c r="R63" s="39" t="n">
        <v>9</v>
      </c>
      <c r="S63" s="39" t="n">
        <v>9</v>
      </c>
      <c r="T63" s="39" t="n">
        <v>9</v>
      </c>
      <c r="U63" s="39" t="n">
        <v>9</v>
      </c>
      <c r="V63" s="39" t="n"/>
      <c r="W63" s="39" t="n"/>
      <c r="X63" s="39" t="n"/>
      <c r="Y63" s="39" t="n"/>
      <c r="Z63" s="39" t="n"/>
      <c r="AA63" s="26">
        <f>Y63+IF(NOT(ISBLANK(OFFSET(AA63,0,6))),N(OFFSET(AA63,0,6)),N(OFFSET(AA63,0,7)))-Z63</f>
        <v/>
      </c>
      <c r="AB63" s="41" t="n"/>
      <c r="AC63" s="138" t="n"/>
      <c r="AD63" s="138" t="n"/>
      <c r="AF63" s="76" t="n"/>
      <c r="AG63" s="41" t="n"/>
      <c r="AH63" s="19" t="n">
        <v>0</v>
      </c>
      <c r="AI63" s="19" t="n">
        <v>0</v>
      </c>
      <c r="AJ63" s="19" t="n">
        <v>0</v>
      </c>
      <c r="AK63" s="19" t="n"/>
      <c r="AL63" s="19" t="n"/>
      <c r="AM63" s="19" t="n"/>
      <c r="AN63" s="19" t="n"/>
      <c r="AO63" s="19" t="n"/>
      <c r="AP63" s="19" t="n"/>
      <c r="AQ63" s="19" t="n"/>
      <c r="AR63" s="19" t="n"/>
      <c r="AS63" s="19" t="n"/>
      <c r="AT63" s="19" t="n"/>
      <c r="AU63" s="19" t="n"/>
      <c r="AV63" s="19" t="n"/>
      <c r="AW63" s="19" t="n"/>
      <c r="AX63" s="119" t="n"/>
      <c r="AY63" s="119" t="n"/>
      <c r="AZ63" s="119" t="n"/>
      <c r="BA63" s="19" t="n"/>
      <c r="BB63" s="19" t="n"/>
      <c r="BC63" s="260" t="inlineStr">
        <is>
          <t>10 DE CDJ</t>
        </is>
      </c>
      <c r="BD63" s="19" t="n"/>
    </row>
    <row r="64">
      <c r="A64" s="25" t="inlineStr">
        <is>
          <t>CAIXA G QDB</t>
        </is>
      </c>
      <c r="B64" s="6" t="n">
        <v>100</v>
      </c>
      <c r="C64" s="632" t="n">
        <v>306</v>
      </c>
      <c r="D64" s="240" t="n"/>
      <c r="E64" s="1" t="n"/>
      <c r="F64" s="39" t="n">
        <v>5</v>
      </c>
      <c r="G64" s="39" t="n">
        <v>5</v>
      </c>
      <c r="H64" s="39" t="n">
        <v>5</v>
      </c>
      <c r="I64" s="39" t="n">
        <v>5</v>
      </c>
      <c r="J64" s="39" t="n">
        <v>5</v>
      </c>
      <c r="K64" s="39" t="n">
        <v>5</v>
      </c>
      <c r="L64" s="39" t="n">
        <v>5</v>
      </c>
      <c r="M64" s="39" t="n">
        <v>5</v>
      </c>
      <c r="N64" s="39" t="n">
        <v>5</v>
      </c>
      <c r="O64" s="39" t="n">
        <v>5</v>
      </c>
      <c r="P64" s="39" t="n">
        <v>5</v>
      </c>
      <c r="Q64" s="39" t="n">
        <v>5</v>
      </c>
      <c r="R64" s="39" t="n">
        <v>5</v>
      </c>
      <c r="S64" s="39" t="n">
        <v>3</v>
      </c>
      <c r="T64" s="39" t="n">
        <v>2</v>
      </c>
      <c r="U64" s="39" t="n">
        <v>2</v>
      </c>
      <c r="V64" s="39" t="n"/>
      <c r="W64" s="39" t="n"/>
      <c r="X64" s="39" t="n"/>
      <c r="Y64" s="39" t="n"/>
      <c r="Z64" s="39" t="n"/>
      <c r="AA64" s="26">
        <f>Y64+IF(NOT(ISBLANK(OFFSET(AA64,0,6))),N(OFFSET(AA64,0,6)),N(OFFSET(AA64,0,7)))-Z64</f>
        <v/>
      </c>
      <c r="AB64" s="41" t="n"/>
      <c r="AC64" s="138" t="n"/>
      <c r="AD64" s="138" t="n"/>
      <c r="AF64" s="76" t="n"/>
      <c r="AG64" s="41" t="n"/>
      <c r="AH64" s="19" t="n">
        <v>0</v>
      </c>
      <c r="AI64" s="19" t="n">
        <v>0</v>
      </c>
      <c r="AJ64" s="19" t="n">
        <v>0</v>
      </c>
      <c r="AK64" s="163" t="n"/>
      <c r="AL64" s="163" t="n"/>
      <c r="AM64" s="163" t="n"/>
      <c r="AN64" s="163" t="n"/>
      <c r="AO64" s="163" t="n"/>
      <c r="AP64" s="163" t="n"/>
      <c r="AQ64" s="163" t="n"/>
      <c r="AR64" s="163" t="n"/>
      <c r="AS64" s="163" t="n"/>
      <c r="AT64" s="163" t="n"/>
      <c r="AU64" s="163" t="n"/>
      <c r="AV64" s="163" t="n"/>
      <c r="AW64" s="163" t="n"/>
      <c r="AX64" s="163" t="n"/>
      <c r="AY64" s="163" t="n"/>
      <c r="AZ64" s="163" t="n"/>
      <c r="BA64" s="163" t="n"/>
      <c r="BB64" s="163" t="n"/>
      <c r="BC64" s="262" t="inlineStr">
        <is>
          <t>05 DE CDJ</t>
        </is>
      </c>
      <c r="BD64" s="163" t="n"/>
    </row>
    <row r="65">
      <c r="B65" s="41" t="n"/>
      <c r="C65" s="684" t="n"/>
      <c r="D65" s="684" t="n"/>
      <c r="F65" s="2" t="n"/>
      <c r="G65" s="2" t="n"/>
      <c r="H65" s="2" t="n"/>
      <c r="I65" s="2" t="n"/>
      <c r="J65" s="2" t="n"/>
      <c r="K65" s="2" t="n"/>
      <c r="L65" s="2" t="n"/>
      <c r="M65" s="2" t="n"/>
      <c r="N65" s="2" t="n"/>
      <c r="O65" s="2" t="n"/>
      <c r="P65" s="2" t="n"/>
      <c r="Q65" s="2" t="n"/>
      <c r="R65" s="2" t="n"/>
      <c r="S65" s="2" t="n"/>
      <c r="T65" s="2" t="n"/>
      <c r="U65" s="2" t="n"/>
      <c r="V65" s="2" t="n"/>
      <c r="W65" s="2" t="n"/>
      <c r="X65" s="2" t="n"/>
      <c r="Y65" s="2" t="n"/>
      <c r="Z65" s="2" t="n"/>
      <c r="AA65" s="2" t="n"/>
      <c r="AC65" s="75" t="n"/>
      <c r="AE65" s="1" t="n"/>
      <c r="AF65" s="15" t="n"/>
      <c r="AG65" s="41" t="n"/>
      <c r="AH65" s="75" t="n"/>
      <c r="AI65" s="75" t="n"/>
      <c r="AJ65" s="75" t="n"/>
      <c r="AK65" s="75" t="n"/>
      <c r="AL65" s="75" t="n"/>
      <c r="AM65" s="75" t="n"/>
      <c r="AN65" s="75" t="n"/>
      <c r="AO65" s="75" t="n"/>
      <c r="AP65" s="75" t="n"/>
      <c r="AQ65" s="75" t="n"/>
      <c r="AR65" s="75" t="n"/>
      <c r="AS65" s="75" t="n"/>
      <c r="AT65" s="75" t="n"/>
      <c r="AU65" s="75" t="n"/>
      <c r="AV65" s="75" t="n"/>
      <c r="AW65" s="75" t="n"/>
      <c r="AX65" s="206" t="n"/>
      <c r="AY65" s="206" t="n"/>
      <c r="AZ65" s="206" t="n"/>
      <c r="BA65" s="75" t="n"/>
      <c r="BB65" s="75" t="n"/>
      <c r="BC65" s="206" t="n"/>
      <c r="BD65" s="75" t="n"/>
    </row>
    <row r="66">
      <c r="A66" s="220" t="inlineStr">
        <is>
          <t>SACOLAS E CAIXAS EUDORA</t>
        </is>
      </c>
      <c r="B66" s="221" t="n"/>
      <c r="C66" s="221" t="n"/>
      <c r="D66" s="221" t="n"/>
      <c r="F66" s="619" t="n">
        <v>46006</v>
      </c>
      <c r="G66" s="619" t="n">
        <v>46013</v>
      </c>
      <c r="H66" s="619" t="n">
        <v>46020</v>
      </c>
      <c r="I66" s="619" t="n">
        <v>46027</v>
      </c>
      <c r="J66" s="619" t="n">
        <v>46034</v>
      </c>
      <c r="K66" s="619" t="n">
        <v>46041</v>
      </c>
      <c r="L66" s="619" t="n">
        <v>46048</v>
      </c>
      <c r="M66" s="619" t="n">
        <v>46055</v>
      </c>
      <c r="N66" s="619" t="n">
        <v>46062</v>
      </c>
      <c r="O66" s="619" t="n">
        <v>46069</v>
      </c>
      <c r="P66" s="619" t="n">
        <v>46076</v>
      </c>
      <c r="Q66" s="619" t="n">
        <v>46083</v>
      </c>
      <c r="R66" s="619" t="n">
        <v>46090</v>
      </c>
      <c r="S66" s="619" t="n">
        <v>46097</v>
      </c>
      <c r="T66" s="619" t="n">
        <v>46104</v>
      </c>
      <c r="U66" s="619" t="n">
        <v>46111</v>
      </c>
      <c r="V66" s="619" t="n">
        <v>46118</v>
      </c>
      <c r="W66" s="619" t="n">
        <v>46125</v>
      </c>
      <c r="X66" s="619" t="n">
        <v>46132</v>
      </c>
      <c r="Y66" s="619" t="n">
        <v>46139</v>
      </c>
      <c r="Z66" s="619" t="n">
        <v>46146</v>
      </c>
      <c r="AA66" s="621" t="inlineStr">
        <is>
          <t>USOU</t>
        </is>
      </c>
      <c r="AC66" s="29" t="inlineStr">
        <is>
          <t>Pendências</t>
        </is>
      </c>
      <c r="AD66" s="29" t="inlineStr">
        <is>
          <t>Pendências</t>
        </is>
      </c>
      <c r="AE66" s="1" t="n"/>
      <c r="AF66" s="9" t="inlineStr">
        <is>
          <t>Novo Pedido</t>
        </is>
      </c>
      <c r="AG66" s="41" t="n"/>
      <c r="AH66" s="674" t="n">
        <v>46149</v>
      </c>
      <c r="AI66" s="674" t="n">
        <v>46142</v>
      </c>
      <c r="AJ66" s="674" t="n">
        <v>46114</v>
      </c>
      <c r="AK66" s="674" t="n">
        <v>46099</v>
      </c>
      <c r="AL66" s="675" t="n">
        <v>46065</v>
      </c>
      <c r="AM66" s="674" t="n">
        <v>46077</v>
      </c>
      <c r="AN66" s="676" t="n">
        <v>46045</v>
      </c>
      <c r="AO66" s="674" t="n">
        <v>46056</v>
      </c>
      <c r="AP66" s="674" t="n">
        <v>46017</v>
      </c>
      <c r="AQ66" s="674" t="n">
        <v>46007</v>
      </c>
      <c r="AR66" s="674" t="n">
        <v>46001</v>
      </c>
      <c r="AS66" s="674" t="n">
        <v>45994</v>
      </c>
      <c r="AT66" s="674" t="n">
        <v>45986</v>
      </c>
      <c r="AU66" s="674" t="n">
        <v>45980</v>
      </c>
      <c r="AV66" s="674" t="n">
        <v>45980</v>
      </c>
      <c r="AW66" s="674" t="n">
        <v>45973</v>
      </c>
      <c r="AX66" s="677" t="n">
        <v>45982</v>
      </c>
      <c r="AY66" s="677" t="n">
        <v>45979</v>
      </c>
      <c r="AZ66" s="693" t="n">
        <v>45974</v>
      </c>
      <c r="BA66" s="693" t="n">
        <v>45972</v>
      </c>
      <c r="BB66" s="691" t="n">
        <v>45968</v>
      </c>
      <c r="BC66" s="677" t="n">
        <v>45967</v>
      </c>
      <c r="BD66" s="692" t="n">
        <v>45964</v>
      </c>
    </row>
    <row r="67">
      <c r="A67" s="25" t="inlineStr">
        <is>
          <t>SACOLA P EUDORA</t>
        </is>
      </c>
      <c r="B67" s="6" t="n">
        <v>200</v>
      </c>
      <c r="C67" s="632" t="n">
        <v>183.24</v>
      </c>
      <c r="D67" s="240" t="n"/>
      <c r="F67" s="39" t="n">
        <v>821</v>
      </c>
      <c r="G67" s="39" t="n">
        <v>1221</v>
      </c>
      <c r="H67" s="39" t="n">
        <v>1808</v>
      </c>
      <c r="I67" s="39" t="n">
        <v>1808</v>
      </c>
      <c r="J67" s="39" t="n">
        <v>1278</v>
      </c>
      <c r="K67" s="39" t="n">
        <v>1346</v>
      </c>
      <c r="L67" s="39" t="n">
        <v>1208</v>
      </c>
      <c r="M67" s="39" t="n">
        <v>1144</v>
      </c>
      <c r="N67" s="39" t="n">
        <v>1088</v>
      </c>
      <c r="O67" s="39" t="n">
        <v>1020</v>
      </c>
      <c r="P67" s="39" t="n">
        <v>1007</v>
      </c>
      <c r="Q67" s="39" t="n">
        <v>940</v>
      </c>
      <c r="R67" s="39" t="n">
        <v>823</v>
      </c>
      <c r="S67" s="39" t="n">
        <v>740</v>
      </c>
      <c r="T67" s="39" t="n">
        <v>655</v>
      </c>
      <c r="U67" s="39" t="n">
        <v>541</v>
      </c>
      <c r="V67" s="39" t="n">
        <v>490</v>
      </c>
      <c r="W67" s="39" t="n">
        <v>400</v>
      </c>
      <c r="X67" s="39" t="n">
        <v>288</v>
      </c>
      <c r="Y67" s="39" t="n">
        <v>252</v>
      </c>
      <c r="Z67" s="39" t="n">
        <v>0</v>
      </c>
      <c r="AA67" s="26">
        <f>Y67+IF(NOT(ISBLANK(OFFSET(AA67,0,6))),N(OFFSET(AA67,0,6)),N(OFFSET(AA67,0,7)))-Z67</f>
        <v/>
      </c>
      <c r="AC67" s="138" t="n"/>
      <c r="AD67" s="138" t="n">
        <v>400</v>
      </c>
      <c r="AE67" s="1" t="n"/>
      <c r="AF67" s="76" t="n"/>
      <c r="AG67" s="41" t="n"/>
      <c r="AH67" s="19" t="n">
        <v>0</v>
      </c>
      <c r="AI67" s="19" t="n">
        <v>0</v>
      </c>
      <c r="AJ67" s="19" t="n">
        <v>0</v>
      </c>
      <c r="AK67" s="19" t="n"/>
      <c r="AL67" s="19" t="n"/>
      <c r="AM67" s="19" t="n"/>
      <c r="AN67" s="19" t="n"/>
      <c r="AO67" s="19" t="n"/>
      <c r="AP67" s="19" t="n"/>
      <c r="AQ67" s="19" t="n"/>
      <c r="AR67" s="19" t="n">
        <v>400</v>
      </c>
      <c r="AS67" s="19" t="n">
        <v>400</v>
      </c>
      <c r="AT67" s="19" t="n">
        <v>200</v>
      </c>
      <c r="AU67" s="19" t="n">
        <v>400</v>
      </c>
      <c r="AV67" s="19" t="n"/>
      <c r="AW67" s="19" t="n"/>
      <c r="AX67" s="119" t="n"/>
      <c r="AY67" s="119" t="n"/>
      <c r="AZ67" s="119" t="n"/>
      <c r="BA67" s="19" t="n"/>
      <c r="BB67" s="19" t="n"/>
      <c r="BC67" s="119" t="n"/>
      <c r="BD67" s="19" t="n"/>
    </row>
    <row r="68">
      <c r="A68" s="25" t="inlineStr">
        <is>
          <t>SACOLA M EUDORA</t>
        </is>
      </c>
      <c r="B68" s="6" t="n">
        <v>200</v>
      </c>
      <c r="C68" s="632" t="n">
        <v>240.83</v>
      </c>
      <c r="D68" s="240" t="n"/>
      <c r="F68" s="39" t="n">
        <v>295</v>
      </c>
      <c r="G68" s="39" t="n">
        <v>502</v>
      </c>
      <c r="H68" s="39" t="n">
        <v>635</v>
      </c>
      <c r="I68" s="39">
        <f>628+AP68</f>
        <v/>
      </c>
      <c r="J68" s="39" t="n">
        <v>804</v>
      </c>
      <c r="K68" s="39" t="n">
        <v>800</v>
      </c>
      <c r="L68" s="39" t="n">
        <v>800</v>
      </c>
      <c r="M68" s="39" t="n">
        <v>760</v>
      </c>
      <c r="N68" s="39" t="n">
        <v>915</v>
      </c>
      <c r="O68" s="39" t="n">
        <v>680</v>
      </c>
      <c r="P68" s="39" t="n">
        <v>619</v>
      </c>
      <c r="Q68" s="39" t="n">
        <v>619</v>
      </c>
      <c r="R68" s="39" t="n">
        <v>486</v>
      </c>
      <c r="S68" s="39" t="n">
        <v>414</v>
      </c>
      <c r="T68" s="39">
        <f>351+AK68</f>
        <v/>
      </c>
      <c r="U68" s="39" t="n">
        <v>734</v>
      </c>
      <c r="V68" s="39" t="n">
        <v>701</v>
      </c>
      <c r="W68" s="39" t="n">
        <v>600</v>
      </c>
      <c r="X68" s="39" t="n">
        <v>380</v>
      </c>
      <c r="Y68" s="39" t="n">
        <v>320</v>
      </c>
      <c r="Z68" s="39" t="n">
        <v>200</v>
      </c>
      <c r="AA68" s="26">
        <f>Y68+IF(NOT(ISBLANK(OFFSET(AA68,0,6))),N(OFFSET(AA68,0,6)),N(OFFSET(AA68,0,7)))-Z68</f>
        <v/>
      </c>
      <c r="AC68" s="138" t="n"/>
      <c r="AD68" s="138" t="n"/>
      <c r="AE68" s="1" t="n"/>
      <c r="AF68" s="76" t="n"/>
      <c r="AG68" s="41" t="n"/>
      <c r="AH68" s="19" t="n">
        <v>0</v>
      </c>
      <c r="AI68" s="19" t="n">
        <v>0</v>
      </c>
      <c r="AJ68" s="19" t="n">
        <v>0</v>
      </c>
      <c r="AK68" s="19" t="n">
        <v>400</v>
      </c>
      <c r="AL68" s="19" t="n"/>
      <c r="AM68" s="19" t="n"/>
      <c r="AN68" s="19" t="n"/>
      <c r="AO68" s="19" t="n"/>
      <c r="AP68" s="19" t="n">
        <v>200</v>
      </c>
      <c r="AQ68" s="19" t="n">
        <v>200</v>
      </c>
      <c r="AR68" s="19" t="n">
        <v>200</v>
      </c>
      <c r="AS68" s="19" t="n"/>
      <c r="AT68" s="19" t="n">
        <v>200</v>
      </c>
      <c r="AU68" s="19" t="n"/>
      <c r="AV68" s="19" t="n">
        <v>200</v>
      </c>
      <c r="AW68" s="19" t="n"/>
      <c r="AX68" s="119" t="n"/>
      <c r="AY68" s="119" t="n"/>
      <c r="AZ68" s="119" t="n"/>
      <c r="BA68" s="19" t="n"/>
      <c r="BB68" s="19" t="n"/>
      <c r="BC68" s="119" t="n"/>
      <c r="BD68" s="19" t="n"/>
    </row>
    <row r="69">
      <c r="A69" s="25" t="inlineStr">
        <is>
          <t>SACOLA G EUDORA</t>
        </is>
      </c>
      <c r="B69" s="6" t="n">
        <v>100</v>
      </c>
      <c r="C69" s="632" t="n">
        <v>175.13</v>
      </c>
      <c r="D69" s="240" t="n"/>
      <c r="F69" s="39" t="n">
        <v>81</v>
      </c>
      <c r="G69" s="39" t="n">
        <v>81</v>
      </c>
      <c r="H69" s="39" t="n">
        <v>4</v>
      </c>
      <c r="I69" s="39" t="n">
        <v>204</v>
      </c>
      <c r="J69" s="39" t="n">
        <v>200</v>
      </c>
      <c r="K69" s="39" t="n">
        <v>200</v>
      </c>
      <c r="L69" s="39" t="n">
        <v>200</v>
      </c>
      <c r="M69" s="39" t="n">
        <v>483</v>
      </c>
      <c r="N69" s="39" t="n">
        <v>302</v>
      </c>
      <c r="O69" s="39" t="n">
        <v>263</v>
      </c>
      <c r="P69" s="39" t="n">
        <v>216</v>
      </c>
      <c r="Q69" s="39" t="n">
        <v>204</v>
      </c>
      <c r="R69" s="39" t="n">
        <v>162</v>
      </c>
      <c r="S69" s="39" t="n">
        <v>141</v>
      </c>
      <c r="T69" s="39" t="n">
        <v>103</v>
      </c>
      <c r="U69" s="39" t="n">
        <v>69</v>
      </c>
      <c r="V69" s="39" t="n">
        <v>152</v>
      </c>
      <c r="W69" s="39" t="n">
        <v>110</v>
      </c>
      <c r="X69" s="39" t="n">
        <v>0</v>
      </c>
      <c r="Y69" s="39" t="n">
        <v>0</v>
      </c>
      <c r="Z69" s="39" t="n">
        <v>0</v>
      </c>
      <c r="AA69" s="26">
        <f>Y69+IF(NOT(ISBLANK(OFFSET(AA69,0,6))),N(OFFSET(AA69,0,6)),N(OFFSET(AA69,0,7)))-Z69</f>
        <v/>
      </c>
      <c r="AC69" s="138" t="n"/>
      <c r="AD69" s="138" t="n"/>
      <c r="AE69" s="1" t="n"/>
      <c r="AF69" s="76" t="n"/>
      <c r="AG69" s="41" t="n"/>
      <c r="AH69" s="19" t="n">
        <v>0</v>
      </c>
      <c r="AI69" s="19" t="n">
        <v>0</v>
      </c>
      <c r="AJ69" s="19" t="n">
        <v>0</v>
      </c>
      <c r="AK69" s="19" t="n"/>
      <c r="AL69" s="19" t="n"/>
      <c r="AM69" s="19" t="n"/>
      <c r="AN69" s="19" t="n"/>
      <c r="AO69" s="19" t="n"/>
      <c r="AP69" s="19" t="n">
        <v>200</v>
      </c>
      <c r="AQ69" s="19" t="n">
        <v>100</v>
      </c>
      <c r="AR69" s="19" t="n">
        <v>100</v>
      </c>
      <c r="AS69" s="19" t="n">
        <v>100</v>
      </c>
      <c r="AT69" s="19" t="n"/>
      <c r="AU69" s="19" t="n"/>
      <c r="AV69" s="19" t="n">
        <v>100</v>
      </c>
      <c r="AW69" s="19" t="n"/>
      <c r="AX69" s="119" t="n"/>
      <c r="AY69" s="119" t="n"/>
      <c r="AZ69" s="119" t="n"/>
      <c r="BA69" s="19" t="n"/>
      <c r="BB69" s="19" t="n"/>
      <c r="BC69" s="260" t="inlineStr">
        <is>
          <t>100 DE CDJ</t>
        </is>
      </c>
      <c r="BD69" s="19" t="n"/>
    </row>
    <row r="70">
      <c r="A70" s="538" t="inlineStr">
        <is>
          <t>PAPEL DE SEDA EUDORA</t>
        </is>
      </c>
      <c r="B70" s="223" t="n">
        <v>200</v>
      </c>
      <c r="C70" s="683" t="n">
        <v>29.77</v>
      </c>
      <c r="D70" s="240" t="n"/>
      <c r="F70" s="39" t="n">
        <v>1</v>
      </c>
      <c r="G70" s="39" t="n">
        <v>1</v>
      </c>
      <c r="H70" s="39" t="n">
        <v>3</v>
      </c>
      <c r="I70" s="39" t="n">
        <v>3</v>
      </c>
      <c r="J70" s="39" t="n">
        <v>3</v>
      </c>
      <c r="K70" s="39" t="n">
        <v>3</v>
      </c>
      <c r="L70" s="39" t="n">
        <v>3</v>
      </c>
      <c r="M70" s="39" t="n">
        <v>3</v>
      </c>
      <c r="N70" s="39" t="n">
        <v>3</v>
      </c>
      <c r="O70" s="39" t="n">
        <v>3</v>
      </c>
      <c r="P70" s="39" t="n">
        <v>3</v>
      </c>
      <c r="Q70" s="39" t="n">
        <v>3</v>
      </c>
      <c r="R70" s="39" t="n">
        <v>3</v>
      </c>
      <c r="S70" s="39" t="n">
        <v>3</v>
      </c>
      <c r="T70" s="39" t="n">
        <v>3</v>
      </c>
      <c r="U70" s="39" t="n">
        <v>3</v>
      </c>
      <c r="V70" s="39" t="n">
        <v>3</v>
      </c>
      <c r="W70" s="39" t="n">
        <v>3</v>
      </c>
      <c r="X70" s="39" t="n">
        <v>3</v>
      </c>
      <c r="Y70" s="39" t="n">
        <v>3</v>
      </c>
      <c r="Z70" s="39" t="n">
        <v>3</v>
      </c>
      <c r="AA70" s="26">
        <f>Y70+IF(NOT(ISBLANK(OFFSET(AA70,0,6))),N(OFFSET(AA70,0,6)),N(OFFSET(AA70,0,7)))-Z70</f>
        <v/>
      </c>
      <c r="AC70" s="138" t="n"/>
      <c r="AD70" s="138" t="n"/>
      <c r="AE70" s="1" t="n"/>
      <c r="AF70" s="32" t="n"/>
      <c r="AG70" s="41" t="n"/>
      <c r="AH70" s="19" t="n">
        <v>0</v>
      </c>
      <c r="AI70" s="19" t="n">
        <v>0</v>
      </c>
      <c r="AJ70" s="19" t="n">
        <v>0</v>
      </c>
      <c r="AK70" s="19" t="n"/>
      <c r="AL70" s="19" t="n"/>
      <c r="AM70" s="19" t="n"/>
      <c r="AN70" s="19" t="n"/>
      <c r="AO70" s="19" t="n"/>
      <c r="AP70" s="19" t="n"/>
      <c r="AQ70" s="19" t="n"/>
      <c r="AR70" s="19" t="n">
        <v>1</v>
      </c>
      <c r="AS70" s="19" t="n"/>
      <c r="AT70" s="19" t="n"/>
      <c r="AU70" s="19" t="n"/>
      <c r="AV70" s="19" t="n">
        <v>2</v>
      </c>
      <c r="AW70" s="19" t="n"/>
      <c r="AX70" s="119" t="n"/>
      <c r="AY70" s="119" t="n"/>
      <c r="AZ70" s="119" t="n"/>
      <c r="BA70" s="19" t="n"/>
      <c r="BB70" s="19" t="n"/>
      <c r="BC70" s="119" t="n"/>
      <c r="BD70" s="19" t="n"/>
    </row>
    <row r="71">
      <c r="A71" s="538" t="inlineStr">
        <is>
          <t>ADESIVOS EUDORA</t>
        </is>
      </c>
      <c r="B71" s="223" t="n">
        <v>1000</v>
      </c>
      <c r="C71" s="683" t="n">
        <v>70</v>
      </c>
      <c r="D71" s="240" t="n"/>
      <c r="F71" s="39" t="n">
        <v>1</v>
      </c>
      <c r="G71" s="39" t="n">
        <v>1</v>
      </c>
      <c r="H71" s="39" t="n">
        <v>2</v>
      </c>
      <c r="I71" s="39" t="n">
        <v>2</v>
      </c>
      <c r="J71" s="39" t="n">
        <v>2</v>
      </c>
      <c r="K71" s="39" t="n">
        <v>2</v>
      </c>
      <c r="L71" s="39" t="n">
        <v>2</v>
      </c>
      <c r="M71" s="39" t="n">
        <v>2</v>
      </c>
      <c r="N71" s="39" t="n">
        <v>2</v>
      </c>
      <c r="O71" s="39" t="n">
        <v>2</v>
      </c>
      <c r="P71" s="39" t="n">
        <v>2</v>
      </c>
      <c r="Q71" s="39" t="n">
        <v>2</v>
      </c>
      <c r="R71" s="39" t="n">
        <v>2</v>
      </c>
      <c r="S71" s="39" t="n">
        <v>2</v>
      </c>
      <c r="T71" s="39" t="n">
        <v>2</v>
      </c>
      <c r="U71" s="39" t="n">
        <v>2</v>
      </c>
      <c r="V71" s="39" t="n">
        <v>2</v>
      </c>
      <c r="W71" s="39" t="n">
        <v>2</v>
      </c>
      <c r="X71" s="39" t="n">
        <v>2</v>
      </c>
      <c r="Y71" s="39" t="n">
        <v>2</v>
      </c>
      <c r="Z71" s="39" t="n">
        <v>2</v>
      </c>
      <c r="AA71" s="26">
        <f>Y71+IF(NOT(ISBLANK(OFFSET(AA71,0,6))),N(OFFSET(AA71,0,6)),N(OFFSET(AA71,0,7)))-Z71</f>
        <v/>
      </c>
      <c r="AC71" s="138" t="n"/>
      <c r="AD71" s="138" t="n"/>
      <c r="AE71" s="1" t="n"/>
      <c r="AF71" s="76" t="n"/>
      <c r="AG71" s="41" t="n"/>
      <c r="AH71" s="19" t="n">
        <v>0</v>
      </c>
      <c r="AI71" s="19" t="n">
        <v>0</v>
      </c>
      <c r="AJ71" s="19" t="n">
        <v>0</v>
      </c>
      <c r="AK71" s="19" t="n"/>
      <c r="AL71" s="19" t="n"/>
      <c r="AM71" s="19" t="n"/>
      <c r="AN71" s="19" t="n"/>
      <c r="AO71" s="19" t="n"/>
      <c r="AP71" s="19" t="n"/>
      <c r="AQ71" s="19" t="n"/>
      <c r="AR71" s="19" t="n">
        <v>1</v>
      </c>
      <c r="AS71" s="19" t="n"/>
      <c r="AT71" s="19" t="n"/>
      <c r="AU71" s="19" t="n"/>
      <c r="AV71" s="19" t="n">
        <v>2</v>
      </c>
      <c r="AW71" s="19" t="n"/>
      <c r="AX71" s="119" t="n"/>
      <c r="AY71" s="119" t="n"/>
      <c r="AZ71" s="119" t="n"/>
      <c r="BA71" s="19" t="n"/>
      <c r="BB71" s="19" t="n"/>
      <c r="BC71" s="119" t="n"/>
      <c r="BD71" s="19" t="n"/>
    </row>
    <row r="72">
      <c r="A72" s="538" t="inlineStr">
        <is>
          <t>LÂMINA OLFATIVA EUDORA</t>
        </is>
      </c>
      <c r="B72" s="225" t="n">
        <v>2000</v>
      </c>
      <c r="C72" s="683" t="n">
        <v>71</v>
      </c>
      <c r="D72" s="240" t="n"/>
      <c r="F72" s="39" t="n">
        <v>0</v>
      </c>
      <c r="G72" s="39" t="n">
        <v>0</v>
      </c>
      <c r="H72" s="39" t="n">
        <v>0</v>
      </c>
      <c r="I72" s="39" t="n">
        <v>0</v>
      </c>
      <c r="J72" s="39" t="n">
        <v>0</v>
      </c>
      <c r="K72" s="39" t="n">
        <v>0</v>
      </c>
      <c r="L72" s="39" t="n">
        <v>0</v>
      </c>
      <c r="M72" s="39" t="n">
        <v>0</v>
      </c>
      <c r="N72" s="39" t="n">
        <v>0</v>
      </c>
      <c r="O72" s="39" t="n">
        <v>0</v>
      </c>
      <c r="P72" s="39" t="n">
        <v>0</v>
      </c>
      <c r="Q72" s="39" t="n">
        <v>0</v>
      </c>
      <c r="R72" s="39" t="n">
        <v>0</v>
      </c>
      <c r="S72" s="39" t="n">
        <v>0</v>
      </c>
      <c r="T72" s="39" t="n">
        <v>0</v>
      </c>
      <c r="U72" s="39" t="n">
        <v>0</v>
      </c>
      <c r="V72" s="39" t="n">
        <v>0</v>
      </c>
      <c r="W72" s="39" t="n">
        <v>0</v>
      </c>
      <c r="X72" s="39" t="n">
        <v>0</v>
      </c>
      <c r="Y72" s="39" t="n">
        <v>0</v>
      </c>
      <c r="Z72" s="39" t="n">
        <v>0</v>
      </c>
      <c r="AA72" s="26">
        <f>Y72+IF(NOT(ISBLANK(OFFSET(AA72,0,6))),N(OFFSET(AA72,0,6)),N(OFFSET(AA72,0,7)))-Z72</f>
        <v/>
      </c>
      <c r="AC72" s="138" t="n"/>
      <c r="AD72" s="138" t="n"/>
      <c r="AE72" s="1" t="n"/>
      <c r="AF72" s="76" t="n"/>
      <c r="AG72" s="41" t="n"/>
      <c r="AH72" s="19" t="n">
        <v>0</v>
      </c>
      <c r="AI72" s="19" t="n">
        <v>0</v>
      </c>
      <c r="AJ72" s="19" t="n">
        <v>0</v>
      </c>
      <c r="AK72" s="19" t="n"/>
      <c r="AL72" s="19" t="n"/>
      <c r="AM72" s="19" t="n"/>
      <c r="AN72" s="19" t="n"/>
      <c r="AO72" s="19" t="n"/>
      <c r="AP72" s="19" t="n"/>
      <c r="AQ72" s="19" t="n"/>
      <c r="AR72" s="19" t="n"/>
      <c r="AS72" s="19" t="n"/>
      <c r="AT72" s="19" t="n"/>
      <c r="AU72" s="19" t="n"/>
      <c r="AV72" s="19" t="n"/>
      <c r="AW72" s="19" t="n"/>
      <c r="AX72" s="119" t="n"/>
      <c r="AY72" s="119" t="n"/>
      <c r="AZ72" s="119" t="n"/>
      <c r="BA72" s="19" t="n"/>
      <c r="BB72" s="19" t="n"/>
      <c r="BC72" s="119" t="n"/>
      <c r="BD72" s="19" t="n"/>
    </row>
    <row r="73">
      <c r="A73" s="538" t="inlineStr">
        <is>
          <t>KIT SACOLA P EUDORA (C/ 10)</t>
        </is>
      </c>
      <c r="B73" s="223" t="n">
        <v>200</v>
      </c>
      <c r="C73" s="683" t="n">
        <v>184.13</v>
      </c>
      <c r="D73" s="240" t="n"/>
      <c r="F73" s="39" t="n">
        <v>1</v>
      </c>
      <c r="G73" s="39" t="n">
        <v>1</v>
      </c>
      <c r="H73" s="39" t="n">
        <v>1</v>
      </c>
      <c r="I73" s="39" t="n">
        <v>1</v>
      </c>
      <c r="J73" s="39" t="n">
        <v>1</v>
      </c>
      <c r="K73" s="39" t="n">
        <v>1</v>
      </c>
      <c r="L73" s="39" t="n">
        <v>1</v>
      </c>
      <c r="M73" s="39" t="n">
        <v>1</v>
      </c>
      <c r="N73" s="39" t="n">
        <v>0</v>
      </c>
      <c r="O73" s="39" t="n">
        <v>0</v>
      </c>
      <c r="P73" s="39" t="n">
        <v>0</v>
      </c>
      <c r="Q73" s="39" t="n">
        <v>0</v>
      </c>
      <c r="R73" s="39" t="n">
        <v>0</v>
      </c>
      <c r="S73" s="39" t="n">
        <v>0</v>
      </c>
      <c r="T73" s="39" t="n">
        <v>0</v>
      </c>
      <c r="U73" s="39" t="n">
        <v>0</v>
      </c>
      <c r="V73" s="39" t="n"/>
      <c r="W73" s="39" t="n"/>
      <c r="X73" s="39" t="n"/>
      <c r="Y73" s="39" t="n"/>
      <c r="Z73" s="39" t="n"/>
      <c r="AA73" s="26">
        <f>Y73+IF(NOT(ISBLANK(OFFSET(AA73,0,6))),N(OFFSET(AA73,0,6)),N(OFFSET(AA73,0,7)))-Z73</f>
        <v/>
      </c>
      <c r="AC73" s="138" t="n"/>
      <c r="AD73" s="138" t="n"/>
      <c r="AE73" s="1" t="n"/>
      <c r="AF73" s="76" t="n"/>
      <c r="AG73" s="41" t="n"/>
      <c r="AH73" s="19" t="n">
        <v>0</v>
      </c>
      <c r="AI73" s="19" t="n">
        <v>0</v>
      </c>
      <c r="AJ73" s="19" t="n">
        <v>0</v>
      </c>
      <c r="AK73" s="19" t="n"/>
      <c r="AL73" s="19" t="n"/>
      <c r="AM73" s="19" t="n"/>
      <c r="AN73" s="19" t="n"/>
      <c r="AO73" s="19" t="n"/>
      <c r="AP73" s="19" t="n"/>
      <c r="AQ73" s="19" t="n"/>
      <c r="AR73" s="19" t="n"/>
      <c r="AS73" s="19" t="n"/>
      <c r="AT73" s="19" t="n"/>
      <c r="AU73" s="19" t="n"/>
      <c r="AV73" s="19" t="n"/>
      <c r="AW73" s="19" t="n"/>
      <c r="AX73" s="119" t="n"/>
      <c r="AY73" s="119" t="n"/>
      <c r="AZ73" s="119" t="n"/>
      <c r="BA73" s="19" t="n"/>
      <c r="BB73" s="19" t="n"/>
      <c r="BC73" s="260" t="inlineStr">
        <is>
          <t>05 DE CDJ</t>
        </is>
      </c>
      <c r="BD73" s="19" t="n"/>
    </row>
    <row r="74">
      <c r="A74" s="538" t="inlineStr">
        <is>
          <t>KIT SACOLA M EUDORA (C/ 10)</t>
        </is>
      </c>
      <c r="B74" s="223" t="n">
        <v>150</v>
      </c>
      <c r="C74" s="683" t="n">
        <v>181.4</v>
      </c>
      <c r="D74" s="240" t="n"/>
      <c r="F74" s="39" t="n">
        <v>3</v>
      </c>
      <c r="G74" s="39" t="n">
        <v>3</v>
      </c>
      <c r="H74" s="39" t="n">
        <v>3</v>
      </c>
      <c r="I74" s="39" t="n">
        <v>3</v>
      </c>
      <c r="J74" s="39" t="n">
        <v>3</v>
      </c>
      <c r="K74" s="39" t="n">
        <v>3</v>
      </c>
      <c r="L74" s="39" t="n">
        <v>3</v>
      </c>
      <c r="M74" s="39" t="n">
        <v>3</v>
      </c>
      <c r="N74" s="39" t="n">
        <v>2</v>
      </c>
      <c r="O74" s="39" t="n">
        <v>2</v>
      </c>
      <c r="P74" s="39" t="n">
        <v>2</v>
      </c>
      <c r="Q74" s="39" t="n">
        <v>2</v>
      </c>
      <c r="R74" s="39" t="n">
        <v>2</v>
      </c>
      <c r="S74" s="39" t="n">
        <v>2</v>
      </c>
      <c r="T74" s="39" t="n">
        <v>2</v>
      </c>
      <c r="U74" s="39" t="n">
        <v>2</v>
      </c>
      <c r="V74" s="39" t="n"/>
      <c r="W74" s="39" t="n"/>
      <c r="X74" s="39" t="n"/>
      <c r="Y74" s="39" t="n"/>
      <c r="Z74" s="39" t="n"/>
      <c r="AA74" s="26">
        <f>Y74+IF(NOT(ISBLANK(OFFSET(AA74,0,6))),N(OFFSET(AA74,0,6)),N(OFFSET(AA74,0,7)))-Z74</f>
        <v/>
      </c>
      <c r="AC74" s="138" t="n"/>
      <c r="AD74" s="138" t="n"/>
      <c r="AE74" s="1" t="n"/>
      <c r="AF74" s="76" t="n"/>
      <c r="AG74" s="41" t="n"/>
      <c r="AH74" s="19" t="n">
        <v>0</v>
      </c>
      <c r="AI74" s="19" t="n">
        <v>0</v>
      </c>
      <c r="AJ74" s="19" t="n">
        <v>0</v>
      </c>
      <c r="AK74" s="19" t="n"/>
      <c r="AL74" s="19" t="n"/>
      <c r="AM74" s="19" t="n"/>
      <c r="AN74" s="19" t="n"/>
      <c r="AO74" s="19" t="n"/>
      <c r="AP74" s="19" t="n"/>
      <c r="AQ74" s="19" t="n"/>
      <c r="AR74" s="19" t="n"/>
      <c r="AS74" s="19" t="n"/>
      <c r="AT74" s="19" t="n"/>
      <c r="AU74" s="19" t="n"/>
      <c r="AV74" s="19" t="n"/>
      <c r="AW74" s="19" t="n"/>
      <c r="AX74" s="119" t="n"/>
      <c r="AY74" s="119" t="n"/>
      <c r="AZ74" s="119" t="n"/>
      <c r="BA74" s="19" t="n"/>
      <c r="BB74" s="19" t="n"/>
      <c r="BC74" s="260" t="inlineStr">
        <is>
          <t>05 DE ERJ</t>
        </is>
      </c>
      <c r="BD74" s="19" t="n"/>
    </row>
    <row r="75">
      <c r="A75" s="538" t="inlineStr">
        <is>
          <t>KIT SACOLA G EUDORA (C/ 10)</t>
        </is>
      </c>
      <c r="B75" s="223" t="inlineStr">
        <is>
          <t>-</t>
        </is>
      </c>
      <c r="C75" s="683" t="inlineStr">
        <is>
          <t>-</t>
        </is>
      </c>
      <c r="D75" s="240" t="n"/>
      <c r="F75" s="39" t="n">
        <v>0</v>
      </c>
      <c r="G75" s="39" t="n">
        <v>0</v>
      </c>
      <c r="H75" s="39" t="n">
        <v>0</v>
      </c>
      <c r="I75" s="39" t="n">
        <v>0</v>
      </c>
      <c r="J75" s="39" t="n">
        <v>0</v>
      </c>
      <c r="K75" s="39" t="n">
        <v>0</v>
      </c>
      <c r="L75" s="39" t="n">
        <v>0</v>
      </c>
      <c r="M75" s="39" t="n">
        <v>0</v>
      </c>
      <c r="N75" s="39" t="n">
        <v>0</v>
      </c>
      <c r="O75" s="39" t="n">
        <v>0</v>
      </c>
      <c r="P75" s="39" t="n">
        <v>0</v>
      </c>
      <c r="Q75" s="39" t="n">
        <v>0</v>
      </c>
      <c r="R75" s="39" t="n">
        <v>0</v>
      </c>
      <c r="S75" s="39" t="n">
        <v>0</v>
      </c>
      <c r="T75" s="39" t="n">
        <v>0</v>
      </c>
      <c r="U75" s="39" t="n">
        <v>0</v>
      </c>
      <c r="V75" s="39" t="n"/>
      <c r="W75" s="39" t="n"/>
      <c r="X75" s="39" t="n"/>
      <c r="Y75" s="39" t="n"/>
      <c r="Z75" s="39" t="n"/>
      <c r="AA75" s="26">
        <f>Y75+IF(NOT(ISBLANK(OFFSET(AA75,0,6))),N(OFFSET(AA75,0,6)),N(OFFSET(AA75,0,7)))-Z75</f>
        <v/>
      </c>
      <c r="AC75" s="138" t="n"/>
      <c r="AD75" s="138" t="n"/>
      <c r="AE75" s="1" t="n"/>
      <c r="AF75" s="76" t="n"/>
      <c r="AG75" s="41" t="n"/>
      <c r="AH75" s="19" t="n">
        <v>0</v>
      </c>
      <c r="AI75" s="19" t="n">
        <v>0</v>
      </c>
      <c r="AJ75" s="19" t="n">
        <v>0</v>
      </c>
      <c r="AK75" s="19" t="n"/>
      <c r="AL75" s="19" t="n"/>
      <c r="AM75" s="19" t="n"/>
      <c r="AN75" s="19" t="n"/>
      <c r="AO75" s="19" t="n"/>
      <c r="AP75" s="19" t="n"/>
      <c r="AQ75" s="19" t="n"/>
      <c r="AR75" s="19" t="n"/>
      <c r="AS75" s="19" t="n"/>
      <c r="AT75" s="19" t="n"/>
      <c r="AU75" s="19" t="n"/>
      <c r="AV75" s="19" t="n"/>
      <c r="AW75" s="19" t="n"/>
      <c r="AX75" s="119" t="n"/>
      <c r="AY75" s="119" t="n"/>
      <c r="AZ75" s="119" t="n"/>
      <c r="BA75" s="19" t="n"/>
      <c r="BB75" s="19" t="n"/>
      <c r="BC75" s="119" t="n"/>
      <c r="BD75" s="19" t="n"/>
    </row>
    <row r="76">
      <c r="A76" s="538" t="inlineStr">
        <is>
          <t>CAIXA P EUDORA</t>
        </is>
      </c>
      <c r="B76" s="223" t="n">
        <v>150</v>
      </c>
      <c r="C76" s="683" t="n">
        <v>400.5</v>
      </c>
      <c r="D76" s="240" t="n"/>
      <c r="F76" s="39" t="n">
        <v>0</v>
      </c>
      <c r="G76" s="39" t="n">
        <v>0</v>
      </c>
      <c r="H76" s="39" t="n">
        <v>0</v>
      </c>
      <c r="I76" s="39" t="n">
        <v>0</v>
      </c>
      <c r="J76" s="39" t="n">
        <v>0</v>
      </c>
      <c r="K76" s="39" t="n">
        <v>0</v>
      </c>
      <c r="L76" s="39" t="n">
        <v>0</v>
      </c>
      <c r="M76" s="39" t="n">
        <v>0</v>
      </c>
      <c r="N76" s="211" t="n">
        <v>9</v>
      </c>
      <c r="O76" s="39" t="n">
        <v>9</v>
      </c>
      <c r="P76" s="39" t="n">
        <v>9</v>
      </c>
      <c r="Q76" s="39" t="n">
        <v>9</v>
      </c>
      <c r="R76" s="39" t="n">
        <v>9</v>
      </c>
      <c r="S76" s="39" t="n">
        <v>6</v>
      </c>
      <c r="T76" s="39" t="n">
        <v>6</v>
      </c>
      <c r="U76" s="39" t="n">
        <v>6</v>
      </c>
      <c r="V76" s="39" t="n"/>
      <c r="W76" s="39" t="n"/>
      <c r="X76" s="39" t="n"/>
      <c r="Y76" s="39" t="n"/>
      <c r="Z76" s="39" t="n"/>
      <c r="AA76" s="26">
        <f>Y76+IF(NOT(ISBLANK(OFFSET(AA76,0,6))),N(OFFSET(AA76,0,6)),N(OFFSET(AA76,0,7)))-Z76</f>
        <v/>
      </c>
      <c r="AC76" s="138" t="inlineStr">
        <is>
          <t>15 DE CD</t>
        </is>
      </c>
      <c r="AD76" s="138" t="n"/>
      <c r="AE76" s="1" t="n"/>
      <c r="AF76" s="76" t="n"/>
      <c r="AG76" s="41" t="n"/>
      <c r="AH76" s="19" t="n">
        <v>0</v>
      </c>
      <c r="AI76" s="19" t="n">
        <v>0</v>
      </c>
      <c r="AJ76" s="19" t="n">
        <v>0</v>
      </c>
      <c r="AK76" s="19" t="n"/>
      <c r="AL76" s="19" t="n"/>
      <c r="AM76" s="19" t="n"/>
      <c r="AN76" s="19" t="n"/>
      <c r="AO76" s="19" t="n"/>
      <c r="AP76" s="19" t="n"/>
      <c r="AQ76" s="19" t="n"/>
      <c r="AR76" s="19" t="n"/>
      <c r="AS76" s="19" t="n"/>
      <c r="AT76" s="19" t="n"/>
      <c r="AU76" s="19" t="n"/>
      <c r="AV76" s="19" t="n"/>
      <c r="AW76" s="19" t="n"/>
      <c r="AX76" s="119" t="n"/>
      <c r="AY76" s="119" t="n"/>
      <c r="AZ76" s="119" t="n"/>
      <c r="BA76" s="19" t="n"/>
      <c r="BB76" s="19" t="n"/>
      <c r="BC76" s="260" t="inlineStr">
        <is>
          <t>10 DE CDJ</t>
        </is>
      </c>
      <c r="BD76" s="19" t="n"/>
    </row>
    <row r="77">
      <c r="A77" s="538" t="inlineStr">
        <is>
          <t>CAIXA M EUDORA</t>
        </is>
      </c>
      <c r="B77" s="223" t="n">
        <v>100</v>
      </c>
      <c r="C77" s="683" t="n">
        <v>365</v>
      </c>
      <c r="D77" s="240" t="n"/>
      <c r="F77" s="39" t="n">
        <v>0</v>
      </c>
      <c r="G77" s="39" t="n">
        <v>0</v>
      </c>
      <c r="H77" s="39" t="n">
        <v>0</v>
      </c>
      <c r="I77" s="39" t="n">
        <v>0</v>
      </c>
      <c r="J77" s="39" t="n">
        <v>0</v>
      </c>
      <c r="K77" s="39" t="n">
        <v>0</v>
      </c>
      <c r="L77" s="39" t="n">
        <v>0</v>
      </c>
      <c r="M77" s="39" t="n">
        <v>0</v>
      </c>
      <c r="N77" s="39" t="n">
        <v>0</v>
      </c>
      <c r="O77" s="39" t="n">
        <v>0</v>
      </c>
      <c r="P77" s="39" t="n">
        <v>0</v>
      </c>
      <c r="Q77" s="39" t="n">
        <v>0</v>
      </c>
      <c r="R77" s="39" t="n">
        <v>0</v>
      </c>
      <c r="S77" s="39" t="n">
        <v>0</v>
      </c>
      <c r="T77" s="39" t="n">
        <v>0</v>
      </c>
      <c r="U77" s="39" t="n">
        <v>0</v>
      </c>
      <c r="V77" s="39" t="n"/>
      <c r="W77" s="39" t="n"/>
      <c r="X77" s="39" t="n"/>
      <c r="Y77" s="39" t="n"/>
      <c r="Z77" s="39" t="n"/>
      <c r="AA77" s="26">
        <f>Y77+IF(NOT(ISBLANK(OFFSET(AA77,0,6))),N(OFFSET(AA77,0,6)),N(OFFSET(AA77,0,7)))-Z77</f>
        <v/>
      </c>
      <c r="AC77" s="138" t="n"/>
      <c r="AD77" s="138" t="n"/>
      <c r="AE77" s="1" t="n"/>
      <c r="AF77" s="76" t="n"/>
      <c r="AG77" s="41" t="n"/>
      <c r="AH77" s="19" t="n">
        <v>0</v>
      </c>
      <c r="AI77" s="19" t="n">
        <v>0</v>
      </c>
      <c r="AJ77" s="19" t="n">
        <v>0</v>
      </c>
      <c r="AK77" s="19" t="n"/>
      <c r="AL77" s="19" t="n"/>
      <c r="AM77" s="19" t="n"/>
      <c r="AN77" s="19" t="n"/>
      <c r="AO77" s="19" t="n"/>
      <c r="AP77" s="19" t="n"/>
      <c r="AQ77" s="19" t="n"/>
      <c r="AR77" s="19" t="n"/>
      <c r="AS77" s="19" t="n"/>
      <c r="AT77" s="19" t="n"/>
      <c r="AU77" s="19" t="n"/>
      <c r="AV77" s="19" t="n"/>
      <c r="AW77" s="19" t="n"/>
      <c r="AX77" s="119" t="n"/>
      <c r="AY77" s="119" t="n"/>
      <c r="AZ77" s="119" t="n"/>
      <c r="BA77" s="19" t="n"/>
      <c r="BB77" s="19" t="n"/>
      <c r="BC77" s="119" t="n"/>
      <c r="BD77" s="19" t="n"/>
    </row>
    <row r="78">
      <c r="A78" s="538" t="inlineStr">
        <is>
          <t>CAIXA G EUDORA</t>
        </is>
      </c>
      <c r="B78" s="223" t="n">
        <v>75</v>
      </c>
      <c r="C78" s="683" t="n">
        <v>438.75</v>
      </c>
      <c r="D78" s="240" t="n"/>
      <c r="F78" s="39" t="n">
        <v>10</v>
      </c>
      <c r="G78" s="39" t="n">
        <v>10</v>
      </c>
      <c r="H78" s="39" t="n">
        <v>10</v>
      </c>
      <c r="I78" s="39" t="n">
        <v>10</v>
      </c>
      <c r="J78" s="39" t="n">
        <v>10</v>
      </c>
      <c r="K78" s="39" t="n">
        <v>10</v>
      </c>
      <c r="L78" s="39" t="n">
        <v>10</v>
      </c>
      <c r="M78" s="39" t="n">
        <v>10</v>
      </c>
      <c r="N78" s="39" t="n">
        <v>10</v>
      </c>
      <c r="O78" s="39" t="n">
        <v>10</v>
      </c>
      <c r="P78" s="39" t="n">
        <v>10</v>
      </c>
      <c r="Q78" s="39" t="n">
        <v>10</v>
      </c>
      <c r="R78" s="39" t="n">
        <v>10</v>
      </c>
      <c r="S78" s="39" t="n">
        <v>10</v>
      </c>
      <c r="T78" s="39" t="n">
        <v>10</v>
      </c>
      <c r="U78" s="39" t="n">
        <v>10</v>
      </c>
      <c r="V78" s="39" t="n"/>
      <c r="W78" s="39" t="n"/>
      <c r="X78" s="39" t="n"/>
      <c r="Y78" s="39" t="n"/>
      <c r="Z78" s="39" t="n"/>
      <c r="AA78" s="26">
        <f>Y78+IF(NOT(ISBLANK(OFFSET(AA78,0,6))),N(OFFSET(AA78,0,6)),N(OFFSET(AA78,0,7)))-Z78</f>
        <v/>
      </c>
      <c r="AC78" s="138" t="n"/>
      <c r="AD78" s="138" t="n"/>
      <c r="AE78" s="1" t="n"/>
      <c r="AF78" s="76" t="n"/>
      <c r="AG78" s="41" t="n"/>
      <c r="AH78" s="19" t="n">
        <v>0</v>
      </c>
      <c r="AI78" s="19" t="n">
        <v>0</v>
      </c>
      <c r="AJ78" s="19" t="n">
        <v>0</v>
      </c>
      <c r="AK78" s="19" t="n"/>
      <c r="AL78" s="19" t="n"/>
      <c r="AM78" s="19" t="n"/>
      <c r="AN78" s="19" t="n"/>
      <c r="AO78" s="19" t="n"/>
      <c r="AP78" s="19" t="n"/>
      <c r="AQ78" s="19" t="n"/>
      <c r="AR78" s="19" t="n"/>
      <c r="AS78" s="19" t="n"/>
      <c r="AT78" s="19" t="n"/>
      <c r="AU78" s="19" t="n"/>
      <c r="AV78" s="19" t="n"/>
      <c r="AW78" s="19" t="n"/>
      <c r="AX78" s="119" t="n"/>
      <c r="AY78" s="119" t="n"/>
      <c r="AZ78" s="119" t="n"/>
      <c r="BA78" s="19" t="n"/>
      <c r="BB78" s="19" t="n"/>
      <c r="BC78" s="260" t="inlineStr">
        <is>
          <t>10 DE CDJ</t>
        </is>
      </c>
      <c r="BD78" s="19" t="n"/>
    </row>
    <row r="79">
      <c r="B79" s="41" t="n"/>
      <c r="C79" s="684" t="n"/>
      <c r="D79" s="684" t="n"/>
      <c r="F79" s="2" t="n"/>
      <c r="G79" s="2" t="n"/>
      <c r="H79" s="2" t="n"/>
      <c r="I79" s="2" t="n"/>
      <c r="J79" s="2" t="n"/>
      <c r="K79" s="2" t="n"/>
      <c r="L79" s="2" t="n"/>
      <c r="M79" s="2" t="n"/>
      <c r="N79" s="2" t="n"/>
      <c r="O79" s="2" t="n"/>
      <c r="P79" s="2" t="n"/>
      <c r="Q79" s="2" t="n"/>
      <c r="R79" s="2" t="n"/>
      <c r="S79" s="2" t="n"/>
      <c r="T79" s="2" t="n"/>
      <c r="U79" s="2" t="n"/>
      <c r="V79" s="2" t="n"/>
      <c r="W79" s="2" t="n"/>
      <c r="X79" s="2" t="n"/>
      <c r="Y79" s="2" t="n"/>
      <c r="Z79" s="2" t="n"/>
      <c r="AA79" s="2" t="n"/>
      <c r="AC79" s="75" t="n"/>
      <c r="AD79" s="75" t="n"/>
      <c r="AE79" s="1" t="n"/>
      <c r="AF79" s="15" t="n"/>
      <c r="AG79" s="41" t="n"/>
      <c r="AH79" s="75" t="n"/>
      <c r="AI79" s="75" t="n"/>
      <c r="AJ79" s="75" t="n"/>
      <c r="AK79" s="75" t="n"/>
      <c r="AL79" s="75" t="n"/>
      <c r="AM79" s="75" t="n"/>
      <c r="AN79" s="75" t="n"/>
      <c r="AO79" s="75" t="n"/>
      <c r="AP79" s="75" t="n"/>
      <c r="AQ79" s="75" t="n"/>
      <c r="AR79" s="75" t="n"/>
      <c r="AS79" s="75" t="n"/>
      <c r="AT79" s="75" t="n"/>
      <c r="AU79" s="75" t="n"/>
      <c r="AV79" s="75" t="n"/>
      <c r="AW79" s="75" t="n"/>
      <c r="AX79" s="206" t="n"/>
      <c r="AY79" s="206" t="n"/>
      <c r="AZ79" s="206" t="n"/>
      <c r="BA79" s="75" t="n"/>
      <c r="BB79" s="75" t="n"/>
      <c r="BC79" s="206" t="n"/>
      <c r="BD79" s="75" t="n"/>
    </row>
    <row r="80">
      <c r="A80" s="278" t="inlineStr">
        <is>
          <t>EUDORA NATAL/25</t>
        </is>
      </c>
      <c r="B80" s="279" t="inlineStr">
        <is>
          <t>PC</t>
        </is>
      </c>
      <c r="C80" s="279" t="inlineStr">
        <is>
          <t>R$</t>
        </is>
      </c>
      <c r="D80" s="279" t="n"/>
      <c r="F80" s="619" t="n">
        <v>46006</v>
      </c>
      <c r="G80" s="619" t="n">
        <v>46013</v>
      </c>
      <c r="H80" s="619" t="n">
        <v>46020</v>
      </c>
      <c r="I80" s="619" t="n">
        <v>46027</v>
      </c>
      <c r="J80" s="619" t="n">
        <v>46034</v>
      </c>
      <c r="K80" s="619" t="n">
        <v>46041</v>
      </c>
      <c r="L80" s="619" t="n">
        <v>46048</v>
      </c>
      <c r="M80" s="619" t="n">
        <v>46055</v>
      </c>
      <c r="N80" s="619" t="n">
        <v>46062</v>
      </c>
      <c r="O80" s="619" t="n">
        <v>46069</v>
      </c>
      <c r="P80" s="619" t="n">
        <v>46076</v>
      </c>
      <c r="Q80" s="619" t="n">
        <v>46083</v>
      </c>
      <c r="R80" s="619" t="n">
        <v>46090</v>
      </c>
      <c r="S80" s="619" t="n">
        <v>46097</v>
      </c>
      <c r="T80" s="619" t="n">
        <v>46104</v>
      </c>
      <c r="U80" s="619" t="n">
        <v>46111</v>
      </c>
      <c r="V80" s="619" t="n">
        <v>46118</v>
      </c>
      <c r="W80" s="619" t="n">
        <v>46125</v>
      </c>
      <c r="X80" s="619" t="n">
        <v>46132</v>
      </c>
      <c r="Y80" s="619" t="n">
        <v>46139</v>
      </c>
      <c r="Z80" s="619" t="n">
        <v>46146</v>
      </c>
      <c r="AA80" s="621" t="inlineStr">
        <is>
          <t>USOU</t>
        </is>
      </c>
      <c r="AX80" s="209" t="n"/>
      <c r="AY80" s="209" t="n"/>
      <c r="AZ80" s="209" t="n"/>
      <c r="BC80" s="209" t="n"/>
    </row>
    <row r="81">
      <c r="A81" s="25" t="inlineStr">
        <is>
          <t xml:space="preserve">SACOLA M </t>
        </is>
      </c>
      <c r="B81" s="6" t="n">
        <v>200</v>
      </c>
      <c r="C81" s="632" t="n">
        <v>336</v>
      </c>
      <c r="D81" s="240" t="n"/>
      <c r="F81" s="39" t="n">
        <v>124</v>
      </c>
      <c r="G81" s="39" t="n">
        <v>124</v>
      </c>
      <c r="H81" s="39" t="n">
        <v>124</v>
      </c>
      <c r="I81" s="39" t="n">
        <v>124</v>
      </c>
      <c r="J81" s="39" t="n">
        <v>124</v>
      </c>
      <c r="K81" s="39" t="n">
        <v>124</v>
      </c>
      <c r="L81" s="39" t="n">
        <v>124</v>
      </c>
      <c r="M81" s="39" t="n">
        <v>124</v>
      </c>
      <c r="N81" s="39" t="n">
        <v>142</v>
      </c>
      <c r="O81" s="39" t="n">
        <v>142</v>
      </c>
      <c r="P81" s="39" t="n">
        <v>142</v>
      </c>
      <c r="Q81" s="39" t="n">
        <v>142</v>
      </c>
      <c r="R81" s="39" t="n">
        <v>131</v>
      </c>
      <c r="S81" s="39" t="n">
        <v>123</v>
      </c>
      <c r="T81" s="39" t="n">
        <v>123</v>
      </c>
      <c r="U81" s="39" t="n">
        <v>123</v>
      </c>
      <c r="V81" s="39" t="n"/>
      <c r="W81" s="39" t="n"/>
      <c r="X81" s="39" t="n"/>
      <c r="Y81" s="39" t="n"/>
      <c r="Z81" s="39" t="n"/>
      <c r="AA81" s="26">
        <f>Y81+IF(NOT(ISBLANK(OFFSET(AA81,0,6))),N(OFFSET(AA81,0,6)),N(OFFSET(AA81,0,7)))-Z81</f>
        <v/>
      </c>
      <c r="AX81" s="209" t="n"/>
      <c r="AY81" s="209" t="n"/>
      <c r="AZ81" s="209" t="n"/>
      <c r="BC81" s="209" t="n"/>
    </row>
    <row r="82">
      <c r="A82" s="25" t="inlineStr">
        <is>
          <t>PAPEL DE SEDA</t>
        </is>
      </c>
      <c r="B82" s="6" t="n">
        <v>200</v>
      </c>
      <c r="C82" s="632" t="n">
        <v>54</v>
      </c>
      <c r="D82" s="240" t="n"/>
      <c r="F82" s="39" t="n">
        <v>138</v>
      </c>
      <c r="G82" s="39" t="n">
        <v>137</v>
      </c>
      <c r="H82" s="39" t="n">
        <v>137</v>
      </c>
      <c r="I82" s="39" t="n">
        <v>137</v>
      </c>
      <c r="J82" s="39" t="n">
        <v>137</v>
      </c>
      <c r="K82" s="39" t="n">
        <v>137</v>
      </c>
      <c r="L82" s="39" t="n">
        <v>137</v>
      </c>
      <c r="M82" s="39" t="n">
        <v>137</v>
      </c>
      <c r="N82" s="39" t="n">
        <v>143</v>
      </c>
      <c r="O82" s="39" t="n">
        <v>143</v>
      </c>
      <c r="P82" s="39" t="n">
        <v>143</v>
      </c>
      <c r="Q82" s="39" t="n">
        <v>143</v>
      </c>
      <c r="R82" s="39" t="n">
        <v>143</v>
      </c>
      <c r="S82" s="39" t="n">
        <v>140</v>
      </c>
      <c r="T82" s="39" t="n">
        <v>140</v>
      </c>
      <c r="U82" s="39" t="n">
        <v>140</v>
      </c>
      <c r="V82" s="39" t="n"/>
      <c r="W82" s="39" t="n"/>
      <c r="X82" s="39" t="n"/>
      <c r="Y82" s="39" t="n"/>
      <c r="Z82" s="39" t="n"/>
      <c r="AA82" s="26">
        <f>Y82+IF(NOT(ISBLANK(OFFSET(AA82,0,6))),N(OFFSET(AA82,0,6)),N(OFFSET(AA82,0,7)))-Z82</f>
        <v/>
      </c>
      <c r="AB82" s="11" t="n"/>
      <c r="AC82" s="75" t="n"/>
      <c r="AD82" s="75" t="n"/>
      <c r="AE82" s="1" t="n"/>
      <c r="AF82" s="15" t="n"/>
      <c r="AG82" s="41" t="n"/>
      <c r="AH82" s="75" t="n"/>
      <c r="AI82" s="75" t="n"/>
      <c r="AJ82" s="75" t="n"/>
      <c r="AK82" s="75" t="n"/>
      <c r="AL82" s="75" t="n"/>
      <c r="AM82" s="75" t="n"/>
      <c r="AN82" s="75" t="n"/>
      <c r="AO82" s="75" t="n"/>
      <c r="AP82" s="75" t="n"/>
      <c r="AQ82" s="75" t="n"/>
      <c r="AR82" s="75" t="n"/>
      <c r="AS82" s="75" t="n"/>
      <c r="AT82" s="75" t="n"/>
      <c r="AU82" s="75" t="n"/>
      <c r="AV82" s="75" t="n"/>
      <c r="AW82" s="75" t="n"/>
      <c r="AX82" s="206" t="n"/>
      <c r="AY82" s="206" t="n"/>
      <c r="AZ82" s="206" t="n"/>
      <c r="BA82" s="75" t="n"/>
      <c r="BB82" s="75" t="n"/>
      <c r="BC82" s="206" t="n"/>
      <c r="BD82" s="75" t="n"/>
    </row>
    <row r="83">
      <c r="A83" s="25" t="inlineStr">
        <is>
          <t>KIT TAG 10 C/ 20</t>
        </is>
      </c>
      <c r="B83" s="6" t="n">
        <v>200</v>
      </c>
      <c r="C83" s="632" t="n">
        <v>40</v>
      </c>
      <c r="D83" s="240" t="n"/>
      <c r="F83" s="39" t="n">
        <v>2</v>
      </c>
      <c r="G83" s="39" t="n">
        <v>2</v>
      </c>
      <c r="H83" s="39" t="n">
        <v>2</v>
      </c>
      <c r="I83" s="39" t="n">
        <v>2</v>
      </c>
      <c r="J83" s="39" t="n">
        <v>2</v>
      </c>
      <c r="K83" s="39" t="n">
        <v>2</v>
      </c>
      <c r="L83" s="39" t="n">
        <v>1</v>
      </c>
      <c r="M83" s="39" t="n">
        <v>1</v>
      </c>
      <c r="N83" s="39" t="n">
        <v>1</v>
      </c>
      <c r="O83" s="39" t="n">
        <v>1</v>
      </c>
      <c r="P83" s="39" t="n">
        <v>1</v>
      </c>
      <c r="Q83" s="39" t="n">
        <v>1</v>
      </c>
      <c r="R83" s="39" t="n">
        <v>1</v>
      </c>
      <c r="S83" s="39" t="n">
        <v>1</v>
      </c>
      <c r="T83" s="39" t="n">
        <v>1</v>
      </c>
      <c r="U83" s="39" t="n">
        <v>0</v>
      </c>
      <c r="V83" s="39" t="n"/>
      <c r="W83" s="39" t="n"/>
      <c r="X83" s="39" t="n"/>
      <c r="Y83" s="39" t="n"/>
      <c r="Z83" s="39" t="n"/>
      <c r="AA83" s="26">
        <f>Y83+IF(NOT(ISBLANK(OFFSET(AA83,0,6))),N(OFFSET(AA83,0,6)),N(OFFSET(AA83,0,7)))-Z83</f>
        <v/>
      </c>
      <c r="AB83" s="11" t="n"/>
      <c r="AC83" s="75" t="n"/>
      <c r="AD83" s="75" t="n"/>
      <c r="AE83" s="1" t="n"/>
      <c r="AF83" s="15" t="n"/>
      <c r="AG83" s="41" t="n"/>
      <c r="AH83" s="75" t="n"/>
      <c r="AI83" s="75" t="n"/>
      <c r="AJ83" s="75" t="n"/>
      <c r="AK83" s="75" t="n"/>
      <c r="AL83" s="75" t="n"/>
      <c r="AM83" s="75" t="n"/>
      <c r="AN83" s="75" t="n"/>
      <c r="AO83" s="75" t="n"/>
      <c r="AP83" s="75" t="n"/>
      <c r="AQ83" s="75" t="n"/>
      <c r="AR83" s="75" t="n"/>
      <c r="AS83" s="75" t="n"/>
      <c r="AT83" s="75" t="n"/>
      <c r="AU83" s="75" t="n"/>
      <c r="AV83" s="75" t="n"/>
      <c r="AW83" s="75" t="n"/>
      <c r="AX83" s="206" t="n"/>
      <c r="AY83" s="206" t="n"/>
      <c r="AZ83" s="206" t="n"/>
      <c r="BA83" s="75" t="n"/>
      <c r="BB83" s="75" t="n"/>
      <c r="BC83" s="206" t="n"/>
      <c r="BD83" s="75" t="n"/>
    </row>
    <row r="84">
      <c r="A84" s="157" t="inlineStr">
        <is>
          <t>CAIXA M</t>
        </is>
      </c>
      <c r="B84" s="72" t="n">
        <v>100</v>
      </c>
      <c r="C84" s="639" t="n">
        <v>904</v>
      </c>
      <c r="D84" s="72" t="n"/>
      <c r="F84" s="39" t="n">
        <v>28</v>
      </c>
      <c r="G84" s="39" t="n">
        <v>25</v>
      </c>
      <c r="H84" s="39" t="n">
        <v>25</v>
      </c>
      <c r="I84" s="39" t="n">
        <v>25</v>
      </c>
      <c r="J84" s="39" t="n">
        <v>25</v>
      </c>
      <c r="K84" s="39" t="n">
        <v>25</v>
      </c>
      <c r="L84" s="39" t="n">
        <v>25</v>
      </c>
      <c r="M84" s="39" t="n">
        <v>25</v>
      </c>
      <c r="N84" s="39" t="n">
        <v>25</v>
      </c>
      <c r="O84" s="39" t="n">
        <v>25</v>
      </c>
      <c r="P84" s="39" t="n">
        <v>25</v>
      </c>
      <c r="Q84" s="39" t="n">
        <v>25</v>
      </c>
      <c r="R84" s="39" t="n">
        <v>25</v>
      </c>
      <c r="S84" s="39" t="n">
        <v>24</v>
      </c>
      <c r="T84" s="39" t="n">
        <v>24</v>
      </c>
      <c r="U84" s="39" t="n">
        <v>24</v>
      </c>
      <c r="V84" s="39" t="n"/>
      <c r="W84" s="39" t="n"/>
      <c r="X84" s="39" t="n"/>
      <c r="Y84" s="39" t="n"/>
      <c r="Z84" s="39" t="n"/>
      <c r="AA84" s="26">
        <f>Y84+IF(NOT(ISBLANK(OFFSET(AA84,0,6))),N(OFFSET(AA84,0,6)),N(OFFSET(AA84,0,7)))-Z84</f>
        <v/>
      </c>
    </row>
    <row r="85">
      <c r="A85" s="157" t="inlineStr">
        <is>
          <t>CARTUCHO P</t>
        </is>
      </c>
      <c r="B85" s="72" t="n">
        <v>200</v>
      </c>
      <c r="C85" s="639" t="n">
        <v>464</v>
      </c>
      <c r="D85" s="72" t="n"/>
      <c r="F85" s="39" t="n">
        <v>30</v>
      </c>
      <c r="G85" s="39" t="n">
        <v>30</v>
      </c>
      <c r="H85" s="39" t="n">
        <v>29</v>
      </c>
      <c r="I85" s="39" t="n">
        <v>29</v>
      </c>
      <c r="J85" s="39" t="n">
        <v>29</v>
      </c>
      <c r="K85" s="39" t="n">
        <v>29</v>
      </c>
      <c r="L85" s="39" t="n">
        <v>29</v>
      </c>
      <c r="M85" s="39" t="n">
        <v>29</v>
      </c>
      <c r="N85" s="39" t="n">
        <v>29</v>
      </c>
      <c r="O85" s="39" t="n">
        <v>29</v>
      </c>
      <c r="P85" s="39" t="n">
        <v>29</v>
      </c>
      <c r="Q85" s="39" t="n">
        <v>29</v>
      </c>
      <c r="R85" s="39" t="n">
        <v>29</v>
      </c>
      <c r="S85" s="39" t="n">
        <v>28</v>
      </c>
      <c r="T85" s="39" t="n">
        <v>28</v>
      </c>
      <c r="U85" s="39" t="n">
        <v>28</v>
      </c>
      <c r="V85" s="39" t="n"/>
      <c r="W85" s="39" t="n"/>
      <c r="X85" s="39" t="n"/>
      <c r="Y85" s="39" t="n"/>
      <c r="Z85" s="39" t="n"/>
      <c r="AA85" s="26">
        <f>Y85+IF(NOT(ISBLANK(OFFSET(AA85,0,6))),N(OFFSET(AA85,0,6)),N(OFFSET(AA85,0,7)))-Z85</f>
        <v/>
      </c>
    </row>
    <row r="87">
      <c r="A87" s="280" t="inlineStr">
        <is>
          <t>BOTICÁRIO NATAL/25</t>
        </is>
      </c>
      <c r="B87" s="255" t="inlineStr">
        <is>
          <t>PC</t>
        </is>
      </c>
      <c r="C87" s="255" t="inlineStr">
        <is>
          <t>R$</t>
        </is>
      </c>
      <c r="D87" s="255" t="n"/>
      <c r="F87" s="619" t="n">
        <v>46006</v>
      </c>
      <c r="G87" s="619" t="n">
        <v>46013</v>
      </c>
      <c r="H87" s="619" t="n">
        <v>46020</v>
      </c>
      <c r="I87" s="619" t="n">
        <v>46027</v>
      </c>
      <c r="J87" s="619" t="n">
        <v>46034</v>
      </c>
      <c r="K87" s="619" t="n">
        <v>46041</v>
      </c>
      <c r="L87" s="619" t="n">
        <v>46048</v>
      </c>
      <c r="M87" s="619" t="n">
        <v>46055</v>
      </c>
      <c r="N87" s="619" t="n">
        <v>46062</v>
      </c>
      <c r="O87" s="619" t="n">
        <v>46069</v>
      </c>
      <c r="P87" s="619" t="n">
        <v>46076</v>
      </c>
      <c r="Q87" s="619" t="n">
        <v>46083</v>
      </c>
      <c r="R87" s="619" t="n">
        <v>46090</v>
      </c>
      <c r="S87" s="619" t="n">
        <v>46097</v>
      </c>
      <c r="T87" s="619" t="n">
        <v>46104</v>
      </c>
      <c r="U87" s="619" t="n">
        <v>46111</v>
      </c>
      <c r="V87" s="619" t="n">
        <v>46118</v>
      </c>
      <c r="W87" s="619" t="n">
        <v>46125</v>
      </c>
      <c r="X87" s="619" t="n">
        <v>46132</v>
      </c>
      <c r="Y87" s="619" t="n">
        <v>46139</v>
      </c>
      <c r="Z87" s="619" t="n">
        <v>46146</v>
      </c>
      <c r="AA87" s="621" t="inlineStr">
        <is>
          <t>USOU</t>
        </is>
      </c>
    </row>
    <row r="88" hidden="1">
      <c r="A88" s="25" t="inlineStr">
        <is>
          <t>SACOLA P</t>
        </is>
      </c>
      <c r="B88" s="6" t="n">
        <v>200</v>
      </c>
      <c r="C88" s="632" t="n">
        <v>274.2</v>
      </c>
      <c r="D88" s="240" t="n"/>
      <c r="F88" s="39" t="n">
        <v>99</v>
      </c>
      <c r="G88" s="39" t="n">
        <v>54</v>
      </c>
      <c r="H88" s="39" t="n">
        <v>40</v>
      </c>
      <c r="I88" s="39" t="n">
        <v>38</v>
      </c>
      <c r="J88" s="39" t="n">
        <v>28</v>
      </c>
      <c r="K88" s="39" t="n">
        <v>0</v>
      </c>
      <c r="L88" s="39" t="n">
        <v>0</v>
      </c>
      <c r="M88" s="39" t="n">
        <v>0</v>
      </c>
      <c r="N88" s="39" t="n">
        <v>0</v>
      </c>
      <c r="O88" s="39" t="n">
        <v>0</v>
      </c>
      <c r="P88" s="39" t="n">
        <v>0</v>
      </c>
      <c r="Q88" s="39" t="n">
        <v>0</v>
      </c>
      <c r="R88" s="39" t="n">
        <v>0</v>
      </c>
      <c r="S88" s="39" t="n">
        <v>0</v>
      </c>
      <c r="T88" s="39" t="n"/>
      <c r="U88" s="39" t="n"/>
      <c r="V88" s="39" t="n"/>
      <c r="W88" s="39" t="n"/>
      <c r="X88" s="39" t="n"/>
      <c r="Y88" s="39" t="n"/>
      <c r="Z88" s="39" t="n"/>
      <c r="AA88" s="26">
        <f>Y88+IF(NOT(ISBLANK(OFFSET(AA88,0,6))),N(OFFSET(AA88,0,6)),N(OFFSET(AA88,0,7)))-Z88</f>
        <v/>
      </c>
    </row>
    <row r="89" hidden="1">
      <c r="A89" s="25" t="inlineStr">
        <is>
          <t>SACOLA M</t>
        </is>
      </c>
      <c r="B89" s="6" t="n">
        <v>200</v>
      </c>
      <c r="C89" s="632" t="n">
        <v>347.8</v>
      </c>
      <c r="D89" s="240" t="n"/>
      <c r="F89" s="39" t="n">
        <v>158</v>
      </c>
      <c r="G89" s="39" t="n">
        <v>141</v>
      </c>
      <c r="H89" s="39" t="n">
        <v>121</v>
      </c>
      <c r="I89" s="39" t="n">
        <v>121</v>
      </c>
      <c r="J89" s="39" t="n">
        <v>121</v>
      </c>
      <c r="K89" s="39" t="n">
        <v>0</v>
      </c>
      <c r="L89" s="39" t="n">
        <v>0</v>
      </c>
      <c r="M89" s="39" t="n">
        <v>0</v>
      </c>
      <c r="N89" s="39" t="n">
        <v>0</v>
      </c>
      <c r="O89" s="39" t="n">
        <v>0</v>
      </c>
      <c r="P89" s="39" t="n">
        <v>0</v>
      </c>
      <c r="Q89" s="39" t="n">
        <v>0</v>
      </c>
      <c r="R89" s="39" t="n">
        <v>0</v>
      </c>
      <c r="S89" s="39" t="n">
        <v>0</v>
      </c>
      <c r="T89" s="39" t="n"/>
      <c r="U89" s="39" t="n"/>
      <c r="V89" s="39" t="n"/>
      <c r="W89" s="39" t="n"/>
      <c r="X89" s="39" t="n"/>
      <c r="Y89" s="39" t="n"/>
      <c r="Z89" s="39" t="n"/>
      <c r="AA89" s="26">
        <f>Y89+IF(NOT(ISBLANK(OFFSET(AA89,0,6))),N(OFFSET(AA89,0,6)),N(OFFSET(AA89,0,7)))-Z89</f>
        <v/>
      </c>
    </row>
    <row r="90" hidden="1">
      <c r="A90" s="25" t="inlineStr">
        <is>
          <t>SACOLA G</t>
        </is>
      </c>
      <c r="B90" s="6" t="n">
        <v>100</v>
      </c>
      <c r="C90" s="632" t="n">
        <v>267</v>
      </c>
      <c r="D90" s="240" t="n"/>
      <c r="F90" s="39" t="n">
        <v>32</v>
      </c>
      <c r="G90" s="39" t="n">
        <v>28</v>
      </c>
      <c r="H90" s="39" t="n">
        <v>28</v>
      </c>
      <c r="I90" s="39" t="n">
        <v>27</v>
      </c>
      <c r="J90" s="39" t="n">
        <v>27</v>
      </c>
      <c r="K90" s="39" t="n">
        <v>0</v>
      </c>
      <c r="L90" s="39" t="n">
        <v>0</v>
      </c>
      <c r="M90" s="39" t="n">
        <v>0</v>
      </c>
      <c r="N90" s="39" t="n">
        <v>0</v>
      </c>
      <c r="O90" s="39" t="n">
        <v>0</v>
      </c>
      <c r="P90" s="39" t="n">
        <v>0</v>
      </c>
      <c r="Q90" s="39" t="n">
        <v>0</v>
      </c>
      <c r="R90" s="39" t="n">
        <v>0</v>
      </c>
      <c r="S90" s="39" t="n">
        <v>0</v>
      </c>
      <c r="T90" s="39" t="n"/>
      <c r="U90" s="39" t="n"/>
      <c r="V90" s="39" t="n"/>
      <c r="W90" s="39" t="n"/>
      <c r="X90" s="39" t="n"/>
      <c r="Y90" s="39" t="n"/>
      <c r="Z90" s="39" t="n"/>
      <c r="AA90" s="26">
        <f>Y90+IF(NOT(ISBLANK(OFFSET(AA90,0,6))),N(OFFSET(AA90,0,6)),N(OFFSET(AA90,0,7)))-Z90</f>
        <v/>
      </c>
    </row>
    <row r="91" hidden="1">
      <c r="A91" s="157" t="inlineStr">
        <is>
          <t>KIT PAPEL DE SEDA 10 C/ 20</t>
        </is>
      </c>
      <c r="B91" s="72" t="n">
        <v>200</v>
      </c>
      <c r="C91" s="639" t="n">
        <v>44.4</v>
      </c>
      <c r="D91" s="72" t="n"/>
      <c r="F91" s="39" t="n">
        <v>0</v>
      </c>
      <c r="G91" s="39" t="n">
        <v>0</v>
      </c>
      <c r="H91" s="39" t="n">
        <v>0</v>
      </c>
      <c r="I91" s="39" t="n">
        <v>0</v>
      </c>
      <c r="J91" s="39" t="n">
        <v>0</v>
      </c>
      <c r="K91" s="39" t="n">
        <v>0</v>
      </c>
      <c r="L91" s="39" t="n">
        <v>0</v>
      </c>
      <c r="M91" s="39" t="n">
        <v>0</v>
      </c>
      <c r="N91" s="39" t="n">
        <v>0</v>
      </c>
      <c r="O91" s="39" t="n">
        <v>0</v>
      </c>
      <c r="P91" s="39" t="n">
        <v>0</v>
      </c>
      <c r="Q91" s="39" t="n">
        <v>0</v>
      </c>
      <c r="R91" s="39" t="n">
        <v>0</v>
      </c>
      <c r="S91" s="39" t="n">
        <v>0</v>
      </c>
      <c r="T91" s="39" t="n"/>
      <c r="U91" s="39" t="n"/>
      <c r="V91" s="39" t="n"/>
      <c r="W91" s="39" t="n"/>
      <c r="X91" s="39" t="n"/>
      <c r="Y91" s="39" t="n"/>
      <c r="Z91" s="39" t="n"/>
      <c r="AA91" s="26">
        <f>Y91+IF(NOT(ISBLANK(OFFSET(AA91,0,6))),N(OFFSET(AA91,0,6)),N(OFFSET(AA91,0,7)))-Z91</f>
        <v/>
      </c>
    </row>
    <row r="92">
      <c r="A92" s="157" t="inlineStr">
        <is>
          <t>CAIXA P</t>
        </is>
      </c>
      <c r="B92" s="72" t="n">
        <v>150</v>
      </c>
      <c r="C92" s="639" t="n">
        <v>805.35</v>
      </c>
      <c r="D92" s="72" t="n"/>
      <c r="F92" s="39" t="n">
        <v>32</v>
      </c>
      <c r="G92" s="39" t="n">
        <v>19</v>
      </c>
      <c r="H92" s="39" t="n">
        <v>18</v>
      </c>
      <c r="I92" s="39" t="n">
        <v>18</v>
      </c>
      <c r="J92" s="39" t="n">
        <v>18</v>
      </c>
      <c r="K92" s="39" t="n">
        <v>18</v>
      </c>
      <c r="L92" s="39" t="n">
        <v>18</v>
      </c>
      <c r="M92" s="39" t="n">
        <v>18</v>
      </c>
      <c r="N92" s="39" t="n">
        <v>16</v>
      </c>
      <c r="O92" s="39" t="n">
        <v>16</v>
      </c>
      <c r="P92" s="39" t="n">
        <v>16</v>
      </c>
      <c r="Q92" s="39" t="n">
        <v>16</v>
      </c>
      <c r="R92" s="39" t="n">
        <v>16</v>
      </c>
      <c r="S92" s="39" t="n">
        <v>16</v>
      </c>
      <c r="T92" s="39" t="n">
        <v>16</v>
      </c>
      <c r="U92" s="39" t="n">
        <v>16</v>
      </c>
      <c r="V92" s="39" t="n"/>
      <c r="W92" s="39" t="n"/>
      <c r="X92" s="39" t="n"/>
      <c r="Y92" s="39" t="n"/>
      <c r="Z92" s="39" t="n"/>
      <c r="AA92" s="26">
        <f>Y92+IF(NOT(ISBLANK(OFFSET(AA92,0,6))),N(OFFSET(AA92,0,6)),N(OFFSET(AA92,0,7)))-Z92</f>
        <v/>
      </c>
    </row>
    <row r="93">
      <c r="A93" s="157" t="inlineStr">
        <is>
          <t>CAIXA M</t>
        </is>
      </c>
      <c r="B93" s="72" t="n">
        <v>100</v>
      </c>
      <c r="C93" s="639" t="n">
        <v>792.2</v>
      </c>
      <c r="D93" s="72" t="n"/>
      <c r="F93" s="39" t="n">
        <v>58</v>
      </c>
      <c r="G93" s="39" t="n">
        <v>34</v>
      </c>
      <c r="H93" s="39" t="n">
        <v>34</v>
      </c>
      <c r="I93" s="39" t="n">
        <v>33</v>
      </c>
      <c r="J93" s="39" t="n">
        <v>33</v>
      </c>
      <c r="K93" s="39" t="n">
        <v>33</v>
      </c>
      <c r="L93" s="39" t="n">
        <v>33</v>
      </c>
      <c r="M93" s="39" t="n">
        <v>33</v>
      </c>
      <c r="N93" s="39" t="n">
        <v>23</v>
      </c>
      <c r="O93" s="39" t="n">
        <v>23</v>
      </c>
      <c r="P93" s="39" t="n">
        <v>23</v>
      </c>
      <c r="Q93" s="39" t="n">
        <v>23</v>
      </c>
      <c r="R93" s="39" t="n">
        <v>23</v>
      </c>
      <c r="S93" s="39" t="n">
        <v>22</v>
      </c>
      <c r="T93" s="39" t="n">
        <v>22</v>
      </c>
      <c r="U93" s="39" t="n">
        <v>22</v>
      </c>
      <c r="V93" s="39" t="n"/>
      <c r="W93" s="39" t="n"/>
      <c r="X93" s="39" t="n"/>
      <c r="Y93" s="39" t="n"/>
      <c r="Z93" s="39" t="n"/>
      <c r="AA93" s="26">
        <f>Y93+IF(NOT(ISBLANK(OFFSET(AA93,0,6))),N(OFFSET(AA93,0,6)),N(OFFSET(AA93,0,7)))-Z93</f>
        <v/>
      </c>
    </row>
    <row r="94">
      <c r="A94" s="157" t="inlineStr">
        <is>
          <t>CARTUCHO P</t>
        </is>
      </c>
      <c r="B94" s="72" t="n">
        <v>200</v>
      </c>
      <c r="C94" s="639" t="n">
        <v>487.2</v>
      </c>
      <c r="D94" s="72" t="n"/>
      <c r="F94" s="39" t="n">
        <v>6</v>
      </c>
      <c r="G94" s="39" t="n">
        <v>6</v>
      </c>
      <c r="H94" s="39" t="n">
        <v>6</v>
      </c>
      <c r="I94" s="39" t="n">
        <v>6</v>
      </c>
      <c r="J94" s="39" t="n">
        <v>6</v>
      </c>
      <c r="K94" s="39" t="n">
        <v>6</v>
      </c>
      <c r="L94" s="39" t="n">
        <v>6</v>
      </c>
      <c r="M94" s="39" t="n">
        <v>6</v>
      </c>
      <c r="N94" s="39" t="n">
        <v>1</v>
      </c>
      <c r="O94" s="39" t="n">
        <v>1</v>
      </c>
      <c r="P94" s="39" t="n">
        <v>1</v>
      </c>
      <c r="Q94" s="39" t="n">
        <v>1</v>
      </c>
      <c r="R94" s="39" t="n">
        <v>1</v>
      </c>
      <c r="S94" s="39" t="n">
        <v>1</v>
      </c>
      <c r="T94" s="39" t="n">
        <v>1</v>
      </c>
      <c r="U94" s="39" t="n">
        <v>1</v>
      </c>
      <c r="V94" s="39" t="n"/>
      <c r="W94" s="39" t="n"/>
      <c r="X94" s="39" t="n"/>
      <c r="Y94" s="39" t="n"/>
      <c r="Z94" s="39" t="n"/>
      <c r="AA94" s="26">
        <f>Y94+IF(NOT(ISBLANK(OFFSET(AA94,0,6))),N(OFFSET(AA94,0,6)),N(OFFSET(AA94,0,7)))-Z94</f>
        <v/>
      </c>
    </row>
    <row r="95">
      <c r="A95" s="157" t="inlineStr">
        <is>
          <t>CARTUCHO M</t>
        </is>
      </c>
      <c r="B95" s="72" t="n">
        <v>150</v>
      </c>
      <c r="C95" s="639" t="n">
        <v>460.35</v>
      </c>
      <c r="D95" s="72" t="n"/>
      <c r="F95" s="39" t="n">
        <v>52</v>
      </c>
      <c r="G95" s="39" t="n">
        <v>35</v>
      </c>
      <c r="H95" s="39" t="n">
        <v>34</v>
      </c>
      <c r="I95" s="39" t="n">
        <v>30</v>
      </c>
      <c r="J95" s="39" t="n">
        <v>30</v>
      </c>
      <c r="K95" s="39" t="n">
        <v>30</v>
      </c>
      <c r="L95" s="39" t="n">
        <v>30</v>
      </c>
      <c r="M95" s="39" t="n">
        <v>30</v>
      </c>
      <c r="N95" s="39" t="n">
        <v>30</v>
      </c>
      <c r="O95" s="39" t="n">
        <v>30</v>
      </c>
      <c r="P95" s="39" t="n">
        <v>30</v>
      </c>
      <c r="Q95" s="39" t="n">
        <v>30</v>
      </c>
      <c r="R95" s="39" t="n">
        <v>30</v>
      </c>
      <c r="S95" s="39" t="n">
        <v>31</v>
      </c>
      <c r="T95" s="39" t="n">
        <v>31</v>
      </c>
      <c r="U95" s="39" t="n">
        <v>31</v>
      </c>
      <c r="V95" s="39" t="n"/>
      <c r="W95" s="39" t="n"/>
      <c r="X95" s="39" t="n"/>
      <c r="Y95" s="39" t="n"/>
      <c r="Z95" s="39" t="n"/>
      <c r="AA95" s="26">
        <f>Y95+IF(NOT(ISBLANK(OFFSET(AA95,0,6))),N(OFFSET(AA95,0,6)),N(OFFSET(AA95,0,7)))-Z95</f>
        <v/>
      </c>
    </row>
    <row r="97">
      <c r="A97" s="263" t="inlineStr">
        <is>
          <t>HARRY POTTER/25</t>
        </is>
      </c>
      <c r="B97" s="264" t="inlineStr">
        <is>
          <t>PC</t>
        </is>
      </c>
      <c r="C97" s="264" t="inlineStr">
        <is>
          <t>R$</t>
        </is>
      </c>
      <c r="D97" s="264" t="n"/>
      <c r="F97" s="619" t="n">
        <v>46006</v>
      </c>
      <c r="G97" s="619" t="n">
        <v>46013</v>
      </c>
      <c r="H97" s="619" t="n">
        <v>46020</v>
      </c>
      <c r="I97" s="619" t="n">
        <v>46027</v>
      </c>
      <c r="J97" s="619" t="n">
        <v>46034</v>
      </c>
      <c r="K97" s="619" t="n">
        <v>46041</v>
      </c>
      <c r="L97" s="619" t="n">
        <v>46048</v>
      </c>
      <c r="M97" s="619" t="n">
        <v>46055</v>
      </c>
      <c r="N97" s="619" t="n">
        <v>46062</v>
      </c>
      <c r="O97" s="619" t="n">
        <v>46069</v>
      </c>
      <c r="P97" s="619" t="n">
        <v>46076</v>
      </c>
      <c r="Q97" s="619" t="n">
        <v>46083</v>
      </c>
      <c r="R97" s="619" t="n">
        <v>46090</v>
      </c>
      <c r="S97" s="619" t="n">
        <v>46097</v>
      </c>
      <c r="T97" s="619" t="n">
        <v>46104</v>
      </c>
      <c r="U97" s="619" t="n">
        <v>46111</v>
      </c>
      <c r="V97" s="619" t="n">
        <v>46118</v>
      </c>
      <c r="W97" s="619" t="n">
        <v>46125</v>
      </c>
      <c r="X97" s="619" t="n">
        <v>46132</v>
      </c>
      <c r="Y97" s="619" t="n">
        <v>46139</v>
      </c>
      <c r="Z97" s="619" t="n">
        <v>46146</v>
      </c>
      <c r="AA97" s="621" t="inlineStr">
        <is>
          <t>USOU</t>
        </is>
      </c>
    </row>
    <row r="98" hidden="1">
      <c r="A98" s="25" t="inlineStr">
        <is>
          <t>SACOLA G HP/25</t>
        </is>
      </c>
      <c r="B98" s="6" t="n">
        <v>100</v>
      </c>
      <c r="C98" s="632" t="n">
        <v>316</v>
      </c>
      <c r="D98" s="240" t="n"/>
      <c r="F98" s="39" t="n">
        <v>0</v>
      </c>
      <c r="G98" s="39" t="n">
        <v>0</v>
      </c>
      <c r="H98" s="39" t="n">
        <v>0</v>
      </c>
      <c r="I98" s="39" t="n">
        <v>0</v>
      </c>
      <c r="J98" s="39" t="n">
        <v>0</v>
      </c>
      <c r="K98" s="39" t="n">
        <v>0</v>
      </c>
      <c r="L98" s="39" t="n"/>
      <c r="M98" s="39" t="n"/>
      <c r="N98" s="39" t="n"/>
      <c r="O98" s="39" t="n"/>
      <c r="P98" s="39" t="n"/>
      <c r="Q98" s="39" t="n"/>
      <c r="R98" s="39" t="n"/>
      <c r="S98" s="39" t="n"/>
      <c r="T98" s="39" t="n"/>
      <c r="U98" s="39" t="n"/>
      <c r="V98" s="39" t="n"/>
      <c r="W98" s="39" t="n"/>
      <c r="X98" s="39" t="n"/>
      <c r="Y98" s="39" t="n"/>
      <c r="Z98" s="39" t="n"/>
      <c r="AA98" s="26">
        <f>Y98+IF(NOT(ISBLANK(OFFSET(AA98,0,6))),N(OFFSET(AA98,0,6)),N(OFFSET(AA98,0,7)))-Z98</f>
        <v/>
      </c>
    </row>
    <row r="99" hidden="1">
      <c r="A99" s="25" t="inlineStr">
        <is>
          <t>TAG HP/25</t>
        </is>
      </c>
      <c r="B99" s="6" t="n">
        <v>100</v>
      </c>
      <c r="C99" s="632" t="n">
        <v>41</v>
      </c>
      <c r="D99" s="240" t="n"/>
      <c r="F99" s="39" t="n">
        <v>0</v>
      </c>
      <c r="G99" s="39" t="n">
        <v>0</v>
      </c>
      <c r="H99" s="39" t="n">
        <v>0</v>
      </c>
      <c r="I99" s="39" t="n">
        <v>0</v>
      </c>
      <c r="J99" s="39" t="n">
        <v>0</v>
      </c>
      <c r="K99" s="39" t="n">
        <v>0</v>
      </c>
      <c r="L99" s="39" t="n"/>
      <c r="M99" s="39" t="n"/>
      <c r="N99" s="39" t="n"/>
      <c r="O99" s="39" t="n"/>
      <c r="P99" s="39" t="n"/>
      <c r="Q99" s="39" t="n"/>
      <c r="R99" s="39" t="n"/>
      <c r="S99" s="39" t="n"/>
      <c r="T99" s="39" t="n"/>
      <c r="U99" s="39" t="n"/>
      <c r="V99" s="39" t="n"/>
      <c r="W99" s="39" t="n"/>
      <c r="X99" s="39" t="n"/>
      <c r="Y99" s="39" t="n"/>
      <c r="Z99" s="39" t="n"/>
      <c r="AA99" s="26">
        <f>Y99+IF(NOT(ISBLANK(OFFSET(AA99,0,6))),N(OFFSET(AA99,0,6)),N(OFFSET(AA99,0,7)))-Z99</f>
        <v/>
      </c>
    </row>
    <row r="100">
      <c r="A100" s="25" t="inlineStr">
        <is>
          <t>CARTUCHO P HP/25</t>
        </is>
      </c>
      <c r="B100" s="6" t="n">
        <v>150</v>
      </c>
      <c r="C100" s="632" t="n">
        <v>478.5</v>
      </c>
      <c r="D100" s="240" t="n"/>
      <c r="F100" s="39" t="n">
        <v>10</v>
      </c>
      <c r="G100" s="39" t="n">
        <v>10</v>
      </c>
      <c r="H100" s="39" t="n">
        <v>10</v>
      </c>
      <c r="I100" s="39" t="n">
        <v>10</v>
      </c>
      <c r="J100" s="39" t="n">
        <v>10</v>
      </c>
      <c r="K100" s="39" t="n">
        <v>10</v>
      </c>
      <c r="L100" s="39" t="n">
        <v>10</v>
      </c>
      <c r="M100" s="39" t="n">
        <v>10</v>
      </c>
      <c r="N100" s="39" t="n">
        <v>10</v>
      </c>
      <c r="O100" s="39" t="n">
        <v>10</v>
      </c>
      <c r="P100" s="39" t="n">
        <v>10</v>
      </c>
      <c r="Q100" s="39" t="n">
        <v>10</v>
      </c>
      <c r="R100" s="39" t="n">
        <v>10</v>
      </c>
      <c r="S100" s="39" t="n">
        <v>10</v>
      </c>
      <c r="T100" s="39" t="n">
        <v>10</v>
      </c>
      <c r="U100" s="39" t="n">
        <v>10</v>
      </c>
      <c r="V100" s="39" t="n"/>
      <c r="W100" s="39" t="n"/>
      <c r="X100" s="39" t="n"/>
      <c r="Y100" s="39" t="n"/>
      <c r="Z100" s="39" t="n"/>
      <c r="AA100" s="26">
        <f>Y100+IF(NOT(ISBLANK(OFFSET(AA100,0,6))),N(OFFSET(AA100,0,6)),N(OFFSET(AA100,0,7)))-Z100</f>
        <v/>
      </c>
    </row>
    <row r="101" ht="19.5" customHeight="1" thickBot="1"/>
    <row r="102" ht="24" customHeight="1" thickBot="1">
      <c r="A102" s="696" t="n">
        <v>2026</v>
      </c>
      <c r="B102" s="686" t="n"/>
      <c r="C102" s="686" t="n"/>
      <c r="D102" s="686" t="n"/>
      <c r="E102" s="686" t="n"/>
      <c r="F102" s="686" t="n"/>
      <c r="G102" s="686" t="n"/>
      <c r="H102" s="686" t="n"/>
      <c r="I102" s="686" t="n"/>
      <c r="J102" s="686" t="n"/>
      <c r="K102" s="686" t="n"/>
      <c r="L102" s="686" t="n"/>
      <c r="M102" s="686" t="n"/>
      <c r="N102" s="686" t="n"/>
      <c r="O102" s="686" t="n"/>
      <c r="P102" s="686" t="n"/>
      <c r="Q102" s="686" t="n"/>
      <c r="R102" s="686" t="n"/>
      <c r="S102" s="686" t="n"/>
      <c r="T102" s="686" t="n"/>
      <c r="U102" s="686" t="n"/>
      <c r="V102" s="686" t="n"/>
      <c r="W102" s="686" t="n"/>
      <c r="X102" s="686" t="n"/>
      <c r="Y102" s="686" t="n"/>
      <c r="Z102" s="686" t="n"/>
      <c r="AA102" s="697" t="n"/>
    </row>
    <row r="104">
      <c r="A104" s="278" t="inlineStr">
        <is>
          <t>EUDORA MÃES/26</t>
        </is>
      </c>
      <c r="B104" s="279" t="inlineStr">
        <is>
          <t>PC</t>
        </is>
      </c>
      <c r="C104" s="279" t="inlineStr">
        <is>
          <t>R$</t>
        </is>
      </c>
      <c r="D104" s="279" t="n"/>
      <c r="N104" s="619" t="n">
        <v>46062</v>
      </c>
      <c r="O104" s="619" t="n">
        <v>46069</v>
      </c>
      <c r="P104" s="619" t="n">
        <v>46076</v>
      </c>
      <c r="Q104" s="619" t="n">
        <v>46083</v>
      </c>
      <c r="R104" s="619" t="n">
        <v>46090</v>
      </c>
      <c r="S104" s="619" t="n">
        <v>46097</v>
      </c>
      <c r="T104" s="619" t="n">
        <v>46104</v>
      </c>
      <c r="U104" s="619" t="n">
        <v>46111</v>
      </c>
      <c r="V104" s="619" t="n">
        <v>46118</v>
      </c>
      <c r="W104" s="619" t="n">
        <v>46125</v>
      </c>
      <c r="X104" s="619" t="n">
        <v>46132</v>
      </c>
      <c r="Y104" s="619" t="n">
        <v>46139</v>
      </c>
      <c r="Z104" s="619" t="n">
        <v>46146</v>
      </c>
      <c r="AA104" s="621" t="inlineStr">
        <is>
          <t>USOU</t>
        </is>
      </c>
    </row>
    <row r="105">
      <c r="A105" s="25" t="inlineStr">
        <is>
          <t xml:space="preserve">SACOLA M </t>
        </is>
      </c>
      <c r="B105" s="6" t="n">
        <v>150</v>
      </c>
      <c r="C105" s="632" t="n"/>
      <c r="D105" s="240" t="n"/>
      <c r="N105" s="39" t="n">
        <v>0</v>
      </c>
      <c r="O105" s="39" t="n">
        <v>0</v>
      </c>
      <c r="P105" s="39" t="n">
        <v>0</v>
      </c>
      <c r="Q105" s="39" t="n">
        <v>0</v>
      </c>
      <c r="R105" s="39">
        <f>AN10</f>
        <v/>
      </c>
      <c r="S105" s="39" t="n">
        <v>150</v>
      </c>
      <c r="T105" s="39" t="n">
        <v>120</v>
      </c>
      <c r="U105" s="39" t="n">
        <v>117</v>
      </c>
      <c r="V105" s="39" t="n">
        <v>111</v>
      </c>
      <c r="W105" s="39" t="n">
        <v>95</v>
      </c>
      <c r="X105" s="39" t="n">
        <v>95</v>
      </c>
      <c r="Y105" s="39" t="n">
        <v>73</v>
      </c>
      <c r="Z105" s="39" t="n">
        <v>65</v>
      </c>
      <c r="AA105" s="26">
        <f>Y105+IF(NOT(ISBLANK(OFFSET(AA105,0,6))),N(OFFSET(AA105,0,6)),N(OFFSET(AA105,0,7)))-Z105</f>
        <v/>
      </c>
    </row>
    <row r="106">
      <c r="A106" s="25" t="inlineStr">
        <is>
          <t>ADESIVO</t>
        </is>
      </c>
      <c r="B106" s="6" t="n">
        <v>1000</v>
      </c>
      <c r="C106" s="632" t="n"/>
      <c r="D106" s="240" t="n"/>
      <c r="N106" s="39" t="n">
        <v>0</v>
      </c>
      <c r="O106" s="39" t="n">
        <v>0</v>
      </c>
      <c r="P106" s="39" t="n">
        <v>0</v>
      </c>
      <c r="Q106" s="39" t="n">
        <v>0</v>
      </c>
      <c r="R106" s="39">
        <f>AN17</f>
        <v/>
      </c>
      <c r="S106" s="39" t="n">
        <v>1</v>
      </c>
      <c r="T106" s="39" t="n">
        <v>1</v>
      </c>
      <c r="U106" s="39" t="n">
        <v>1</v>
      </c>
      <c r="V106" s="39" t="n">
        <v>1</v>
      </c>
      <c r="W106" s="39" t="n">
        <v>1</v>
      </c>
      <c r="X106" s="39" t="n">
        <v>1</v>
      </c>
      <c r="Y106" s="39" t="n">
        <v>1</v>
      </c>
      <c r="Z106" s="39" t="n">
        <v>1</v>
      </c>
      <c r="AA106" s="26">
        <f>Y106+IF(NOT(ISBLANK(OFFSET(AA106,0,6))),N(OFFSET(AA106,0,6)),N(OFFSET(AA106,0,7)))-Z106</f>
        <v/>
      </c>
    </row>
    <row r="107">
      <c r="A107" s="25" t="inlineStr">
        <is>
          <t>PAPEL DE SEDA</t>
        </is>
      </c>
      <c r="B107" s="6" t="n">
        <v>200</v>
      </c>
      <c r="C107" s="632" t="n"/>
      <c r="D107" s="240" t="n"/>
      <c r="N107" s="39" t="n">
        <v>0</v>
      </c>
      <c r="O107" s="39" t="n">
        <v>0</v>
      </c>
      <c r="P107" s="39" t="n">
        <v>0</v>
      </c>
      <c r="Q107" s="39" t="n">
        <v>0</v>
      </c>
      <c r="R107" s="39">
        <f>AN16</f>
        <v/>
      </c>
      <c r="S107" s="39" t="n">
        <v>200</v>
      </c>
      <c r="T107" s="39" t="n">
        <v>200</v>
      </c>
      <c r="U107" s="39" t="n">
        <v>1</v>
      </c>
      <c r="V107" s="39" t="n">
        <v>200</v>
      </c>
      <c r="W107" s="39" t="n">
        <v>200</v>
      </c>
      <c r="X107" s="39" t="n">
        <v>200</v>
      </c>
      <c r="Y107" s="39" t="n">
        <v>200</v>
      </c>
      <c r="Z107" s="39" t="n">
        <v>200</v>
      </c>
      <c r="AA107" s="26">
        <f>Y107+IF(NOT(ISBLANK(OFFSET(AA107,0,6))),N(OFFSET(AA107,0,6)),N(OFFSET(AA107,0,7)))-Z107</f>
        <v/>
      </c>
    </row>
    <row r="108">
      <c r="A108" s="25" t="inlineStr">
        <is>
          <t>SACOLA M VENDA</t>
        </is>
      </c>
      <c r="B108" s="6" t="n">
        <v>150</v>
      </c>
      <c r="C108" s="632" t="n"/>
      <c r="D108" s="240" t="n"/>
      <c r="N108" s="39" t="n">
        <v>0</v>
      </c>
      <c r="O108" s="39" t="n">
        <v>0</v>
      </c>
      <c r="P108" s="39" t="n">
        <v>0</v>
      </c>
      <c r="Q108" s="39" t="n">
        <v>0</v>
      </c>
      <c r="R108" s="39" t="n">
        <v>0</v>
      </c>
      <c r="S108" s="39" t="n">
        <v>150</v>
      </c>
      <c r="T108" s="39" t="n">
        <v>130</v>
      </c>
      <c r="U108" s="39" t="n">
        <v>122</v>
      </c>
      <c r="V108" s="39" t="n"/>
      <c r="W108" s="39" t="n"/>
      <c r="X108" s="39" t="n"/>
      <c r="Y108" s="39" t="n"/>
      <c r="Z108" s="39" t="n"/>
      <c r="AA108" s="26">
        <f>Y108+IF(NOT(ISBLANK(OFFSET(AA108,0,6))),N(OFFSET(AA108,0,6)),N(OFFSET(AA108,0,7)))-Z108</f>
        <v/>
      </c>
    </row>
    <row r="109">
      <c r="A109" s="25" t="inlineStr">
        <is>
          <t>KIT TAG 10 C/ 20</t>
        </is>
      </c>
      <c r="B109" s="6" t="n">
        <v>200</v>
      </c>
      <c r="C109" s="632" t="n"/>
      <c r="D109" s="240" t="n"/>
      <c r="N109" s="39" t="n">
        <v>0</v>
      </c>
      <c r="O109" s="39" t="n">
        <v>0</v>
      </c>
      <c r="P109" s="39" t="n">
        <v>0</v>
      </c>
      <c r="Q109" s="39" t="n">
        <v>0</v>
      </c>
      <c r="R109" s="39" t="n">
        <v>0</v>
      </c>
      <c r="S109" s="39" t="n">
        <v>2</v>
      </c>
      <c r="T109" s="39" t="n">
        <v>3</v>
      </c>
      <c r="U109" s="39" t="n">
        <v>3</v>
      </c>
      <c r="V109" s="39" t="n"/>
      <c r="W109" s="39" t="n"/>
      <c r="X109" s="39" t="n"/>
      <c r="Y109" s="39" t="n"/>
      <c r="Z109" s="39" t="n"/>
      <c r="AA109" s="26">
        <f>Y109+IF(NOT(ISBLANK(OFFSET(AA109,0,6))),N(OFFSET(AA109,0,6)),N(OFFSET(AA109,0,7)))-Z109</f>
        <v/>
      </c>
    </row>
    <row r="110">
      <c r="A110" s="157" t="inlineStr">
        <is>
          <t>CAIXA M</t>
        </is>
      </c>
      <c r="B110" s="72" t="n">
        <v>100</v>
      </c>
      <c r="C110" s="639" t="n"/>
      <c r="D110" s="72" t="n"/>
      <c r="N110" s="39" t="n">
        <v>0</v>
      </c>
      <c r="O110" s="39" t="n">
        <v>0</v>
      </c>
      <c r="P110" s="39" t="n">
        <v>0</v>
      </c>
      <c r="Q110" s="39" t="n">
        <v>0</v>
      </c>
      <c r="R110" s="39" t="n">
        <v>0</v>
      </c>
      <c r="S110" s="39" t="n">
        <v>50</v>
      </c>
      <c r="T110" s="39" t="n">
        <v>50</v>
      </c>
      <c r="U110" s="39" t="n">
        <v>50</v>
      </c>
      <c r="V110" s="39" t="n"/>
      <c r="W110" s="39" t="n"/>
      <c r="X110" s="39" t="n"/>
      <c r="Y110" s="39" t="n"/>
      <c r="Z110" s="39" t="n"/>
      <c r="AA110" s="26">
        <f>Y110+IF(NOT(ISBLANK(OFFSET(AA110,0,6))),N(OFFSET(AA110,0,6)),N(OFFSET(AA110,0,7)))-Z110</f>
        <v/>
      </c>
    </row>
    <row r="111">
      <c r="A111" s="157" t="inlineStr">
        <is>
          <t>CARTUCHO P</t>
        </is>
      </c>
      <c r="B111" s="72" t="n">
        <v>200</v>
      </c>
      <c r="C111" s="639" t="n"/>
      <c r="D111" s="72" t="n"/>
      <c r="N111" s="39" t="n">
        <v>0</v>
      </c>
      <c r="O111" s="39" t="n">
        <v>0</v>
      </c>
      <c r="P111" s="39" t="n">
        <v>0</v>
      </c>
      <c r="Q111" s="39" t="n">
        <v>0</v>
      </c>
      <c r="R111" s="39" t="n">
        <v>0</v>
      </c>
      <c r="S111" s="39" t="n">
        <v>50</v>
      </c>
      <c r="T111" s="39" t="n">
        <v>50</v>
      </c>
      <c r="U111" s="39" t="n">
        <v>50</v>
      </c>
      <c r="V111" s="39" t="n"/>
      <c r="W111" s="39" t="n"/>
      <c r="X111" s="39" t="n"/>
      <c r="Y111" s="39" t="n"/>
      <c r="Z111" s="39" t="n"/>
      <c r="AA111" s="26">
        <f>Y111+IF(NOT(ISBLANK(OFFSET(AA111,0,6))),N(OFFSET(AA111,0,6)),N(OFFSET(AA111,0,7)))-Z111</f>
        <v/>
      </c>
    </row>
    <row r="113">
      <c r="A113" s="280" t="inlineStr">
        <is>
          <t>BOTICÁRIO MÃES/26</t>
        </is>
      </c>
      <c r="B113" s="255" t="inlineStr">
        <is>
          <t>PC</t>
        </is>
      </c>
      <c r="C113" s="255" t="inlineStr">
        <is>
          <t>R$</t>
        </is>
      </c>
      <c r="D113" s="255" t="n"/>
      <c r="N113" s="619" t="n">
        <v>46062</v>
      </c>
      <c r="O113" s="619" t="n">
        <v>46069</v>
      </c>
      <c r="P113" s="619" t="n">
        <v>46076</v>
      </c>
      <c r="Q113" s="619" t="n">
        <v>46083</v>
      </c>
      <c r="R113" s="619" t="n">
        <v>46090</v>
      </c>
      <c r="S113" s="619" t="n">
        <v>46097</v>
      </c>
      <c r="T113" s="619" t="n">
        <v>46104</v>
      </c>
      <c r="U113" s="619" t="n">
        <v>46111</v>
      </c>
      <c r="V113" s="619" t="n">
        <v>46118</v>
      </c>
      <c r="W113" s="619" t="n">
        <v>46125</v>
      </c>
      <c r="X113" s="619" t="n">
        <v>46132</v>
      </c>
      <c r="Y113" s="619" t="n">
        <v>46139</v>
      </c>
      <c r="Z113" s="619" t="n">
        <v>46146</v>
      </c>
      <c r="AA113" s="621" t="inlineStr">
        <is>
          <t>USOU</t>
        </is>
      </c>
    </row>
    <row r="114">
      <c r="A114" s="25" t="inlineStr">
        <is>
          <t>SACOLA P</t>
        </is>
      </c>
      <c r="B114" s="6" t="n">
        <v>200</v>
      </c>
      <c r="C114" s="632" t="n"/>
      <c r="D114" s="240" t="n"/>
      <c r="N114" s="39" t="n">
        <v>0</v>
      </c>
      <c r="O114" s="39" t="n">
        <v>0</v>
      </c>
      <c r="P114" s="39" t="n">
        <v>0</v>
      </c>
      <c r="Q114" s="39" t="n">
        <v>0</v>
      </c>
      <c r="R114" s="39" t="n">
        <v>0</v>
      </c>
      <c r="S114" s="39" t="n">
        <v>0</v>
      </c>
      <c r="T114" s="39">
        <f>AL9</f>
        <v/>
      </c>
      <c r="U114" s="39" t="n">
        <v>400</v>
      </c>
      <c r="V114" s="39" t="n">
        <v>400</v>
      </c>
      <c r="W114" s="39" t="n">
        <v>290</v>
      </c>
      <c r="X114" s="39" t="n">
        <v>200</v>
      </c>
      <c r="Y114" s="39" t="n">
        <v>200</v>
      </c>
      <c r="Z114" s="39" t="n">
        <v>170</v>
      </c>
      <c r="AA114" s="26">
        <f>Y114+IF(NOT(ISBLANK(OFFSET(AA114,0,6))),N(OFFSET(AA114,0,6)),N(OFFSET(AA114,0,7)))-Z114</f>
        <v/>
      </c>
    </row>
    <row r="115">
      <c r="A115" s="25" t="inlineStr">
        <is>
          <t>SACOLA M</t>
        </is>
      </c>
      <c r="B115" s="6" t="n">
        <v>200</v>
      </c>
      <c r="C115" s="632" t="n"/>
      <c r="D115" s="240" t="n"/>
      <c r="N115" s="39" t="n">
        <v>0</v>
      </c>
      <c r="O115" s="39" t="n">
        <v>0</v>
      </c>
      <c r="P115" s="39" t="n">
        <v>0</v>
      </c>
      <c r="Q115" s="39" t="n">
        <v>0</v>
      </c>
      <c r="R115" s="39" t="n">
        <v>0</v>
      </c>
      <c r="S115" s="39" t="n">
        <v>0</v>
      </c>
      <c r="T115" s="39">
        <f>AL10</f>
        <v/>
      </c>
      <c r="U115" s="39" t="n">
        <v>200</v>
      </c>
      <c r="V115" s="39" t="n">
        <v>0</v>
      </c>
      <c r="W115" s="39" t="n">
        <v>0</v>
      </c>
      <c r="X115" s="39" t="n">
        <v>0</v>
      </c>
      <c r="Y115" s="39" t="n">
        <v>0</v>
      </c>
      <c r="Z115" s="39" t="n">
        <v>190</v>
      </c>
      <c r="AA115" s="26">
        <f>Y115+IF(NOT(ISBLANK(OFFSET(AA115,0,6))),N(OFFSET(AA115,0,6)),N(OFFSET(AA115,0,7)))-Z115</f>
        <v/>
      </c>
    </row>
    <row r="116">
      <c r="A116" s="25" t="inlineStr">
        <is>
          <t>SACOLA G</t>
        </is>
      </c>
      <c r="B116" s="6" t="n">
        <v>100</v>
      </c>
      <c r="C116" s="632" t="n"/>
      <c r="D116" s="240" t="n"/>
      <c r="N116" s="39" t="n">
        <v>0</v>
      </c>
      <c r="O116" s="39" t="n">
        <v>0</v>
      </c>
      <c r="P116" s="39" t="n">
        <v>0</v>
      </c>
      <c r="Q116" s="39" t="n">
        <v>0</v>
      </c>
      <c r="R116" s="39" t="n">
        <v>0</v>
      </c>
      <c r="S116" s="39" t="n">
        <v>0</v>
      </c>
      <c r="T116" s="39">
        <f>AL11</f>
        <v/>
      </c>
      <c r="U116" s="39" t="n">
        <v>100</v>
      </c>
      <c r="V116" s="39" t="n">
        <v>0</v>
      </c>
      <c r="W116" s="39" t="n">
        <v>0</v>
      </c>
      <c r="X116" s="39" t="n">
        <v>0</v>
      </c>
      <c r="Y116" s="39" t="n">
        <v>0</v>
      </c>
      <c r="Z116" s="39" t="n">
        <v>65</v>
      </c>
      <c r="AA116" s="26">
        <f>Y116+IF(NOT(ISBLANK(OFFSET(AA116,0,6))),N(OFFSET(AA116,0,6)),N(OFFSET(AA116,0,7)))-Z116</f>
        <v/>
      </c>
    </row>
    <row r="117">
      <c r="A117" s="25" t="inlineStr">
        <is>
          <t>SACOLA P VENDA</t>
        </is>
      </c>
      <c r="B117" s="6" t="n">
        <v>200</v>
      </c>
      <c r="C117" s="632" t="n"/>
      <c r="D117" s="240" t="n"/>
      <c r="N117" s="39" t="n">
        <v>0</v>
      </c>
      <c r="O117" s="39" t="n">
        <v>0</v>
      </c>
      <c r="P117" s="39" t="n">
        <v>0</v>
      </c>
      <c r="Q117" s="39" t="n">
        <v>0</v>
      </c>
      <c r="R117" s="39" t="n">
        <v>0</v>
      </c>
      <c r="S117" s="39" t="n">
        <v>0</v>
      </c>
      <c r="T117" s="39" t="n">
        <v>0</v>
      </c>
      <c r="U117" s="39" t="n">
        <v>50</v>
      </c>
      <c r="V117" s="39" t="n"/>
      <c r="W117" s="39" t="n"/>
      <c r="X117" s="39" t="n"/>
      <c r="Y117" s="39" t="n"/>
      <c r="Z117" s="39" t="n"/>
      <c r="AA117" s="26">
        <f>Y117+IF(NOT(ISBLANK(OFFSET(AA117,0,6))),N(OFFSET(AA117,0,6)),N(OFFSET(AA117,0,7)))-Z117</f>
        <v/>
      </c>
    </row>
    <row r="118">
      <c r="A118" s="25" t="inlineStr">
        <is>
          <t>SACOLA M VENDA</t>
        </is>
      </c>
      <c r="B118" s="6" t="n">
        <v>200</v>
      </c>
      <c r="C118" s="632" t="n"/>
      <c r="D118" s="240" t="n"/>
      <c r="N118" s="39" t="n">
        <v>0</v>
      </c>
      <c r="O118" s="39" t="n">
        <v>0</v>
      </c>
      <c r="P118" s="39" t="n">
        <v>0</v>
      </c>
      <c r="Q118" s="39" t="n">
        <v>0</v>
      </c>
      <c r="R118" s="39" t="n">
        <v>0</v>
      </c>
      <c r="S118" s="39" t="n">
        <v>0</v>
      </c>
      <c r="T118" s="39" t="n">
        <v>0</v>
      </c>
      <c r="U118" s="39" t="n">
        <v>50</v>
      </c>
      <c r="V118" s="39" t="n"/>
      <c r="W118" s="39" t="n"/>
      <c r="X118" s="39" t="n"/>
      <c r="Y118" s="39" t="n"/>
      <c r="Z118" s="39" t="n"/>
      <c r="AA118" s="26">
        <f>Y118+IF(NOT(ISBLANK(OFFSET(AA118,0,6))),N(OFFSET(AA118,0,6)),N(OFFSET(AA118,0,7)))-Z118</f>
        <v/>
      </c>
    </row>
    <row r="119">
      <c r="A119" s="25" t="inlineStr">
        <is>
          <t>SACOLA G VENDA</t>
        </is>
      </c>
      <c r="B119" s="6" t="n">
        <v>100</v>
      </c>
      <c r="C119" s="632" t="n"/>
      <c r="D119" s="240" t="n"/>
      <c r="N119" s="39" t="n">
        <v>0</v>
      </c>
      <c r="O119" s="39" t="n">
        <v>0</v>
      </c>
      <c r="P119" s="39" t="n">
        <v>0</v>
      </c>
      <c r="Q119" s="39" t="n">
        <v>0</v>
      </c>
      <c r="R119" s="39" t="n">
        <v>0</v>
      </c>
      <c r="S119" s="39" t="n">
        <v>0</v>
      </c>
      <c r="T119" s="39" t="n">
        <v>0</v>
      </c>
      <c r="U119" s="39" t="n">
        <v>0</v>
      </c>
      <c r="V119" s="39" t="n"/>
      <c r="W119" s="39" t="n"/>
      <c r="X119" s="39" t="n"/>
      <c r="Y119" s="39" t="n"/>
      <c r="Z119" s="39" t="n"/>
      <c r="AA119" s="26">
        <f>Y119+IF(NOT(ISBLANK(OFFSET(AA119,0,6))),N(OFFSET(AA119,0,6)),N(OFFSET(AA119,0,7)))-Z119</f>
        <v/>
      </c>
    </row>
    <row r="120">
      <c r="A120" s="157" t="inlineStr">
        <is>
          <t>KIT PAPEL DE SEDA 10 C/ 20</t>
        </is>
      </c>
      <c r="B120" s="72" t="n">
        <v>200</v>
      </c>
      <c r="C120" s="639" t="n"/>
      <c r="D120" s="72" t="n"/>
      <c r="N120" s="39" t="n">
        <v>0</v>
      </c>
      <c r="O120" s="39" t="n">
        <v>0</v>
      </c>
      <c r="P120" s="39" t="n">
        <v>0</v>
      </c>
      <c r="Q120" s="39" t="n">
        <v>0</v>
      </c>
      <c r="R120" s="39" t="n">
        <v>0</v>
      </c>
      <c r="S120" s="39" t="n">
        <v>0</v>
      </c>
      <c r="T120" s="39" t="n">
        <v>0</v>
      </c>
      <c r="U120" s="39" t="n">
        <v>2</v>
      </c>
      <c r="V120" s="39" t="n"/>
      <c r="W120" s="39" t="n"/>
      <c r="X120" s="39" t="n"/>
      <c r="Y120" s="39" t="n"/>
      <c r="Z120" s="39" t="n"/>
      <c r="AA120" s="26">
        <f>Y120+IF(NOT(ISBLANK(OFFSET(AA120,0,6))),N(OFFSET(AA120,0,6)),N(OFFSET(AA120,0,7)))-Z120</f>
        <v/>
      </c>
    </row>
    <row r="121">
      <c r="A121" s="157" t="inlineStr">
        <is>
          <t>CAIXA P</t>
        </is>
      </c>
      <c r="B121" s="72" t="n">
        <v>150</v>
      </c>
      <c r="C121" s="639" t="n"/>
      <c r="D121" s="72" t="n"/>
      <c r="N121" s="39" t="n">
        <v>0</v>
      </c>
      <c r="O121" s="39" t="n">
        <v>0</v>
      </c>
      <c r="P121" s="39" t="n">
        <v>0</v>
      </c>
      <c r="Q121" s="39" t="n">
        <v>0</v>
      </c>
      <c r="R121" s="39" t="n">
        <v>0</v>
      </c>
      <c r="S121" s="39" t="n">
        <v>0</v>
      </c>
      <c r="T121" s="39" t="n">
        <v>0</v>
      </c>
      <c r="U121" s="39" t="n">
        <v>20</v>
      </c>
      <c r="V121" s="39" t="n"/>
      <c r="W121" s="39" t="n"/>
      <c r="X121" s="39" t="n"/>
      <c r="Y121" s="39" t="n"/>
      <c r="Z121" s="39" t="n"/>
      <c r="AA121" s="26">
        <f>Y121+IF(NOT(ISBLANK(OFFSET(AA121,0,6))),N(OFFSET(AA121,0,6)),N(OFFSET(AA121,0,7)))-Z121</f>
        <v/>
      </c>
    </row>
    <row r="122">
      <c r="A122" s="157" t="inlineStr">
        <is>
          <t>CAIXA M</t>
        </is>
      </c>
      <c r="B122" s="72" t="n">
        <v>100</v>
      </c>
      <c r="C122" s="639" t="n"/>
      <c r="D122" s="72" t="n"/>
      <c r="N122" s="39" t="n">
        <v>0</v>
      </c>
      <c r="O122" s="39" t="n">
        <v>0</v>
      </c>
      <c r="P122" s="39" t="n">
        <v>0</v>
      </c>
      <c r="Q122" s="39" t="n">
        <v>0</v>
      </c>
      <c r="R122" s="39" t="n">
        <v>0</v>
      </c>
      <c r="S122" s="39" t="n">
        <v>0</v>
      </c>
      <c r="T122" s="39" t="n">
        <v>0</v>
      </c>
      <c r="U122" s="39" t="n">
        <v>30</v>
      </c>
      <c r="V122" s="39" t="n"/>
      <c r="W122" s="39" t="n"/>
      <c r="X122" s="39" t="n"/>
      <c r="Y122" s="39" t="n"/>
      <c r="Z122" s="39" t="n"/>
      <c r="AA122" s="26">
        <f>Y122+IF(NOT(ISBLANK(OFFSET(AA122,0,6))),N(OFFSET(AA122,0,6)),N(OFFSET(AA122,0,7)))-Z122</f>
        <v/>
      </c>
    </row>
    <row r="123">
      <c r="A123" s="157" t="inlineStr">
        <is>
          <t>CARTUCHO M</t>
        </is>
      </c>
      <c r="B123" s="72" t="n">
        <v>150</v>
      </c>
      <c r="C123" s="639" t="n"/>
      <c r="D123" s="72" t="n"/>
      <c r="N123" s="39" t="n">
        <v>0</v>
      </c>
      <c r="O123" s="39" t="n">
        <v>0</v>
      </c>
      <c r="P123" s="39" t="n">
        <v>0</v>
      </c>
      <c r="Q123" s="39" t="n">
        <v>0</v>
      </c>
      <c r="R123" s="39" t="n">
        <v>0</v>
      </c>
      <c r="S123" s="39" t="n">
        <v>0</v>
      </c>
      <c r="T123" s="39" t="n">
        <v>0</v>
      </c>
      <c r="U123" s="39" t="n">
        <v>50</v>
      </c>
      <c r="V123" s="39" t="n"/>
      <c r="W123" s="39" t="n"/>
      <c r="X123" s="39" t="n"/>
      <c r="Y123" s="39" t="n"/>
      <c r="Z123" s="39" t="n"/>
      <c r="AA123" s="26">
        <f>Y123+IF(NOT(ISBLANK(OFFSET(AA123,0,6))),N(OFFSET(AA123,0,6)),N(OFFSET(AA123,0,7)))-Z123</f>
        <v/>
      </c>
    </row>
  </sheetData>
  <mergeCells count="9">
    <mergeCell ref="A5:A6"/>
    <mergeCell ref="B3:D3"/>
    <mergeCell ref="F5:AA5"/>
    <mergeCell ref="A1:AB1"/>
    <mergeCell ref="C5:C6"/>
    <mergeCell ref="A102:AA102"/>
    <mergeCell ref="B5:B6"/>
    <mergeCell ref="B2:D2"/>
    <mergeCell ref="D5:D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49" horizontalDpi="4294967295" verticalDpi="4294967295"/>
  <legacyDrawing xmlns:r="http://schemas.openxmlformats.org/officeDocument/2006/relationships" r:id="anysvml"/>
</worksheet>
</file>

<file path=xl/worksheets/sheet28.xml><?xml version="1.0" encoding="utf-8"?>
<worksheet xmlns="http://schemas.openxmlformats.org/spreadsheetml/2006/main">
  <sheetPr codeName="Planilha64">
    <tabColor theme="8"/>
    <outlinePr summaryBelow="1" summaryRight="1"/>
    <pageSetUpPr fitToPage="1"/>
  </sheetPr>
  <dimension ref="A1:BG133"/>
  <sheetViews>
    <sheetView showGridLines="0" topLeftCell="A46" zoomScale="80" zoomScaleNormal="80" zoomScaleSheetLayoutView="50" workbookViewId="0">
      <selection activeCell="AA63" sqref="AA63:AA65"/>
    </sheetView>
  </sheetViews>
  <sheetFormatPr baseColWidth="8" defaultColWidth="9.140625" defaultRowHeight="18.75"/>
  <cols>
    <col width="34.5703125" customWidth="1" style="62" min="1" max="1"/>
    <col width="8.140625" customWidth="1" style="11" min="2" max="2"/>
    <col width="16.140625" customWidth="1" style="11" min="3" max="3"/>
    <col width="17.42578125" customWidth="1" style="11" min="4" max="4"/>
    <col width="2" customWidth="1" style="11" min="5" max="5"/>
    <col hidden="1" width="9.28515625" customWidth="1" style="11" min="6" max="24"/>
    <col width="9.28515625" customWidth="1" style="11" min="25" max="26"/>
    <col width="9.5703125" customWidth="1" style="11" min="27" max="27"/>
    <col width="1.42578125" customWidth="1" style="11" min="28" max="28"/>
    <col width="17.85546875" customWidth="1" style="71" min="29" max="29"/>
    <col width="14.28515625" customWidth="1" style="71" min="30" max="30"/>
    <col width="0.85546875" customWidth="1" style="11" min="31" max="31"/>
    <col width="17.42578125" customWidth="1" style="34" min="32" max="32"/>
    <col width="1.85546875" customWidth="1" style="11" min="33" max="33"/>
    <col width="9.140625" customWidth="1" style="34" min="34" max="44"/>
    <col hidden="1" width="9.140625" customWidth="1" style="34" min="45" max="55"/>
    <col hidden="1" width="14.28515625" customWidth="1" style="34" min="56" max="56"/>
    <col hidden="1" width="9.140625" customWidth="1" style="34" min="57" max="59"/>
    <col width="9.140625" customWidth="1" style="11" min="60" max="16384"/>
  </cols>
  <sheetData>
    <row r="1" ht="23.25" customHeight="1">
      <c r="A1" s="477" t="inlineStr">
        <is>
          <t>Controle de Contagem Semanal - Antilhas</t>
        </is>
      </c>
      <c r="AE1" s="34" t="n"/>
      <c r="AF1" s="11" t="n"/>
      <c r="AG1" s="34" t="n"/>
    </row>
    <row r="2">
      <c r="A2" s="63" t="inlineStr">
        <is>
          <t>LOJA:</t>
        </is>
      </c>
      <c r="B2" s="604" t="inlineStr">
        <is>
          <t>CD JAÚ</t>
        </is>
      </c>
      <c r="C2" s="605" t="n"/>
      <c r="D2" s="606" t="n"/>
      <c r="AE2" s="34" t="n"/>
      <c r="AF2" s="11" t="n"/>
      <c r="AG2" s="34" t="n"/>
    </row>
    <row r="3">
      <c r="A3" s="63" t="inlineStr">
        <is>
          <t>Responsável:</t>
        </is>
      </c>
      <c r="B3" s="607" t="inlineStr">
        <is>
          <t>ALEXANDRE</t>
        </is>
      </c>
      <c r="C3" s="605" t="n"/>
      <c r="D3" s="606" t="n"/>
      <c r="E3" s="608" t="n"/>
      <c r="F3" s="608" t="n"/>
      <c r="G3" s="608" t="n"/>
      <c r="H3" s="608" t="n"/>
      <c r="I3" s="608" t="n"/>
      <c r="J3" s="608" t="n"/>
      <c r="K3" s="608" t="n"/>
      <c r="L3" s="608" t="n"/>
      <c r="M3" s="608" t="n"/>
      <c r="N3" s="608" t="n"/>
      <c r="O3" s="608" t="n"/>
      <c r="P3" s="608" t="n"/>
      <c r="Q3" s="608" t="n"/>
      <c r="R3" s="608" t="n"/>
      <c r="S3" s="608" t="n"/>
      <c r="T3" s="608" t="n"/>
      <c r="U3" s="608" t="n"/>
      <c r="V3" s="608" t="n"/>
      <c r="W3" s="608" t="n"/>
      <c r="X3" s="608" t="n"/>
      <c r="Y3" s="608" t="n"/>
      <c r="Z3" s="608" t="n"/>
      <c r="AA3" s="608" t="n"/>
      <c r="AB3" s="608" t="n"/>
      <c r="AE3" s="608" t="n"/>
      <c r="AG3" s="34" t="n"/>
    </row>
    <row r="4">
      <c r="AC4" s="41" t="n"/>
      <c r="AD4" s="41" t="n"/>
      <c r="AF4" s="11" t="n"/>
      <c r="AH4" s="11" t="n"/>
      <c r="AI4" s="11" t="n"/>
      <c r="AJ4" s="11" t="n"/>
      <c r="AK4" s="11" t="n"/>
      <c r="AL4" s="11" t="n"/>
      <c r="AM4" s="11" t="n"/>
      <c r="AN4" s="11" t="n"/>
      <c r="AO4" s="11" t="n"/>
      <c r="AP4" s="11" t="n"/>
      <c r="AQ4" s="11" t="n"/>
      <c r="AR4" s="11" t="n"/>
      <c r="AS4" s="11" t="n"/>
      <c r="AT4" s="11" t="n"/>
      <c r="AU4" s="11" t="n"/>
      <c r="AV4" s="11" t="n"/>
      <c r="AW4" s="11" t="n"/>
      <c r="AX4" s="11" t="n"/>
      <c r="AY4" s="11" t="n"/>
      <c r="AZ4" s="11" t="n"/>
      <c r="BA4" s="11" t="n"/>
      <c r="BB4" s="11" t="n"/>
      <c r="BC4" s="11" t="n"/>
      <c r="BD4" s="11" t="n"/>
      <c r="BE4" s="11" t="n"/>
      <c r="BF4" s="11" t="n"/>
      <c r="BG4" s="11" t="n"/>
    </row>
    <row r="5" ht="24.75" customHeight="1">
      <c r="A5" s="610" t="inlineStr">
        <is>
          <t>Descrição</t>
        </is>
      </c>
      <c r="B5" s="611" t="inlineStr">
        <is>
          <t>PCT</t>
        </is>
      </c>
      <c r="C5" s="611" t="inlineStr">
        <is>
          <t xml:space="preserve">R$ </t>
        </is>
      </c>
      <c r="D5" s="612" t="inlineStr">
        <is>
          <t>Estoque Ideal</t>
        </is>
      </c>
      <c r="F5" s="698" t="n"/>
      <c r="G5" s="625" t="n"/>
      <c r="H5" s="625" t="n"/>
      <c r="I5" s="625" t="n"/>
      <c r="J5" s="625" t="n"/>
      <c r="K5" s="625" t="n"/>
      <c r="L5" s="625" t="n"/>
      <c r="M5" s="625" t="n"/>
      <c r="N5" s="625" t="n"/>
      <c r="O5" s="625" t="n"/>
      <c r="P5" s="625" t="n"/>
      <c r="Q5" s="625" t="n"/>
      <c r="R5" s="625" t="n"/>
      <c r="S5" s="625" t="n"/>
      <c r="T5" s="625" t="n"/>
      <c r="U5" s="625" t="n"/>
      <c r="V5" s="625" t="n"/>
      <c r="W5" s="625" t="n"/>
      <c r="X5" s="625" t="n"/>
      <c r="Y5" s="625" t="n"/>
      <c r="Z5" s="625" t="n"/>
      <c r="AA5" s="641" t="n"/>
      <c r="AC5" s="29" t="inlineStr">
        <is>
          <t>Pendências</t>
        </is>
      </c>
      <c r="AD5" s="29" t="inlineStr">
        <is>
          <t>Pendências</t>
        </is>
      </c>
      <c r="AF5" s="9" t="inlineStr">
        <is>
          <t>Novo Pedido</t>
        </is>
      </c>
      <c r="AH5" s="674" t="n">
        <v>46149</v>
      </c>
      <c r="AI5" s="674" t="n">
        <v>46142</v>
      </c>
      <c r="AJ5" s="674" t="n">
        <v>46114</v>
      </c>
      <c r="AK5" s="674" t="n">
        <v>46107</v>
      </c>
      <c r="AL5" s="674" t="n">
        <v>46099</v>
      </c>
      <c r="AM5" s="675" t="n">
        <v>46065</v>
      </c>
      <c r="AN5" s="674" t="n">
        <v>46092</v>
      </c>
      <c r="AO5" s="674" t="n">
        <v>46084</v>
      </c>
      <c r="AP5" s="675" t="n">
        <v>46065</v>
      </c>
      <c r="AQ5" s="676" t="n">
        <v>46045</v>
      </c>
      <c r="AR5" s="674" t="n">
        <v>46077</v>
      </c>
      <c r="AS5" s="674" t="n">
        <v>46071</v>
      </c>
      <c r="AT5" s="674" t="n">
        <v>46056</v>
      </c>
      <c r="AU5" s="674" t="n">
        <v>46048</v>
      </c>
      <c r="AV5" s="674" t="n">
        <v>46029</v>
      </c>
      <c r="AW5" s="674" t="n">
        <v>46029</v>
      </c>
      <c r="AX5" s="674" t="n">
        <v>46043</v>
      </c>
      <c r="AY5" s="674" t="n">
        <v>46029</v>
      </c>
      <c r="AZ5" s="674" t="n">
        <v>46017</v>
      </c>
      <c r="BA5" s="674" t="n">
        <v>46007</v>
      </c>
      <c r="BB5" s="674" t="n">
        <v>46001</v>
      </c>
      <c r="BC5" s="674" t="n">
        <v>46001</v>
      </c>
      <c r="BD5" s="677" t="inlineStr">
        <is>
          <t>TRANSF.</t>
        </is>
      </c>
      <c r="BE5" s="674" t="n">
        <v>45994</v>
      </c>
      <c r="BF5" s="674" t="n">
        <v>45986</v>
      </c>
      <c r="BG5" s="674" t="n">
        <v>45986</v>
      </c>
    </row>
    <row r="6" customFormat="1" s="3">
      <c r="A6" s="618" t="n"/>
      <c r="B6" s="618" t="n"/>
      <c r="C6" s="618" t="n"/>
      <c r="D6" s="618" t="n"/>
      <c r="E6" s="30" t="n"/>
      <c r="F6" s="619" t="n">
        <v>46013</v>
      </c>
      <c r="G6" s="619" t="n">
        <v>46020</v>
      </c>
      <c r="H6" s="619" t="n">
        <v>46027</v>
      </c>
      <c r="I6" s="619" t="n">
        <v>46034</v>
      </c>
      <c r="J6" s="619" t="n">
        <v>46041</v>
      </c>
      <c r="K6" s="619" t="n">
        <v>46048</v>
      </c>
      <c r="L6" s="619" t="n">
        <v>46055</v>
      </c>
      <c r="M6" s="619" t="n">
        <v>46062</v>
      </c>
      <c r="N6" s="619" t="n">
        <v>46069</v>
      </c>
      <c r="O6" s="619" t="n">
        <v>46076</v>
      </c>
      <c r="P6" s="619" t="n">
        <v>46083</v>
      </c>
      <c r="Q6" s="619" t="n">
        <v>46090</v>
      </c>
      <c r="R6" s="619" t="n">
        <v>46097</v>
      </c>
      <c r="S6" s="619" t="n">
        <v>46104</v>
      </c>
      <c r="T6" s="619" t="n">
        <v>46111</v>
      </c>
      <c r="U6" s="619" t="n">
        <v>46118</v>
      </c>
      <c r="V6" s="619" t="n">
        <v>46125</v>
      </c>
      <c r="W6" s="619" t="n">
        <v>46132</v>
      </c>
      <c r="X6" s="619" t="n">
        <v>46139</v>
      </c>
      <c r="Y6" s="619" t="n">
        <v>46146</v>
      </c>
      <c r="Z6" s="619" t="n">
        <v>46154</v>
      </c>
      <c r="AA6" s="678" t="inlineStr">
        <is>
          <t>USOU</t>
        </is>
      </c>
      <c r="AB6" s="30" t="n"/>
      <c r="AC6" s="664" t="n"/>
      <c r="AD6" s="664" t="n">
        <v>46149</v>
      </c>
      <c r="AE6" s="623" t="n"/>
      <c r="AF6" s="624" t="n">
        <v>46155</v>
      </c>
      <c r="AG6" s="623" t="n"/>
      <c r="AH6" s="674" t="n">
        <v>46154</v>
      </c>
      <c r="AI6" s="674" t="n">
        <v>46149</v>
      </c>
      <c r="AJ6" s="674" t="n">
        <v>46125</v>
      </c>
      <c r="AK6" s="674" t="n">
        <v>46112</v>
      </c>
      <c r="AL6" s="674" t="n">
        <v>46106</v>
      </c>
      <c r="AM6" s="675" t="n">
        <v>46104</v>
      </c>
      <c r="AN6" s="674" t="n">
        <v>46100</v>
      </c>
      <c r="AO6" s="674" t="n">
        <v>46090</v>
      </c>
      <c r="AP6" s="675" t="n">
        <v>46087</v>
      </c>
      <c r="AQ6" s="676" t="n">
        <v>46087</v>
      </c>
      <c r="AR6" s="674" t="n">
        <v>46084</v>
      </c>
      <c r="AS6" s="674" t="n">
        <v>46077</v>
      </c>
      <c r="AT6" s="674" t="n">
        <v>46064</v>
      </c>
      <c r="AU6" s="674" t="n">
        <v>46057</v>
      </c>
      <c r="AV6" s="674" t="n">
        <v>46041</v>
      </c>
      <c r="AW6" s="674" t="n">
        <v>46045</v>
      </c>
      <c r="AX6" s="674" t="n">
        <v>46049</v>
      </c>
      <c r="AY6" s="674" t="n">
        <v>46041</v>
      </c>
      <c r="AZ6" s="674" t="n">
        <v>46028</v>
      </c>
      <c r="BA6" s="674" t="n">
        <v>46014</v>
      </c>
      <c r="BB6" s="674" t="n">
        <v>46010</v>
      </c>
      <c r="BC6" s="674" t="n">
        <v>46006</v>
      </c>
      <c r="BD6" s="677" t="n">
        <v>46014</v>
      </c>
      <c r="BE6" s="674" t="n">
        <v>46001</v>
      </c>
      <c r="BF6" s="674" t="n">
        <v>46000</v>
      </c>
      <c r="BG6" s="674" t="n">
        <v>45994</v>
      </c>
    </row>
    <row r="7" ht="21.75" customFormat="1" customHeight="1" s="3">
      <c r="A7" s="20" t="inlineStr">
        <is>
          <t>SACOLAS BOTICÁRIO</t>
        </is>
      </c>
      <c r="B7" s="4" t="n"/>
      <c r="C7" s="5" t="n"/>
      <c r="D7" s="239" t="n"/>
      <c r="E7" s="11" t="n"/>
      <c r="F7" s="12" t="n"/>
      <c r="G7" s="12" t="n"/>
      <c r="H7" s="12" t="n"/>
      <c r="I7" s="12" t="n"/>
      <c r="J7" s="12" t="n"/>
      <c r="K7" s="12" t="n"/>
      <c r="L7" s="12" t="n"/>
      <c r="M7" s="12" t="n"/>
      <c r="N7" s="12" t="n"/>
      <c r="O7" s="12" t="n"/>
      <c r="P7" s="12" t="n"/>
      <c r="Q7" s="12" t="n"/>
      <c r="R7" s="12" t="n"/>
      <c r="S7" s="12" t="n"/>
      <c r="T7" s="12" t="n"/>
      <c r="U7" s="12" t="n"/>
      <c r="V7" s="12" t="n"/>
      <c r="W7" s="12" t="n"/>
      <c r="X7" s="12" t="n"/>
      <c r="Y7" s="12" t="n"/>
      <c r="Z7" s="12" t="n"/>
      <c r="AA7" s="12" t="n"/>
      <c r="AB7" s="11" t="n"/>
      <c r="AC7" s="85" t="n"/>
      <c r="AD7" s="85" t="n"/>
      <c r="AE7" s="11" t="n"/>
      <c r="AF7" s="113" t="n"/>
      <c r="AG7" s="11" t="n"/>
      <c r="AH7" s="116" t="n"/>
      <c r="AI7" s="116" t="n"/>
      <c r="AJ7" s="116" t="n"/>
      <c r="AK7" s="116" t="n"/>
      <c r="AL7" s="116" t="n"/>
      <c r="AM7" s="116" t="inlineStr">
        <is>
          <t>MÃES</t>
        </is>
      </c>
      <c r="AN7" s="116" t="n"/>
      <c r="AO7" s="116" t="n"/>
      <c r="AP7" s="116" t="inlineStr">
        <is>
          <t>MÃES</t>
        </is>
      </c>
      <c r="AQ7" s="116" t="inlineStr">
        <is>
          <t>MÃES</t>
        </is>
      </c>
      <c r="AR7" s="116" t="n"/>
      <c r="AS7" s="116" t="n"/>
      <c r="AT7" s="116" t="n"/>
      <c r="AU7" s="116" t="n"/>
      <c r="AV7" s="116" t="n"/>
      <c r="AW7" s="116" t="n"/>
      <c r="AX7" s="116" t="n"/>
      <c r="AY7" s="116" t="n"/>
      <c r="AZ7" s="116" t="n"/>
      <c r="BA7" s="116" t="n"/>
      <c r="BB7" s="116" t="n"/>
      <c r="BC7" s="116" t="n"/>
      <c r="BD7" s="116" t="n"/>
      <c r="BE7" s="116" t="n"/>
      <c r="BF7" s="116" t="n"/>
      <c r="BG7" s="116" t="n"/>
    </row>
    <row r="8" customFormat="1" s="3">
      <c r="A8" s="21" t="inlineStr">
        <is>
          <t>SACOLA PP VERDE</t>
        </is>
      </c>
      <c r="B8" s="6" t="n">
        <v>300</v>
      </c>
      <c r="C8" s="627" t="n">
        <v>178.21</v>
      </c>
      <c r="D8" s="240" t="n">
        <v>1000</v>
      </c>
      <c r="E8" s="11" t="n"/>
      <c r="F8" s="125" t="n">
        <v>2400</v>
      </c>
      <c r="G8" s="125" t="n">
        <v>2400</v>
      </c>
      <c r="H8" s="125" t="n">
        <v>1800</v>
      </c>
      <c r="I8" s="125" t="n">
        <v>1800</v>
      </c>
      <c r="J8" s="125">
        <f>1500+AY8</f>
        <v/>
      </c>
      <c r="K8" s="125" t="n">
        <v>1800</v>
      </c>
      <c r="L8" s="125" t="n">
        <v>1500</v>
      </c>
      <c r="M8" s="125" t="n">
        <v>1500</v>
      </c>
      <c r="N8" s="125" t="n">
        <v>1200</v>
      </c>
      <c r="O8" s="125" t="n">
        <v>1200</v>
      </c>
      <c r="P8" s="125" t="n">
        <v>900</v>
      </c>
      <c r="Q8" s="125">
        <f>600+AO8</f>
        <v/>
      </c>
      <c r="R8" s="125">
        <f>600+AN8</f>
        <v/>
      </c>
      <c r="S8" s="125" t="n">
        <v>900</v>
      </c>
      <c r="T8" s="125" t="n">
        <v>600</v>
      </c>
      <c r="U8" s="125" t="n">
        <v>300</v>
      </c>
      <c r="V8" s="125" t="n">
        <v>300</v>
      </c>
      <c r="W8" s="125" t="n">
        <v>600</v>
      </c>
      <c r="X8" s="125" t="n">
        <v>300</v>
      </c>
      <c r="Y8" s="125">
        <f>0+AI8</f>
        <v/>
      </c>
      <c r="Z8" s="125" t="n">
        <v>900</v>
      </c>
      <c r="AA8" s="380">
        <f>Y8+IF(NOT(ISBLANK(OFFSET(AA8,0,6))),N(OFFSET(AA8,0,6)),N(OFFSET(AA8,0,7)))-Z8</f>
        <v/>
      </c>
      <c r="AB8" s="11" t="n"/>
      <c r="AC8" s="78" t="n"/>
      <c r="AD8" s="78" t="n"/>
      <c r="AE8" s="11" t="n"/>
      <c r="AF8" s="32" t="n"/>
      <c r="AG8" s="11" t="n"/>
      <c r="AH8" s="19" t="n">
        <v>0</v>
      </c>
      <c r="AI8" s="19" t="n">
        <v>900</v>
      </c>
      <c r="AJ8" s="19" t="n">
        <v>900</v>
      </c>
      <c r="AK8" s="19" t="n"/>
      <c r="AL8" s="19" t="n"/>
      <c r="AM8" s="19" t="n"/>
      <c r="AN8" s="19" t="n">
        <v>300</v>
      </c>
      <c r="AO8" s="19" t="n">
        <v>300</v>
      </c>
      <c r="AP8" s="19" t="n"/>
      <c r="AQ8" s="19" t="n"/>
      <c r="AR8" s="19" t="n"/>
      <c r="AS8" s="19" t="n"/>
      <c r="AT8" s="19" t="n"/>
      <c r="AU8" s="19" t="n"/>
      <c r="AV8" s="19" t="n"/>
      <c r="AW8" s="19" t="n"/>
      <c r="AX8" s="19" t="n"/>
      <c r="AY8" s="19" t="n">
        <v>600</v>
      </c>
      <c r="AZ8" s="19" t="n"/>
      <c r="BA8" s="19" t="n"/>
      <c r="BB8" s="19" t="n"/>
      <c r="BC8" s="19" t="n"/>
      <c r="BD8" s="19" t="n"/>
      <c r="BE8" s="19" t="n">
        <v>1800</v>
      </c>
      <c r="BF8" s="19" t="n"/>
      <c r="BG8" s="19" t="n"/>
    </row>
    <row r="9" customFormat="1" s="3">
      <c r="A9" s="21" t="inlineStr">
        <is>
          <t xml:space="preserve">SACOLA P VERDE </t>
        </is>
      </c>
      <c r="B9" s="6" t="n">
        <v>200</v>
      </c>
      <c r="C9" s="627" t="n">
        <v>183.89</v>
      </c>
      <c r="D9" s="240" t="n">
        <v>2400</v>
      </c>
      <c r="E9" s="11" t="n"/>
      <c r="F9" s="125" t="n">
        <v>3600</v>
      </c>
      <c r="G9" s="125" t="n">
        <v>2800</v>
      </c>
      <c r="H9" s="125">
        <f>1800+AZ9</f>
        <v/>
      </c>
      <c r="I9" s="125" t="n">
        <v>2800</v>
      </c>
      <c r="J9" s="125">
        <f>1600+AY9</f>
        <v/>
      </c>
      <c r="K9" s="125">
        <f>1400+AX9</f>
        <v/>
      </c>
      <c r="L9" s="125">
        <f>2800+AU9</f>
        <v/>
      </c>
      <c r="M9" s="125">
        <f>3800+AT9</f>
        <v/>
      </c>
      <c r="N9" s="125" t="n">
        <v>4000</v>
      </c>
      <c r="O9" s="125">
        <f>2600+AS9</f>
        <v/>
      </c>
      <c r="P9" s="125">
        <f>5600+AR9</f>
        <v/>
      </c>
      <c r="Q9" s="125" t="n">
        <v>4000</v>
      </c>
      <c r="R9" s="125">
        <f>4000+AN9</f>
        <v/>
      </c>
      <c r="S9" s="125" t="n">
        <v>6800</v>
      </c>
      <c r="T9" s="125" t="n">
        <v>5800</v>
      </c>
      <c r="U9" s="125" t="n">
        <v>5000</v>
      </c>
      <c r="V9" s="125" t="n">
        <v>4200</v>
      </c>
      <c r="W9" s="125" t="n">
        <v>4800</v>
      </c>
      <c r="X9" s="125" t="n">
        <v>4800</v>
      </c>
      <c r="Y9" s="125" t="n">
        <v>4800</v>
      </c>
      <c r="Z9" s="125" t="n">
        <v>400</v>
      </c>
      <c r="AA9" s="380">
        <f>Y9+IF(NOT(ISBLANK(OFFSET(AA9,0,6))),N(OFFSET(AA9,0,6)),N(OFFSET(AA9,0,7)))-Z9</f>
        <v/>
      </c>
      <c r="AB9" s="11" t="n"/>
      <c r="AC9" s="78" t="n"/>
      <c r="AD9" s="78" t="n"/>
      <c r="AE9" s="11" t="n"/>
      <c r="AF9" s="32" t="n">
        <v>2000</v>
      </c>
      <c r="AG9" s="11" t="n"/>
      <c r="AH9" s="19" t="n">
        <v>0</v>
      </c>
      <c r="AI9" s="19" t="n">
        <v>0</v>
      </c>
      <c r="AJ9" s="19" t="n">
        <v>2000</v>
      </c>
      <c r="AK9" s="19" t="n"/>
      <c r="AL9" s="19" t="n"/>
      <c r="AM9" s="251" t="n">
        <v>4000</v>
      </c>
      <c r="AN9" s="19" t="n">
        <v>3000</v>
      </c>
      <c r="AO9" s="19" t="n"/>
      <c r="AP9" s="19" t="n"/>
      <c r="AQ9" s="19" t="n"/>
      <c r="AR9" s="19" t="n">
        <v>1400</v>
      </c>
      <c r="AS9" s="19" t="n">
        <v>4000</v>
      </c>
      <c r="AT9" s="19" t="n">
        <v>1200</v>
      </c>
      <c r="AU9" s="19" t="n">
        <v>1200</v>
      </c>
      <c r="AV9" s="19" t="n"/>
      <c r="AW9" s="19" t="n"/>
      <c r="AX9" s="19" t="n">
        <v>2400</v>
      </c>
      <c r="AY9" s="19" t="n">
        <v>1000</v>
      </c>
      <c r="AZ9" s="19" t="n">
        <v>2000</v>
      </c>
      <c r="BA9" s="19" t="n"/>
      <c r="BB9" s="19" t="n"/>
      <c r="BC9" s="19" t="n"/>
      <c r="BD9" s="260" t="inlineStr">
        <is>
          <t>200 P/ JDM</t>
        </is>
      </c>
      <c r="BE9" s="19" t="n">
        <v>4000</v>
      </c>
      <c r="BF9" s="19" t="n">
        <v>1000</v>
      </c>
      <c r="BG9" s="19" t="n"/>
    </row>
    <row r="10" customFormat="1" s="3">
      <c r="A10" s="21" t="inlineStr">
        <is>
          <t>SACOLA M VERDE</t>
        </is>
      </c>
      <c r="B10" s="6" t="n">
        <v>200</v>
      </c>
      <c r="C10" s="627" t="n">
        <v>241.74</v>
      </c>
      <c r="D10" s="245" t="n">
        <v>800</v>
      </c>
      <c r="E10" s="11" t="n"/>
      <c r="F10" s="125" t="n">
        <v>2600</v>
      </c>
      <c r="G10" s="125" t="n">
        <v>2400</v>
      </c>
      <c r="H10" s="125" t="n">
        <v>2200</v>
      </c>
      <c r="I10" s="125" t="n">
        <v>2000</v>
      </c>
      <c r="J10" s="125">
        <f>2000+AY10</f>
        <v/>
      </c>
      <c r="K10" s="125" t="n">
        <v>2200</v>
      </c>
      <c r="L10" s="125" t="n">
        <v>2200</v>
      </c>
      <c r="M10" s="125" t="n">
        <v>2200</v>
      </c>
      <c r="N10" s="125" t="n">
        <v>1800</v>
      </c>
      <c r="O10" s="125" t="n">
        <v>1800</v>
      </c>
      <c r="P10" s="125">
        <f>1800+AR10</f>
        <v/>
      </c>
      <c r="Q10" s="125" t="n">
        <v>1400</v>
      </c>
      <c r="R10" s="125" t="n">
        <v>1400</v>
      </c>
      <c r="S10" s="125" t="n">
        <v>1200</v>
      </c>
      <c r="T10" s="125" t="n">
        <v>1200</v>
      </c>
      <c r="U10" s="125" t="n">
        <v>1000</v>
      </c>
      <c r="V10" s="125" t="n">
        <v>800</v>
      </c>
      <c r="W10" s="125" t="n">
        <v>800</v>
      </c>
      <c r="X10" s="125" t="n">
        <v>800</v>
      </c>
      <c r="Y10" s="125" t="n">
        <v>800</v>
      </c>
      <c r="Z10" s="125" t="n">
        <v>800</v>
      </c>
      <c r="AA10" s="380">
        <f>Y10+IF(NOT(ISBLANK(OFFSET(AA10,0,6))),N(OFFSET(AA10,0,6)),N(OFFSET(AA10,0,7)))-Z10</f>
        <v/>
      </c>
      <c r="AB10" s="11" t="n"/>
      <c r="AC10" s="78" t="n"/>
      <c r="AD10" s="78" t="n"/>
      <c r="AE10" s="11" t="n"/>
      <c r="AF10" s="32" t="n"/>
      <c r="AG10" s="11" t="n"/>
      <c r="AH10" s="19" t="n">
        <v>0</v>
      </c>
      <c r="AI10" s="19" t="n">
        <v>0</v>
      </c>
      <c r="AJ10" s="19" t="n"/>
      <c r="AK10" s="19" t="n"/>
      <c r="AL10" s="19" t="n"/>
      <c r="AM10" s="251" t="n">
        <v>2200</v>
      </c>
      <c r="AN10" s="19" t="n"/>
      <c r="AO10" s="19" t="n"/>
      <c r="AP10" s="19" t="n"/>
      <c r="AQ10" s="301" t="n">
        <v>2100</v>
      </c>
      <c r="AR10" s="19" t="n">
        <v>400</v>
      </c>
      <c r="AS10" s="19" t="n"/>
      <c r="AT10" s="19" t="n"/>
      <c r="AU10" s="19" t="n"/>
      <c r="AV10" s="19" t="n"/>
      <c r="AW10" s="19" t="n"/>
      <c r="AX10" s="19" t="n"/>
      <c r="AY10" s="19" t="n">
        <v>400</v>
      </c>
      <c r="AZ10" s="19" t="n"/>
      <c r="BA10" s="19" t="n"/>
      <c r="BB10" s="19" t="n"/>
      <c r="BC10" s="19" t="n"/>
      <c r="BD10" s="19" t="n"/>
      <c r="BE10" s="19" t="n">
        <v>1000</v>
      </c>
      <c r="BF10" s="19" t="n">
        <v>800</v>
      </c>
      <c r="BG10" s="19" t="n"/>
    </row>
    <row r="11" ht="19.5" customFormat="1" customHeight="1" s="3">
      <c r="A11" s="22" t="inlineStr">
        <is>
          <t xml:space="preserve">SACOLA G VERDE </t>
        </is>
      </c>
      <c r="B11" s="6" t="n">
        <v>100</v>
      </c>
      <c r="C11" s="627" t="n">
        <v>175.78</v>
      </c>
      <c r="D11" s="240" t="n">
        <v>300</v>
      </c>
      <c r="E11" s="11" t="n"/>
      <c r="F11" s="39" t="n">
        <v>300</v>
      </c>
      <c r="G11" s="39" t="n">
        <v>100</v>
      </c>
      <c r="H11" s="39" t="n">
        <v>0</v>
      </c>
      <c r="I11" s="39" t="n">
        <v>0</v>
      </c>
      <c r="J11" s="39">
        <f>0+AY11</f>
        <v/>
      </c>
      <c r="K11" s="39" t="n">
        <v>500</v>
      </c>
      <c r="L11" s="39" t="n">
        <v>500</v>
      </c>
      <c r="M11" s="39" t="n">
        <v>500</v>
      </c>
      <c r="N11" s="39" t="n">
        <v>400</v>
      </c>
      <c r="O11" s="39" t="n">
        <v>400</v>
      </c>
      <c r="P11" s="39">
        <f>200+AR11</f>
        <v/>
      </c>
      <c r="Q11" s="39">
        <f>500+AO11</f>
        <v/>
      </c>
      <c r="R11" s="39" t="n">
        <v>800</v>
      </c>
      <c r="S11" s="39" t="n">
        <v>800</v>
      </c>
      <c r="T11" s="39" t="n">
        <v>600</v>
      </c>
      <c r="U11" s="39" t="n">
        <v>600</v>
      </c>
      <c r="V11" s="39" t="n">
        <v>500</v>
      </c>
      <c r="W11" s="39" t="n">
        <v>900</v>
      </c>
      <c r="X11" s="39" t="n">
        <v>900</v>
      </c>
      <c r="Y11" s="39" t="n">
        <v>900</v>
      </c>
      <c r="Z11" s="39" t="n">
        <v>900</v>
      </c>
      <c r="AA11" s="380">
        <f>Y11+IF(NOT(ISBLANK(OFFSET(AA11,0,6))),N(OFFSET(AA11,0,6)),N(OFFSET(AA11,0,7)))-Z11</f>
        <v/>
      </c>
      <c r="AB11" s="11" t="n"/>
      <c r="AC11" s="78" t="n"/>
      <c r="AD11" s="78" t="n"/>
      <c r="AE11" s="11" t="n"/>
      <c r="AF11" s="32" t="n"/>
      <c r="AG11" s="11" t="n"/>
      <c r="AH11" s="19" t="n">
        <v>0</v>
      </c>
      <c r="AI11" s="19" t="n">
        <v>0</v>
      </c>
      <c r="AJ11" s="19" t="n">
        <v>400</v>
      </c>
      <c r="AK11" s="19" t="n"/>
      <c r="AL11" s="19" t="n"/>
      <c r="AM11" s="251" t="n">
        <v>800</v>
      </c>
      <c r="AN11" s="19" t="n"/>
      <c r="AO11" s="19" t="n">
        <v>400</v>
      </c>
      <c r="AP11" s="19" t="n"/>
      <c r="AQ11" s="19" t="n"/>
      <c r="AR11" s="19" t="n">
        <v>300</v>
      </c>
      <c r="AS11" s="19" t="n"/>
      <c r="AT11" s="19" t="n"/>
      <c r="AU11" s="19" t="n"/>
      <c r="AV11" s="19" t="n"/>
      <c r="AW11" s="19" t="n"/>
      <c r="AX11" s="19" t="n"/>
      <c r="AY11" s="19" t="n">
        <v>500</v>
      </c>
      <c r="AZ11" s="19" t="n"/>
      <c r="BA11" s="19" t="n"/>
      <c r="BB11" s="19" t="n"/>
      <c r="BC11" s="19" t="n"/>
      <c r="BD11" s="260" t="inlineStr">
        <is>
          <t>100 P/ JDM</t>
        </is>
      </c>
      <c r="BE11" s="19" t="n">
        <v>300</v>
      </c>
      <c r="BF11" s="19" t="n">
        <v>200</v>
      </c>
      <c r="BG11" s="19" t="n"/>
    </row>
    <row r="12" ht="19.5" customFormat="1" customHeight="1" s="3">
      <c r="A12" s="132" t="n"/>
      <c r="B12" s="133" t="n"/>
      <c r="C12" s="633" t="n"/>
      <c r="D12" s="633" t="n"/>
      <c r="E12" s="11" t="n"/>
      <c r="F12" s="2" t="n"/>
      <c r="G12" s="2" t="n"/>
      <c r="H12" s="2" t="n"/>
      <c r="I12" s="2" t="n"/>
      <c r="J12" s="2" t="n"/>
      <c r="K12" s="2" t="n"/>
      <c r="L12" s="2" t="n"/>
      <c r="M12" s="2" t="n"/>
      <c r="N12" s="2" t="n"/>
      <c r="O12" s="2" t="n"/>
      <c r="P12" s="2" t="n"/>
      <c r="Q12" s="2" t="n"/>
      <c r="R12" s="2" t="n"/>
      <c r="S12" s="2" t="n"/>
      <c r="T12" s="2" t="n"/>
      <c r="U12" s="2" t="n"/>
      <c r="V12" s="2" t="n"/>
      <c r="W12" s="2" t="n"/>
      <c r="X12" s="2" t="n"/>
      <c r="Y12" s="2" t="n"/>
      <c r="Z12" s="2" t="n"/>
      <c r="AA12" s="2" t="n"/>
      <c r="AB12" s="11" t="n"/>
      <c r="AC12" s="10" t="n"/>
      <c r="AD12" s="10" t="n"/>
      <c r="AE12" s="11" t="n"/>
      <c r="AF12" s="33" t="n"/>
      <c r="AG12" s="11" t="n"/>
      <c r="AH12" s="75" t="n"/>
      <c r="AI12" s="75" t="n"/>
      <c r="AJ12" s="75" t="n"/>
      <c r="AK12" s="75" t="n"/>
      <c r="AL12" s="75" t="n"/>
      <c r="AM12" s="75" t="n"/>
      <c r="AN12" s="75" t="n"/>
      <c r="AO12" s="75" t="n"/>
      <c r="AP12" s="75" t="n"/>
      <c r="AQ12" s="75" t="n"/>
      <c r="AR12" s="75" t="n"/>
      <c r="AS12" s="75" t="n"/>
      <c r="AT12" s="75" t="n"/>
      <c r="AU12" s="75" t="n"/>
      <c r="AV12" s="75" t="n"/>
      <c r="AW12" s="75" t="n"/>
      <c r="AX12" s="75" t="n"/>
      <c r="AY12" s="75" t="n"/>
      <c r="AZ12" s="75" t="n"/>
      <c r="BA12" s="75" t="n"/>
      <c r="BB12" s="75" t="n"/>
      <c r="BC12" s="75" t="n"/>
      <c r="BD12" s="75" t="n"/>
      <c r="BE12" s="75" t="n"/>
      <c r="BF12" s="75" t="n"/>
      <c r="BG12" s="75" t="n"/>
    </row>
    <row r="13" ht="18.75" customFormat="1" customHeight="1" s="3">
      <c r="A13" s="548" t="inlineStr">
        <is>
          <t>SACOLAS P/ VENDA EM UND</t>
        </is>
      </c>
      <c r="B13" s="12" t="inlineStr">
        <is>
          <t>PC</t>
        </is>
      </c>
      <c r="C13" s="631" t="inlineStr">
        <is>
          <t>R$</t>
        </is>
      </c>
      <c r="D13" s="12" t="inlineStr">
        <is>
          <t>Estoque Ideal</t>
        </is>
      </c>
      <c r="E13" s="1" t="n"/>
      <c r="F13" s="619" t="n">
        <v>46013</v>
      </c>
      <c r="G13" s="619" t="n">
        <v>46020</v>
      </c>
      <c r="H13" s="619" t="n">
        <v>46027</v>
      </c>
      <c r="I13" s="619" t="n">
        <v>46034</v>
      </c>
      <c r="J13" s="619" t="n">
        <v>46041</v>
      </c>
      <c r="K13" s="619" t="n">
        <v>46048</v>
      </c>
      <c r="L13" s="619" t="n">
        <v>46055</v>
      </c>
      <c r="M13" s="619" t="n">
        <v>46062</v>
      </c>
      <c r="N13" s="619" t="n">
        <v>46069</v>
      </c>
      <c r="O13" s="619" t="n">
        <v>46076</v>
      </c>
      <c r="P13" s="619" t="n">
        <v>46083</v>
      </c>
      <c r="Q13" s="619" t="n">
        <v>46090</v>
      </c>
      <c r="R13" s="619" t="n">
        <v>46097</v>
      </c>
      <c r="S13" s="619" t="n">
        <v>46104</v>
      </c>
      <c r="T13" s="619" t="n">
        <v>46111</v>
      </c>
      <c r="U13" s="619" t="n">
        <v>46118</v>
      </c>
      <c r="V13" s="619" t="n">
        <v>46125</v>
      </c>
      <c r="W13" s="619" t="n">
        <v>46132</v>
      </c>
      <c r="X13" s="619" t="n">
        <v>46139</v>
      </c>
      <c r="Y13" s="619" t="n">
        <v>46146</v>
      </c>
      <c r="Z13" s="619" t="n">
        <v>46154</v>
      </c>
      <c r="AA13" s="678" t="inlineStr">
        <is>
          <t>USOU</t>
        </is>
      </c>
      <c r="AC13" s="29" t="inlineStr">
        <is>
          <t>Pendências</t>
        </is>
      </c>
      <c r="AD13" s="29" t="inlineStr">
        <is>
          <t>Pendências</t>
        </is>
      </c>
      <c r="AE13" s="129" t="n"/>
      <c r="AF13" s="9" t="inlineStr">
        <is>
          <t>Novo Pedido</t>
        </is>
      </c>
      <c r="AG13" s="129" t="n"/>
      <c r="AH13" s="674" t="n">
        <v>46149</v>
      </c>
      <c r="AI13" s="674" t="n">
        <v>46142</v>
      </c>
      <c r="AJ13" s="674" t="n">
        <v>46114</v>
      </c>
      <c r="AK13" s="674" t="n">
        <v>46107</v>
      </c>
      <c r="AL13" s="674" t="n">
        <v>46099</v>
      </c>
      <c r="AM13" s="675" t="n">
        <v>46065</v>
      </c>
      <c r="AN13" s="674" t="n">
        <v>46092</v>
      </c>
      <c r="AO13" s="674" t="n">
        <v>46084</v>
      </c>
      <c r="AP13" s="675" t="n">
        <v>46065</v>
      </c>
      <c r="AQ13" s="676" t="n">
        <v>46045</v>
      </c>
      <c r="AR13" s="674" t="n">
        <v>46077</v>
      </c>
      <c r="AS13" s="674" t="n">
        <v>46071</v>
      </c>
      <c r="AT13" s="674" t="n">
        <v>46056</v>
      </c>
      <c r="AU13" s="674" t="n">
        <v>46048</v>
      </c>
      <c r="AV13" s="674" t="n">
        <v>46029</v>
      </c>
      <c r="AW13" s="674" t="n">
        <v>46029</v>
      </c>
      <c r="AX13" s="674" t="n">
        <v>46043</v>
      </c>
      <c r="AY13" s="674" t="n">
        <v>46029</v>
      </c>
      <c r="AZ13" s="674" t="n">
        <v>46017</v>
      </c>
      <c r="BA13" s="674" t="n">
        <v>46007</v>
      </c>
      <c r="BB13" s="674" t="n">
        <v>46001</v>
      </c>
      <c r="BC13" s="674" t="n">
        <v>46001</v>
      </c>
      <c r="BD13" s="677" t="n">
        <v>46014</v>
      </c>
      <c r="BE13" s="674" t="n">
        <v>45994</v>
      </c>
      <c r="BF13" s="674" t="n">
        <v>45986</v>
      </c>
      <c r="BG13" s="674" t="n">
        <v>45986</v>
      </c>
    </row>
    <row r="14" ht="18.75" customFormat="1" customHeight="1" s="3">
      <c r="A14" s="25" t="inlineStr">
        <is>
          <t>SACOLA PP 2025</t>
        </is>
      </c>
      <c r="B14" s="6" t="n">
        <v>300</v>
      </c>
      <c r="C14" s="632" t="n">
        <v>216</v>
      </c>
      <c r="D14" s="240" t="n">
        <v>300</v>
      </c>
      <c r="E14" s="1" t="n"/>
      <c r="F14" s="131" t="n">
        <v>460</v>
      </c>
      <c r="G14" s="131" t="n">
        <v>424</v>
      </c>
      <c r="H14" s="131" t="n">
        <v>397</v>
      </c>
      <c r="I14" s="131" t="n">
        <v>357</v>
      </c>
      <c r="J14" s="131" t="n">
        <v>357</v>
      </c>
      <c r="K14" s="131" t="n">
        <v>326</v>
      </c>
      <c r="L14" s="131" t="n">
        <v>301</v>
      </c>
      <c r="M14" s="131" t="n">
        <v>261</v>
      </c>
      <c r="N14" s="131" t="n">
        <v>287</v>
      </c>
      <c r="O14" s="131" t="n">
        <v>262</v>
      </c>
      <c r="P14" s="131">
        <f>240+AR14</f>
        <v/>
      </c>
      <c r="Q14" s="131" t="n">
        <v>495</v>
      </c>
      <c r="R14" s="131" t="n">
        <v>484</v>
      </c>
      <c r="S14" s="131" t="n">
        <v>436</v>
      </c>
      <c r="T14" s="131" t="n">
        <v>411</v>
      </c>
      <c r="U14" s="131" t="n"/>
      <c r="V14" s="131" t="n"/>
      <c r="W14" s="131" t="n"/>
      <c r="X14" s="131" t="n"/>
      <c r="Y14" s="131" t="n"/>
      <c r="Z14" s="131" t="n">
        <v>190</v>
      </c>
      <c r="AA14" s="380">
        <f>Y14+IF(NOT(ISBLANK(OFFSET(AA14,0,6))),N(OFFSET(AA14,0,6)),N(OFFSET(AA14,0,7)))-Z14</f>
        <v/>
      </c>
      <c r="AC14" s="78" t="n"/>
      <c r="AD14" s="78" t="n"/>
      <c r="AE14" s="129" t="n"/>
      <c r="AF14" s="32" t="n"/>
      <c r="AG14" s="129" t="n"/>
      <c r="AH14" s="19" t="n">
        <v>0</v>
      </c>
      <c r="AI14" s="19" t="n">
        <v>0</v>
      </c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>
        <v>300</v>
      </c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>
        <v>600</v>
      </c>
    </row>
    <row r="15" ht="18.75" customFormat="1" customHeight="1" s="3">
      <c r="A15" s="25" t="inlineStr">
        <is>
          <t>SACOLA P 2025</t>
        </is>
      </c>
      <c r="B15" s="6" t="n">
        <v>200</v>
      </c>
      <c r="C15" s="632" t="n">
        <v>246.28</v>
      </c>
      <c r="D15" s="240" t="n">
        <v>400</v>
      </c>
      <c r="E15" s="1" t="n"/>
      <c r="F15" s="39" t="n">
        <v>378</v>
      </c>
      <c r="G15" s="39" t="n">
        <v>347</v>
      </c>
      <c r="H15" s="39" t="n">
        <v>321</v>
      </c>
      <c r="I15" s="39" t="n">
        <v>312</v>
      </c>
      <c r="J15" s="39" t="n">
        <v>304</v>
      </c>
      <c r="K15" s="39" t="n">
        <v>304</v>
      </c>
      <c r="L15" s="39" t="n">
        <v>274</v>
      </c>
      <c r="M15" s="39">
        <f>248+AT15</f>
        <v/>
      </c>
      <c r="N15" s="39" t="n">
        <v>448</v>
      </c>
      <c r="O15" s="39" t="n">
        <v>437</v>
      </c>
      <c r="P15" s="39" t="n">
        <v>409</v>
      </c>
      <c r="Q15" s="39" t="n">
        <v>374</v>
      </c>
      <c r="R15" s="39" t="n">
        <v>312</v>
      </c>
      <c r="S15" s="39" t="n">
        <v>236</v>
      </c>
      <c r="T15" s="39" t="n">
        <v>167</v>
      </c>
      <c r="U15" s="39" t="n"/>
      <c r="V15" s="39" t="n"/>
      <c r="W15" s="39" t="n"/>
      <c r="X15" s="39" t="n"/>
      <c r="Y15" s="39" t="n"/>
      <c r="Z15" s="39" t="n">
        <v>0</v>
      </c>
      <c r="AA15" s="380">
        <f>Y15+IF(NOT(ISBLANK(OFFSET(AA15,0,6))),N(OFFSET(AA15,0,6)),N(OFFSET(AA15,0,7)))-Z15</f>
        <v/>
      </c>
      <c r="AC15" s="78" t="n"/>
      <c r="AD15" s="78" t="n"/>
      <c r="AE15" s="129" t="n"/>
      <c r="AF15" s="32" t="n">
        <v>200</v>
      </c>
      <c r="AG15" s="129" t="n"/>
      <c r="AH15" s="19" t="n">
        <v>0</v>
      </c>
      <c r="AI15" s="19" t="n">
        <v>0</v>
      </c>
      <c r="AJ15" s="19" t="n"/>
      <c r="AK15" s="19" t="n"/>
      <c r="AL15" s="19" t="n"/>
      <c r="AM15" s="251" t="n">
        <v>400</v>
      </c>
      <c r="AN15" s="19" t="n"/>
      <c r="AO15" s="19" t="n"/>
      <c r="AP15" s="19" t="n"/>
      <c r="AQ15" s="19" t="n"/>
      <c r="AR15" s="19" t="n"/>
      <c r="AS15" s="19" t="n"/>
      <c r="AT15" s="19" t="n">
        <v>200</v>
      </c>
      <c r="AU15" s="19" t="n"/>
      <c r="AV15" s="19" t="n"/>
      <c r="AW15" s="19" t="n"/>
      <c r="AX15" s="19" t="n"/>
      <c r="AY15" s="19" t="n"/>
      <c r="AZ15" s="19" t="n"/>
      <c r="BA15" s="19" t="n"/>
      <c r="BB15" s="19" t="n">
        <v>200</v>
      </c>
      <c r="BC15" s="19" t="n"/>
      <c r="BD15" s="19" t="n"/>
      <c r="BE15" s="19" t="n"/>
      <c r="BF15" s="19" t="n"/>
      <c r="BG15" s="19" t="n">
        <v>200</v>
      </c>
    </row>
    <row r="16" ht="18.75" customFormat="1" customHeight="1" s="3">
      <c r="A16" s="25" t="inlineStr">
        <is>
          <t>SACOLA M 2025</t>
        </is>
      </c>
      <c r="B16" s="6" t="n">
        <v>200</v>
      </c>
      <c r="C16" s="632" t="n">
        <v>316.91</v>
      </c>
      <c r="D16" s="240" t="n">
        <v>200</v>
      </c>
      <c r="E16" s="1" t="n"/>
      <c r="F16" s="39" t="n">
        <v>72</v>
      </c>
      <c r="G16" s="39" t="n">
        <v>38</v>
      </c>
      <c r="H16" s="39" t="n">
        <v>19</v>
      </c>
      <c r="I16" s="39" t="n">
        <v>17</v>
      </c>
      <c r="J16" s="39" t="n">
        <v>16</v>
      </c>
      <c r="K16" s="39" t="n">
        <v>16</v>
      </c>
      <c r="L16" s="39" t="n">
        <v>9</v>
      </c>
      <c r="M16" s="39">
        <f>0+AT16</f>
        <v/>
      </c>
      <c r="N16" s="39" t="n">
        <v>200</v>
      </c>
      <c r="O16" s="39" t="n">
        <v>197</v>
      </c>
      <c r="P16" s="39" t="n">
        <v>188</v>
      </c>
      <c r="Q16" s="39" t="n">
        <v>160</v>
      </c>
      <c r="R16" s="39" t="n">
        <v>143</v>
      </c>
      <c r="S16" s="39" t="n">
        <v>112</v>
      </c>
      <c r="T16" s="39" t="n">
        <v>93</v>
      </c>
      <c r="U16" s="39" t="n"/>
      <c r="V16" s="39" t="n"/>
      <c r="W16" s="39" t="n"/>
      <c r="X16" s="39" t="n"/>
      <c r="Y16" s="39" t="n"/>
      <c r="Z16" s="39" t="n">
        <v>0</v>
      </c>
      <c r="AA16" s="380">
        <f>Y16+IF(NOT(ISBLANK(OFFSET(AA16,0,6))),N(OFFSET(AA16,0,6)),N(OFFSET(AA16,0,7)))-Z16</f>
        <v/>
      </c>
      <c r="AC16" s="78" t="n"/>
      <c r="AD16" s="78" t="n"/>
      <c r="AE16" s="129" t="n"/>
      <c r="AF16" s="32" t="n">
        <v>200</v>
      </c>
      <c r="AG16" s="129" t="n"/>
      <c r="AH16" s="19" t="n">
        <v>0</v>
      </c>
      <c r="AI16" s="19" t="n">
        <v>0</v>
      </c>
      <c r="AJ16" s="19" t="n"/>
      <c r="AK16" s="19" t="n"/>
      <c r="AL16" s="19" t="n"/>
      <c r="AM16" s="251" t="n">
        <v>200</v>
      </c>
      <c r="AN16" s="19" t="n"/>
      <c r="AO16" s="19" t="n"/>
      <c r="AP16" s="19" t="n"/>
      <c r="AQ16" s="301" t="n">
        <v>600</v>
      </c>
      <c r="AR16" s="19" t="n"/>
      <c r="AS16" s="19" t="n"/>
      <c r="AT16" s="19" t="n">
        <v>200</v>
      </c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</row>
    <row r="17" ht="16.5" customFormat="1" customHeight="1" s="3">
      <c r="A17" s="23" t="n"/>
      <c r="B17" s="1" t="n"/>
      <c r="C17" s="630" t="n"/>
      <c r="D17" s="630" t="n"/>
      <c r="E17" s="11" t="n"/>
      <c r="F17" s="2" t="n"/>
      <c r="G17" s="2" t="n"/>
      <c r="H17" s="2" t="n"/>
      <c r="I17" s="2" t="n"/>
      <c r="J17" s="2" t="n"/>
      <c r="K17" s="2" t="n"/>
      <c r="L17" s="2" t="n"/>
      <c r="M17" s="2" t="n"/>
      <c r="N17" s="2" t="n"/>
      <c r="O17" s="2" t="n"/>
      <c r="P17" s="2" t="n"/>
      <c r="Q17" s="2" t="n"/>
      <c r="R17" s="2" t="n"/>
      <c r="S17" s="2" t="n"/>
      <c r="T17" s="2" t="n"/>
      <c r="U17" s="2" t="n"/>
      <c r="V17" s="2" t="n"/>
      <c r="W17" s="2" t="n"/>
      <c r="X17" s="2" t="n"/>
      <c r="Y17" s="2" t="n"/>
      <c r="Z17" s="2" t="n"/>
      <c r="AA17" s="2" t="n"/>
      <c r="AB17" s="11" t="n"/>
      <c r="AC17" s="10" t="n"/>
      <c r="AD17" s="10" t="n"/>
      <c r="AE17" s="11" t="n"/>
      <c r="AF17" s="33" t="n"/>
      <c r="AG17" s="11" t="n"/>
      <c r="AH17" s="15" t="n"/>
      <c r="AI17" s="15" t="n"/>
      <c r="AJ17" s="15" t="n"/>
      <c r="AK17" s="15" t="n"/>
      <c r="AL17" s="15" t="n"/>
      <c r="AM17" s="15" t="n"/>
      <c r="AN17" s="15" t="n"/>
      <c r="AO17" s="15" t="n"/>
      <c r="AP17" s="15" t="n"/>
      <c r="AQ17" s="15" t="n"/>
      <c r="AR17" s="15" t="n"/>
      <c r="AS17" s="15" t="n"/>
      <c r="AT17" s="15" t="n"/>
      <c r="AU17" s="15" t="n"/>
      <c r="AV17" s="15" t="n"/>
      <c r="AW17" s="15" t="n"/>
      <c r="AX17" s="15" t="n"/>
      <c r="AY17" s="15" t="n"/>
      <c r="AZ17" s="15" t="n"/>
      <c r="BA17" s="15" t="n"/>
      <c r="BB17" s="15" t="n"/>
      <c r="BC17" s="15" t="n"/>
      <c r="BD17" s="15" t="n"/>
      <c r="BE17" s="15" t="n"/>
      <c r="BF17" s="15" t="n"/>
      <c r="BG17" s="15" t="n"/>
    </row>
    <row r="18" customFormat="1" s="3">
      <c r="A18" s="548" t="inlineStr">
        <is>
          <t>DIVERSOS BOTICÁRIO</t>
        </is>
      </c>
      <c r="B18" s="12" t="inlineStr">
        <is>
          <t>PC</t>
        </is>
      </c>
      <c r="C18" s="631" t="inlineStr">
        <is>
          <t>R$</t>
        </is>
      </c>
      <c r="D18" s="12" t="inlineStr">
        <is>
          <t>Estoque Ideal</t>
        </is>
      </c>
      <c r="E18" s="608" t="n"/>
      <c r="F18" s="619" t="n">
        <v>46013</v>
      </c>
      <c r="G18" s="619" t="n">
        <v>46020</v>
      </c>
      <c r="H18" s="619" t="n">
        <v>46027</v>
      </c>
      <c r="I18" s="619" t="n">
        <v>46034</v>
      </c>
      <c r="J18" s="619" t="n">
        <v>46041</v>
      </c>
      <c r="K18" s="619" t="n">
        <v>46048</v>
      </c>
      <c r="L18" s="619" t="n">
        <v>46055</v>
      </c>
      <c r="M18" s="619" t="n">
        <v>46062</v>
      </c>
      <c r="N18" s="619" t="n">
        <v>46069</v>
      </c>
      <c r="O18" s="619" t="n">
        <v>46076</v>
      </c>
      <c r="P18" s="619" t="n">
        <v>46083</v>
      </c>
      <c r="Q18" s="619" t="n">
        <v>46090</v>
      </c>
      <c r="R18" s="619" t="n">
        <v>46097</v>
      </c>
      <c r="S18" s="619" t="n">
        <v>46104</v>
      </c>
      <c r="T18" s="619" t="n">
        <v>46111</v>
      </c>
      <c r="U18" s="619" t="n">
        <v>46118</v>
      </c>
      <c r="V18" s="619" t="n">
        <v>46125</v>
      </c>
      <c r="W18" s="619" t="n">
        <v>46132</v>
      </c>
      <c r="X18" s="619" t="n">
        <v>46139</v>
      </c>
      <c r="Y18" s="619" t="n">
        <v>46146</v>
      </c>
      <c r="Z18" s="619" t="n">
        <v>46154</v>
      </c>
      <c r="AA18" s="621" t="inlineStr">
        <is>
          <t>USOU</t>
        </is>
      </c>
      <c r="AB18" s="608" t="n"/>
      <c r="AC18" s="29" t="inlineStr">
        <is>
          <t>Pendências</t>
        </is>
      </c>
      <c r="AD18" s="29" t="inlineStr">
        <is>
          <t>Pendências</t>
        </is>
      </c>
      <c r="AE18" s="11" t="n"/>
      <c r="AF18" s="9" t="inlineStr">
        <is>
          <t>Novo Pedido</t>
        </is>
      </c>
      <c r="AG18" s="608" t="n"/>
      <c r="AH18" s="674" t="n">
        <v>46149</v>
      </c>
      <c r="AI18" s="674" t="n">
        <v>46142</v>
      </c>
      <c r="AJ18" s="674" t="n">
        <v>46114</v>
      </c>
      <c r="AK18" s="674" t="n">
        <v>46107</v>
      </c>
      <c r="AL18" s="674" t="n">
        <v>46099</v>
      </c>
      <c r="AM18" s="675" t="n">
        <v>46065</v>
      </c>
      <c r="AN18" s="674" t="n">
        <v>46092</v>
      </c>
      <c r="AO18" s="674" t="n">
        <v>46084</v>
      </c>
      <c r="AP18" s="675" t="n">
        <v>46065</v>
      </c>
      <c r="AQ18" s="676" t="n">
        <v>46045</v>
      </c>
      <c r="AR18" s="674" t="n">
        <v>46077</v>
      </c>
      <c r="AS18" s="674" t="n">
        <v>46071</v>
      </c>
      <c r="AT18" s="674" t="n">
        <v>46056</v>
      </c>
      <c r="AU18" s="674" t="n">
        <v>46048</v>
      </c>
      <c r="AV18" s="674" t="n">
        <v>46029</v>
      </c>
      <c r="AW18" s="674" t="n">
        <v>46029</v>
      </c>
      <c r="AX18" s="674" t="n">
        <v>46043</v>
      </c>
      <c r="AY18" s="674" t="n">
        <v>46029</v>
      </c>
      <c r="AZ18" s="674" t="n">
        <v>46017</v>
      </c>
      <c r="BA18" s="674" t="n">
        <v>46007</v>
      </c>
      <c r="BB18" s="674" t="n">
        <v>46001</v>
      </c>
      <c r="BC18" s="674" t="n">
        <v>46001</v>
      </c>
      <c r="BD18" s="677" t="n">
        <v>46014</v>
      </c>
      <c r="BE18" s="674" t="n">
        <v>45994</v>
      </c>
      <c r="BF18" s="674" t="n">
        <v>45986</v>
      </c>
      <c r="BG18" s="674" t="n">
        <v>45986</v>
      </c>
    </row>
    <row r="19" customFormat="1" s="3">
      <c r="A19" s="25" t="inlineStr">
        <is>
          <t>PAPEL DE SEDA 2025</t>
        </is>
      </c>
      <c r="B19" s="6" t="n">
        <v>200</v>
      </c>
      <c r="C19" s="632" t="n">
        <v>38</v>
      </c>
      <c r="D19" s="240" t="n">
        <v>200</v>
      </c>
      <c r="E19" s="608" t="n"/>
      <c r="F19" s="39" t="n">
        <v>305</v>
      </c>
      <c r="G19" s="39" t="n">
        <v>295</v>
      </c>
      <c r="H19" s="39" t="n">
        <v>270</v>
      </c>
      <c r="I19" s="39" t="n">
        <v>223</v>
      </c>
      <c r="J19" s="39" t="n">
        <v>183</v>
      </c>
      <c r="K19" s="39">
        <f>174+AX19</f>
        <v/>
      </c>
      <c r="L19" s="39" t="n">
        <v>374</v>
      </c>
      <c r="M19" s="39" t="n">
        <v>321</v>
      </c>
      <c r="N19" s="39" t="n">
        <v>307</v>
      </c>
      <c r="O19" s="39" t="n">
        <v>207</v>
      </c>
      <c r="P19" s="39">
        <f>162+AR19</f>
        <v/>
      </c>
      <c r="Q19" s="39" t="n">
        <v>345</v>
      </c>
      <c r="R19" s="39" t="n">
        <v>345</v>
      </c>
      <c r="S19" s="39" t="n">
        <v>311</v>
      </c>
      <c r="T19" s="39" t="n">
        <v>301</v>
      </c>
      <c r="U19" s="39" t="n"/>
      <c r="V19" s="39" t="n"/>
      <c r="W19" s="39" t="n"/>
      <c r="X19" s="39" t="n"/>
      <c r="Y19" s="39" t="n"/>
      <c r="Z19" s="39" t="n">
        <v>0</v>
      </c>
      <c r="AA19" s="380">
        <f>Y19+IF(NOT(ISBLANK(OFFSET(AA19,0,6))),N(OFFSET(AA19,0,6)),N(OFFSET(AA19,0,7)))-Z19</f>
        <v/>
      </c>
      <c r="AB19" s="608" t="n"/>
      <c r="AC19" s="138" t="n"/>
      <c r="AD19" s="138" t="n"/>
      <c r="AE19" s="11" t="n"/>
      <c r="AF19" s="32" t="n">
        <v>200</v>
      </c>
      <c r="AG19" s="608" t="n"/>
      <c r="AH19" s="19" t="n">
        <v>0</v>
      </c>
      <c r="AI19" s="19" t="n">
        <v>0</v>
      </c>
      <c r="AJ19" s="19" t="n"/>
      <c r="AK19" s="19" t="n"/>
      <c r="AL19" s="19" t="n"/>
      <c r="AM19" s="251" t="n">
        <v>10</v>
      </c>
      <c r="AN19" s="19" t="n"/>
      <c r="AO19" s="19" t="n"/>
      <c r="AP19" s="19" t="n"/>
      <c r="AQ19" s="301" t="n">
        <v>200</v>
      </c>
      <c r="AR19" s="19" t="n">
        <v>200</v>
      </c>
      <c r="AS19" s="19" t="n"/>
      <c r="AT19" s="19" t="n"/>
      <c r="AU19" s="19" t="n"/>
      <c r="AV19" s="19" t="n"/>
      <c r="AW19" s="19" t="n"/>
      <c r="AX19" s="19" t="n">
        <v>200</v>
      </c>
      <c r="AY19" s="19" t="n"/>
      <c r="AZ19" s="19" t="n"/>
      <c r="BA19" s="19" t="n"/>
      <c r="BB19" s="19" t="n"/>
      <c r="BC19" s="19" t="n"/>
      <c r="BD19" s="681" t="n"/>
      <c r="BE19" s="19" t="n"/>
      <c r="BF19" s="19" t="n"/>
      <c r="BG19" s="19" t="n">
        <v>600</v>
      </c>
    </row>
    <row r="20" customFormat="1" s="3">
      <c r="A20" s="25" t="inlineStr">
        <is>
          <t>KIT ETIQUETAS (50 c/ 50 un)</t>
        </is>
      </c>
      <c r="B20" s="6" t="n">
        <v>2500</v>
      </c>
      <c r="C20" s="632" t="n">
        <v>66.87</v>
      </c>
      <c r="D20" s="240" t="n">
        <v>15</v>
      </c>
      <c r="E20" s="608" t="n"/>
      <c r="F20" s="39" t="n">
        <v>0</v>
      </c>
      <c r="G20" s="39" t="n">
        <v>0</v>
      </c>
      <c r="H20" s="39" t="n">
        <v>0</v>
      </c>
      <c r="I20" s="39" t="n">
        <v>0</v>
      </c>
      <c r="J20" s="39" t="n">
        <v>0</v>
      </c>
      <c r="K20" s="39" t="n">
        <v>0</v>
      </c>
      <c r="L20" s="39" t="n">
        <v>0</v>
      </c>
      <c r="M20" s="39" t="n">
        <v>0</v>
      </c>
      <c r="N20" s="39" t="n">
        <v>0</v>
      </c>
      <c r="O20" s="39" t="n">
        <v>0</v>
      </c>
      <c r="P20" s="39" t="n">
        <v>0</v>
      </c>
      <c r="Q20" s="39" t="n">
        <v>0</v>
      </c>
      <c r="R20" s="39" t="n">
        <v>0</v>
      </c>
      <c r="S20" s="39" t="n">
        <v>0</v>
      </c>
      <c r="T20" s="39" t="n">
        <v>0</v>
      </c>
      <c r="U20" s="39" t="n"/>
      <c r="V20" s="39" t="n"/>
      <c r="W20" s="39" t="n"/>
      <c r="X20" s="39" t="n"/>
      <c r="Y20" s="39" t="n"/>
      <c r="Z20" s="39" t="n">
        <v>0</v>
      </c>
      <c r="AA20" s="380">
        <f>Y20+IF(NOT(ISBLANK(OFFSET(AA20,0,6))),N(OFFSET(AA20,0,6)),N(OFFSET(AA20,0,7)))-Z20</f>
        <v/>
      </c>
      <c r="AB20" s="608" t="n"/>
      <c r="AC20" s="78" t="n"/>
      <c r="AD20" s="78" t="n"/>
      <c r="AE20" s="608" t="n"/>
      <c r="AF20" s="76" t="n">
        <v>1</v>
      </c>
      <c r="AG20" s="608" t="n"/>
      <c r="AH20" s="19" t="n">
        <v>0</v>
      </c>
      <c r="AI20" s="19" t="n">
        <v>0</v>
      </c>
      <c r="AJ20" s="19" t="n"/>
      <c r="AK20" s="19" t="n"/>
      <c r="AL20" s="19" t="n"/>
      <c r="AM20" s="19" t="n"/>
      <c r="AN20" s="19" t="n"/>
      <c r="AO20" s="19" t="n"/>
      <c r="AP20" s="19" t="n"/>
      <c r="AQ20" s="301" t="n">
        <v>3</v>
      </c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</row>
    <row r="21" customFormat="1" s="3">
      <c r="A21" s="25" t="inlineStr">
        <is>
          <t>KIT TAGS  (21 c/ 50 un)</t>
        </is>
      </c>
      <c r="B21" s="6" t="n">
        <v>1050</v>
      </c>
      <c r="C21" s="632" t="n">
        <v>52.14</v>
      </c>
      <c r="D21" s="240" t="n">
        <v>15</v>
      </c>
      <c r="E21" s="1" t="n"/>
      <c r="F21" s="39" t="n">
        <v>8</v>
      </c>
      <c r="G21" s="39" t="n">
        <v>7</v>
      </c>
      <c r="H21" s="39" t="n">
        <v>6</v>
      </c>
      <c r="I21" s="39" t="n">
        <v>0</v>
      </c>
      <c r="J21" s="39" t="n">
        <v>0</v>
      </c>
      <c r="K21" s="39" t="n">
        <v>0</v>
      </c>
      <c r="L21" s="39" t="n">
        <v>0</v>
      </c>
      <c r="M21" s="39" t="n">
        <v>0</v>
      </c>
      <c r="N21" s="39" t="n">
        <v>0</v>
      </c>
      <c r="O21" s="39" t="n">
        <v>0</v>
      </c>
      <c r="P21" s="39" t="n">
        <v>0</v>
      </c>
      <c r="Q21" s="39" t="n">
        <v>0</v>
      </c>
      <c r="R21" s="39" t="n">
        <v>0</v>
      </c>
      <c r="S21" s="39" t="n">
        <v>0</v>
      </c>
      <c r="T21" s="39" t="n">
        <v>0</v>
      </c>
      <c r="U21" s="39" t="n"/>
      <c r="V21" s="39" t="n"/>
      <c r="W21" s="39" t="n"/>
      <c r="X21" s="39" t="n"/>
      <c r="Y21" s="39" t="n"/>
      <c r="Z21" s="39" t="n">
        <v>0</v>
      </c>
      <c r="AA21" s="380">
        <f>Y21+IF(NOT(ISBLANK(OFFSET(AA21,0,6))),N(OFFSET(AA21,0,6)),N(OFFSET(AA21,0,7)))-Z21</f>
        <v/>
      </c>
      <c r="AB21" s="1" t="n"/>
      <c r="AC21" s="78" t="n"/>
      <c r="AD21" s="78" t="n"/>
      <c r="AE21" s="1" t="n"/>
      <c r="AF21" s="76" t="n">
        <v>1</v>
      </c>
      <c r="AG21" s="1" t="n"/>
      <c r="AH21" s="19" t="n">
        <v>0</v>
      </c>
      <c r="AI21" s="19" t="n">
        <v>0</v>
      </c>
      <c r="AJ21" s="19" t="n"/>
      <c r="AK21" s="19" t="n"/>
      <c r="AL21" s="19" t="n"/>
      <c r="AM21" s="19" t="n"/>
      <c r="AN21" s="19" t="n"/>
      <c r="AO21" s="19" t="n"/>
      <c r="AP21" s="19" t="n"/>
      <c r="AQ21" s="301" t="n">
        <v>10</v>
      </c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>
        <v>20</v>
      </c>
      <c r="BC21" s="19" t="n"/>
      <c r="BD21" s="119" t="n"/>
      <c r="BE21" s="19" t="n"/>
      <c r="BF21" s="19" t="n"/>
      <c r="BG21" s="19" t="n"/>
    </row>
    <row r="22" ht="14.25" customFormat="1" customHeight="1" s="3">
      <c r="A22" s="23" t="n"/>
      <c r="C22" s="633" t="n"/>
      <c r="D22" s="633" t="n"/>
      <c r="AC22" s="349" t="n"/>
      <c r="AD22" s="349" t="n"/>
      <c r="AF22" s="352" t="n"/>
      <c r="AH22" s="414" t="n"/>
      <c r="AI22" s="414" t="n"/>
      <c r="AJ22" s="414" t="n"/>
      <c r="AK22" s="414" t="n"/>
      <c r="AL22" s="414" t="n"/>
      <c r="AM22" s="414" t="n"/>
      <c r="AN22" s="414" t="n"/>
      <c r="AO22" s="414" t="n"/>
      <c r="AP22" s="414" t="n"/>
      <c r="AQ22" s="414" t="n"/>
      <c r="AR22" s="414" t="n"/>
      <c r="AS22" s="414" t="n"/>
      <c r="AT22" s="414" t="n"/>
      <c r="AU22" s="414" t="n"/>
      <c r="AV22" s="414" t="n"/>
      <c r="AW22" s="414" t="n"/>
      <c r="AX22" s="414" t="n"/>
      <c r="AY22" s="414" t="n"/>
      <c r="AZ22" s="414" t="n"/>
      <c r="BA22" s="414" t="n"/>
      <c r="BB22" s="414" t="n"/>
      <c r="BC22" s="414" t="n"/>
      <c r="BD22" s="414" t="n"/>
      <c r="BE22" s="414" t="n"/>
      <c r="BF22" s="414" t="n"/>
      <c r="BG22" s="414" t="n"/>
    </row>
    <row r="23" customFormat="1" s="3">
      <c r="A23" s="548" t="inlineStr">
        <is>
          <t>CAIXAS BOTICÁRIO</t>
        </is>
      </c>
      <c r="B23" s="12" t="inlineStr">
        <is>
          <t>PC</t>
        </is>
      </c>
      <c r="C23" s="631" t="inlineStr">
        <is>
          <t>R$</t>
        </is>
      </c>
      <c r="D23" s="12" t="inlineStr">
        <is>
          <t>Estoque Ideal</t>
        </is>
      </c>
      <c r="E23" s="1" t="n"/>
      <c r="F23" s="619" t="n">
        <v>46013</v>
      </c>
      <c r="G23" s="619" t="n">
        <v>46020</v>
      </c>
      <c r="H23" s="619" t="n">
        <v>46027</v>
      </c>
      <c r="I23" s="619" t="n">
        <v>46034</v>
      </c>
      <c r="J23" s="619" t="n">
        <v>46041</v>
      </c>
      <c r="K23" s="619" t="n">
        <v>46048</v>
      </c>
      <c r="L23" s="619" t="n">
        <v>46055</v>
      </c>
      <c r="M23" s="619" t="n">
        <v>46062</v>
      </c>
      <c r="N23" s="619" t="n">
        <v>46069</v>
      </c>
      <c r="O23" s="619" t="n">
        <v>46076</v>
      </c>
      <c r="P23" s="619" t="n">
        <v>46083</v>
      </c>
      <c r="Q23" s="619" t="n">
        <v>46090</v>
      </c>
      <c r="R23" s="619" t="n">
        <v>46097</v>
      </c>
      <c r="S23" s="619" t="n">
        <v>46104</v>
      </c>
      <c r="T23" s="619" t="n">
        <v>46111</v>
      </c>
      <c r="U23" s="619" t="n">
        <v>46118</v>
      </c>
      <c r="V23" s="619" t="n">
        <v>46125</v>
      </c>
      <c r="W23" s="619" t="n">
        <v>46132</v>
      </c>
      <c r="X23" s="619" t="n">
        <v>46139</v>
      </c>
      <c r="Y23" s="619" t="n">
        <v>46146</v>
      </c>
      <c r="Z23" s="619" t="n">
        <v>46154</v>
      </c>
      <c r="AA23" s="621" t="inlineStr">
        <is>
          <t>USOU</t>
        </is>
      </c>
      <c r="AB23" s="11" t="n"/>
      <c r="AC23" s="29" t="inlineStr">
        <is>
          <t>Pendências</t>
        </is>
      </c>
      <c r="AD23" s="29" t="inlineStr">
        <is>
          <t>Pendências</t>
        </is>
      </c>
      <c r="AE23" s="11" t="n"/>
      <c r="AF23" s="9" t="inlineStr">
        <is>
          <t>Novo Pedido</t>
        </is>
      </c>
      <c r="AG23" s="1" t="n"/>
      <c r="AH23" s="674" t="n">
        <v>46149</v>
      </c>
      <c r="AI23" s="674" t="n">
        <v>46142</v>
      </c>
      <c r="AJ23" s="674" t="n">
        <v>46114</v>
      </c>
      <c r="AK23" s="674" t="n">
        <v>46107</v>
      </c>
      <c r="AL23" s="674" t="n">
        <v>46099</v>
      </c>
      <c r="AM23" s="675" t="n">
        <v>46065</v>
      </c>
      <c r="AN23" s="674" t="n">
        <v>46092</v>
      </c>
      <c r="AO23" s="674" t="n">
        <v>46084</v>
      </c>
      <c r="AP23" s="675" t="n">
        <v>46065</v>
      </c>
      <c r="AQ23" s="676" t="n">
        <v>46045</v>
      </c>
      <c r="AR23" s="674" t="n">
        <v>46077</v>
      </c>
      <c r="AS23" s="674" t="n">
        <v>46071</v>
      </c>
      <c r="AT23" s="674" t="n">
        <v>46056</v>
      </c>
      <c r="AU23" s="674" t="n">
        <v>46048</v>
      </c>
      <c r="AV23" s="674" t="n">
        <v>46029</v>
      </c>
      <c r="AW23" s="674" t="n">
        <v>46029</v>
      </c>
      <c r="AX23" s="674" t="n">
        <v>46043</v>
      </c>
      <c r="AY23" s="674" t="n">
        <v>46029</v>
      </c>
      <c r="AZ23" s="674" t="n">
        <v>46017</v>
      </c>
      <c r="BA23" s="674" t="n">
        <v>46007</v>
      </c>
      <c r="BB23" s="674" t="n">
        <v>46001</v>
      </c>
      <c r="BC23" s="674" t="n">
        <v>46001</v>
      </c>
      <c r="BD23" s="677" t="n">
        <v>46014</v>
      </c>
      <c r="BE23" s="674" t="n">
        <v>45994</v>
      </c>
      <c r="BF23" s="674" t="n">
        <v>45986</v>
      </c>
      <c r="BG23" s="674" t="n">
        <v>45986</v>
      </c>
    </row>
    <row r="24" customFormat="1" s="3">
      <c r="A24" s="25" t="inlineStr">
        <is>
          <t>KIT CAIXA P VERDE</t>
        </is>
      </c>
      <c r="B24" s="139" t="n">
        <v>75</v>
      </c>
      <c r="C24" s="634" t="n">
        <v>225.67</v>
      </c>
      <c r="D24" s="240" t="n">
        <v>20</v>
      </c>
      <c r="E24" s="1" t="n"/>
      <c r="F24" s="39" t="n">
        <v>0</v>
      </c>
      <c r="G24" s="39" t="n">
        <v>0</v>
      </c>
      <c r="H24" s="39" t="n">
        <v>0</v>
      </c>
      <c r="I24" s="39" t="n">
        <v>0</v>
      </c>
      <c r="J24" s="39" t="n">
        <v>0</v>
      </c>
      <c r="K24" s="39">
        <f>0+AX24</f>
        <v/>
      </c>
      <c r="L24" s="39" t="n">
        <v>149</v>
      </c>
      <c r="M24" s="39" t="n">
        <v>146</v>
      </c>
      <c r="N24" s="39" t="n">
        <v>146</v>
      </c>
      <c r="O24" s="39" t="n">
        <v>145</v>
      </c>
      <c r="P24" s="39" t="n">
        <v>133</v>
      </c>
      <c r="Q24" s="39" t="n">
        <v>128</v>
      </c>
      <c r="R24" s="39" t="n">
        <v>124</v>
      </c>
      <c r="S24" s="39" t="n">
        <v>117</v>
      </c>
      <c r="T24" s="39" t="n">
        <v>113</v>
      </c>
      <c r="U24" s="39" t="n"/>
      <c r="V24" s="39" t="n"/>
      <c r="W24" s="39" t="n"/>
      <c r="X24" s="39" t="n"/>
      <c r="Y24" s="39" t="n"/>
      <c r="Z24" s="39" t="n">
        <v>100</v>
      </c>
      <c r="AA24" s="380">
        <f>Y24+IF(NOT(ISBLANK(OFFSET(AA24,0,6))),N(OFFSET(AA24,0,6)),N(OFFSET(AA24,0,7)))-Z24</f>
        <v/>
      </c>
      <c r="AB24" s="11" t="n"/>
      <c r="AC24" s="78" t="n"/>
      <c r="AD24" s="78" t="n"/>
      <c r="AE24" s="1" t="n"/>
      <c r="AF24" s="32" t="n"/>
      <c r="AG24" s="1" t="n"/>
      <c r="AH24" s="351" t="n">
        <v>0</v>
      </c>
      <c r="AI24" s="351" t="n">
        <v>0</v>
      </c>
      <c r="AJ24" s="351" t="n"/>
      <c r="AK24" s="351" t="n"/>
      <c r="AL24" s="351" t="n"/>
      <c r="AM24" s="19" t="n"/>
      <c r="AN24" s="351" t="n"/>
      <c r="AO24" s="351" t="n"/>
      <c r="AP24" s="251" t="n">
        <v>150</v>
      </c>
      <c r="AQ24" s="351" t="n"/>
      <c r="AR24" s="351" t="n"/>
      <c r="AS24" s="351" t="n"/>
      <c r="AT24" s="351" t="n"/>
      <c r="AU24" s="351" t="n"/>
      <c r="AV24" s="351" t="n"/>
      <c r="AW24" s="351" t="n"/>
      <c r="AX24" s="351" t="n">
        <v>150</v>
      </c>
      <c r="AY24" s="351" t="n"/>
      <c r="AZ24" s="351" t="n"/>
      <c r="BA24" s="351" t="n"/>
      <c r="BB24" s="351" t="n"/>
      <c r="BC24" s="351" t="n"/>
      <c r="BD24" s="351" t="n"/>
      <c r="BE24" s="351" t="n"/>
      <c r="BF24" s="351" t="n"/>
      <c r="BG24" s="351" t="n"/>
    </row>
    <row r="25" ht="18" customFormat="1" customHeight="1" s="3">
      <c r="A25" s="25" t="inlineStr">
        <is>
          <t>KIT CAIXA M VERDE</t>
        </is>
      </c>
      <c r="B25" s="139" t="n">
        <v>75</v>
      </c>
      <c r="C25" s="632" t="n">
        <v>294.59</v>
      </c>
      <c r="D25" s="240" t="n">
        <v>20</v>
      </c>
      <c r="E25" s="1" t="n"/>
      <c r="F25" s="39" t="n">
        <v>0</v>
      </c>
      <c r="G25" s="39" t="n">
        <v>0</v>
      </c>
      <c r="H25" s="39" t="n">
        <v>0</v>
      </c>
      <c r="I25" s="39" t="n">
        <v>0</v>
      </c>
      <c r="J25" s="39" t="n">
        <v>0</v>
      </c>
      <c r="K25" s="39">
        <f>0+AX25</f>
        <v/>
      </c>
      <c r="L25" s="39" t="n">
        <v>100</v>
      </c>
      <c r="M25" s="39" t="n">
        <v>100</v>
      </c>
      <c r="N25" s="39" t="n">
        <v>100</v>
      </c>
      <c r="O25" s="39" t="n">
        <v>100</v>
      </c>
      <c r="P25" s="39" t="n">
        <v>92</v>
      </c>
      <c r="Q25" s="39" t="n">
        <v>89</v>
      </c>
      <c r="R25" s="39" t="n">
        <v>85</v>
      </c>
      <c r="S25" s="39" t="n">
        <v>75</v>
      </c>
      <c r="T25" s="39" t="n">
        <v>74</v>
      </c>
      <c r="U25" s="39" t="n"/>
      <c r="V25" s="39" t="n"/>
      <c r="W25" s="39" t="n"/>
      <c r="X25" s="39" t="n"/>
      <c r="Y25" s="39" t="n"/>
      <c r="Z25" s="39" t="n">
        <v>49</v>
      </c>
      <c r="AA25" s="380">
        <f>Y25+IF(NOT(ISBLANK(OFFSET(AA25,0,6))),N(OFFSET(AA25,0,6)),N(OFFSET(AA25,0,7)))-Z25</f>
        <v/>
      </c>
      <c r="AB25" s="11" t="n"/>
      <c r="AC25" s="78" t="n"/>
      <c r="AD25" s="78" t="n"/>
      <c r="AF25" s="32" t="n"/>
      <c r="AH25" s="19" t="n">
        <v>0</v>
      </c>
      <c r="AI25" s="19" t="n">
        <v>0</v>
      </c>
      <c r="AJ25" s="19" t="n"/>
      <c r="AK25" s="19" t="n"/>
      <c r="AL25" s="19" t="n"/>
      <c r="AM25" s="251" t="n">
        <v>200</v>
      </c>
      <c r="AN25" s="19" t="n"/>
      <c r="AO25" s="19" t="n"/>
      <c r="AP25" s="19" t="n"/>
      <c r="AQ25" s="301" t="n">
        <v>100</v>
      </c>
      <c r="AR25" s="19" t="n"/>
      <c r="AS25" s="19" t="n"/>
      <c r="AT25" s="19" t="n"/>
      <c r="AU25" s="19" t="n"/>
      <c r="AV25" s="19" t="n"/>
      <c r="AW25" s="19" t="n"/>
      <c r="AX25" s="19" t="n">
        <v>100</v>
      </c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</row>
    <row r="26">
      <c r="A26" s="25" t="inlineStr">
        <is>
          <t>KIT CAIXA G VERDE</t>
        </is>
      </c>
      <c r="B26" s="139" t="n">
        <v>50</v>
      </c>
      <c r="C26" s="632" t="n">
        <v>346.84</v>
      </c>
      <c r="D26" s="240" t="n">
        <v>10</v>
      </c>
      <c r="F26" s="39" t="n">
        <v>4</v>
      </c>
      <c r="G26" s="39" t="n">
        <v>3</v>
      </c>
      <c r="H26" s="39" t="n">
        <v>2</v>
      </c>
      <c r="I26" s="39" t="n">
        <v>2</v>
      </c>
      <c r="J26" s="39" t="n">
        <v>2</v>
      </c>
      <c r="K26" s="39" t="n">
        <v>1</v>
      </c>
      <c r="L26" s="39" t="n">
        <v>1</v>
      </c>
      <c r="M26" s="39" t="n">
        <v>1</v>
      </c>
      <c r="N26" s="39" t="n">
        <v>1</v>
      </c>
      <c r="O26" s="39" t="n">
        <v>1</v>
      </c>
      <c r="P26" s="39" t="n">
        <v>1</v>
      </c>
      <c r="Q26" s="39" t="n">
        <v>0</v>
      </c>
      <c r="R26" s="39" t="n">
        <v>0</v>
      </c>
      <c r="S26" s="39" t="n">
        <v>0</v>
      </c>
      <c r="T26" s="39" t="n">
        <v>0</v>
      </c>
      <c r="U26" s="39" t="n"/>
      <c r="V26" s="39" t="n"/>
      <c r="W26" s="39" t="n"/>
      <c r="X26" s="39" t="n"/>
      <c r="Y26" s="39" t="n"/>
      <c r="Z26" s="39" t="n">
        <v>0</v>
      </c>
      <c r="AA26" s="380">
        <f>Y26+IF(NOT(ISBLANK(OFFSET(AA26,0,6))),N(OFFSET(AA26,0,6)),N(OFFSET(AA26,0,7)))-Z26</f>
        <v/>
      </c>
      <c r="AC26" s="78" t="n"/>
      <c r="AD26" s="78" t="n"/>
      <c r="AE26" s="1" t="n"/>
      <c r="AF26" s="32" t="n"/>
      <c r="AG26" s="1" t="n"/>
      <c r="AH26" s="19" t="n">
        <v>0</v>
      </c>
      <c r="AI26" s="19" t="n">
        <v>0</v>
      </c>
      <c r="AJ26" s="19" t="n"/>
      <c r="AK26" s="19" t="n"/>
      <c r="AL26" s="19" t="n"/>
      <c r="AM26" s="251" t="n">
        <v>150</v>
      </c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281" t="n"/>
      <c r="BE26" s="19" t="n"/>
      <c r="BF26" s="19" t="n"/>
      <c r="BG26" s="19" t="n"/>
    </row>
    <row r="27" ht="21" customFormat="1" customHeight="1" s="3">
      <c r="A27" s="23" t="n"/>
      <c r="B27" s="1" t="n"/>
      <c r="C27" s="630" t="n"/>
      <c r="D27" s="630" t="n"/>
      <c r="E27" s="11" t="n"/>
      <c r="F27" s="2" t="n"/>
      <c r="G27" s="2" t="n"/>
      <c r="H27" s="2" t="n"/>
      <c r="I27" s="2" t="n"/>
      <c r="J27" s="2" t="n"/>
      <c r="K27" s="2" t="n"/>
      <c r="L27" s="2" t="n"/>
      <c r="M27" s="2" t="n"/>
      <c r="N27" s="2" t="n"/>
      <c r="O27" s="2" t="n"/>
      <c r="P27" s="2" t="n"/>
      <c r="Q27" s="2" t="n"/>
      <c r="R27" s="2" t="n"/>
      <c r="S27" s="2" t="n"/>
      <c r="T27" s="2" t="n"/>
      <c r="U27" s="2" t="n"/>
      <c r="V27" s="2" t="n"/>
      <c r="W27" s="2" t="n"/>
      <c r="X27" s="2" t="n"/>
      <c r="Y27" s="2" t="n"/>
      <c r="Z27" s="2" t="n"/>
      <c r="AB27" s="11" t="n"/>
      <c r="AC27" s="10" t="n"/>
      <c r="AD27" s="10" t="n"/>
      <c r="AE27" s="1" t="n"/>
      <c r="AF27" s="10" t="n"/>
      <c r="AG27" s="1" t="n"/>
      <c r="AH27" s="75" t="n"/>
      <c r="AI27" s="75" t="n"/>
      <c r="AJ27" s="75" t="n"/>
      <c r="AK27" s="75" t="n"/>
      <c r="AL27" s="75" t="n"/>
      <c r="AM27" s="75" t="n"/>
      <c r="AN27" s="75" t="n"/>
      <c r="AO27" s="75" t="n"/>
      <c r="AP27" s="75" t="n"/>
      <c r="AQ27" s="75" t="n"/>
      <c r="AR27" s="75" t="n"/>
      <c r="AS27" s="75" t="n"/>
      <c r="AT27" s="75" t="n"/>
      <c r="AU27" s="75" t="n"/>
      <c r="AV27" s="75" t="n"/>
      <c r="AW27" s="75" t="n"/>
      <c r="AX27" s="75" t="n"/>
      <c r="AY27" s="75" t="n"/>
      <c r="AZ27" s="75" t="n"/>
      <c r="BA27" s="75" t="n"/>
      <c r="BB27" s="75" t="n"/>
      <c r="BC27" s="75" t="n"/>
      <c r="BD27" s="75" t="n"/>
      <c r="BE27" s="75" t="n"/>
      <c r="BF27" s="75" t="n"/>
      <c r="BG27" s="75" t="n"/>
    </row>
    <row r="28">
      <c r="A28" s="548" t="inlineStr">
        <is>
          <t xml:space="preserve">SACOLAS OMNI </t>
        </is>
      </c>
      <c r="B28" s="12" t="inlineStr">
        <is>
          <t>PC</t>
        </is>
      </c>
      <c r="C28" s="12" t="inlineStr">
        <is>
          <t>R$</t>
        </is>
      </c>
      <c r="D28" s="12" t="inlineStr">
        <is>
          <t>Estoque Ideal</t>
        </is>
      </c>
      <c r="E28" s="1" t="n"/>
      <c r="F28" s="619" t="n">
        <v>46013</v>
      </c>
      <c r="G28" s="619" t="n">
        <v>46020</v>
      </c>
      <c r="H28" s="619" t="n">
        <v>46027</v>
      </c>
      <c r="I28" s="619" t="n">
        <v>46034</v>
      </c>
      <c r="J28" s="619" t="n">
        <v>46041</v>
      </c>
      <c r="K28" s="619" t="n">
        <v>46048</v>
      </c>
      <c r="L28" s="619" t="n">
        <v>46055</v>
      </c>
      <c r="M28" s="619" t="n">
        <v>46062</v>
      </c>
      <c r="N28" s="619" t="n">
        <v>46069</v>
      </c>
      <c r="O28" s="619" t="n">
        <v>46076</v>
      </c>
      <c r="P28" s="619" t="n">
        <v>46083</v>
      </c>
      <c r="Q28" s="619" t="n">
        <v>46090</v>
      </c>
      <c r="R28" s="619" t="n">
        <v>46097</v>
      </c>
      <c r="S28" s="619" t="n">
        <v>46104</v>
      </c>
      <c r="T28" s="619" t="n">
        <v>46111</v>
      </c>
      <c r="U28" s="619" t="n">
        <v>46118</v>
      </c>
      <c r="V28" s="619" t="n">
        <v>46125</v>
      </c>
      <c r="W28" s="619" t="n">
        <v>46132</v>
      </c>
      <c r="X28" s="619" t="n">
        <v>46139</v>
      </c>
      <c r="Y28" s="619" t="n">
        <v>46146</v>
      </c>
      <c r="Z28" s="619" t="n">
        <v>46154</v>
      </c>
      <c r="AA28" s="621" t="inlineStr">
        <is>
          <t>USOU</t>
        </is>
      </c>
      <c r="AB28" s="41" t="n"/>
      <c r="AC28" s="29" t="inlineStr">
        <is>
          <t>Pendências</t>
        </is>
      </c>
      <c r="AD28" s="29" t="inlineStr">
        <is>
          <t>Pendências</t>
        </is>
      </c>
      <c r="AF28" s="9" t="inlineStr">
        <is>
          <t>Novo Pedido</t>
        </is>
      </c>
      <c r="AG28" s="41" t="n"/>
      <c r="AH28" s="674" t="n">
        <v>46149</v>
      </c>
      <c r="AI28" s="674" t="n">
        <v>46142</v>
      </c>
      <c r="AJ28" s="674" t="n">
        <v>46114</v>
      </c>
      <c r="AK28" s="674" t="n">
        <v>46107</v>
      </c>
      <c r="AL28" s="674" t="n">
        <v>46099</v>
      </c>
      <c r="AM28" s="675" t="n">
        <v>46065</v>
      </c>
      <c r="AN28" s="674" t="n">
        <v>46092</v>
      </c>
      <c r="AO28" s="674" t="n">
        <v>46084</v>
      </c>
      <c r="AP28" s="675" t="n">
        <v>46065</v>
      </c>
      <c r="AQ28" s="676" t="n">
        <v>46045</v>
      </c>
      <c r="AR28" s="674" t="n">
        <v>46077</v>
      </c>
      <c r="AS28" s="674" t="n">
        <v>46071</v>
      </c>
      <c r="AT28" s="674" t="n">
        <v>46056</v>
      </c>
      <c r="AU28" s="674" t="n">
        <v>46048</v>
      </c>
      <c r="AV28" s="674" t="n">
        <v>46029</v>
      </c>
      <c r="AW28" s="674" t="n">
        <v>46029</v>
      </c>
      <c r="AX28" s="674" t="n">
        <v>46043</v>
      </c>
      <c r="AY28" s="674" t="n">
        <v>46029</v>
      </c>
      <c r="AZ28" s="674" t="n">
        <v>46017</v>
      </c>
      <c r="BA28" s="674" t="n">
        <v>46007</v>
      </c>
      <c r="BB28" s="674" t="n">
        <v>46001</v>
      </c>
      <c r="BC28" s="674" t="n">
        <v>46001</v>
      </c>
      <c r="BD28" s="677" t="n">
        <v>46014</v>
      </c>
      <c r="BE28" s="674" t="n">
        <v>45994</v>
      </c>
      <c r="BF28" s="674" t="n">
        <v>45986</v>
      </c>
      <c r="BG28" s="674" t="n">
        <v>45986</v>
      </c>
    </row>
    <row r="29">
      <c r="A29" s="25" t="inlineStr">
        <is>
          <t>KIT OVERBAG OMNI P</t>
        </is>
      </c>
      <c r="B29" s="6" t="n">
        <v>25</v>
      </c>
      <c r="C29" s="632" t="n">
        <v>41.75</v>
      </c>
      <c r="D29" s="240" t="n">
        <v>20</v>
      </c>
      <c r="E29" s="1" t="n"/>
      <c r="F29" s="72" t="n">
        <v>0</v>
      </c>
      <c r="G29" s="72" t="n">
        <v>0</v>
      </c>
      <c r="H29" s="72" t="n">
        <v>0</v>
      </c>
      <c r="I29" s="72" t="n">
        <v>0</v>
      </c>
      <c r="J29" s="72" t="n">
        <v>0</v>
      </c>
      <c r="K29" s="72" t="n">
        <v>0</v>
      </c>
      <c r="L29" s="72" t="n">
        <v>0</v>
      </c>
      <c r="M29" s="72" t="n">
        <v>0</v>
      </c>
      <c r="N29" s="72" t="n">
        <v>0</v>
      </c>
      <c r="O29" s="72" t="n">
        <v>0</v>
      </c>
      <c r="P29" s="72" t="n">
        <v>0</v>
      </c>
      <c r="Q29" s="72" t="n">
        <v>0</v>
      </c>
      <c r="R29" s="72" t="n">
        <v>0</v>
      </c>
      <c r="S29" s="72" t="n">
        <v>0</v>
      </c>
      <c r="T29" s="72" t="n">
        <v>0</v>
      </c>
      <c r="U29" s="72" t="n">
        <v>0</v>
      </c>
      <c r="V29" s="72" t="n">
        <v>0</v>
      </c>
      <c r="W29" s="72" t="n">
        <v>0</v>
      </c>
      <c r="X29" s="72" t="n">
        <v>0</v>
      </c>
      <c r="Y29" s="72" t="n">
        <v>0</v>
      </c>
      <c r="Z29" s="72" t="n">
        <v>0</v>
      </c>
      <c r="AA29" s="26" t="n">
        <v>0</v>
      </c>
      <c r="AB29" s="41" t="n"/>
      <c r="AC29" s="78" t="n"/>
      <c r="AD29" s="78" t="n"/>
      <c r="AE29" s="608" t="n"/>
      <c r="AF29" s="32" t="n"/>
      <c r="AG29" s="41" t="n"/>
      <c r="AH29" s="19" t="n">
        <v>0</v>
      </c>
      <c r="AI29" s="19" t="n">
        <v>0</v>
      </c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19" t="n"/>
      <c r="BE29" s="19" t="n"/>
      <c r="BF29" s="19" t="n"/>
      <c r="BG29" s="19" t="n"/>
    </row>
    <row r="30">
      <c r="A30" s="25" t="inlineStr">
        <is>
          <t>KIT OVERBAG OMNI M</t>
        </is>
      </c>
      <c r="B30" s="6" t="n">
        <v>25</v>
      </c>
      <c r="C30" s="632" t="n">
        <v>57</v>
      </c>
      <c r="D30" s="240" t="n">
        <v>20</v>
      </c>
      <c r="E30" s="1" t="n"/>
      <c r="F30" s="72" t="n">
        <v>3</v>
      </c>
      <c r="G30" s="72" t="n">
        <v>3</v>
      </c>
      <c r="H30" s="72" t="n">
        <v>2</v>
      </c>
      <c r="I30" s="72" t="n">
        <v>2</v>
      </c>
      <c r="J30" s="72" t="n">
        <v>2</v>
      </c>
      <c r="K30" s="72" t="n">
        <v>2</v>
      </c>
      <c r="L30" s="72" t="n">
        <v>2</v>
      </c>
      <c r="M30" s="72" t="n">
        <v>0</v>
      </c>
      <c r="N30" s="72" t="n">
        <v>0</v>
      </c>
      <c r="O30" s="72" t="n">
        <v>0</v>
      </c>
      <c r="P30" s="72" t="n">
        <v>0</v>
      </c>
      <c r="Q30" s="72" t="n">
        <v>0</v>
      </c>
      <c r="R30" s="72" t="n">
        <v>0</v>
      </c>
      <c r="S30" s="72" t="n">
        <v>0</v>
      </c>
      <c r="T30" s="72" t="n">
        <v>0</v>
      </c>
      <c r="U30" s="72" t="n">
        <v>0</v>
      </c>
      <c r="V30" s="72" t="n">
        <v>0</v>
      </c>
      <c r="W30" s="72" t="n">
        <v>0</v>
      </c>
      <c r="X30" s="72" t="n">
        <v>0</v>
      </c>
      <c r="Y30" s="72" t="n">
        <v>0</v>
      </c>
      <c r="Z30" s="72" t="n">
        <v>0</v>
      </c>
      <c r="AA30" s="26" t="n">
        <v>0</v>
      </c>
      <c r="AB30" s="41" t="n"/>
      <c r="AC30" s="78" t="n"/>
      <c r="AD30" s="78" t="n"/>
      <c r="AE30" s="608" t="n"/>
      <c r="AF30" s="32" t="n"/>
      <c r="AG30" s="41" t="n"/>
      <c r="AH30" s="19" t="n">
        <v>0</v>
      </c>
      <c r="AI30" s="19" t="n">
        <v>0</v>
      </c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19" t="n"/>
      <c r="BE30" s="19" t="n"/>
      <c r="BF30" s="19" t="n"/>
      <c r="BG30" s="19" t="n"/>
    </row>
    <row r="31">
      <c r="B31" s="41" t="n"/>
      <c r="C31" s="41" t="n"/>
      <c r="D31" s="41" t="n"/>
      <c r="E31" s="41" t="n"/>
      <c r="F31" s="41" t="n"/>
      <c r="G31" s="41" t="n"/>
      <c r="H31" s="41" t="n"/>
      <c r="I31" s="41" t="n"/>
      <c r="J31" s="41" t="n"/>
      <c r="K31" s="41" t="n"/>
      <c r="L31" s="41" t="n"/>
      <c r="M31" s="41" t="n"/>
      <c r="N31" s="41" t="n"/>
      <c r="O31" s="41" t="n"/>
      <c r="P31" s="41" t="n"/>
      <c r="Q31" s="41" t="n"/>
      <c r="R31" s="41" t="n"/>
      <c r="S31" s="41" t="n"/>
      <c r="T31" s="41" t="n"/>
      <c r="U31" s="41" t="n"/>
      <c r="V31" s="41" t="n"/>
      <c r="W31" s="41" t="n"/>
      <c r="X31" s="41" t="n"/>
      <c r="Y31" s="41" t="n"/>
      <c r="Z31" s="41" t="n"/>
      <c r="AA31" s="41" t="n"/>
      <c r="AB31" s="41" t="n"/>
      <c r="AE31" s="41" t="n"/>
      <c r="AG31" s="41" t="n"/>
    </row>
    <row r="32">
      <c r="A32" s="147" t="inlineStr">
        <is>
          <t>SACOLAS/SACO/DIVERSOS OUI</t>
        </is>
      </c>
      <c r="B32" s="148" t="inlineStr">
        <is>
          <t>PC</t>
        </is>
      </c>
      <c r="C32" s="148" t="inlineStr">
        <is>
          <t>R$</t>
        </is>
      </c>
      <c r="D32" s="148" t="inlineStr">
        <is>
          <t>Estoque Ideal</t>
        </is>
      </c>
      <c r="E32" s="1" t="n"/>
      <c r="F32" s="619" t="n">
        <v>46013</v>
      </c>
      <c r="G32" s="619" t="n">
        <v>46020</v>
      </c>
      <c r="H32" s="619" t="n">
        <v>46027</v>
      </c>
      <c r="I32" s="619" t="n">
        <v>46034</v>
      </c>
      <c r="J32" s="619" t="n">
        <v>46041</v>
      </c>
      <c r="K32" s="619" t="n">
        <v>46048</v>
      </c>
      <c r="L32" s="619" t="n">
        <v>46055</v>
      </c>
      <c r="M32" s="619" t="n">
        <v>46062</v>
      </c>
      <c r="N32" s="619" t="n">
        <v>46069</v>
      </c>
      <c r="O32" s="619" t="n">
        <v>46076</v>
      </c>
      <c r="P32" s="619" t="n">
        <v>46083</v>
      </c>
      <c r="Q32" s="619" t="n">
        <v>46090</v>
      </c>
      <c r="R32" s="619" t="n">
        <v>46097</v>
      </c>
      <c r="S32" s="619" t="n">
        <v>46104</v>
      </c>
      <c r="T32" s="619" t="n">
        <v>46111</v>
      </c>
      <c r="U32" s="619" t="n">
        <v>46118</v>
      </c>
      <c r="V32" s="619" t="n">
        <v>46125</v>
      </c>
      <c r="W32" s="619" t="n">
        <v>46132</v>
      </c>
      <c r="X32" s="619" t="n">
        <v>46139</v>
      </c>
      <c r="Y32" s="619" t="n">
        <v>46146</v>
      </c>
      <c r="Z32" s="619" t="n">
        <v>46154</v>
      </c>
      <c r="AA32" s="621" t="inlineStr">
        <is>
          <t>USOU</t>
        </is>
      </c>
      <c r="AB32" s="41" t="n"/>
      <c r="AC32" s="29" t="inlineStr">
        <is>
          <t>Pendências</t>
        </is>
      </c>
      <c r="AD32" s="29" t="inlineStr">
        <is>
          <t>Pendências</t>
        </is>
      </c>
      <c r="AF32" s="9" t="inlineStr">
        <is>
          <t>Novo Pedido</t>
        </is>
      </c>
      <c r="AG32" s="41" t="n"/>
      <c r="AH32" s="674" t="n">
        <v>46149</v>
      </c>
      <c r="AI32" s="674" t="n">
        <v>46142</v>
      </c>
      <c r="AJ32" s="674" t="n">
        <v>46114</v>
      </c>
      <c r="AK32" s="674" t="n">
        <v>46107</v>
      </c>
      <c r="AL32" s="674" t="n">
        <v>46099</v>
      </c>
      <c r="AM32" s="675" t="n">
        <v>46065</v>
      </c>
      <c r="AN32" s="674" t="n">
        <v>46092</v>
      </c>
      <c r="AO32" s="674" t="n">
        <v>46084</v>
      </c>
      <c r="AP32" s="675" t="n">
        <v>46065</v>
      </c>
      <c r="AQ32" s="676" t="n">
        <v>46045</v>
      </c>
      <c r="AR32" s="674" t="n">
        <v>46077</v>
      </c>
      <c r="AS32" s="674" t="n">
        <v>46071</v>
      </c>
      <c r="AT32" s="674" t="n">
        <v>46056</v>
      </c>
      <c r="AU32" s="674" t="n">
        <v>46048</v>
      </c>
      <c r="AV32" s="674" t="n">
        <v>46029</v>
      </c>
      <c r="AW32" s="674" t="n">
        <v>46029</v>
      </c>
      <c r="AX32" s="674" t="n">
        <v>46043</v>
      </c>
      <c r="AY32" s="674" t="n">
        <v>46029</v>
      </c>
      <c r="AZ32" s="674" t="n">
        <v>46017</v>
      </c>
      <c r="BA32" s="674" t="n">
        <v>46007</v>
      </c>
      <c r="BB32" s="674" t="n">
        <v>46001</v>
      </c>
      <c r="BC32" s="674" t="n">
        <v>46001</v>
      </c>
      <c r="BD32" s="677" t="n">
        <v>46014</v>
      </c>
      <c r="BE32" s="674" t="n">
        <v>45994</v>
      </c>
      <c r="BF32" s="674" t="n">
        <v>45986</v>
      </c>
      <c r="BG32" s="674" t="n">
        <v>45986</v>
      </c>
    </row>
    <row r="33">
      <c r="A33" s="25" t="inlineStr">
        <is>
          <t>SACOLA P OUI</t>
        </is>
      </c>
      <c r="B33" s="72" t="n">
        <v>150</v>
      </c>
      <c r="C33" s="639" t="n">
        <v>453.38</v>
      </c>
      <c r="D33" s="240" t="n">
        <v>10</v>
      </c>
      <c r="E33" s="41" t="n"/>
      <c r="F33" s="72" t="n">
        <v>144</v>
      </c>
      <c r="G33" s="72" t="n">
        <v>144</v>
      </c>
      <c r="H33" s="72" t="n">
        <v>144</v>
      </c>
      <c r="I33" s="72" t="n">
        <v>143</v>
      </c>
      <c r="J33" s="72" t="n">
        <v>143</v>
      </c>
      <c r="K33" s="72" t="n">
        <v>141</v>
      </c>
      <c r="L33" s="72" t="n">
        <v>139</v>
      </c>
      <c r="M33" s="72" t="n">
        <v>134</v>
      </c>
      <c r="N33" s="72" t="n">
        <v>133</v>
      </c>
      <c r="O33" s="72" t="n">
        <v>132</v>
      </c>
      <c r="P33" s="72" t="n">
        <v>132</v>
      </c>
      <c r="Q33" s="72" t="n">
        <v>132</v>
      </c>
      <c r="R33" s="72" t="n">
        <v>131</v>
      </c>
      <c r="S33" s="72" t="n">
        <v>128</v>
      </c>
      <c r="T33" s="72" t="n">
        <v>128</v>
      </c>
      <c r="U33" s="72" t="n"/>
      <c r="V33" s="72" t="n"/>
      <c r="W33" s="72" t="n"/>
      <c r="X33" s="72" t="n"/>
      <c r="Y33" s="72" t="n"/>
      <c r="Z33" s="72" t="n">
        <v>116</v>
      </c>
      <c r="AA33" s="380">
        <f>Y33+IF(NOT(ISBLANK(OFFSET(AA33,0,6))),N(OFFSET(AA33,0,6)),N(OFFSET(AA33,0,7)))-Z33</f>
        <v/>
      </c>
      <c r="AB33" s="41" t="n"/>
      <c r="AC33" s="138" t="n"/>
      <c r="AD33" s="138" t="n"/>
      <c r="AE33" s="1" t="n"/>
      <c r="AF33" s="32" t="n"/>
      <c r="AG33" s="41" t="n"/>
      <c r="AH33" s="19" t="n">
        <v>0</v>
      </c>
      <c r="AI33" s="19" t="n">
        <v>0</v>
      </c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>
        <v>150</v>
      </c>
      <c r="BG33" s="19" t="n"/>
    </row>
    <row r="34">
      <c r="A34" s="25" t="inlineStr">
        <is>
          <t>SACOLA M OUI</t>
        </is>
      </c>
      <c r="B34" s="72" t="n">
        <v>100</v>
      </c>
      <c r="C34" s="639" t="n">
        <v>355.78</v>
      </c>
      <c r="D34" s="240" t="n">
        <v>10</v>
      </c>
      <c r="E34" s="41" t="n"/>
      <c r="F34" s="72" t="n">
        <v>96</v>
      </c>
      <c r="G34" s="72" t="n">
        <v>95</v>
      </c>
      <c r="H34" s="72" t="n">
        <v>94</v>
      </c>
      <c r="I34" s="72" t="n">
        <v>93</v>
      </c>
      <c r="J34" s="72" t="n">
        <v>93</v>
      </c>
      <c r="K34" s="72" t="n">
        <v>92</v>
      </c>
      <c r="L34" s="72" t="n">
        <v>90</v>
      </c>
      <c r="M34" s="72" t="n">
        <v>90</v>
      </c>
      <c r="N34" s="72" t="n">
        <v>90</v>
      </c>
      <c r="O34" s="72" t="n">
        <v>90</v>
      </c>
      <c r="P34" s="72" t="n">
        <v>90</v>
      </c>
      <c r="Q34" s="72" t="n">
        <v>89</v>
      </c>
      <c r="R34" s="72" t="n">
        <v>88</v>
      </c>
      <c r="S34" s="72" t="n">
        <v>86</v>
      </c>
      <c r="T34" s="72" t="n">
        <v>86</v>
      </c>
      <c r="U34" s="72" t="n"/>
      <c r="V34" s="72" t="n"/>
      <c r="W34" s="72" t="n"/>
      <c r="X34" s="72" t="n"/>
      <c r="Y34" s="72" t="n"/>
      <c r="Z34" s="72" t="n">
        <v>79</v>
      </c>
      <c r="AA34" s="380">
        <f>Y34+IF(NOT(ISBLANK(OFFSET(AA34,0,6))),N(OFFSET(AA34,0,6)),N(OFFSET(AA34,0,7)))-Z34</f>
        <v/>
      </c>
      <c r="AB34" s="41" t="n"/>
      <c r="AC34" s="78" t="n"/>
      <c r="AD34" s="78" t="n"/>
      <c r="AE34" s="1" t="n"/>
      <c r="AF34" s="32" t="n"/>
      <c r="AG34" s="41" t="n"/>
      <c r="AH34" s="19" t="n">
        <v>0</v>
      </c>
      <c r="AI34" s="19" t="n">
        <v>0</v>
      </c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>
        <v>100</v>
      </c>
      <c r="BG34" s="19" t="n"/>
    </row>
    <row r="35">
      <c r="A35" s="25" t="inlineStr">
        <is>
          <t>SACOLA G OUI</t>
        </is>
      </c>
      <c r="B35" s="72" t="n">
        <v>50</v>
      </c>
      <c r="C35" s="639" t="n">
        <v>249.26</v>
      </c>
      <c r="D35" s="240" t="n">
        <v>5</v>
      </c>
      <c r="E35" s="41" t="n"/>
      <c r="F35" s="72" t="n">
        <v>7</v>
      </c>
      <c r="G35" s="72" t="n">
        <v>7</v>
      </c>
      <c r="H35" s="72" t="n">
        <v>7</v>
      </c>
      <c r="I35" s="72" t="n">
        <v>7</v>
      </c>
      <c r="J35" s="72" t="n">
        <v>7</v>
      </c>
      <c r="K35" s="72" t="n">
        <v>7</v>
      </c>
      <c r="L35" s="72" t="n">
        <v>7</v>
      </c>
      <c r="M35" s="72" t="n">
        <v>7</v>
      </c>
      <c r="N35" s="72" t="n">
        <v>7</v>
      </c>
      <c r="O35" s="72" t="n">
        <v>7</v>
      </c>
      <c r="P35" s="72" t="n">
        <v>7</v>
      </c>
      <c r="Q35" s="72" t="n">
        <v>7</v>
      </c>
      <c r="R35" s="72" t="n">
        <v>7</v>
      </c>
      <c r="S35" s="72" t="n">
        <v>7</v>
      </c>
      <c r="T35" s="72" t="n">
        <v>7</v>
      </c>
      <c r="U35" s="72" t="n"/>
      <c r="V35" s="72" t="n"/>
      <c r="W35" s="72" t="n"/>
      <c r="X35" s="72" t="n"/>
      <c r="Y35" s="72" t="n"/>
      <c r="Z35" s="72" t="n">
        <v>7</v>
      </c>
      <c r="AA35" s="380">
        <f>Y35+IF(NOT(ISBLANK(OFFSET(AA35,0,6))),N(OFFSET(AA35,0,6)),N(OFFSET(AA35,0,7)))-Z35</f>
        <v/>
      </c>
      <c r="AB35" s="41" t="n"/>
      <c r="AC35" s="138" t="n"/>
      <c r="AD35" s="138" t="n"/>
      <c r="AE35" s="3" t="n"/>
      <c r="AF35" s="32" t="n"/>
      <c r="AG35" s="41" t="n"/>
      <c r="AH35" s="19" t="n">
        <v>0</v>
      </c>
      <c r="AI35" s="19" t="n">
        <v>0</v>
      </c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</row>
    <row r="36">
      <c r="A36" s="25" t="inlineStr">
        <is>
          <t>SACO M OUI (BRINDE)</t>
        </is>
      </c>
      <c r="B36" s="6" t="n">
        <v>200</v>
      </c>
      <c r="C36" s="632" t="n">
        <v>249.78</v>
      </c>
      <c r="D36" s="240" t="n">
        <v>150</v>
      </c>
      <c r="E36" s="1" t="n"/>
      <c r="F36" s="72" t="n">
        <v>400</v>
      </c>
      <c r="G36" s="72" t="n">
        <v>400</v>
      </c>
      <c r="H36" s="72" t="n">
        <v>400</v>
      </c>
      <c r="I36" s="72" t="n">
        <v>400</v>
      </c>
      <c r="J36" s="72" t="n">
        <v>400</v>
      </c>
      <c r="K36" s="72" t="n">
        <v>400</v>
      </c>
      <c r="L36" s="72" t="n">
        <v>200</v>
      </c>
      <c r="M36" s="72" t="n">
        <v>200</v>
      </c>
      <c r="N36" s="72" t="n">
        <v>200</v>
      </c>
      <c r="O36" s="72" t="n">
        <v>200</v>
      </c>
      <c r="P36" s="72" t="n">
        <v>200</v>
      </c>
      <c r="Q36" s="72" t="n">
        <v>200</v>
      </c>
      <c r="R36" s="72" t="n">
        <v>200</v>
      </c>
      <c r="S36" s="72" t="n">
        <v>200</v>
      </c>
      <c r="T36" s="72" t="n">
        <v>200</v>
      </c>
      <c r="U36" s="72" t="n">
        <v>200</v>
      </c>
      <c r="V36" s="72" t="n">
        <v>0</v>
      </c>
      <c r="W36" s="72" t="n">
        <v>0</v>
      </c>
      <c r="X36" s="72" t="n">
        <v>0</v>
      </c>
      <c r="Y36" s="72">
        <f>0+AI36</f>
        <v/>
      </c>
      <c r="Z36" s="72" t="n">
        <v>200</v>
      </c>
      <c r="AA36" s="380">
        <f>Y36+IF(NOT(ISBLANK(OFFSET(AA36,0,6))),N(OFFSET(AA36,0,6)),N(OFFSET(AA36,0,7)))-Z36</f>
        <v/>
      </c>
      <c r="AB36" s="41" t="n"/>
      <c r="AC36" s="78" t="n"/>
      <c r="AD36" s="78" t="n"/>
      <c r="AE36" s="608" t="n"/>
      <c r="AF36" s="32" t="n"/>
      <c r="AG36" s="41" t="n"/>
      <c r="AH36" s="19" t="n">
        <v>0</v>
      </c>
      <c r="AI36" s="19" t="n">
        <v>200</v>
      </c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</row>
    <row r="37">
      <c r="B37" s="41" t="n"/>
      <c r="E37" s="41" t="n"/>
      <c r="F37" s="41" t="n"/>
      <c r="G37" s="41" t="n"/>
      <c r="H37" s="41" t="n"/>
      <c r="I37" s="41" t="n"/>
      <c r="J37" s="41" t="n"/>
      <c r="K37" s="41" t="n"/>
      <c r="L37" s="41" t="n"/>
      <c r="M37" s="41" t="n"/>
      <c r="N37" s="41" t="n"/>
      <c r="O37" s="41" t="n"/>
      <c r="P37" s="41" t="n"/>
      <c r="Q37" s="41" t="n"/>
      <c r="R37" s="41" t="n"/>
      <c r="S37" s="41" t="n"/>
      <c r="T37" s="41" t="n"/>
      <c r="U37" s="41" t="n"/>
      <c r="V37" s="41" t="n"/>
      <c r="W37" s="41" t="n"/>
      <c r="X37" s="41" t="n"/>
      <c r="Y37" s="41" t="n"/>
      <c r="Z37" s="41" t="n"/>
      <c r="AB37" s="41" t="n"/>
      <c r="AE37" s="41" t="n"/>
      <c r="AG37" s="41" t="n"/>
    </row>
    <row r="38">
      <c r="A38" s="147" t="inlineStr">
        <is>
          <t>CAIXAS OUI</t>
        </is>
      </c>
      <c r="B38" s="148" t="inlineStr">
        <is>
          <t>PC</t>
        </is>
      </c>
      <c r="C38" s="148" t="inlineStr">
        <is>
          <t>R$</t>
        </is>
      </c>
      <c r="D38" s="148" t="inlineStr">
        <is>
          <t>Estoque Ideal</t>
        </is>
      </c>
      <c r="E38" s="1" t="n"/>
      <c r="F38" s="619" t="n">
        <v>46013</v>
      </c>
      <c r="G38" s="619" t="n">
        <v>46020</v>
      </c>
      <c r="H38" s="619" t="n">
        <v>46027</v>
      </c>
      <c r="I38" s="619" t="n">
        <v>46034</v>
      </c>
      <c r="J38" s="619" t="n">
        <v>46041</v>
      </c>
      <c r="K38" s="619" t="n">
        <v>46048</v>
      </c>
      <c r="L38" s="619" t="n">
        <v>46055</v>
      </c>
      <c r="M38" s="619" t="n">
        <v>46062</v>
      </c>
      <c r="N38" s="619" t="n">
        <v>46069</v>
      </c>
      <c r="O38" s="619" t="n">
        <v>46076</v>
      </c>
      <c r="P38" s="619" t="n">
        <v>46083</v>
      </c>
      <c r="Q38" s="619" t="n">
        <v>46090</v>
      </c>
      <c r="R38" s="619" t="n">
        <v>46097</v>
      </c>
      <c r="S38" s="619" t="n">
        <v>46104</v>
      </c>
      <c r="T38" s="619" t="n">
        <v>46111</v>
      </c>
      <c r="U38" s="619" t="n">
        <v>46118</v>
      </c>
      <c r="V38" s="619" t="n">
        <v>46125</v>
      </c>
      <c r="W38" s="619" t="n">
        <v>46132</v>
      </c>
      <c r="X38" s="619" t="n">
        <v>46139</v>
      </c>
      <c r="Y38" s="619" t="n">
        <v>46146</v>
      </c>
      <c r="Z38" s="619" t="n">
        <v>46154</v>
      </c>
      <c r="AA38" s="621" t="inlineStr">
        <is>
          <t>USOU</t>
        </is>
      </c>
      <c r="AB38" s="41" t="n"/>
      <c r="AC38" s="29" t="inlineStr">
        <is>
          <t>Pendências</t>
        </is>
      </c>
      <c r="AD38" s="29" t="inlineStr">
        <is>
          <t>Pendências</t>
        </is>
      </c>
      <c r="AF38" s="9" t="inlineStr">
        <is>
          <t>Novo Pedido</t>
        </is>
      </c>
      <c r="AG38" s="41" t="n"/>
      <c r="AH38" s="674" t="n">
        <v>46149</v>
      </c>
      <c r="AI38" s="674" t="n">
        <v>46142</v>
      </c>
      <c r="AJ38" s="674" t="n">
        <v>46114</v>
      </c>
      <c r="AK38" s="674" t="n">
        <v>46107</v>
      </c>
      <c r="AL38" s="674" t="n">
        <v>46099</v>
      </c>
      <c r="AM38" s="675" t="n">
        <v>46065</v>
      </c>
      <c r="AN38" s="674" t="n">
        <v>46092</v>
      </c>
      <c r="AO38" s="674" t="n">
        <v>46084</v>
      </c>
      <c r="AP38" s="675" t="n">
        <v>46065</v>
      </c>
      <c r="AQ38" s="676" t="n">
        <v>46045</v>
      </c>
      <c r="AR38" s="674" t="n">
        <v>46077</v>
      </c>
      <c r="AS38" s="674" t="n">
        <v>46071</v>
      </c>
      <c r="AT38" s="674" t="n">
        <v>46056</v>
      </c>
      <c r="AU38" s="674" t="n">
        <v>46048</v>
      </c>
      <c r="AV38" s="674" t="n">
        <v>46029</v>
      </c>
      <c r="AW38" s="674" t="n">
        <v>46029</v>
      </c>
      <c r="AX38" s="674" t="n">
        <v>46043</v>
      </c>
      <c r="AY38" s="674" t="n">
        <v>46029</v>
      </c>
      <c r="AZ38" s="674" t="n">
        <v>46017</v>
      </c>
      <c r="BA38" s="674" t="n">
        <v>46007</v>
      </c>
      <c r="BB38" s="674" t="n">
        <v>46001</v>
      </c>
      <c r="BC38" s="674" t="n">
        <v>46001</v>
      </c>
      <c r="BD38" s="677" t="n">
        <v>46014</v>
      </c>
      <c r="BE38" s="674" t="n">
        <v>45994</v>
      </c>
      <c r="BF38" s="674" t="n">
        <v>45986</v>
      </c>
      <c r="BG38" s="674" t="n">
        <v>45986</v>
      </c>
    </row>
    <row r="39">
      <c r="A39" s="25" t="inlineStr">
        <is>
          <t>KIT CAIXA P OUI</t>
        </is>
      </c>
      <c r="B39" s="72" t="n">
        <v>100</v>
      </c>
      <c r="C39" s="639" t="n">
        <v>539.7</v>
      </c>
      <c r="D39" s="240" t="n">
        <v>20</v>
      </c>
      <c r="E39" s="41" t="n"/>
      <c r="F39" s="72" t="n">
        <v>43</v>
      </c>
      <c r="G39" s="72" t="n">
        <v>43</v>
      </c>
      <c r="H39" s="72" t="n">
        <v>43</v>
      </c>
      <c r="I39" s="72" t="n">
        <v>43</v>
      </c>
      <c r="J39" s="72" t="n">
        <v>43</v>
      </c>
      <c r="K39" s="72" t="n">
        <v>43</v>
      </c>
      <c r="L39" s="72" t="n">
        <v>43</v>
      </c>
      <c r="M39" s="72" t="n">
        <v>43</v>
      </c>
      <c r="N39" s="72" t="n">
        <v>43</v>
      </c>
      <c r="O39" s="72" t="n">
        <v>43</v>
      </c>
      <c r="P39" s="72" t="n">
        <v>43</v>
      </c>
      <c r="Q39" s="72" t="n">
        <v>41</v>
      </c>
      <c r="R39" s="72" t="n">
        <v>40</v>
      </c>
      <c r="S39" s="72" t="n">
        <v>40</v>
      </c>
      <c r="T39" s="72" t="n">
        <v>40</v>
      </c>
      <c r="U39" s="72" t="n"/>
      <c r="V39" s="72" t="n"/>
      <c r="W39" s="72" t="n"/>
      <c r="X39" s="72" t="n"/>
      <c r="Y39" s="72" t="n"/>
      <c r="Z39" s="72" t="n">
        <v>39</v>
      </c>
      <c r="AA39" s="380">
        <f>Y39+IF(NOT(ISBLANK(OFFSET(AA39,0,6))),N(OFFSET(AA39,0,6)),N(OFFSET(AA39,0,7)))-Z39</f>
        <v/>
      </c>
      <c r="AB39" s="41" t="n"/>
      <c r="AC39" s="138" t="n"/>
      <c r="AD39" s="138" t="n"/>
      <c r="AE39" s="608" t="n"/>
      <c r="AF39" s="32" t="n"/>
      <c r="AG39" s="41" t="n"/>
      <c r="AH39" s="19" t="n">
        <v>0</v>
      </c>
      <c r="AI39" s="19" t="n">
        <v>0</v>
      </c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</row>
    <row r="40">
      <c r="A40" s="25" t="inlineStr">
        <is>
          <t>KIT CAIXA M OUI</t>
        </is>
      </c>
      <c r="B40" s="72" t="n">
        <v>100</v>
      </c>
      <c r="C40" s="639" t="n">
        <v>652.05</v>
      </c>
      <c r="D40" s="240" t="n">
        <v>30</v>
      </c>
      <c r="E40" s="41" t="n"/>
      <c r="F40" s="72" t="n">
        <v>67</v>
      </c>
      <c r="G40" s="72" t="n">
        <v>66</v>
      </c>
      <c r="H40" s="72" t="n">
        <v>66</v>
      </c>
      <c r="I40" s="72" t="n">
        <v>66</v>
      </c>
      <c r="J40" s="72" t="n">
        <v>66</v>
      </c>
      <c r="K40" s="72" t="n">
        <v>66</v>
      </c>
      <c r="L40" s="72" t="n">
        <v>66</v>
      </c>
      <c r="M40" s="72" t="n">
        <v>66</v>
      </c>
      <c r="N40" s="72" t="n">
        <v>65</v>
      </c>
      <c r="O40" s="72" t="n">
        <v>65</v>
      </c>
      <c r="P40" s="72" t="n">
        <v>65</v>
      </c>
      <c r="Q40" s="72" t="n">
        <v>62</v>
      </c>
      <c r="R40" s="72" t="n">
        <v>61</v>
      </c>
      <c r="S40" s="72" t="n">
        <v>60</v>
      </c>
      <c r="T40" s="72" t="n">
        <v>58</v>
      </c>
      <c r="U40" s="72" t="n"/>
      <c r="V40" s="72" t="n"/>
      <c r="W40" s="72" t="n"/>
      <c r="X40" s="72" t="n"/>
      <c r="Y40" s="72" t="n"/>
      <c r="Z40" s="72" t="n">
        <v>50</v>
      </c>
      <c r="AA40" s="380">
        <f>Y40+IF(NOT(ISBLANK(OFFSET(AA40,0,6))),N(OFFSET(AA40,0,6)),N(OFFSET(AA40,0,7)))-Z40</f>
        <v/>
      </c>
      <c r="AB40" s="41" t="n"/>
      <c r="AC40" s="138" t="n"/>
      <c r="AD40" s="138" t="n"/>
      <c r="AE40" s="1" t="n"/>
      <c r="AF40" s="32" t="n"/>
      <c r="AG40" s="41" t="n"/>
      <c r="AH40" s="19" t="n">
        <v>0</v>
      </c>
      <c r="AI40" s="19" t="n">
        <v>0</v>
      </c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</row>
    <row r="41">
      <c r="A41" s="25" t="inlineStr">
        <is>
          <t>KIT CAIXA G OUI</t>
        </is>
      </c>
      <c r="B41" s="72" t="n">
        <v>50</v>
      </c>
      <c r="C41" s="639" t="n">
        <v>567.53</v>
      </c>
      <c r="D41" s="240" t="n">
        <v>10</v>
      </c>
      <c r="E41" s="41" t="n"/>
      <c r="F41" s="72" t="n">
        <v>19</v>
      </c>
      <c r="G41" s="72" t="n">
        <v>19</v>
      </c>
      <c r="H41" s="72" t="n">
        <v>19</v>
      </c>
      <c r="I41" s="72" t="n">
        <v>19</v>
      </c>
      <c r="J41" s="72" t="n">
        <v>19</v>
      </c>
      <c r="K41" s="72" t="n">
        <v>19</v>
      </c>
      <c r="L41" s="72" t="n">
        <v>19</v>
      </c>
      <c r="M41" s="72" t="n">
        <v>19</v>
      </c>
      <c r="N41" s="72" t="n">
        <v>19</v>
      </c>
      <c r="O41" s="72" t="n">
        <v>19</v>
      </c>
      <c r="P41" s="72" t="n">
        <v>19</v>
      </c>
      <c r="Q41" s="72" t="n">
        <v>19</v>
      </c>
      <c r="R41" s="72" t="n">
        <v>19</v>
      </c>
      <c r="S41" s="72" t="n">
        <v>19</v>
      </c>
      <c r="T41" s="72" t="n">
        <v>19</v>
      </c>
      <c r="U41" s="72" t="n"/>
      <c r="V41" s="72" t="n"/>
      <c r="W41" s="72" t="n"/>
      <c r="X41" s="72" t="n"/>
      <c r="Y41" s="72" t="n"/>
      <c r="Z41" s="72" t="n">
        <v>19</v>
      </c>
      <c r="AA41" s="380">
        <f>Y41+IF(NOT(ISBLANK(OFFSET(AA41,0,6))),N(OFFSET(AA41,0,6)),N(OFFSET(AA41,0,7)))-Z41</f>
        <v/>
      </c>
      <c r="AB41" s="41" t="n"/>
      <c r="AC41" s="138" t="n"/>
      <c r="AD41" s="138" t="n"/>
      <c r="AE41" s="1" t="n"/>
      <c r="AF41" s="32" t="n"/>
      <c r="AG41" s="41" t="n"/>
      <c r="AH41" s="19" t="n">
        <v>0</v>
      </c>
      <c r="AI41" s="19" t="n">
        <v>0</v>
      </c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</row>
    <row r="42">
      <c r="B42" s="41" t="n"/>
      <c r="C42" s="41" t="n"/>
      <c r="D42" s="41" t="n"/>
      <c r="E42" s="41" t="n"/>
      <c r="F42" s="41" t="n"/>
      <c r="G42" s="41" t="n"/>
      <c r="H42" s="41" t="n"/>
      <c r="I42" s="41" t="n"/>
      <c r="J42" s="41" t="n"/>
      <c r="K42" s="41" t="n"/>
      <c r="L42" s="41" t="n"/>
      <c r="M42" s="41" t="n"/>
      <c r="N42" s="41" t="n"/>
      <c r="O42" s="41" t="n"/>
      <c r="P42" s="41" t="n"/>
      <c r="Q42" s="41" t="n"/>
      <c r="R42" s="41" t="n"/>
      <c r="S42" s="41" t="n"/>
      <c r="T42" s="41" t="n"/>
      <c r="U42" s="41" t="n"/>
      <c r="V42" s="41" t="n"/>
      <c r="W42" s="41" t="n"/>
      <c r="X42" s="41" t="n"/>
      <c r="Y42" s="41" t="n"/>
      <c r="Z42" s="41" t="n"/>
      <c r="AA42" s="41" t="n"/>
      <c r="AB42" s="41" t="n"/>
      <c r="AE42" s="41" t="n"/>
      <c r="AG42" s="41" t="n"/>
      <c r="AH42" s="648" t="n"/>
      <c r="AI42" s="648" t="n"/>
      <c r="AJ42" s="648" t="n"/>
      <c r="AK42" s="648" t="n"/>
      <c r="AL42" s="648" t="n"/>
      <c r="AM42" s="648" t="n"/>
      <c r="AN42" s="648" t="n"/>
      <c r="AO42" s="648" t="n"/>
      <c r="AP42" s="648" t="n"/>
      <c r="AQ42" s="648" t="n"/>
      <c r="AR42" s="648" t="n"/>
      <c r="AS42" s="648" t="n"/>
      <c r="AT42" s="648" t="n"/>
      <c r="AU42" s="648" t="n"/>
      <c r="AV42" s="648" t="n"/>
      <c r="AW42" s="648" t="n"/>
      <c r="AX42" s="648" t="n"/>
      <c r="AY42" s="648" t="n"/>
      <c r="AZ42" s="648" t="n"/>
      <c r="BA42" s="648" t="n"/>
      <c r="BB42" s="648" t="n"/>
      <c r="BC42" s="648" t="n"/>
      <c r="BD42" s="648" t="n"/>
      <c r="BE42" s="648" t="n"/>
      <c r="BF42" s="648" t="n"/>
      <c r="BG42" s="648" t="n"/>
    </row>
    <row r="43">
      <c r="A43" s="149" t="inlineStr">
        <is>
          <t>SACOLAS E CAIXAS QDB</t>
        </is>
      </c>
      <c r="B43" s="150" t="inlineStr">
        <is>
          <t>PC</t>
        </is>
      </c>
      <c r="C43" s="150" t="inlineStr">
        <is>
          <t>R$</t>
        </is>
      </c>
      <c r="D43" s="150" t="inlineStr">
        <is>
          <t>Estoque Ideal</t>
        </is>
      </c>
      <c r="E43" s="1" t="n"/>
      <c r="F43" s="619" t="n">
        <v>46013</v>
      </c>
      <c r="G43" s="619" t="n">
        <v>46020</v>
      </c>
      <c r="H43" s="619" t="n">
        <v>46027</v>
      </c>
      <c r="I43" s="619" t="n">
        <v>46034</v>
      </c>
      <c r="J43" s="619" t="n">
        <v>46041</v>
      </c>
      <c r="K43" s="619" t="n">
        <v>46048</v>
      </c>
      <c r="L43" s="619" t="n">
        <v>46055</v>
      </c>
      <c r="M43" s="619" t="n">
        <v>46062</v>
      </c>
      <c r="N43" s="619" t="n">
        <v>46069</v>
      </c>
      <c r="O43" s="619" t="n">
        <v>46076</v>
      </c>
      <c r="P43" s="619" t="n">
        <v>46083</v>
      </c>
      <c r="Q43" s="619" t="n">
        <v>46090</v>
      </c>
      <c r="R43" s="619" t="n">
        <v>46097</v>
      </c>
      <c r="S43" s="619" t="n">
        <v>46104</v>
      </c>
      <c r="T43" s="619" t="n">
        <v>46111</v>
      </c>
      <c r="U43" s="619" t="n">
        <v>46118</v>
      </c>
      <c r="V43" s="619" t="n">
        <v>46125</v>
      </c>
      <c r="W43" s="619" t="n">
        <v>46132</v>
      </c>
      <c r="X43" s="619" t="n">
        <v>46139</v>
      </c>
      <c r="Y43" s="619" t="n">
        <v>46146</v>
      </c>
      <c r="Z43" s="619" t="n">
        <v>46154</v>
      </c>
      <c r="AA43" s="621" t="inlineStr">
        <is>
          <t>USOU</t>
        </is>
      </c>
      <c r="AB43" s="41" t="n"/>
      <c r="AC43" s="29" t="inlineStr">
        <is>
          <t>Pendências</t>
        </is>
      </c>
      <c r="AD43" s="29" t="inlineStr">
        <is>
          <t>Pendências</t>
        </is>
      </c>
      <c r="AF43" s="9" t="inlineStr">
        <is>
          <t>Novo Pedido</t>
        </is>
      </c>
      <c r="AG43" s="41" t="n"/>
      <c r="AH43" s="674" t="n">
        <v>46149</v>
      </c>
      <c r="AI43" s="674" t="n">
        <v>46142</v>
      </c>
      <c r="AJ43" s="674" t="n">
        <v>46114</v>
      </c>
      <c r="AK43" s="674" t="n">
        <v>46107</v>
      </c>
      <c r="AL43" s="674" t="n">
        <v>46099</v>
      </c>
      <c r="AM43" s="675" t="n">
        <v>46065</v>
      </c>
      <c r="AN43" s="674" t="n">
        <v>46092</v>
      </c>
      <c r="AO43" s="674" t="n">
        <v>46084</v>
      </c>
      <c r="AP43" s="675" t="n">
        <v>46065</v>
      </c>
      <c r="AQ43" s="676" t="n">
        <v>46045</v>
      </c>
      <c r="AR43" s="674" t="n">
        <v>46077</v>
      </c>
      <c r="AS43" s="674" t="n">
        <v>46071</v>
      </c>
      <c r="AT43" s="674" t="n">
        <v>46056</v>
      </c>
      <c r="AU43" s="674" t="n">
        <v>46048</v>
      </c>
      <c r="AV43" s="674" t="n">
        <v>46029</v>
      </c>
      <c r="AW43" s="674" t="n">
        <v>46029</v>
      </c>
      <c r="AX43" s="674" t="n">
        <v>46043</v>
      </c>
      <c r="AY43" s="674" t="n">
        <v>46029</v>
      </c>
      <c r="AZ43" s="674" t="n">
        <v>46017</v>
      </c>
      <c r="BA43" s="674" t="n">
        <v>46007</v>
      </c>
      <c r="BB43" s="674" t="n">
        <v>46001</v>
      </c>
      <c r="BC43" s="674" t="n">
        <v>46001</v>
      </c>
      <c r="BD43" s="677" t="n">
        <v>46014</v>
      </c>
      <c r="BE43" s="674" t="n">
        <v>45994</v>
      </c>
      <c r="BF43" s="674" t="n">
        <v>45986</v>
      </c>
      <c r="BG43" s="674" t="n">
        <v>45986</v>
      </c>
    </row>
    <row r="44">
      <c r="A44" s="25" t="inlineStr">
        <is>
          <t>SACOLA P - QDB</t>
        </is>
      </c>
      <c r="B44" s="6" t="n">
        <v>300</v>
      </c>
      <c r="C44" s="632" t="n">
        <v>169.8</v>
      </c>
      <c r="D44" s="240" t="n">
        <v>0</v>
      </c>
      <c r="E44" s="1" t="n"/>
      <c r="F44" s="39" t="n">
        <v>0</v>
      </c>
      <c r="G44" s="39" t="n">
        <v>0</v>
      </c>
      <c r="H44" s="39" t="n">
        <v>0</v>
      </c>
      <c r="I44" s="39" t="n">
        <v>0</v>
      </c>
      <c r="J44" s="39" t="n">
        <v>0</v>
      </c>
      <c r="K44" s="39" t="n">
        <v>0</v>
      </c>
      <c r="L44" s="39" t="n">
        <v>0</v>
      </c>
      <c r="M44" s="39" t="n">
        <v>0</v>
      </c>
      <c r="N44" s="39" t="n">
        <v>0</v>
      </c>
      <c r="O44" s="39" t="n">
        <v>0</v>
      </c>
      <c r="P44" s="39" t="n">
        <v>0</v>
      </c>
      <c r="Q44" s="39" t="n">
        <v>0</v>
      </c>
      <c r="R44" s="39" t="n">
        <v>0</v>
      </c>
      <c r="S44" s="39" t="n">
        <v>0</v>
      </c>
      <c r="T44" s="39" t="n">
        <v>0</v>
      </c>
      <c r="U44" s="39" t="n">
        <v>0</v>
      </c>
      <c r="V44" s="39" t="n">
        <v>0</v>
      </c>
      <c r="W44" s="39" t="n">
        <v>0</v>
      </c>
      <c r="X44" s="39" t="n">
        <v>0</v>
      </c>
      <c r="Y44" s="39" t="n">
        <v>0</v>
      </c>
      <c r="Z44" s="39" t="n">
        <v>0</v>
      </c>
      <c r="AA44" s="380">
        <f>Y44+IF(NOT(ISBLANK(OFFSET(AA44,0,6))),N(OFFSET(AA44,0,6)),N(OFFSET(AA44,0,7)))-Z44</f>
        <v/>
      </c>
      <c r="AB44" s="41" t="n"/>
      <c r="AC44" s="138" t="n"/>
      <c r="AD44" s="138" t="n"/>
      <c r="AF44" s="76" t="n"/>
      <c r="AG44" s="41" t="n"/>
      <c r="AH44" s="19" t="n">
        <v>0</v>
      </c>
      <c r="AI44" s="19" t="n">
        <v>0</v>
      </c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</row>
    <row r="45">
      <c r="A45" s="25" t="inlineStr">
        <is>
          <t>SACOLA M - QDB</t>
        </is>
      </c>
      <c r="B45" s="6" t="n">
        <v>200</v>
      </c>
      <c r="C45" s="632" t="n">
        <v>175.22</v>
      </c>
      <c r="D45" s="240" t="n">
        <v>0</v>
      </c>
      <c r="E45" s="1" t="n"/>
      <c r="F45" s="39" t="n">
        <v>0</v>
      </c>
      <c r="G45" s="39" t="n">
        <v>0</v>
      </c>
      <c r="H45" s="39" t="n">
        <v>0</v>
      </c>
      <c r="I45" s="39" t="n">
        <v>0</v>
      </c>
      <c r="J45" s="39" t="n">
        <v>0</v>
      </c>
      <c r="K45" s="39" t="n">
        <v>0</v>
      </c>
      <c r="L45" s="39" t="n">
        <v>0</v>
      </c>
      <c r="M45" s="39" t="n">
        <v>0</v>
      </c>
      <c r="N45" s="39" t="n">
        <v>0</v>
      </c>
      <c r="O45" s="39" t="n">
        <v>0</v>
      </c>
      <c r="P45" s="39" t="n">
        <v>0</v>
      </c>
      <c r="Q45" s="39" t="n">
        <v>0</v>
      </c>
      <c r="R45" s="39" t="n">
        <v>0</v>
      </c>
      <c r="S45" s="39" t="n">
        <v>0</v>
      </c>
      <c r="T45" s="39" t="n">
        <v>0</v>
      </c>
      <c r="U45" s="39" t="n">
        <v>0</v>
      </c>
      <c r="V45" s="39" t="n">
        <v>0</v>
      </c>
      <c r="W45" s="39" t="n">
        <v>0</v>
      </c>
      <c r="X45" s="39" t="n">
        <v>0</v>
      </c>
      <c r="Y45" s="39" t="n">
        <v>0</v>
      </c>
      <c r="Z45" s="39" t="n">
        <v>0</v>
      </c>
      <c r="AA45" s="380">
        <f>Y45+IF(NOT(ISBLANK(OFFSET(AA45,0,6))),N(OFFSET(AA45,0,6)),N(OFFSET(AA45,0,7)))-Z45</f>
        <v/>
      </c>
      <c r="AB45" s="41" t="n"/>
      <c r="AC45" s="138" t="n"/>
      <c r="AD45" s="138" t="n"/>
      <c r="AF45" s="76" t="n"/>
      <c r="AG45" s="41" t="n"/>
      <c r="AH45" s="19" t="n">
        <v>0</v>
      </c>
      <c r="AI45" s="19" t="n">
        <v>0</v>
      </c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</row>
    <row r="46">
      <c r="A46" s="25" t="inlineStr">
        <is>
          <t>SACOLA G - QDB</t>
        </is>
      </c>
      <c r="B46" s="6" t="n">
        <v>200</v>
      </c>
      <c r="C46" s="632" t="n">
        <v>230.34</v>
      </c>
      <c r="D46" s="240" t="n">
        <v>0</v>
      </c>
      <c r="E46" s="1" t="n"/>
      <c r="F46" s="39" t="n">
        <v>0</v>
      </c>
      <c r="G46" s="39" t="n">
        <v>0</v>
      </c>
      <c r="H46" s="39" t="n">
        <v>0</v>
      </c>
      <c r="I46" s="39" t="n">
        <v>0</v>
      </c>
      <c r="J46" s="39" t="n">
        <v>0</v>
      </c>
      <c r="K46" s="39" t="n">
        <v>0</v>
      </c>
      <c r="L46" s="39" t="n">
        <v>0</v>
      </c>
      <c r="M46" s="39" t="n">
        <v>0</v>
      </c>
      <c r="N46" s="39" t="n">
        <v>0</v>
      </c>
      <c r="O46" s="39" t="n">
        <v>0</v>
      </c>
      <c r="P46" s="39" t="n">
        <v>0</v>
      </c>
      <c r="Q46" s="39" t="n">
        <v>0</v>
      </c>
      <c r="R46" s="39" t="n">
        <v>0</v>
      </c>
      <c r="S46" s="39" t="n">
        <v>0</v>
      </c>
      <c r="T46" s="39" t="n">
        <v>0</v>
      </c>
      <c r="U46" s="39" t="n">
        <v>0</v>
      </c>
      <c r="V46" s="39" t="n">
        <v>0</v>
      </c>
      <c r="W46" s="39" t="n">
        <v>0</v>
      </c>
      <c r="X46" s="39" t="n">
        <v>0</v>
      </c>
      <c r="Y46" s="39" t="n">
        <v>0</v>
      </c>
      <c r="Z46" s="39" t="n">
        <v>0</v>
      </c>
      <c r="AA46" s="380">
        <f>Y46+IF(NOT(ISBLANK(OFFSET(AA46,0,6))),N(OFFSET(AA46,0,6)),N(OFFSET(AA46,0,7)))-Z46</f>
        <v/>
      </c>
      <c r="AB46" s="41" t="n"/>
      <c r="AC46" s="138" t="n"/>
      <c r="AD46" s="138" t="n"/>
      <c r="AF46" s="76" t="n"/>
      <c r="AG46" s="41" t="n"/>
      <c r="AH46" s="19" t="n">
        <v>0</v>
      </c>
      <c r="AI46" s="19" t="n">
        <v>0</v>
      </c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</row>
    <row r="47">
      <c r="A47" s="25" t="inlineStr">
        <is>
          <t>CAIXA P QDB</t>
        </is>
      </c>
      <c r="B47" s="6" t="n">
        <v>150</v>
      </c>
      <c r="C47" s="632" t="n">
        <v>295.72</v>
      </c>
      <c r="D47" s="240" t="n">
        <v>10</v>
      </c>
      <c r="E47" s="1" t="n"/>
      <c r="F47" s="39" t="n">
        <v>0</v>
      </c>
      <c r="G47" s="39" t="n">
        <v>0</v>
      </c>
      <c r="H47" s="39" t="n">
        <v>0</v>
      </c>
      <c r="I47" s="39" t="n">
        <v>0</v>
      </c>
      <c r="J47" s="39" t="n">
        <v>0</v>
      </c>
      <c r="K47" s="39" t="n">
        <v>0</v>
      </c>
      <c r="L47" s="39" t="n">
        <v>0</v>
      </c>
      <c r="M47" s="39" t="n">
        <v>0</v>
      </c>
      <c r="N47" s="39" t="n">
        <v>0</v>
      </c>
      <c r="O47" s="39" t="n">
        <v>0</v>
      </c>
      <c r="P47" s="39" t="n">
        <v>0</v>
      </c>
      <c r="Q47" s="39" t="n">
        <v>0</v>
      </c>
      <c r="R47" s="39" t="n">
        <v>0</v>
      </c>
      <c r="S47" s="39" t="n">
        <v>0</v>
      </c>
      <c r="T47" s="39" t="n">
        <v>0</v>
      </c>
      <c r="U47" s="39" t="n">
        <v>0</v>
      </c>
      <c r="V47" s="39" t="n">
        <v>0</v>
      </c>
      <c r="W47" s="39" t="n">
        <v>0</v>
      </c>
      <c r="X47" s="39" t="n">
        <v>0</v>
      </c>
      <c r="Y47" s="39" t="n">
        <v>0</v>
      </c>
      <c r="Z47" s="39" t="n">
        <v>0</v>
      </c>
      <c r="AA47" s="380">
        <f>Y47+IF(NOT(ISBLANK(OFFSET(AA47,0,6))),N(OFFSET(AA47,0,6)),N(OFFSET(AA47,0,7)))-Z47</f>
        <v/>
      </c>
      <c r="AB47" s="41" t="n"/>
      <c r="AC47" s="138" t="n"/>
      <c r="AD47" s="138" t="n"/>
      <c r="AF47" s="76" t="n"/>
      <c r="AG47" s="41" t="n"/>
      <c r="AH47" s="19" t="n">
        <v>0</v>
      </c>
      <c r="AI47" s="19" t="n">
        <v>0</v>
      </c>
      <c r="AJ47" s="163" t="n"/>
      <c r="AK47" s="163" t="n"/>
      <c r="AL47" s="163" t="n"/>
      <c r="AM47" s="163" t="n"/>
      <c r="AN47" s="163" t="n"/>
      <c r="AO47" s="163" t="n"/>
      <c r="AP47" s="163" t="n"/>
      <c r="AQ47" s="163" t="n"/>
      <c r="AR47" s="163" t="n"/>
      <c r="AS47" s="163" t="n"/>
      <c r="AT47" s="163" t="n"/>
      <c r="AU47" s="163" t="n"/>
      <c r="AV47" s="163" t="n"/>
      <c r="AW47" s="163" t="n"/>
      <c r="AX47" s="163" t="n"/>
      <c r="AY47" s="163" t="n"/>
      <c r="AZ47" s="163" t="n"/>
      <c r="BA47" s="163" t="n"/>
      <c r="BB47" s="163" t="n"/>
      <c r="BC47" s="163" t="n"/>
      <c r="BD47" s="163" t="n"/>
      <c r="BE47" s="163" t="n"/>
      <c r="BF47" s="163" t="n"/>
      <c r="BG47" s="163" t="n"/>
    </row>
    <row r="48">
      <c r="A48" s="25" t="inlineStr">
        <is>
          <t>CAIXA M QDB</t>
        </is>
      </c>
      <c r="B48" s="6" t="n">
        <v>100</v>
      </c>
      <c r="C48" s="632" t="n">
        <v>216.38</v>
      </c>
      <c r="D48" s="240" t="n">
        <v>10</v>
      </c>
      <c r="E48" s="1" t="n"/>
      <c r="F48" s="39" t="n">
        <v>22</v>
      </c>
      <c r="G48" s="39" t="n">
        <v>22</v>
      </c>
      <c r="H48" s="39" t="n">
        <v>22</v>
      </c>
      <c r="I48" s="39" t="n">
        <v>22</v>
      </c>
      <c r="J48" s="39" t="n">
        <v>22</v>
      </c>
      <c r="K48" s="39" t="n">
        <v>22</v>
      </c>
      <c r="L48" s="39" t="n">
        <v>22</v>
      </c>
      <c r="M48" s="39" t="n">
        <v>22</v>
      </c>
      <c r="N48" s="39" t="n">
        <v>22</v>
      </c>
      <c r="O48" s="39" t="n">
        <v>22</v>
      </c>
      <c r="P48" s="39" t="n">
        <v>22</v>
      </c>
      <c r="Q48" s="39" t="n">
        <v>22</v>
      </c>
      <c r="R48" s="39" t="n">
        <v>22</v>
      </c>
      <c r="S48" s="39" t="n">
        <v>22</v>
      </c>
      <c r="T48" s="39" t="n">
        <v>22</v>
      </c>
      <c r="U48" s="39" t="n"/>
      <c r="V48" s="39" t="n"/>
      <c r="W48" s="39" t="n"/>
      <c r="X48" s="39" t="n"/>
      <c r="Y48" s="39" t="n"/>
      <c r="Z48" s="39" t="n">
        <v>22</v>
      </c>
      <c r="AA48" s="380">
        <f>Y48+IF(NOT(ISBLANK(OFFSET(AA48,0,6))),N(OFFSET(AA48,0,6)),N(OFFSET(AA48,0,7)))-Z48</f>
        <v/>
      </c>
      <c r="AB48" s="41" t="n"/>
      <c r="AC48" s="138" t="n"/>
      <c r="AD48" s="138" t="n"/>
      <c r="AF48" s="76" t="n"/>
      <c r="AG48" s="41" t="n"/>
      <c r="AH48" s="19" t="n">
        <v>0</v>
      </c>
      <c r="AI48" s="19" t="n">
        <v>0</v>
      </c>
      <c r="AJ48" s="163" t="n"/>
      <c r="AK48" s="163" t="n"/>
      <c r="AL48" s="163" t="n"/>
      <c r="AM48" s="163" t="n"/>
      <c r="AN48" s="163" t="n"/>
      <c r="AO48" s="163" t="n"/>
      <c r="AP48" s="163" t="n"/>
      <c r="AQ48" s="163" t="n"/>
      <c r="AR48" s="163" t="n"/>
      <c r="AS48" s="163" t="n"/>
      <c r="AT48" s="163" t="n"/>
      <c r="AU48" s="163" t="n"/>
      <c r="AV48" s="163" t="n"/>
      <c r="AW48" s="163" t="n"/>
      <c r="AX48" s="163" t="n"/>
      <c r="AY48" s="163" t="n"/>
      <c r="AZ48" s="163" t="n"/>
      <c r="BA48" s="163" t="n"/>
      <c r="BB48" s="163" t="n"/>
      <c r="BC48" s="163" t="n"/>
      <c r="BD48" s="163" t="n"/>
      <c r="BE48" s="163" t="n"/>
      <c r="BF48" s="163" t="n"/>
      <c r="BG48" s="163" t="n"/>
    </row>
    <row r="49">
      <c r="A49" s="25" t="inlineStr">
        <is>
          <t>CAIXA G QDB</t>
        </is>
      </c>
      <c r="B49" s="6" t="n">
        <v>100</v>
      </c>
      <c r="C49" s="632" t="n">
        <v>306</v>
      </c>
      <c r="D49" s="240" t="n">
        <v>10</v>
      </c>
      <c r="E49" s="1" t="n"/>
      <c r="F49" s="39" t="n">
        <v>3</v>
      </c>
      <c r="G49" s="39" t="n">
        <v>3</v>
      </c>
      <c r="H49" s="39" t="n">
        <v>3</v>
      </c>
      <c r="I49" s="39" t="n">
        <v>3</v>
      </c>
      <c r="J49" s="39" t="n">
        <v>3</v>
      </c>
      <c r="K49" s="39" t="n">
        <v>3</v>
      </c>
      <c r="L49" s="39" t="n">
        <v>3</v>
      </c>
      <c r="M49" s="39" t="n">
        <v>3</v>
      </c>
      <c r="N49" s="39" t="n">
        <v>4</v>
      </c>
      <c r="O49" s="39" t="n">
        <v>4</v>
      </c>
      <c r="P49" s="39" t="n">
        <v>4</v>
      </c>
      <c r="Q49" s="39" t="n">
        <v>3</v>
      </c>
      <c r="R49" s="39" t="n">
        <v>3</v>
      </c>
      <c r="S49" s="39" t="n">
        <v>3</v>
      </c>
      <c r="T49" s="39" t="n">
        <v>3</v>
      </c>
      <c r="U49" s="39" t="n"/>
      <c r="V49" s="39" t="n"/>
      <c r="W49" s="39" t="n"/>
      <c r="X49" s="39" t="n"/>
      <c r="Y49" s="39" t="n"/>
      <c r="Z49" s="39" t="n">
        <v>2</v>
      </c>
      <c r="AA49" s="380">
        <f>Y49+IF(NOT(ISBLANK(OFFSET(AA49,0,6))),N(OFFSET(AA49,0,6)),N(OFFSET(AA49,0,7)))-Z49</f>
        <v/>
      </c>
      <c r="AB49" s="41" t="n"/>
      <c r="AC49" s="138" t="n"/>
      <c r="AD49" s="138" t="n"/>
      <c r="AF49" s="76" t="n"/>
      <c r="AG49" s="41" t="n"/>
      <c r="AH49" s="19" t="n">
        <v>0</v>
      </c>
      <c r="AI49" s="19" t="n">
        <v>0</v>
      </c>
      <c r="AJ49" s="163" t="n"/>
      <c r="AK49" s="163" t="n"/>
      <c r="AL49" s="163" t="n"/>
      <c r="AM49" s="163" t="n"/>
      <c r="AN49" s="163" t="n"/>
      <c r="AO49" s="163" t="n"/>
      <c r="AP49" s="163" t="n"/>
      <c r="AQ49" s="163" t="n"/>
      <c r="AR49" s="163" t="n"/>
      <c r="AS49" s="163" t="n"/>
      <c r="AT49" s="163" t="n"/>
      <c r="AU49" s="163" t="n"/>
      <c r="AV49" s="163" t="n"/>
      <c r="AW49" s="163" t="n"/>
      <c r="AX49" s="163" t="n"/>
      <c r="AY49" s="163" t="n"/>
      <c r="AZ49" s="163" t="n"/>
      <c r="BA49" s="163" t="n"/>
      <c r="BB49" s="163" t="n"/>
      <c r="BC49" s="163" t="n"/>
      <c r="BD49" s="163" t="n"/>
      <c r="BE49" s="163" t="n"/>
      <c r="BF49" s="163" t="n"/>
      <c r="BG49" s="163" t="n"/>
    </row>
    <row r="50">
      <c r="A50" s="23" t="n"/>
      <c r="B50" s="1" t="n"/>
      <c r="C50" s="630" t="n"/>
      <c r="D50" s="630" t="n"/>
      <c r="E50" s="1" t="n"/>
      <c r="F50" s="2" t="n"/>
      <c r="G50" s="2" t="n"/>
      <c r="H50" s="2" t="n"/>
      <c r="I50" s="2" t="n"/>
      <c r="J50" s="2" t="n"/>
      <c r="K50" s="2" t="n"/>
      <c r="L50" s="2" t="n"/>
      <c r="M50" s="2" t="n"/>
      <c r="N50" s="2" t="n"/>
      <c r="O50" s="2" t="n"/>
      <c r="P50" s="2" t="n"/>
      <c r="Q50" s="2" t="n"/>
      <c r="R50" s="2" t="n"/>
      <c r="S50" s="2" t="n"/>
      <c r="T50" s="2" t="n"/>
      <c r="U50" s="2" t="n"/>
      <c r="V50" s="2" t="n"/>
      <c r="W50" s="2" t="n"/>
      <c r="X50" s="2" t="n"/>
      <c r="Y50" s="2" t="n"/>
      <c r="Z50" s="2" t="n"/>
      <c r="AB50" s="41" t="n"/>
      <c r="AC50" s="219" t="n"/>
      <c r="AD50" s="219" t="n"/>
      <c r="AF50" s="210" t="n"/>
      <c r="AG50" s="41" t="n"/>
      <c r="AH50" s="349" t="n"/>
      <c r="AI50" s="349" t="n"/>
      <c r="AJ50" s="349" t="n"/>
      <c r="AK50" s="349" t="n"/>
      <c r="AL50" s="349" t="n"/>
      <c r="AM50" s="349" t="n"/>
      <c r="AN50" s="349" t="n"/>
      <c r="AO50" s="349" t="n"/>
      <c r="AP50" s="349" t="n"/>
      <c r="AQ50" s="349" t="n"/>
      <c r="AR50" s="349" t="n"/>
      <c r="AS50" s="349" t="n"/>
      <c r="AT50" s="349" t="n"/>
      <c r="AU50" s="349" t="n"/>
      <c r="AV50" s="349" t="n"/>
      <c r="AW50" s="349" t="n"/>
      <c r="AX50" s="349" t="n"/>
      <c r="AY50" s="349" t="n"/>
      <c r="AZ50" s="349" t="n"/>
      <c r="BA50" s="349" t="n"/>
      <c r="BB50" s="349" t="n"/>
      <c r="BC50" s="349" t="n"/>
      <c r="BD50" s="349" t="n"/>
      <c r="BE50" s="349" t="n"/>
      <c r="BF50" s="349" t="n"/>
      <c r="BG50" s="349" t="n"/>
    </row>
    <row r="51">
      <c r="A51" s="220" t="inlineStr">
        <is>
          <t>SACOLAS E CAIXAS EUDORA</t>
        </is>
      </c>
      <c r="B51" s="221" t="inlineStr">
        <is>
          <t>PC</t>
        </is>
      </c>
      <c r="C51" s="221" t="inlineStr">
        <is>
          <t>R$</t>
        </is>
      </c>
      <c r="D51" s="221" t="inlineStr">
        <is>
          <t>Estoque Ideal</t>
        </is>
      </c>
      <c r="E51" s="1" t="n"/>
      <c r="F51" s="619" t="n">
        <v>46013</v>
      </c>
      <c r="G51" s="619" t="n">
        <v>46020</v>
      </c>
      <c r="H51" s="619" t="n">
        <v>46027</v>
      </c>
      <c r="I51" s="619" t="n">
        <v>46034</v>
      </c>
      <c r="J51" s="619" t="n">
        <v>46041</v>
      </c>
      <c r="K51" s="619" t="n">
        <v>46048</v>
      </c>
      <c r="L51" s="619" t="n">
        <v>46055</v>
      </c>
      <c r="M51" s="619" t="n">
        <v>46062</v>
      </c>
      <c r="N51" s="619" t="n">
        <v>46069</v>
      </c>
      <c r="O51" s="619" t="n">
        <v>46076</v>
      </c>
      <c r="P51" s="619" t="n">
        <v>46083</v>
      </c>
      <c r="Q51" s="619" t="n">
        <v>46090</v>
      </c>
      <c r="R51" s="619" t="n">
        <v>46097</v>
      </c>
      <c r="S51" s="619" t="n">
        <v>46104</v>
      </c>
      <c r="T51" s="619" t="n">
        <v>46111</v>
      </c>
      <c r="U51" s="619" t="n">
        <v>46118</v>
      </c>
      <c r="V51" s="619" t="n">
        <v>46125</v>
      </c>
      <c r="W51" s="619" t="n">
        <v>46132</v>
      </c>
      <c r="X51" s="619" t="n">
        <v>46139</v>
      </c>
      <c r="Y51" s="619" t="n">
        <v>46146</v>
      </c>
      <c r="Z51" s="619" t="n">
        <v>46154</v>
      </c>
      <c r="AA51" s="621" t="inlineStr">
        <is>
          <t>USOU</t>
        </is>
      </c>
      <c r="AB51" s="41" t="n"/>
      <c r="AC51" s="29" t="inlineStr">
        <is>
          <t>Pendências</t>
        </is>
      </c>
      <c r="AD51" s="29" t="inlineStr">
        <is>
          <t>Pendências</t>
        </is>
      </c>
      <c r="AF51" s="9" t="inlineStr">
        <is>
          <t>Novo Pedido</t>
        </is>
      </c>
      <c r="AG51" s="41" t="n"/>
      <c r="AH51" s="674" t="n">
        <v>46149</v>
      </c>
      <c r="AI51" s="674" t="n">
        <v>46142</v>
      </c>
      <c r="AJ51" s="674" t="n">
        <v>46114</v>
      </c>
      <c r="AK51" s="674" t="n">
        <v>46107</v>
      </c>
      <c r="AL51" s="674" t="n">
        <v>46099</v>
      </c>
      <c r="AM51" s="675" t="n">
        <v>46065</v>
      </c>
      <c r="AN51" s="674" t="n">
        <v>46092</v>
      </c>
      <c r="AO51" s="674" t="n">
        <v>46084</v>
      </c>
      <c r="AP51" s="675" t="n">
        <v>46065</v>
      </c>
      <c r="AQ51" s="676" t="n">
        <v>46045</v>
      </c>
      <c r="AR51" s="674" t="n">
        <v>46077</v>
      </c>
      <c r="AS51" s="674" t="n">
        <v>46071</v>
      </c>
      <c r="AT51" s="674" t="n">
        <v>46056</v>
      </c>
      <c r="AU51" s="674" t="n">
        <v>46048</v>
      </c>
      <c r="AV51" s="674" t="n">
        <v>46029</v>
      </c>
      <c r="AW51" s="674" t="n">
        <v>46029</v>
      </c>
      <c r="AX51" s="674" t="n">
        <v>46043</v>
      </c>
      <c r="AY51" s="674" t="n">
        <v>46029</v>
      </c>
      <c r="AZ51" s="674" t="n">
        <v>46017</v>
      </c>
      <c r="BA51" s="674" t="n">
        <v>46007</v>
      </c>
      <c r="BB51" s="674" t="n">
        <v>46001</v>
      </c>
      <c r="BC51" s="674" t="n">
        <v>46001</v>
      </c>
      <c r="BD51" s="677" t="n">
        <v>46014</v>
      </c>
      <c r="BE51" s="674" t="n">
        <v>45994</v>
      </c>
      <c r="BF51" s="674" t="n">
        <v>45986</v>
      </c>
      <c r="BG51" s="674" t="n">
        <v>45986</v>
      </c>
    </row>
    <row r="52">
      <c r="A52" s="25" t="inlineStr">
        <is>
          <t>SACOLA P EUDORA</t>
        </is>
      </c>
      <c r="B52" s="6" t="n">
        <v>200</v>
      </c>
      <c r="C52" s="632" t="n">
        <v>174.51</v>
      </c>
      <c r="D52" s="240" t="inlineStr">
        <is>
          <t>?</t>
        </is>
      </c>
      <c r="E52" s="1" t="n"/>
      <c r="F52" s="39">
        <f>1000+BA52</f>
        <v/>
      </c>
      <c r="G52" s="39" t="n">
        <v>1800</v>
      </c>
      <c r="H52" s="39" t="n">
        <v>1000</v>
      </c>
      <c r="I52" s="39" t="n">
        <v>1000</v>
      </c>
      <c r="J52" s="39" t="n">
        <v>600</v>
      </c>
      <c r="K52" s="39" t="n">
        <v>800</v>
      </c>
      <c r="L52" s="39">
        <f>800+AU52</f>
        <v/>
      </c>
      <c r="M52" s="39" t="n">
        <v>2200</v>
      </c>
      <c r="N52" s="39" t="n">
        <v>2000</v>
      </c>
      <c r="O52" s="39" t="n">
        <v>1600</v>
      </c>
      <c r="P52" s="39">
        <f>1000+AR52</f>
        <v/>
      </c>
      <c r="Q52" s="39" t="n">
        <v>1400</v>
      </c>
      <c r="R52" s="39" t="n">
        <v>600</v>
      </c>
      <c r="S52" s="39">
        <f>200+AL52</f>
        <v/>
      </c>
      <c r="T52" s="39">
        <f>800+AK52</f>
        <v/>
      </c>
      <c r="U52" s="39" t="n">
        <v>1000</v>
      </c>
      <c r="V52" s="39" t="n">
        <v>600</v>
      </c>
      <c r="W52" s="39" t="n">
        <v>600</v>
      </c>
      <c r="X52" s="39" t="n">
        <v>0</v>
      </c>
      <c r="Y52" s="39">
        <f>0+AI52</f>
        <v/>
      </c>
      <c r="Z52" s="39" t="n">
        <v>600</v>
      </c>
      <c r="AA52" s="380">
        <f>Y52+IF(NOT(ISBLANK(OFFSET(AA52,0,6))),N(OFFSET(AA52,0,6)),N(OFFSET(AA52,0,7)))-Z52</f>
        <v/>
      </c>
      <c r="AB52" s="41" t="n"/>
      <c r="AC52" s="138" t="n"/>
      <c r="AD52" s="138" t="n"/>
      <c r="AF52" s="76" t="n">
        <v>400</v>
      </c>
      <c r="AG52" s="41" t="n"/>
      <c r="AH52" s="19" t="n">
        <v>0</v>
      </c>
      <c r="AI52" s="19" t="n">
        <v>600</v>
      </c>
      <c r="AJ52" s="19" t="n">
        <v>1000</v>
      </c>
      <c r="AK52" s="19" t="n">
        <v>800</v>
      </c>
      <c r="AL52" s="19" t="n">
        <v>1000</v>
      </c>
      <c r="AM52" s="19" t="n"/>
      <c r="AN52" s="19" t="n"/>
      <c r="AO52" s="19" t="n"/>
      <c r="AP52" s="19" t="n"/>
      <c r="AQ52" s="19" t="n"/>
      <c r="AR52" s="19" t="n">
        <v>800</v>
      </c>
      <c r="AS52" s="19" t="n"/>
      <c r="AT52" s="19" t="n"/>
      <c r="AU52" s="19" t="n">
        <v>2000</v>
      </c>
      <c r="AV52" s="19" t="n">
        <v>200</v>
      </c>
      <c r="AW52" s="19" t="n">
        <v>1200</v>
      </c>
      <c r="AX52" s="19" t="n"/>
      <c r="AY52" s="19" t="n"/>
      <c r="AZ52" s="19" t="n">
        <v>800</v>
      </c>
      <c r="BA52" s="19" t="n">
        <v>800</v>
      </c>
      <c r="BB52" s="19" t="n"/>
      <c r="BC52" s="19" t="n"/>
      <c r="BD52" s="19" t="n"/>
      <c r="BE52" s="19" t="n"/>
      <c r="BF52" s="19" t="n">
        <v>2000</v>
      </c>
      <c r="BG52" s="19" t="n"/>
    </row>
    <row r="53">
      <c r="A53" s="25" t="inlineStr">
        <is>
          <t>SACOLA M EUDORA</t>
        </is>
      </c>
      <c r="B53" s="6" t="n">
        <v>200</v>
      </c>
      <c r="C53" s="632" t="n">
        <v>229.36</v>
      </c>
      <c r="D53" s="240" t="inlineStr">
        <is>
          <t>?</t>
        </is>
      </c>
      <c r="E53" s="1" t="n"/>
      <c r="F53" s="39" t="n">
        <v>1200</v>
      </c>
      <c r="G53" s="39" t="n">
        <v>1200</v>
      </c>
      <c r="H53" s="39" t="n">
        <v>1000</v>
      </c>
      <c r="I53" s="39" t="n">
        <v>1000</v>
      </c>
      <c r="J53" s="39" t="n">
        <v>1000</v>
      </c>
      <c r="K53" s="39" t="n">
        <v>1000</v>
      </c>
      <c r="L53" s="39" t="n">
        <v>800</v>
      </c>
      <c r="M53" s="39" t="n">
        <v>800</v>
      </c>
      <c r="N53" s="39" t="n">
        <v>600</v>
      </c>
      <c r="O53" s="39" t="n">
        <v>600</v>
      </c>
      <c r="P53" s="39" t="n">
        <v>600</v>
      </c>
      <c r="Q53" s="39" t="n">
        <v>600</v>
      </c>
      <c r="R53" s="39" t="n">
        <v>600</v>
      </c>
      <c r="S53" s="39" t="n">
        <v>400</v>
      </c>
      <c r="T53" s="39" t="n">
        <v>400</v>
      </c>
      <c r="U53" s="39" t="n">
        <v>400</v>
      </c>
      <c r="V53" s="39" t="n">
        <v>400</v>
      </c>
      <c r="W53" s="39" t="n">
        <v>200</v>
      </c>
      <c r="X53" s="39" t="n">
        <v>200</v>
      </c>
      <c r="Y53" s="39" t="n">
        <v>0</v>
      </c>
      <c r="Z53" s="39">
        <f>0+AH53</f>
        <v/>
      </c>
      <c r="AA53" s="380">
        <f>Y53+IF(NOT(ISBLANK(OFFSET(AA53,0,6))),N(OFFSET(AA53,0,6)),N(OFFSET(AA53,0,7)))-Z53</f>
        <v/>
      </c>
      <c r="AB53" s="41" t="n"/>
      <c r="AC53" s="138" t="n"/>
      <c r="AD53" s="138" t="n"/>
      <c r="AF53" s="76" t="n"/>
      <c r="AG53" s="41" t="n"/>
      <c r="AH53" s="19" t="n">
        <v>400</v>
      </c>
      <c r="AI53" s="19" t="n">
        <v>0</v>
      </c>
      <c r="AJ53" s="19" t="n"/>
      <c r="AK53" s="19" t="n"/>
      <c r="AL53" s="19" t="n"/>
      <c r="AM53" s="19" t="n"/>
      <c r="AN53" s="19" t="n"/>
      <c r="AO53" s="19" t="n"/>
      <c r="AP53" s="19" t="n"/>
      <c r="AQ53" s="19" t="n"/>
      <c r="AR53" s="19" t="n"/>
      <c r="AS53" s="19" t="n"/>
      <c r="AT53" s="19" t="n"/>
      <c r="AU53" s="19" t="n"/>
      <c r="AV53" s="19" t="n"/>
      <c r="AW53" s="19" t="n"/>
      <c r="AX53" s="19" t="n"/>
      <c r="AY53" s="19" t="n"/>
      <c r="AZ53" s="19" t="n"/>
      <c r="BA53" s="19" t="n"/>
      <c r="BB53" s="19" t="n"/>
      <c r="BC53" s="19" t="n"/>
      <c r="BD53" s="19" t="n"/>
      <c r="BE53" s="19" t="n"/>
      <c r="BF53" s="19" t="n">
        <v>1000</v>
      </c>
      <c r="BG53" s="19" t="n"/>
    </row>
    <row r="54">
      <c r="A54" s="25" t="inlineStr">
        <is>
          <t>SACOLA G EUDORA</t>
        </is>
      </c>
      <c r="B54" s="6" t="n">
        <v>100</v>
      </c>
      <c r="C54" s="632" t="n">
        <v>166.79</v>
      </c>
      <c r="D54" s="240" t="inlineStr">
        <is>
          <t>?</t>
        </is>
      </c>
      <c r="E54" s="1" t="n"/>
      <c r="F54" s="39" t="n">
        <v>400</v>
      </c>
      <c r="G54" s="39" t="n">
        <v>400</v>
      </c>
      <c r="H54" s="39" t="n">
        <v>400</v>
      </c>
      <c r="I54" s="39" t="n">
        <v>400</v>
      </c>
      <c r="J54" s="39" t="n">
        <v>400</v>
      </c>
      <c r="K54" s="39" t="n">
        <v>400</v>
      </c>
      <c r="L54" s="39" t="n">
        <v>400</v>
      </c>
      <c r="M54" s="39" t="n">
        <v>400</v>
      </c>
      <c r="N54" s="39" t="n">
        <v>400</v>
      </c>
      <c r="O54" s="39" t="n">
        <v>300</v>
      </c>
      <c r="P54" s="39">
        <f>300+AR54</f>
        <v/>
      </c>
      <c r="Q54" s="39" t="n">
        <v>500</v>
      </c>
      <c r="R54" s="39" t="n">
        <v>500</v>
      </c>
      <c r="S54" s="39" t="n">
        <v>600</v>
      </c>
      <c r="T54" s="39" t="n">
        <v>600</v>
      </c>
      <c r="U54" s="39" t="n">
        <v>600</v>
      </c>
      <c r="V54" s="39" t="n">
        <v>600</v>
      </c>
      <c r="W54" s="39" t="n">
        <v>600</v>
      </c>
      <c r="X54" s="39" t="n">
        <v>600</v>
      </c>
      <c r="Y54" s="39" t="n">
        <v>600</v>
      </c>
      <c r="Z54" s="39" t="n">
        <v>600</v>
      </c>
      <c r="AA54" s="380">
        <f>Y54+IF(NOT(ISBLANK(OFFSET(AA54,0,6))),N(OFFSET(AA54,0,6)),N(OFFSET(AA54,0,7)))-Z54</f>
        <v/>
      </c>
      <c r="AB54" s="41" t="n"/>
      <c r="AC54" s="138" t="inlineStr">
        <is>
          <t>100 P/ ER SM</t>
        </is>
      </c>
      <c r="AD54" s="138" t="n"/>
      <c r="AF54" s="76" t="n"/>
      <c r="AG54" s="41" t="n"/>
      <c r="AH54" s="19" t="n">
        <v>0</v>
      </c>
      <c r="AI54" s="19" t="n">
        <v>0</v>
      </c>
      <c r="AJ54" s="19" t="n"/>
      <c r="AK54" s="19" t="n"/>
      <c r="AL54" s="19" t="n"/>
      <c r="AM54" s="19" t="n"/>
      <c r="AN54" s="19" t="n"/>
      <c r="AO54" s="19" t="n"/>
      <c r="AP54" s="19" t="n"/>
      <c r="AQ54" s="19" t="n"/>
      <c r="AR54" s="19" t="n">
        <v>300</v>
      </c>
      <c r="AS54" s="19" t="n"/>
      <c r="AT54" s="19" t="n"/>
      <c r="AU54" s="19" t="n"/>
      <c r="AV54" s="19" t="n"/>
      <c r="AW54" s="19" t="n"/>
      <c r="AX54" s="19" t="n"/>
      <c r="AY54" s="19" t="n"/>
      <c r="AZ54" s="19" t="n"/>
      <c r="BA54" s="19" t="n"/>
      <c r="BB54" s="19" t="n"/>
      <c r="BC54" s="19" t="n"/>
      <c r="BD54" s="19" t="n"/>
      <c r="BE54" s="19" t="n"/>
      <c r="BF54" s="19" t="n"/>
      <c r="BG54" s="19" t="n"/>
    </row>
    <row r="55">
      <c r="A55" s="538" t="inlineStr">
        <is>
          <t>KIT SACOLA P EUDORA (C/ 10)</t>
        </is>
      </c>
      <c r="B55" s="223" t="n">
        <v>200</v>
      </c>
      <c r="C55" s="683" t="n">
        <v>175.36</v>
      </c>
      <c r="D55" s="240" t="n">
        <v>40</v>
      </c>
      <c r="E55" s="1" t="n"/>
      <c r="F55" s="39">
        <f>2+BB55</f>
        <v/>
      </c>
      <c r="G55" s="39" t="n">
        <v>41</v>
      </c>
      <c r="H55" s="39" t="n">
        <v>40</v>
      </c>
      <c r="I55" s="39" t="n">
        <v>40</v>
      </c>
      <c r="J55" s="39" t="n">
        <v>39</v>
      </c>
      <c r="K55" s="39" t="n">
        <v>38</v>
      </c>
      <c r="L55" s="39" t="n">
        <v>35</v>
      </c>
      <c r="M55" s="39" t="n">
        <v>32</v>
      </c>
      <c r="N55" s="39" t="n">
        <v>31</v>
      </c>
      <c r="O55" s="39" t="n">
        <v>31</v>
      </c>
      <c r="P55" s="39" t="n">
        <v>29</v>
      </c>
      <c r="Q55" s="39" t="n">
        <v>29</v>
      </c>
      <c r="R55" s="39" t="n">
        <v>27</v>
      </c>
      <c r="S55" s="39" t="n">
        <v>21</v>
      </c>
      <c r="T55" s="39" t="n">
        <v>20</v>
      </c>
      <c r="U55" s="39" t="n"/>
      <c r="V55" s="39" t="n"/>
      <c r="W55" s="39" t="n"/>
      <c r="X55" s="39" t="n"/>
      <c r="Y55" s="39" t="n"/>
      <c r="Z55" s="39" t="n">
        <v>17</v>
      </c>
      <c r="AA55" s="380">
        <f>Y55+IF(NOT(ISBLANK(OFFSET(AA55,0,6))),N(OFFSET(AA55,0,6)),N(OFFSET(AA55,0,7)))-Z55</f>
        <v/>
      </c>
      <c r="AB55" s="41" t="n"/>
      <c r="AC55" s="138" t="n"/>
      <c r="AD55" s="138" t="n"/>
      <c r="AF55" s="76" t="n"/>
      <c r="AG55" s="41" t="n"/>
      <c r="AH55" s="19" t="n">
        <v>0</v>
      </c>
      <c r="AI55" s="19" t="n">
        <v>0</v>
      </c>
      <c r="AJ55" s="19" t="n"/>
      <c r="AK55" s="19" t="n"/>
      <c r="AL55" s="19" t="n"/>
      <c r="AM55" s="19" t="n"/>
      <c r="AN55" s="19" t="n"/>
      <c r="AO55" s="19" t="n"/>
      <c r="AP55" s="19" t="n"/>
      <c r="AQ55" s="19" t="n"/>
      <c r="AR55" s="19" t="n"/>
      <c r="AS55" s="19" t="n"/>
      <c r="AT55" s="19" t="n"/>
      <c r="AU55" s="19" t="n"/>
      <c r="AV55" s="19" t="n"/>
      <c r="AW55" s="19" t="n"/>
      <c r="AX55" s="19" t="n"/>
      <c r="AY55" s="19" t="n"/>
      <c r="AZ55" s="19" t="n"/>
      <c r="BA55" s="19" t="n"/>
      <c r="BB55" s="19" t="n">
        <v>40</v>
      </c>
      <c r="BC55" s="19" t="n"/>
      <c r="BD55" s="19" t="n"/>
      <c r="BE55" s="19" t="n"/>
      <c r="BF55" s="19" t="n"/>
      <c r="BG55" s="19" t="n"/>
    </row>
    <row r="56">
      <c r="A56" s="538" t="inlineStr">
        <is>
          <t>KIT SACOLA M EUDORA (C/ 10)</t>
        </is>
      </c>
      <c r="B56" s="223" t="n">
        <v>150</v>
      </c>
      <c r="C56" s="683" t="n">
        <v>172.76</v>
      </c>
      <c r="D56" s="240" t="n">
        <v>40</v>
      </c>
      <c r="E56" s="1" t="n"/>
      <c r="F56" s="39" t="n">
        <v>42</v>
      </c>
      <c r="G56" s="39" t="n">
        <v>42</v>
      </c>
      <c r="H56" s="39" t="n">
        <v>42</v>
      </c>
      <c r="I56" s="39" t="n">
        <v>41</v>
      </c>
      <c r="J56" s="39" t="n">
        <v>41</v>
      </c>
      <c r="K56" s="39" t="n">
        <v>41</v>
      </c>
      <c r="L56" s="39" t="n">
        <v>41</v>
      </c>
      <c r="M56" s="39" t="n">
        <v>41</v>
      </c>
      <c r="N56" s="39" t="n">
        <v>41</v>
      </c>
      <c r="O56" s="39" t="n">
        <v>40</v>
      </c>
      <c r="P56" s="39" t="n">
        <v>40</v>
      </c>
      <c r="Q56" s="39" t="n">
        <v>39</v>
      </c>
      <c r="R56" s="39" t="n">
        <v>38</v>
      </c>
      <c r="S56" s="39" t="n">
        <v>38</v>
      </c>
      <c r="T56" s="39" t="n">
        <v>37</v>
      </c>
      <c r="U56" s="39" t="n"/>
      <c r="V56" s="39" t="n"/>
      <c r="W56" s="39" t="n"/>
      <c r="X56" s="39" t="n"/>
      <c r="Y56" s="39" t="n"/>
      <c r="Z56" s="39" t="n">
        <v>34</v>
      </c>
      <c r="AA56" s="380">
        <f>Y56+IF(NOT(ISBLANK(OFFSET(AA56,0,6))),N(OFFSET(AA56,0,6)),N(OFFSET(AA56,0,7)))-Z56</f>
        <v/>
      </c>
      <c r="AB56" s="41" t="n"/>
      <c r="AC56" s="138" t="n"/>
      <c r="AD56" s="138" t="n"/>
      <c r="AF56" s="76" t="n"/>
      <c r="AG56" s="41" t="n"/>
      <c r="AH56" s="19" t="n">
        <v>0</v>
      </c>
      <c r="AI56" s="19" t="n">
        <v>0</v>
      </c>
      <c r="AJ56" s="19" t="n"/>
      <c r="AK56" s="19" t="n"/>
      <c r="AL56" s="19" t="n"/>
      <c r="AM56" s="19" t="n"/>
      <c r="AN56" s="19" t="n"/>
      <c r="AO56" s="19" t="n"/>
      <c r="AP56" s="19" t="n"/>
      <c r="AQ56" s="19" t="n"/>
      <c r="AR56" s="19" t="n"/>
      <c r="AS56" s="19" t="n"/>
      <c r="AT56" s="19" t="n"/>
      <c r="AU56" s="19" t="n"/>
      <c r="AV56" s="19" t="n"/>
      <c r="AW56" s="19" t="n"/>
      <c r="AX56" s="19" t="n"/>
      <c r="AY56" s="19" t="n"/>
      <c r="AZ56" s="19" t="n"/>
      <c r="BA56" s="19" t="n"/>
      <c r="BB56" s="19" t="n">
        <v>30</v>
      </c>
      <c r="BC56" s="19" t="n"/>
      <c r="BD56" s="19" t="n"/>
      <c r="BE56" s="19" t="n"/>
      <c r="BF56" s="19" t="n"/>
      <c r="BG56" s="19" t="n"/>
    </row>
    <row r="57">
      <c r="A57" s="538" t="inlineStr">
        <is>
          <t>KIT SACOLA G EUDORA (C/ 10)</t>
        </is>
      </c>
      <c r="B57" s="223" t="inlineStr">
        <is>
          <t>-</t>
        </is>
      </c>
      <c r="C57" s="683" t="inlineStr">
        <is>
          <t>-</t>
        </is>
      </c>
      <c r="D57" s="240" t="n">
        <v>20</v>
      </c>
      <c r="E57" s="1" t="n"/>
      <c r="F57" s="39" t="n">
        <v>0</v>
      </c>
      <c r="G57" s="39" t="n">
        <v>0</v>
      </c>
      <c r="H57" s="39" t="n">
        <v>0</v>
      </c>
      <c r="I57" s="39" t="n">
        <v>0</v>
      </c>
      <c r="J57" s="39" t="n">
        <v>0</v>
      </c>
      <c r="K57" s="39" t="n">
        <v>0</v>
      </c>
      <c r="L57" s="39" t="n">
        <v>0</v>
      </c>
      <c r="M57" s="39" t="n">
        <v>0</v>
      </c>
      <c r="N57" s="39" t="n">
        <v>0</v>
      </c>
      <c r="O57" s="39" t="n">
        <v>0</v>
      </c>
      <c r="P57" s="39" t="n">
        <v>0</v>
      </c>
      <c r="Q57" s="39" t="n">
        <v>0</v>
      </c>
      <c r="R57" s="39" t="n">
        <v>0</v>
      </c>
      <c r="S57" s="39" t="n">
        <v>0</v>
      </c>
      <c r="T57" s="39" t="n">
        <v>0</v>
      </c>
      <c r="U57" s="39" t="n"/>
      <c r="V57" s="39" t="n"/>
      <c r="W57" s="39" t="n"/>
      <c r="X57" s="39" t="n"/>
      <c r="Y57" s="39" t="n"/>
      <c r="Z57" s="39" t="n">
        <v>0</v>
      </c>
      <c r="AA57" s="380">
        <f>Y57+IF(NOT(ISBLANK(OFFSET(AA57,0,6))),N(OFFSET(AA57,0,6)),N(OFFSET(AA57,0,7)))-Z57</f>
        <v/>
      </c>
      <c r="AB57" s="41" t="n"/>
      <c r="AC57" s="138" t="n"/>
      <c r="AD57" s="138" t="n"/>
      <c r="AF57" s="76" t="n"/>
      <c r="AG57" s="41" t="n"/>
      <c r="AH57" s="19" t="n">
        <v>0</v>
      </c>
      <c r="AI57" s="19" t="n">
        <v>0</v>
      </c>
      <c r="AJ57" s="163" t="n"/>
      <c r="AK57" s="163" t="n"/>
      <c r="AL57" s="163" t="n"/>
      <c r="AM57" s="163" t="n"/>
      <c r="AN57" s="163" t="n"/>
      <c r="AO57" s="163" t="n"/>
      <c r="AP57" s="163" t="n"/>
      <c r="AQ57" s="163" t="n"/>
      <c r="AR57" s="163" t="n"/>
      <c r="AS57" s="163" t="n"/>
      <c r="AT57" s="163" t="n"/>
      <c r="AU57" s="163" t="n"/>
      <c r="AV57" s="163" t="n"/>
      <c r="AW57" s="163" t="n"/>
      <c r="AX57" s="163" t="n"/>
      <c r="AY57" s="163" t="n"/>
      <c r="AZ57" s="163" t="n"/>
      <c r="BA57" s="163" t="n"/>
      <c r="BB57" s="163" t="n"/>
      <c r="BC57" s="163" t="n"/>
      <c r="BD57" s="163" t="n"/>
      <c r="BE57" s="163" t="n"/>
      <c r="BF57" s="163" t="n"/>
      <c r="BG57" s="163" t="n"/>
    </row>
    <row r="58">
      <c r="A58" s="538" t="inlineStr">
        <is>
          <t>CAIXA P EUDORA</t>
        </is>
      </c>
      <c r="B58" s="223" t="n">
        <v>150</v>
      </c>
      <c r="C58" s="683" t="n">
        <v>400.5</v>
      </c>
      <c r="D58" s="240" t="n">
        <v>20</v>
      </c>
      <c r="E58" s="1" t="n"/>
      <c r="F58" s="39" t="n">
        <v>52</v>
      </c>
      <c r="G58" s="39" t="n">
        <v>2</v>
      </c>
      <c r="H58" s="39" t="n">
        <v>2</v>
      </c>
      <c r="I58" s="39" t="n">
        <v>0</v>
      </c>
      <c r="J58" s="39" t="n">
        <v>0</v>
      </c>
      <c r="K58" s="39">
        <f>0+AX58</f>
        <v/>
      </c>
      <c r="L58" s="39" t="n">
        <v>150</v>
      </c>
      <c r="M58" s="39" t="n">
        <v>149</v>
      </c>
      <c r="N58" s="39" t="n">
        <v>149</v>
      </c>
      <c r="O58" s="39" t="n">
        <v>148</v>
      </c>
      <c r="P58" s="39" t="n">
        <v>148</v>
      </c>
      <c r="Q58" s="39" t="n">
        <v>145</v>
      </c>
      <c r="R58" s="39" t="n">
        <v>145</v>
      </c>
      <c r="S58" s="39" t="n">
        <v>145</v>
      </c>
      <c r="T58" s="39" t="n">
        <v>145</v>
      </c>
      <c r="U58" s="39" t="n"/>
      <c r="V58" s="39" t="n"/>
      <c r="W58" s="39" t="n"/>
      <c r="X58" s="39" t="n"/>
      <c r="Y58" s="39" t="n"/>
      <c r="Z58" s="39" t="n">
        <v>142</v>
      </c>
      <c r="AA58" s="380">
        <f>Y58+IF(NOT(ISBLANK(OFFSET(AA58,0,6))),N(OFFSET(AA58,0,6)),N(OFFSET(AA58,0,7)))-Z58</f>
        <v/>
      </c>
      <c r="AB58" s="41" t="n"/>
      <c r="AC58" s="138" t="n"/>
      <c r="AD58" s="138" t="n"/>
      <c r="AF58" s="76" t="n"/>
      <c r="AG58" s="41" t="n"/>
      <c r="AH58" s="19" t="n">
        <v>0</v>
      </c>
      <c r="AI58" s="19" t="n">
        <v>0</v>
      </c>
      <c r="AJ58" s="19" t="n"/>
      <c r="AK58" s="19" t="n"/>
      <c r="AL58" s="19" t="n"/>
      <c r="AM58" s="19" t="n"/>
      <c r="AN58" s="19" t="n"/>
      <c r="AO58" s="19" t="n"/>
      <c r="AP58" s="19" t="n"/>
      <c r="AQ58" s="19" t="n"/>
      <c r="AR58" s="19" t="n"/>
      <c r="AS58" s="19" t="n"/>
      <c r="AT58" s="19" t="n"/>
      <c r="AU58" s="19" t="n"/>
      <c r="AV58" s="19" t="n"/>
      <c r="AW58" s="19" t="n"/>
      <c r="AX58" s="19" t="n">
        <v>150</v>
      </c>
      <c r="AY58" s="19" t="n"/>
      <c r="AZ58" s="19" t="n"/>
      <c r="BA58" s="19" t="n"/>
      <c r="BB58" s="19" t="n">
        <v>150</v>
      </c>
      <c r="BC58" s="19" t="n"/>
      <c r="BD58" s="19" t="n"/>
      <c r="BE58" s="19" t="n"/>
      <c r="BF58" s="19" t="n"/>
      <c r="BG58" s="19" t="n"/>
    </row>
    <row r="59">
      <c r="A59" s="538" t="inlineStr">
        <is>
          <t>CAIXA M EUDORA</t>
        </is>
      </c>
      <c r="B59" s="223" t="n">
        <v>100</v>
      </c>
      <c r="C59" s="683" t="n">
        <v>365</v>
      </c>
      <c r="D59" s="240" t="n">
        <v>20</v>
      </c>
      <c r="E59" s="1" t="n"/>
      <c r="F59" s="39" t="n">
        <v>4</v>
      </c>
      <c r="G59" s="39" t="n">
        <v>4</v>
      </c>
      <c r="H59" s="39" t="n">
        <v>4</v>
      </c>
      <c r="I59" s="39" t="n">
        <v>4</v>
      </c>
      <c r="J59" s="39" t="n">
        <v>4</v>
      </c>
      <c r="K59" s="39" t="n">
        <v>3</v>
      </c>
      <c r="L59" s="39" t="n">
        <v>3</v>
      </c>
      <c r="M59" s="39" t="n">
        <v>3</v>
      </c>
      <c r="N59" s="39" t="n">
        <v>3</v>
      </c>
      <c r="O59" s="39" t="n">
        <v>3</v>
      </c>
      <c r="P59" s="39" t="n">
        <v>3</v>
      </c>
      <c r="Q59" s="39" t="n">
        <v>0</v>
      </c>
      <c r="R59" s="39" t="n">
        <v>0</v>
      </c>
      <c r="S59" s="39" t="n">
        <v>0</v>
      </c>
      <c r="T59" s="39" t="n">
        <v>0</v>
      </c>
      <c r="U59" s="39" t="n"/>
      <c r="V59" s="39" t="n"/>
      <c r="W59" s="39" t="n"/>
      <c r="X59" s="39" t="n"/>
      <c r="Y59" s="39" t="n"/>
      <c r="Z59" s="39" t="n">
        <v>0</v>
      </c>
      <c r="AA59" s="380">
        <f>Y59+IF(NOT(ISBLANK(OFFSET(AA59,0,6))),N(OFFSET(AA59,0,6)),N(OFFSET(AA59,0,7)))-Z59</f>
        <v/>
      </c>
      <c r="AB59" s="41" t="n"/>
      <c r="AC59" s="138" t="n"/>
      <c r="AD59" s="138" t="n"/>
      <c r="AF59" s="76" t="n"/>
      <c r="AG59" s="41" t="n"/>
      <c r="AH59" s="19" t="n">
        <v>0</v>
      </c>
      <c r="AI59" s="19" t="n">
        <v>0</v>
      </c>
      <c r="AJ59" s="19" t="n"/>
      <c r="AK59" s="19" t="n"/>
      <c r="AL59" s="19" t="n"/>
      <c r="AM59" s="19" t="n"/>
      <c r="AN59" s="19" t="n"/>
      <c r="AO59" s="19" t="n"/>
      <c r="AP59" s="19" t="n"/>
      <c r="AQ59" s="19" t="n"/>
      <c r="AR59" s="19" t="n"/>
      <c r="AS59" s="19" t="n"/>
      <c r="AT59" s="19" t="n"/>
      <c r="AU59" s="19" t="n"/>
      <c r="AV59" s="19" t="n"/>
      <c r="AW59" s="19" t="n"/>
      <c r="AX59" s="19" t="n"/>
      <c r="AY59" s="19" t="n"/>
      <c r="AZ59" s="19" t="n"/>
      <c r="BA59" s="19" t="n"/>
      <c r="BB59" s="19" t="n"/>
      <c r="BC59" s="19" t="n"/>
      <c r="BD59" s="119" t="n"/>
      <c r="BE59" s="19" t="n"/>
      <c r="BF59" s="19" t="n"/>
      <c r="BG59" s="19" t="n"/>
    </row>
    <row r="60">
      <c r="A60" s="538" t="inlineStr">
        <is>
          <t>CAIXA G EUDORA</t>
        </is>
      </c>
      <c r="B60" s="223" t="n">
        <v>75</v>
      </c>
      <c r="C60" s="683" t="n">
        <v>438.75</v>
      </c>
      <c r="D60" s="240" t="n">
        <v>10</v>
      </c>
      <c r="E60" s="1" t="n"/>
      <c r="F60" s="39" t="n">
        <v>30</v>
      </c>
      <c r="G60" s="39" t="n">
        <v>30</v>
      </c>
      <c r="H60" s="39" t="n">
        <v>30</v>
      </c>
      <c r="I60" s="39" t="n">
        <v>30</v>
      </c>
      <c r="J60" s="39" t="n">
        <v>30</v>
      </c>
      <c r="K60" s="39" t="n">
        <v>30</v>
      </c>
      <c r="L60" s="39" t="n">
        <v>30</v>
      </c>
      <c r="M60" s="39" t="n">
        <v>30</v>
      </c>
      <c r="N60" s="39" t="n">
        <v>30</v>
      </c>
      <c r="O60" s="39" t="n">
        <v>30</v>
      </c>
      <c r="P60" s="39" t="n">
        <v>30</v>
      </c>
      <c r="Q60" s="39" t="n">
        <v>30</v>
      </c>
      <c r="R60" s="39" t="n">
        <v>30</v>
      </c>
      <c r="S60" s="39" t="n">
        <v>30</v>
      </c>
      <c r="T60" s="39" t="n">
        <v>30</v>
      </c>
      <c r="U60" s="39" t="n"/>
      <c r="V60" s="39" t="n"/>
      <c r="W60" s="39" t="n"/>
      <c r="X60" s="39" t="n"/>
      <c r="Y60" s="39" t="n"/>
      <c r="Z60" s="39" t="n">
        <v>30</v>
      </c>
      <c r="AA60" s="380">
        <f>Y60+IF(NOT(ISBLANK(OFFSET(AA60,0,6))),N(OFFSET(AA60,0,6)),N(OFFSET(AA60,0,7)))-Z60</f>
        <v/>
      </c>
      <c r="AB60" s="41" t="n"/>
      <c r="AC60" s="138" t="n"/>
      <c r="AD60" s="138" t="n"/>
      <c r="AF60" s="76" t="n"/>
      <c r="AG60" s="41" t="n"/>
      <c r="AH60" s="19" t="n">
        <v>0</v>
      </c>
      <c r="AI60" s="19" t="n">
        <v>0</v>
      </c>
      <c r="AJ60" s="163" t="n"/>
      <c r="AK60" s="163" t="n"/>
      <c r="AL60" s="163" t="n"/>
      <c r="AM60" s="163" t="n"/>
      <c r="AN60" s="163" t="n"/>
      <c r="AO60" s="163" t="n"/>
      <c r="AP60" s="163" t="n"/>
      <c r="AQ60" s="163" t="n"/>
      <c r="AR60" s="163" t="n"/>
      <c r="AS60" s="163" t="n"/>
      <c r="AT60" s="163" t="n"/>
      <c r="AU60" s="163" t="n"/>
      <c r="AV60" s="163" t="n"/>
      <c r="AW60" s="163" t="n"/>
      <c r="AX60" s="163" t="n"/>
      <c r="AY60" s="163" t="n"/>
      <c r="AZ60" s="163" t="n"/>
      <c r="BA60" s="163" t="n"/>
      <c r="BB60" s="163" t="n"/>
      <c r="BC60" s="163" t="n"/>
      <c r="BD60" s="163" t="n"/>
      <c r="BE60" s="163" t="n"/>
      <c r="BF60" s="163" t="n"/>
      <c r="BG60" s="163" t="n"/>
    </row>
    <row r="61">
      <c r="B61" s="41" t="n"/>
      <c r="C61" s="684" t="n"/>
      <c r="D61" s="684" t="n"/>
      <c r="F61" s="2" t="n"/>
      <c r="G61" s="2" t="n"/>
      <c r="H61" s="2" t="n"/>
      <c r="I61" s="2" t="n"/>
      <c r="J61" s="2" t="n"/>
      <c r="K61" s="2" t="n"/>
      <c r="L61" s="2" t="n"/>
      <c r="M61" s="2" t="n"/>
      <c r="N61" s="2" t="n"/>
      <c r="O61" s="2" t="n"/>
      <c r="P61" s="2" t="n"/>
      <c r="Q61" s="2" t="n"/>
      <c r="R61" s="2" t="n"/>
      <c r="S61" s="2" t="n"/>
      <c r="T61" s="2" t="n"/>
      <c r="U61" s="2" t="n"/>
      <c r="V61" s="2" t="n"/>
      <c r="W61" s="2" t="n"/>
      <c r="X61" s="2" t="n"/>
      <c r="Y61" s="2" t="n"/>
      <c r="Z61" s="2" t="n"/>
      <c r="AA61" s="2" t="n"/>
      <c r="AC61" s="75" t="n"/>
      <c r="AD61" s="75" t="n"/>
      <c r="AE61" s="1" t="n"/>
      <c r="AF61" s="15" t="n"/>
      <c r="AG61" s="41" t="n"/>
      <c r="AH61" s="75" t="n"/>
      <c r="AI61" s="75" t="n"/>
      <c r="AJ61" s="75" t="n"/>
      <c r="AK61" s="75" t="n"/>
      <c r="AL61" s="75" t="n"/>
      <c r="AM61" s="75" t="n"/>
      <c r="AN61" s="75" t="n"/>
      <c r="AO61" s="75" t="n"/>
      <c r="AP61" s="75" t="n"/>
      <c r="AQ61" s="75" t="n"/>
      <c r="AR61" s="75" t="n"/>
      <c r="AS61" s="75" t="n"/>
      <c r="AT61" s="75" t="n"/>
      <c r="AU61" s="75" t="n"/>
      <c r="AV61" s="75" t="n"/>
      <c r="AW61" s="75" t="n"/>
      <c r="AX61" s="75" t="n"/>
      <c r="AY61" s="75" t="n"/>
      <c r="AZ61" s="75" t="n"/>
      <c r="BA61" s="75" t="n"/>
      <c r="BB61" s="75" t="n"/>
      <c r="BC61" s="75" t="n"/>
      <c r="BD61" s="75" t="n"/>
      <c r="BE61" s="75" t="n"/>
      <c r="BF61" s="75" t="n"/>
      <c r="BG61" s="75" t="n"/>
    </row>
    <row r="62">
      <c r="A62" s="385" t="inlineStr">
        <is>
          <t>CAIXAS KRAFTS</t>
        </is>
      </c>
      <c r="B62" s="411" t="inlineStr">
        <is>
          <t>PC</t>
        </is>
      </c>
      <c r="C62" s="411" t="inlineStr">
        <is>
          <t>R$</t>
        </is>
      </c>
      <c r="D62" s="411" t="inlineStr">
        <is>
          <t>Estoque Ideal</t>
        </is>
      </c>
      <c r="E62" s="1" t="n"/>
      <c r="F62" s="619" t="n">
        <v>46013</v>
      </c>
      <c r="G62" s="619" t="n">
        <v>46020</v>
      </c>
      <c r="H62" s="619" t="n">
        <v>46027</v>
      </c>
      <c r="I62" s="619" t="n">
        <v>46034</v>
      </c>
      <c r="J62" s="619" t="n">
        <v>46041</v>
      </c>
      <c r="K62" s="619" t="n">
        <v>46048</v>
      </c>
      <c r="L62" s="619" t="n">
        <v>46055</v>
      </c>
      <c r="M62" s="619" t="n">
        <v>46062</v>
      </c>
      <c r="N62" s="619" t="n">
        <v>46069</v>
      </c>
      <c r="O62" s="619" t="n">
        <v>46076</v>
      </c>
      <c r="P62" s="619" t="n">
        <v>46083</v>
      </c>
      <c r="Q62" s="619" t="n">
        <v>46090</v>
      </c>
      <c r="R62" s="619" t="n">
        <v>46097</v>
      </c>
      <c r="S62" s="619" t="n">
        <v>46104</v>
      </c>
      <c r="T62" s="619" t="n">
        <v>46111</v>
      </c>
      <c r="U62" s="619" t="n">
        <v>46118</v>
      </c>
      <c r="V62" s="619" t="n">
        <v>46125</v>
      </c>
      <c r="W62" s="619" t="n">
        <v>46132</v>
      </c>
      <c r="X62" s="619" t="n">
        <v>46139</v>
      </c>
      <c r="Y62" s="619" t="n">
        <v>46146</v>
      </c>
      <c r="Z62" s="619" t="n">
        <v>46154</v>
      </c>
      <c r="AA62" s="621" t="inlineStr">
        <is>
          <t>USOU</t>
        </is>
      </c>
      <c r="AC62" s="29" t="inlineStr">
        <is>
          <t>Pendências</t>
        </is>
      </c>
      <c r="AD62" s="29" t="inlineStr">
        <is>
          <t>Pendências</t>
        </is>
      </c>
      <c r="AF62" s="9" t="inlineStr">
        <is>
          <t>Novo Pedido</t>
        </is>
      </c>
      <c r="AG62" s="41" t="n"/>
      <c r="AH62" s="674" t="n">
        <v>46149</v>
      </c>
      <c r="AI62" s="674" t="n">
        <v>46142</v>
      </c>
      <c r="AJ62" s="674" t="n">
        <v>46114</v>
      </c>
      <c r="AK62" s="674" t="n">
        <v>46107</v>
      </c>
      <c r="AL62" s="674" t="n">
        <v>46099</v>
      </c>
      <c r="AM62" s="675" t="n">
        <v>46065</v>
      </c>
      <c r="AN62" s="674" t="n">
        <v>46092</v>
      </c>
      <c r="AO62" s="674" t="n">
        <v>46084</v>
      </c>
      <c r="AP62" s="675" t="n">
        <v>46065</v>
      </c>
      <c r="AQ62" s="676" t="n">
        <v>46045</v>
      </c>
      <c r="AR62" s="674" t="n">
        <v>46077</v>
      </c>
      <c r="AS62" s="674" t="n">
        <v>46071</v>
      </c>
      <c r="AT62" s="674" t="n">
        <v>46056</v>
      </c>
      <c r="AU62" s="674" t="n">
        <v>46048</v>
      </c>
      <c r="AV62" s="674" t="n">
        <v>46029</v>
      </c>
      <c r="AW62" s="674" t="n">
        <v>46029</v>
      </c>
      <c r="AX62" s="674" t="n">
        <v>46043</v>
      </c>
      <c r="AY62" s="674" t="n">
        <v>46029</v>
      </c>
      <c r="AZ62" s="674" t="n">
        <v>46017</v>
      </c>
      <c r="BA62" s="674" t="n">
        <v>46007</v>
      </c>
      <c r="BB62" s="674" t="n">
        <v>46001</v>
      </c>
      <c r="BC62" s="674" t="n">
        <v>46001</v>
      </c>
      <c r="BD62" s="677" t="n">
        <v>46014</v>
      </c>
      <c r="BE62" s="674" t="n">
        <v>45994</v>
      </c>
      <c r="BF62" s="674" t="n">
        <v>45986</v>
      </c>
      <c r="BG62" s="674" t="n">
        <v>45986</v>
      </c>
    </row>
    <row r="63">
      <c r="A63" s="25" t="inlineStr">
        <is>
          <t>CAIXA P</t>
        </is>
      </c>
      <c r="B63" s="72" t="n">
        <v>25</v>
      </c>
      <c r="C63" s="685" t="n">
        <v>49.75</v>
      </c>
      <c r="D63" s="240" t="n">
        <v>500</v>
      </c>
      <c r="E63" s="41" t="n"/>
      <c r="F63" s="39" t="n">
        <v>2675</v>
      </c>
      <c r="G63" s="39" t="n">
        <v>2550</v>
      </c>
      <c r="H63" s="39" t="n">
        <v>2475</v>
      </c>
      <c r="I63" s="39" t="n">
        <v>2400</v>
      </c>
      <c r="J63" s="39" t="n">
        <v>2050</v>
      </c>
      <c r="K63" s="39" t="n">
        <v>1625</v>
      </c>
      <c r="L63" s="39" t="n">
        <v>1600</v>
      </c>
      <c r="M63" s="39" t="n">
        <v>1525</v>
      </c>
      <c r="N63" s="39" t="n">
        <v>1325</v>
      </c>
      <c r="O63" s="39" t="n">
        <v>1250</v>
      </c>
      <c r="P63" s="39" t="n">
        <v>1100</v>
      </c>
      <c r="Q63" s="39" t="n">
        <v>925</v>
      </c>
      <c r="R63" s="39" t="n">
        <v>775</v>
      </c>
      <c r="S63" s="39" t="n">
        <v>575</v>
      </c>
      <c r="T63" s="39" t="n">
        <v>400</v>
      </c>
      <c r="U63" s="39" t="n">
        <v>1275</v>
      </c>
      <c r="V63" s="39" t="n">
        <v>1075</v>
      </c>
      <c r="W63" s="39" t="n">
        <v>900</v>
      </c>
      <c r="X63" s="39" t="n">
        <v>750</v>
      </c>
      <c r="Y63" s="39" t="n">
        <v>525</v>
      </c>
      <c r="Z63" s="39" t="n">
        <v>325</v>
      </c>
      <c r="AA63" s="380">
        <f>Y63+IF(NOT(ISBLANK(OFFSET(AA63,0,6))),N(OFFSET(AA63,0,6)),N(OFFSET(AA63,0,7)))-Z63</f>
        <v/>
      </c>
      <c r="AB63" s="41" t="n"/>
      <c r="AC63" s="78" t="n"/>
      <c r="AD63" s="78" t="n"/>
      <c r="AE63" s="608" t="n"/>
      <c r="AF63" s="32" t="n"/>
      <c r="AG63" s="41" t="n"/>
      <c r="AH63" s="114" t="n">
        <v>0</v>
      </c>
      <c r="AI63" s="114" t="n">
        <v>0</v>
      </c>
      <c r="AJ63" s="114" t="n">
        <v>1000</v>
      </c>
      <c r="AK63" s="114" t="n"/>
      <c r="AL63" s="114" t="n"/>
      <c r="AM63" s="114" t="n"/>
      <c r="AN63" s="114" t="n"/>
      <c r="AO63" s="114" t="n"/>
      <c r="AP63" s="114" t="n"/>
      <c r="AQ63" s="114" t="n"/>
      <c r="AR63" s="114" t="n"/>
      <c r="AS63" s="114" t="n"/>
      <c r="AT63" s="114" t="n"/>
      <c r="AU63" s="114" t="n"/>
      <c r="AV63" s="114" t="n"/>
      <c r="AW63" s="114" t="n"/>
      <c r="AX63" s="114" t="n"/>
      <c r="AY63" s="114" t="n"/>
      <c r="AZ63" s="114" t="n"/>
      <c r="BA63" s="114" t="n">
        <v>2000</v>
      </c>
      <c r="BB63" s="114" t="n"/>
      <c r="BC63" s="114" t="n">
        <v>500</v>
      </c>
      <c r="BD63" s="114" t="n"/>
      <c r="BE63" s="114" t="n"/>
      <c r="BF63" s="114" t="n"/>
      <c r="BG63" s="114" t="n">
        <v>500</v>
      </c>
    </row>
    <row r="64">
      <c r="A64" s="25" t="inlineStr">
        <is>
          <t>CAIXA M</t>
        </is>
      </c>
      <c r="B64" s="72" t="n">
        <v>25</v>
      </c>
      <c r="C64" s="685" t="n">
        <v>72</v>
      </c>
      <c r="D64" s="240" t="n">
        <v>500</v>
      </c>
      <c r="F64" s="39" t="n">
        <v>2650</v>
      </c>
      <c r="G64" s="39" t="n">
        <v>2350</v>
      </c>
      <c r="H64" s="39" t="n">
        <v>2300</v>
      </c>
      <c r="I64" s="39" t="n">
        <v>2125</v>
      </c>
      <c r="J64" s="39" t="n">
        <v>1850</v>
      </c>
      <c r="K64" s="39" t="n">
        <v>1600</v>
      </c>
      <c r="L64" s="39" t="n">
        <v>1325</v>
      </c>
      <c r="M64" s="39" t="n">
        <v>1075</v>
      </c>
      <c r="N64" s="39" t="n">
        <v>725</v>
      </c>
      <c r="O64" s="39" t="n">
        <v>525</v>
      </c>
      <c r="P64" s="39" t="n">
        <v>1250</v>
      </c>
      <c r="Q64" s="39" t="n">
        <v>1000</v>
      </c>
      <c r="R64" s="39" t="n">
        <v>725</v>
      </c>
      <c r="S64" s="39" t="n">
        <v>475</v>
      </c>
      <c r="T64" s="39" t="n">
        <v>250</v>
      </c>
      <c r="U64" s="39" t="n">
        <v>1050</v>
      </c>
      <c r="V64" s="39" t="n">
        <v>775</v>
      </c>
      <c r="W64" s="39" t="n">
        <v>450</v>
      </c>
      <c r="X64" s="39" t="n">
        <v>275</v>
      </c>
      <c r="Y64" s="39" t="n">
        <v>0</v>
      </c>
      <c r="Z64" s="39">
        <f>0+AH64</f>
        <v/>
      </c>
      <c r="AA64" s="380">
        <f>Y64+IF(NOT(ISBLANK(OFFSET(AA64,0,6))),N(OFFSET(AA64,0,6)),N(OFFSET(AA64,0,7)))-Z64</f>
        <v/>
      </c>
      <c r="AC64" s="78" t="n"/>
      <c r="AD64" s="78" t="n"/>
      <c r="AF64" s="32" t="n"/>
      <c r="AH64" s="114" t="n">
        <v>500</v>
      </c>
      <c r="AI64" s="114" t="n">
        <v>0</v>
      </c>
      <c r="AJ64" s="114" t="n">
        <v>1000</v>
      </c>
      <c r="AK64" s="114" t="n"/>
      <c r="AL64" s="114" t="n"/>
      <c r="AM64" s="114" t="n"/>
      <c r="AN64" s="114" t="n"/>
      <c r="AO64" s="114" t="n"/>
      <c r="AP64" s="114" t="n"/>
      <c r="AQ64" s="114" t="n"/>
      <c r="AR64" s="114" t="n">
        <v>1000</v>
      </c>
      <c r="AS64" s="114" t="n"/>
      <c r="AT64" s="114" t="n"/>
      <c r="AU64" s="114" t="n"/>
      <c r="AV64" s="114" t="n"/>
      <c r="AW64" s="114" t="n"/>
      <c r="AX64" s="114" t="n"/>
      <c r="AY64" s="114" t="n"/>
      <c r="AZ64" s="114" t="n"/>
      <c r="BA64" s="114" t="n">
        <v>1925</v>
      </c>
      <c r="BB64" s="114" t="n"/>
      <c r="BC64" s="114" t="n">
        <v>1000</v>
      </c>
      <c r="BD64" s="114" t="n"/>
      <c r="BE64" s="114" t="n"/>
      <c r="BF64" s="114" t="n"/>
      <c r="BG64" s="114" t="n"/>
    </row>
    <row r="65">
      <c r="A65" s="25" t="inlineStr">
        <is>
          <t>CAIXA G</t>
        </is>
      </c>
      <c r="B65" s="72" t="n">
        <v>25</v>
      </c>
      <c r="C65" s="685" t="n">
        <v>93.75</v>
      </c>
      <c r="D65" s="240" t="n">
        <v>300</v>
      </c>
      <c r="F65" s="39" t="n">
        <v>650</v>
      </c>
      <c r="G65" s="39" t="n">
        <v>600</v>
      </c>
      <c r="H65" s="39" t="n">
        <v>550</v>
      </c>
      <c r="I65" s="39" t="n">
        <v>475</v>
      </c>
      <c r="J65" s="39" t="n">
        <v>425</v>
      </c>
      <c r="K65" s="39" t="n">
        <v>350</v>
      </c>
      <c r="L65" s="39" t="n">
        <v>300</v>
      </c>
      <c r="M65" s="39" t="n">
        <v>200</v>
      </c>
      <c r="N65" s="39" t="n">
        <v>150</v>
      </c>
      <c r="O65" s="39" t="n">
        <v>75</v>
      </c>
      <c r="P65" s="39" t="n">
        <v>25</v>
      </c>
      <c r="Q65" s="39" t="n">
        <v>250</v>
      </c>
      <c r="R65" s="39">
        <f>125+AN65</f>
        <v/>
      </c>
      <c r="S65" s="39" t="n">
        <v>325</v>
      </c>
      <c r="T65" s="39" t="n">
        <v>300</v>
      </c>
      <c r="U65" s="39" t="n">
        <v>850</v>
      </c>
      <c r="V65" s="39" t="n">
        <v>775</v>
      </c>
      <c r="W65" s="39" t="n">
        <v>675</v>
      </c>
      <c r="X65" s="39" t="n">
        <v>600</v>
      </c>
      <c r="Y65" s="39" t="n">
        <v>450</v>
      </c>
      <c r="Z65" s="39">
        <f>125+AH65</f>
        <v/>
      </c>
      <c r="AA65" s="380">
        <f>Y65+IF(NOT(ISBLANK(OFFSET(AA65,0,6))),N(OFFSET(AA65,0,6)),N(OFFSET(AA65,0,7)))-Z65</f>
        <v/>
      </c>
      <c r="AC65" s="78" t="n"/>
      <c r="AD65" s="78" t="n"/>
      <c r="AF65" s="32" t="n"/>
      <c r="AH65" s="114" t="n">
        <v>300</v>
      </c>
      <c r="AI65" s="114" t="n">
        <v>0</v>
      </c>
      <c r="AJ65" s="114" t="n">
        <v>600</v>
      </c>
      <c r="AK65" s="114" t="n"/>
      <c r="AL65" s="114" t="n"/>
      <c r="AM65" s="114" t="n"/>
      <c r="AN65" s="114" t="n">
        <v>300</v>
      </c>
      <c r="AO65" s="114" t="n">
        <v>300</v>
      </c>
      <c r="AP65" s="114" t="n"/>
      <c r="AQ65" s="114" t="n"/>
      <c r="AR65" s="114" t="n"/>
      <c r="AS65" s="114" t="n"/>
      <c r="AT65" s="114" t="n"/>
      <c r="AU65" s="114" t="n"/>
      <c r="AV65" s="114" t="n"/>
      <c r="AW65" s="114" t="n"/>
      <c r="AX65" s="114" t="n"/>
      <c r="AY65" s="114" t="n"/>
      <c r="AZ65" s="114" t="n"/>
      <c r="BA65" s="114" t="n">
        <v>500</v>
      </c>
      <c r="BB65" s="114" t="n"/>
      <c r="BC65" s="114" t="n">
        <v>200</v>
      </c>
      <c r="BD65" s="114" t="n"/>
      <c r="BE65" s="114" t="n"/>
      <c r="BF65" s="114" t="n"/>
      <c r="BG65" s="114" t="n"/>
    </row>
    <row r="67" hidden="1">
      <c r="A67" s="263" t="inlineStr">
        <is>
          <t>HARRY POTTER/25</t>
        </is>
      </c>
      <c r="B67" s="264" t="inlineStr">
        <is>
          <t>PC</t>
        </is>
      </c>
      <c r="C67" s="264" t="inlineStr">
        <is>
          <t>R$</t>
        </is>
      </c>
      <c r="D67" s="264" t="n"/>
      <c r="F67" s="619" t="n">
        <v>46013</v>
      </c>
      <c r="G67" s="619" t="n">
        <v>46020</v>
      </c>
      <c r="H67" s="619" t="n">
        <v>46027</v>
      </c>
      <c r="I67" s="619" t="n">
        <v>46034</v>
      </c>
      <c r="J67" s="619" t="n">
        <v>46041</v>
      </c>
      <c r="K67" s="619" t="n">
        <v>46048</v>
      </c>
      <c r="L67" s="619" t="n">
        <v>46055</v>
      </c>
      <c r="M67" s="619" t="n">
        <v>46062</v>
      </c>
      <c r="N67" s="619" t="n">
        <v>46069</v>
      </c>
      <c r="O67" s="619" t="n">
        <v>46076</v>
      </c>
      <c r="P67" s="619" t="n">
        <v>46083</v>
      </c>
      <c r="Q67" s="619" t="n">
        <v>46090</v>
      </c>
      <c r="R67" s="619" t="n">
        <v>46097</v>
      </c>
      <c r="S67" s="619" t="n"/>
      <c r="T67" s="619" t="n"/>
      <c r="U67" s="619" t="n"/>
      <c r="V67" s="619" t="n"/>
      <c r="W67" s="619" t="n"/>
      <c r="X67" s="619" t="n"/>
      <c r="Y67" s="619" t="n"/>
      <c r="Z67" s="619" t="n"/>
      <c r="AA67" s="621" t="inlineStr">
        <is>
          <t>USOU</t>
        </is>
      </c>
    </row>
    <row r="68" hidden="1">
      <c r="A68" s="25" t="inlineStr">
        <is>
          <t>SACOLA G HP/25</t>
        </is>
      </c>
      <c r="B68" s="6" t="n">
        <v>100</v>
      </c>
      <c r="C68" s="632" t="n">
        <v>316</v>
      </c>
      <c r="D68" s="240" t="n"/>
      <c r="F68" s="39" t="n">
        <v>0</v>
      </c>
      <c r="G68" s="39" t="n">
        <v>0</v>
      </c>
      <c r="H68" s="39" t="n">
        <v>0</v>
      </c>
      <c r="I68" s="39" t="n">
        <v>0</v>
      </c>
      <c r="J68" s="39" t="n">
        <v>0</v>
      </c>
      <c r="K68" s="39" t="n">
        <v>0</v>
      </c>
      <c r="L68" s="39" t="n"/>
      <c r="M68" s="39" t="n"/>
      <c r="N68" s="39" t="n"/>
      <c r="O68" s="39" t="n"/>
      <c r="P68" s="39" t="n"/>
      <c r="Q68" s="39" t="n"/>
      <c r="R68" s="39" t="n"/>
      <c r="S68" s="39" t="n"/>
      <c r="T68" s="39" t="n"/>
      <c r="U68" s="39" t="n"/>
      <c r="V68" s="39" t="n"/>
      <c r="W68" s="39" t="n"/>
      <c r="X68" s="39" t="n"/>
      <c r="Y68" s="39" t="n"/>
      <c r="Z68" s="39" t="n"/>
      <c r="AA68" s="26">
        <f>Y68+IF(NOT(ISBLANK(OFFSET(AA68,0,6))),N(OFFSET(AA68,0,6)),N(OFFSET(AA68,0,7)))-#REF!</f>
        <v/>
      </c>
    </row>
    <row r="69" hidden="1">
      <c r="A69" s="25" t="inlineStr">
        <is>
          <t>TAG HP/25</t>
        </is>
      </c>
      <c r="B69" s="6" t="n">
        <v>100</v>
      </c>
      <c r="C69" s="632" t="n">
        <v>41</v>
      </c>
      <c r="D69" s="240" t="n"/>
      <c r="F69" s="39" t="n">
        <v>0</v>
      </c>
      <c r="G69" s="39" t="n">
        <v>0</v>
      </c>
      <c r="H69" s="39" t="n">
        <v>0</v>
      </c>
      <c r="I69" s="39" t="n">
        <v>0</v>
      </c>
      <c r="J69" s="39" t="n">
        <v>0</v>
      </c>
      <c r="K69" s="39" t="n">
        <v>0</v>
      </c>
      <c r="L69" s="39" t="n"/>
      <c r="M69" s="39" t="n"/>
      <c r="N69" s="39" t="n"/>
      <c r="O69" s="39" t="n"/>
      <c r="P69" s="39" t="n"/>
      <c r="Q69" s="39" t="n"/>
      <c r="R69" s="39" t="n"/>
      <c r="S69" s="39" t="n"/>
      <c r="T69" s="39" t="n"/>
      <c r="U69" s="39" t="n"/>
      <c r="V69" s="39" t="n"/>
      <c r="W69" s="39" t="n"/>
      <c r="X69" s="39" t="n"/>
      <c r="Y69" s="39" t="n"/>
      <c r="Z69" s="39" t="n"/>
      <c r="AA69" s="26">
        <f>Y69+IF(NOT(ISBLANK(OFFSET(AA69,0,6))),N(OFFSET(AA69,0,6)),N(OFFSET(AA69,0,7)))-#REF!</f>
        <v/>
      </c>
    </row>
    <row r="70" hidden="1">
      <c r="A70" s="25" t="inlineStr">
        <is>
          <t>CARTUCHO P HP/25</t>
        </is>
      </c>
      <c r="B70" s="6" t="n">
        <v>150</v>
      </c>
      <c r="C70" s="632" t="n">
        <v>478.5</v>
      </c>
      <c r="D70" s="240" t="n"/>
      <c r="F70" s="39" t="n">
        <v>54</v>
      </c>
      <c r="G70" s="39" t="n">
        <v>54</v>
      </c>
      <c r="H70" s="39" t="n">
        <v>54</v>
      </c>
      <c r="I70" s="39" t="n">
        <v>54</v>
      </c>
      <c r="J70" s="39" t="n">
        <v>54</v>
      </c>
      <c r="K70" s="39" t="n">
        <v>54</v>
      </c>
      <c r="L70" s="39" t="n">
        <v>54</v>
      </c>
      <c r="M70" s="211" t="n">
        <v>0</v>
      </c>
      <c r="N70" s="39" t="n">
        <v>0</v>
      </c>
      <c r="O70" s="39" t="n">
        <v>0</v>
      </c>
      <c r="P70" s="39" t="n">
        <v>0</v>
      </c>
      <c r="Q70" s="39" t="n">
        <v>0</v>
      </c>
      <c r="R70" s="39" t="n">
        <v>0</v>
      </c>
      <c r="S70" s="39" t="n"/>
      <c r="T70" s="39" t="n"/>
      <c r="U70" s="39" t="n"/>
      <c r="V70" s="39" t="n"/>
      <c r="W70" s="39" t="n"/>
      <c r="X70" s="39" t="n"/>
      <c r="Y70" s="39" t="n"/>
      <c r="Z70" s="39" t="n"/>
      <c r="AA70" s="26" t="n">
        <v>0</v>
      </c>
    </row>
    <row r="71" hidden="1">
      <c r="F71" s="2" t="n"/>
      <c r="G71" s="2" t="n"/>
      <c r="H71" s="2" t="n"/>
      <c r="I71" s="2" t="n"/>
      <c r="J71" s="2" t="n"/>
      <c r="K71" s="2" t="n"/>
      <c r="L71" s="2" t="n"/>
      <c r="M71" s="2" t="n"/>
      <c r="N71" s="2" t="n"/>
      <c r="O71" s="2" t="n"/>
      <c r="P71" s="2" t="n"/>
      <c r="Q71" s="2" t="n"/>
      <c r="R71" s="2" t="n"/>
      <c r="S71" s="2" t="n"/>
      <c r="T71" s="2" t="n"/>
      <c r="U71" s="2" t="n"/>
      <c r="V71" s="2" t="n"/>
      <c r="W71" s="2" t="n"/>
      <c r="X71" s="2" t="n"/>
      <c r="Y71" s="2" t="n"/>
      <c r="Z71" s="2" t="n"/>
    </row>
    <row r="72" hidden="1">
      <c r="A72" s="415" t="inlineStr">
        <is>
          <t>HOMEM ARANHA/25</t>
        </is>
      </c>
      <c r="B72" s="416" t="inlineStr">
        <is>
          <t>PC</t>
        </is>
      </c>
      <c r="C72" s="416" t="inlineStr">
        <is>
          <t>R$</t>
        </is>
      </c>
      <c r="D72" s="416" t="n"/>
      <c r="F72" s="619" t="n">
        <v>46013</v>
      </c>
      <c r="G72" s="619" t="n">
        <v>46020</v>
      </c>
      <c r="H72" s="619" t="n">
        <v>46027</v>
      </c>
      <c r="I72" s="619" t="n">
        <v>46034</v>
      </c>
      <c r="J72" s="619" t="n"/>
      <c r="K72" s="619" t="n"/>
      <c r="L72" s="619" t="n"/>
      <c r="M72" s="619" t="n"/>
      <c r="N72" s="619" t="n"/>
      <c r="O72" s="619" t="n"/>
      <c r="P72" s="619" t="n"/>
      <c r="Q72" s="619" t="n"/>
      <c r="R72" s="619" t="n"/>
      <c r="S72" s="619" t="n"/>
      <c r="T72" s="619" t="n"/>
      <c r="U72" s="619" t="n"/>
      <c r="V72" s="619" t="n"/>
      <c r="W72" s="619" t="n"/>
      <c r="X72" s="619" t="n"/>
      <c r="Y72" s="619" t="n"/>
      <c r="Z72" s="619" t="n"/>
      <c r="AA72" s="621" t="inlineStr">
        <is>
          <t>USOU</t>
        </is>
      </c>
    </row>
    <row r="73" hidden="1">
      <c r="A73" s="25" t="inlineStr">
        <is>
          <t>SACOLA M</t>
        </is>
      </c>
      <c r="B73" s="6" t="n">
        <v>200</v>
      </c>
      <c r="C73" s="632" t="n">
        <v>479.2</v>
      </c>
      <c r="D73" s="240" t="n"/>
      <c r="F73" s="39" t="n">
        <v>0</v>
      </c>
      <c r="G73" s="39" t="n">
        <v>0</v>
      </c>
      <c r="H73" s="39" t="n">
        <v>0</v>
      </c>
      <c r="I73" s="39" t="n">
        <v>0</v>
      </c>
      <c r="J73" s="39" t="n"/>
      <c r="K73" s="39" t="n"/>
      <c r="L73" s="39" t="n"/>
      <c r="M73" s="39" t="n"/>
      <c r="N73" s="39" t="n"/>
      <c r="O73" s="39" t="n"/>
      <c r="P73" s="39" t="n"/>
      <c r="Q73" s="39" t="n"/>
      <c r="R73" s="39" t="n"/>
      <c r="S73" s="39" t="n"/>
      <c r="T73" s="39" t="n"/>
      <c r="U73" s="39" t="n"/>
      <c r="V73" s="39" t="n"/>
      <c r="W73" s="39" t="n"/>
      <c r="X73" s="39" t="n"/>
      <c r="Y73" s="39" t="n"/>
      <c r="Z73" s="39" t="n"/>
      <c r="AA73" s="26" t="n">
        <v>0</v>
      </c>
    </row>
    <row r="74" hidden="1">
      <c r="A74" s="25" t="inlineStr">
        <is>
          <t>PAPEL DE SEDA</t>
        </is>
      </c>
      <c r="B74" s="6" t="n">
        <v>200</v>
      </c>
      <c r="C74" s="632" t="n">
        <v>45.47</v>
      </c>
      <c r="D74" s="240" t="n"/>
      <c r="F74" s="39" t="n">
        <v>0</v>
      </c>
      <c r="G74" s="39" t="n">
        <v>0</v>
      </c>
      <c r="H74" s="39" t="n">
        <v>0</v>
      </c>
      <c r="I74" s="39" t="n">
        <v>0</v>
      </c>
      <c r="J74" s="39" t="n"/>
      <c r="K74" s="39" t="n"/>
      <c r="L74" s="39" t="n"/>
      <c r="M74" s="39" t="n"/>
      <c r="N74" s="39" t="n"/>
      <c r="O74" s="39" t="n"/>
      <c r="P74" s="39" t="n"/>
      <c r="Q74" s="39" t="n"/>
      <c r="R74" s="39" t="n"/>
      <c r="S74" s="39" t="n"/>
      <c r="T74" s="39" t="n"/>
      <c r="U74" s="39" t="n"/>
      <c r="V74" s="39" t="n"/>
      <c r="W74" s="39" t="n"/>
      <c r="X74" s="39" t="n"/>
      <c r="Y74" s="39" t="n"/>
      <c r="Z74" s="39" t="n"/>
      <c r="AA74" s="26" t="n">
        <v>0</v>
      </c>
    </row>
    <row r="75" hidden="1">
      <c r="A75" s="25" t="inlineStr">
        <is>
          <t>CAIXA M</t>
        </is>
      </c>
      <c r="B75" s="6" t="n">
        <v>100</v>
      </c>
      <c r="C75" s="632" t="n">
        <v>1490</v>
      </c>
      <c r="D75" s="240" t="n"/>
      <c r="F75" s="39" t="n">
        <v>0</v>
      </c>
      <c r="G75" s="39" t="n">
        <v>0</v>
      </c>
      <c r="H75" s="39" t="n">
        <v>0</v>
      </c>
      <c r="I75" s="39" t="n">
        <v>0</v>
      </c>
      <c r="J75" s="39" t="n"/>
      <c r="K75" s="39" t="n"/>
      <c r="L75" s="39" t="n"/>
      <c r="M75" s="39" t="n"/>
      <c r="N75" s="39" t="n"/>
      <c r="O75" s="39" t="n"/>
      <c r="P75" s="39" t="n"/>
      <c r="Q75" s="39" t="n"/>
      <c r="R75" s="39" t="n"/>
      <c r="S75" s="39" t="n"/>
      <c r="T75" s="39" t="n"/>
      <c r="U75" s="39" t="n"/>
      <c r="V75" s="39" t="n"/>
      <c r="W75" s="39" t="n"/>
      <c r="X75" s="39" t="n"/>
      <c r="Y75" s="39" t="n"/>
      <c r="Z75" s="39" t="n"/>
      <c r="AA75" s="26" t="n">
        <v>0</v>
      </c>
    </row>
    <row r="76" hidden="1">
      <c r="F76" s="2" t="n"/>
      <c r="G76" s="2" t="n"/>
      <c r="H76" s="2" t="n"/>
      <c r="I76" s="2" t="n"/>
      <c r="J76" s="2" t="n"/>
      <c r="K76" s="2" t="n"/>
      <c r="L76" s="2" t="n"/>
      <c r="M76" s="2" t="n"/>
      <c r="N76" s="2" t="n"/>
      <c r="O76" s="2" t="n"/>
      <c r="P76" s="2" t="n"/>
      <c r="Q76" s="2" t="n"/>
      <c r="R76" s="2" t="n"/>
      <c r="S76" s="2" t="n"/>
      <c r="T76" s="2" t="n"/>
      <c r="U76" s="2" t="n"/>
      <c r="V76" s="2" t="n"/>
      <c r="W76" s="2" t="n"/>
      <c r="X76" s="2" t="n"/>
      <c r="Y76" s="2" t="n"/>
      <c r="Z76" s="2" t="n"/>
    </row>
    <row r="77">
      <c r="A77" s="278" t="inlineStr">
        <is>
          <t>EUDORA NATAL/25</t>
        </is>
      </c>
      <c r="B77" s="279" t="inlineStr">
        <is>
          <t>PC</t>
        </is>
      </c>
      <c r="C77" s="279" t="inlineStr">
        <is>
          <t>R$</t>
        </is>
      </c>
      <c r="D77" s="279" t="n"/>
      <c r="F77" s="619" t="n">
        <v>46013</v>
      </c>
      <c r="G77" s="619" t="n">
        <v>46020</v>
      </c>
      <c r="H77" s="619" t="n">
        <v>46027</v>
      </c>
      <c r="I77" s="619" t="n">
        <v>46034</v>
      </c>
      <c r="J77" s="619" t="n">
        <v>46041</v>
      </c>
      <c r="K77" s="619" t="n">
        <v>46048</v>
      </c>
      <c r="L77" s="619" t="n">
        <v>46055</v>
      </c>
      <c r="M77" s="619" t="n">
        <v>46062</v>
      </c>
      <c r="N77" s="619" t="n">
        <v>46069</v>
      </c>
      <c r="O77" s="619" t="n">
        <v>46076</v>
      </c>
      <c r="P77" s="619" t="n">
        <v>46083</v>
      </c>
      <c r="Q77" s="619" t="n">
        <v>46090</v>
      </c>
      <c r="R77" s="619" t="n">
        <v>46097</v>
      </c>
      <c r="S77" s="619" t="n">
        <v>46104</v>
      </c>
      <c r="T77" s="619" t="n">
        <v>46111</v>
      </c>
      <c r="U77" s="619" t="n">
        <v>46118</v>
      </c>
      <c r="V77" s="619" t="n">
        <v>46125</v>
      </c>
      <c r="W77" s="619" t="n">
        <v>46132</v>
      </c>
      <c r="X77" s="619" t="n">
        <v>46139</v>
      </c>
      <c r="Y77" s="619" t="n">
        <v>46146</v>
      </c>
      <c r="Z77" s="619" t="n">
        <v>46154</v>
      </c>
      <c r="AA77" s="621" t="inlineStr">
        <is>
          <t>USOU</t>
        </is>
      </c>
    </row>
    <row r="78" hidden="1">
      <c r="A78" s="25" t="inlineStr">
        <is>
          <t xml:space="preserve">SACOLA M </t>
        </is>
      </c>
      <c r="B78" s="6" t="n">
        <v>200</v>
      </c>
      <c r="C78" s="632" t="n">
        <v>336</v>
      </c>
      <c r="D78" s="240" t="n"/>
      <c r="F78" s="39" t="n">
        <v>0</v>
      </c>
      <c r="G78" s="39" t="n">
        <v>0</v>
      </c>
      <c r="H78" s="39" t="n">
        <v>0</v>
      </c>
      <c r="I78" s="39" t="n">
        <v>0</v>
      </c>
      <c r="J78" s="39" t="n">
        <v>0</v>
      </c>
      <c r="K78" s="39" t="n">
        <v>0</v>
      </c>
      <c r="L78" s="39" t="n"/>
      <c r="M78" s="39" t="n"/>
      <c r="N78" s="39" t="n"/>
      <c r="O78" s="39" t="n"/>
      <c r="P78" s="39" t="n"/>
      <c r="Q78" s="39" t="n"/>
      <c r="R78" s="39" t="n"/>
      <c r="S78" s="39" t="n"/>
      <c r="T78" s="39" t="n"/>
      <c r="U78" s="39" t="n"/>
      <c r="V78" s="39" t="n"/>
      <c r="W78" s="39" t="n"/>
      <c r="X78" s="39" t="n"/>
      <c r="Y78" s="39" t="n"/>
      <c r="Z78" s="39" t="n"/>
      <c r="AA78" s="26">
        <f>Y78+IF(NOT(ISBLANK(OFFSET(AA78,0,6))),N(OFFSET(AA78,0,6)),N(OFFSET(AA78,0,7)))-#REF!</f>
        <v/>
      </c>
    </row>
    <row r="79" hidden="1">
      <c r="A79" s="25" t="inlineStr">
        <is>
          <t>PAPEL DE SEDA</t>
        </is>
      </c>
      <c r="B79" s="6" t="n">
        <v>200</v>
      </c>
      <c r="C79" s="632" t="n">
        <v>54</v>
      </c>
      <c r="D79" s="240" t="n"/>
      <c r="F79" s="39" t="n">
        <v>0</v>
      </c>
      <c r="G79" s="39" t="n">
        <v>1</v>
      </c>
      <c r="H79" s="39" t="n">
        <v>1</v>
      </c>
      <c r="I79" s="39" t="n">
        <v>0</v>
      </c>
      <c r="J79" s="39" t="n">
        <v>0</v>
      </c>
      <c r="K79" s="39" t="n">
        <v>0</v>
      </c>
      <c r="L79" s="39" t="n"/>
      <c r="M79" s="39" t="n"/>
      <c r="N79" s="39" t="n"/>
      <c r="O79" s="39" t="n"/>
      <c r="P79" s="39" t="n"/>
      <c r="Q79" s="39" t="n"/>
      <c r="R79" s="39" t="n"/>
      <c r="S79" s="39" t="n"/>
      <c r="T79" s="39" t="n"/>
      <c r="U79" s="39" t="n"/>
      <c r="V79" s="39" t="n"/>
      <c r="W79" s="39" t="n"/>
      <c r="X79" s="39" t="n"/>
      <c r="Y79" s="39" t="n"/>
      <c r="Z79" s="39" t="n"/>
      <c r="AA79" s="26">
        <f>Y79+IF(NOT(ISBLANK(OFFSET(AA79,0,6))),N(OFFSET(AA79,0,6)),N(OFFSET(AA79,0,7)))-#REF!</f>
        <v/>
      </c>
    </row>
    <row r="80">
      <c r="A80" s="25" t="inlineStr">
        <is>
          <t>KIT TAG 10 C/ 20</t>
        </is>
      </c>
      <c r="B80" s="6" t="n">
        <v>200</v>
      </c>
      <c r="C80" s="632" t="n">
        <v>40</v>
      </c>
      <c r="D80" s="240" t="n"/>
      <c r="F80" s="39" t="n">
        <v>0</v>
      </c>
      <c r="G80" s="39" t="n">
        <v>0</v>
      </c>
      <c r="H80" s="39" t="n">
        <v>0</v>
      </c>
      <c r="I80" s="39" t="n">
        <v>3</v>
      </c>
      <c r="J80" s="39" t="n">
        <v>3</v>
      </c>
      <c r="K80" s="39" t="n">
        <v>3</v>
      </c>
      <c r="L80" s="39" t="n">
        <v>3</v>
      </c>
      <c r="M80" s="39" t="n">
        <v>1</v>
      </c>
      <c r="N80" s="39" t="n">
        <v>1</v>
      </c>
      <c r="O80" s="39" t="n">
        <v>1</v>
      </c>
      <c r="P80" s="39" t="n">
        <v>0</v>
      </c>
      <c r="Q80" s="39" t="n">
        <v>0</v>
      </c>
      <c r="R80" s="39" t="n">
        <v>0</v>
      </c>
      <c r="S80" s="39" t="n">
        <v>0</v>
      </c>
      <c r="T80" s="39" t="n">
        <v>0</v>
      </c>
      <c r="U80" s="39" t="n"/>
      <c r="V80" s="39" t="n"/>
      <c r="W80" s="39" t="n"/>
      <c r="X80" s="39" t="n"/>
      <c r="Y80" s="39" t="n"/>
      <c r="Z80" s="39" t="n">
        <v>0</v>
      </c>
      <c r="AA80" s="380">
        <f>Y80+IF(NOT(ISBLANK(OFFSET(AA80,0,6))),N(OFFSET(AA80,0,6)),N(OFFSET(AA80,0,7)))-Z80</f>
        <v/>
      </c>
    </row>
    <row r="81">
      <c r="A81" s="157" t="inlineStr">
        <is>
          <t>CAIXA M</t>
        </is>
      </c>
      <c r="B81" s="72" t="n">
        <v>100</v>
      </c>
      <c r="C81" s="639" t="n">
        <v>904</v>
      </c>
      <c r="D81" s="72" t="n"/>
      <c r="F81" s="39" t="n">
        <v>44</v>
      </c>
      <c r="G81" s="39" t="n">
        <v>44</v>
      </c>
      <c r="H81" s="39" t="n">
        <v>44</v>
      </c>
      <c r="I81" s="39" t="n">
        <v>44</v>
      </c>
      <c r="J81" s="39" t="n">
        <v>44</v>
      </c>
      <c r="K81" s="39" t="n">
        <v>44</v>
      </c>
      <c r="L81" s="39" t="n">
        <v>44</v>
      </c>
      <c r="M81" s="39" t="n">
        <v>44</v>
      </c>
      <c r="N81" s="39" t="n">
        <v>42</v>
      </c>
      <c r="O81" s="39" t="n">
        <v>42</v>
      </c>
      <c r="P81" s="39" t="n">
        <v>42</v>
      </c>
      <c r="Q81" s="39" t="n">
        <v>40</v>
      </c>
      <c r="R81" s="39" t="n">
        <v>40</v>
      </c>
      <c r="S81" s="39" t="n">
        <v>40</v>
      </c>
      <c r="T81" s="39" t="n">
        <v>40</v>
      </c>
      <c r="U81" s="39" t="n"/>
      <c r="V81" s="39" t="n"/>
      <c r="W81" s="39" t="n"/>
      <c r="X81" s="39" t="n"/>
      <c r="Y81" s="39" t="n"/>
      <c r="Z81" s="39" t="n">
        <v>39</v>
      </c>
      <c r="AA81" s="380">
        <f>Y81+IF(NOT(ISBLANK(OFFSET(AA81,0,6))),N(OFFSET(AA81,0,6)),N(OFFSET(AA81,0,7)))-Z81</f>
        <v/>
      </c>
    </row>
    <row r="82">
      <c r="A82" s="157" t="inlineStr">
        <is>
          <t>CARTUCHO P</t>
        </is>
      </c>
      <c r="B82" s="72" t="n">
        <v>200</v>
      </c>
      <c r="C82" s="639" t="n">
        <v>464</v>
      </c>
      <c r="D82" s="72" t="n"/>
      <c r="F82" s="39" t="n">
        <v>88</v>
      </c>
      <c r="G82" s="39" t="n">
        <v>88</v>
      </c>
      <c r="H82" s="39" t="n">
        <v>88</v>
      </c>
      <c r="I82" s="39" t="n">
        <v>86</v>
      </c>
      <c r="J82" s="39" t="n">
        <v>84</v>
      </c>
      <c r="K82" s="39" t="n">
        <v>84</v>
      </c>
      <c r="L82" s="39" t="n">
        <v>84</v>
      </c>
      <c r="M82" s="39" t="n">
        <v>84</v>
      </c>
      <c r="N82" s="39" t="n">
        <v>83</v>
      </c>
      <c r="O82" s="39" t="n">
        <v>82</v>
      </c>
      <c r="P82" s="39" t="n">
        <v>80</v>
      </c>
      <c r="Q82" s="39" t="n">
        <v>80</v>
      </c>
      <c r="R82" s="39" t="n">
        <v>80</v>
      </c>
      <c r="S82" s="39" t="n">
        <v>80</v>
      </c>
      <c r="T82" s="39" t="n">
        <v>80</v>
      </c>
      <c r="U82" s="39" t="n"/>
      <c r="V82" s="39" t="n"/>
      <c r="W82" s="39" t="n"/>
      <c r="X82" s="39" t="n"/>
      <c r="Y82" s="39" t="n"/>
      <c r="Z82" s="39" t="n">
        <v>75</v>
      </c>
      <c r="AA82" s="380">
        <f>Y82+IF(NOT(ISBLANK(OFFSET(AA82,0,6))),N(OFFSET(AA82,0,6)),N(OFFSET(AA82,0,7)))-Z82</f>
        <v/>
      </c>
    </row>
    <row r="83">
      <c r="F83" s="2" t="n"/>
      <c r="G83" s="2" t="n"/>
      <c r="H83" s="2" t="n"/>
      <c r="I83" s="2" t="n"/>
      <c r="J83" s="2" t="n"/>
      <c r="K83" s="2" t="n"/>
      <c r="L83" s="2" t="n"/>
      <c r="M83" s="2" t="n"/>
      <c r="N83" s="2" t="n"/>
      <c r="O83" s="2" t="n"/>
      <c r="P83" s="2" t="n"/>
      <c r="Q83" s="2" t="n"/>
      <c r="R83" s="2" t="n"/>
      <c r="S83" s="2" t="n"/>
      <c r="T83" s="2" t="n"/>
      <c r="U83" s="2" t="n"/>
      <c r="V83" s="2" t="n"/>
      <c r="W83" s="2" t="n"/>
      <c r="X83" s="2" t="n"/>
      <c r="Y83" s="2" t="n"/>
      <c r="Z83" s="2" t="n"/>
    </row>
    <row r="84">
      <c r="A84" s="280" t="inlineStr">
        <is>
          <t>BOTICÁRIO NATAL/25</t>
        </is>
      </c>
      <c r="B84" s="255" t="inlineStr">
        <is>
          <t>PC</t>
        </is>
      </c>
      <c r="C84" s="255" t="inlineStr">
        <is>
          <t>R$</t>
        </is>
      </c>
      <c r="D84" s="255" t="n"/>
      <c r="F84" s="619" t="n">
        <v>46013</v>
      </c>
      <c r="G84" s="619" t="n">
        <v>46020</v>
      </c>
      <c r="H84" s="619" t="n">
        <v>46027</v>
      </c>
      <c r="I84" s="619" t="n">
        <v>46034</v>
      </c>
      <c r="J84" s="619" t="n">
        <v>46041</v>
      </c>
      <c r="K84" s="619" t="n">
        <v>46048</v>
      </c>
      <c r="L84" s="619" t="n">
        <v>46055</v>
      </c>
      <c r="M84" s="619" t="n">
        <v>46062</v>
      </c>
      <c r="N84" s="619" t="n">
        <v>46069</v>
      </c>
      <c r="O84" s="619" t="n">
        <v>46076</v>
      </c>
      <c r="P84" s="619" t="n">
        <v>46083</v>
      </c>
      <c r="Q84" s="619" t="n">
        <v>46090</v>
      </c>
      <c r="R84" s="619" t="n">
        <v>46097</v>
      </c>
      <c r="S84" s="619" t="n">
        <v>46104</v>
      </c>
      <c r="T84" s="619" t="n">
        <v>46111</v>
      </c>
      <c r="U84" s="619" t="n">
        <v>46118</v>
      </c>
      <c r="V84" s="619" t="n">
        <v>46125</v>
      </c>
      <c r="W84" s="619" t="n">
        <v>46132</v>
      </c>
      <c r="X84" s="619" t="n">
        <v>46139</v>
      </c>
      <c r="Y84" s="619" t="n">
        <v>46146</v>
      </c>
      <c r="Z84" s="619" t="n">
        <v>46154</v>
      </c>
      <c r="AA84" s="621" t="inlineStr">
        <is>
          <t>USOU</t>
        </is>
      </c>
    </row>
    <row r="85" hidden="1">
      <c r="A85" s="25" t="inlineStr">
        <is>
          <t>SACOLA P</t>
        </is>
      </c>
      <c r="B85" s="6" t="n">
        <v>200</v>
      </c>
      <c r="C85" s="632" t="n">
        <v>274.2</v>
      </c>
      <c r="D85" s="240" t="n"/>
      <c r="F85" s="39" t="n">
        <v>59</v>
      </c>
      <c r="G85" s="39" t="n">
        <v>59</v>
      </c>
      <c r="H85" s="39" t="n">
        <v>58</v>
      </c>
      <c r="I85" s="39" t="n">
        <v>47</v>
      </c>
      <c r="J85" s="39" t="n">
        <v>47</v>
      </c>
      <c r="K85" s="39" t="n">
        <v>46</v>
      </c>
      <c r="L85" s="39" t="n">
        <v>46</v>
      </c>
      <c r="M85" s="39" t="n">
        <v>26</v>
      </c>
      <c r="N85" s="39" t="n">
        <v>0</v>
      </c>
      <c r="O85" s="39" t="n">
        <v>0</v>
      </c>
      <c r="P85" s="39" t="n">
        <v>0</v>
      </c>
      <c r="Q85" s="39" t="n">
        <v>0</v>
      </c>
      <c r="R85" s="39" t="n">
        <v>0</v>
      </c>
      <c r="S85" s="39" t="n"/>
      <c r="T85" s="39" t="n"/>
      <c r="U85" s="39" t="n"/>
      <c r="V85" s="39" t="n"/>
      <c r="W85" s="39" t="n"/>
      <c r="X85" s="39" t="n"/>
      <c r="Y85" s="39" t="n"/>
      <c r="Z85" s="39" t="n"/>
      <c r="AA85" s="26">
        <f>Y85+IF(NOT(ISBLANK(OFFSET(AA85,0,6))),N(OFFSET(AA85,0,6)),N(OFFSET(AA85,0,7)))-#REF!</f>
        <v/>
      </c>
    </row>
    <row r="86" hidden="1">
      <c r="A86" s="25" t="inlineStr">
        <is>
          <t>SACOLA M</t>
        </is>
      </c>
      <c r="B86" s="6" t="n">
        <v>200</v>
      </c>
      <c r="C86" s="632" t="n">
        <v>347.8</v>
      </c>
      <c r="D86" s="240" t="n"/>
      <c r="F86" s="39" t="n">
        <v>160</v>
      </c>
      <c r="G86" s="39" t="n">
        <v>160</v>
      </c>
      <c r="H86" s="39" t="n">
        <v>160</v>
      </c>
      <c r="I86" s="39" t="n">
        <v>131</v>
      </c>
      <c r="J86" s="39" t="n">
        <v>0</v>
      </c>
      <c r="K86" s="39" t="n">
        <v>0</v>
      </c>
      <c r="L86" s="39" t="n">
        <v>0</v>
      </c>
      <c r="M86" s="39" t="n">
        <v>0</v>
      </c>
      <c r="N86" s="39" t="n">
        <v>0</v>
      </c>
      <c r="O86" s="39" t="n">
        <v>0</v>
      </c>
      <c r="P86" s="39" t="n">
        <v>0</v>
      </c>
      <c r="Q86" s="39" t="n">
        <v>0</v>
      </c>
      <c r="R86" s="39" t="n">
        <v>0</v>
      </c>
      <c r="S86" s="39" t="n"/>
      <c r="T86" s="39" t="n"/>
      <c r="U86" s="39" t="n"/>
      <c r="V86" s="39" t="n"/>
      <c r="W86" s="39" t="n"/>
      <c r="X86" s="39" t="n"/>
      <c r="Y86" s="39" t="n"/>
      <c r="Z86" s="39" t="n"/>
      <c r="AA86" s="26">
        <f>Y86+IF(NOT(ISBLANK(OFFSET(AA86,0,6))),N(OFFSET(AA86,0,6)),N(OFFSET(AA86,0,7)))-#REF!</f>
        <v/>
      </c>
    </row>
    <row r="87" hidden="1">
      <c r="A87" s="25" t="inlineStr">
        <is>
          <t>SACOLA G</t>
        </is>
      </c>
      <c r="B87" s="6" t="n">
        <v>100</v>
      </c>
      <c r="C87" s="632" t="n">
        <v>267</v>
      </c>
      <c r="D87" s="240" t="n"/>
      <c r="F87" s="39" t="n">
        <v>37</v>
      </c>
      <c r="G87" s="39" t="n">
        <v>37</v>
      </c>
      <c r="H87" s="39" t="n">
        <v>37</v>
      </c>
      <c r="I87" s="39" t="n">
        <v>16</v>
      </c>
      <c r="J87" s="39" t="n">
        <v>0</v>
      </c>
      <c r="K87" s="39" t="n">
        <v>0</v>
      </c>
      <c r="L87" s="39" t="n">
        <v>0</v>
      </c>
      <c r="M87" s="39" t="n">
        <v>0</v>
      </c>
      <c r="N87" s="39" t="n">
        <v>0</v>
      </c>
      <c r="O87" s="39" t="n">
        <v>0</v>
      </c>
      <c r="P87" s="39" t="n">
        <v>0</v>
      </c>
      <c r="Q87" s="39" t="n">
        <v>0</v>
      </c>
      <c r="R87" s="39" t="n">
        <v>0</v>
      </c>
      <c r="S87" s="39" t="n"/>
      <c r="T87" s="39" t="n"/>
      <c r="U87" s="39" t="n"/>
      <c r="V87" s="39" t="n"/>
      <c r="W87" s="39" t="n"/>
      <c r="X87" s="39" t="n"/>
      <c r="Y87" s="39" t="n"/>
      <c r="Z87" s="39" t="n"/>
      <c r="AA87" s="26">
        <f>Y87+IF(NOT(ISBLANK(OFFSET(AA87,0,6))),N(OFFSET(AA87,0,6)),N(OFFSET(AA87,0,7)))-#REF!</f>
        <v/>
      </c>
    </row>
    <row r="88" hidden="1">
      <c r="A88" s="157" t="inlineStr">
        <is>
          <t>KIT PAPEL DE SEDA 10 C/ 20</t>
        </is>
      </c>
      <c r="B88" s="72" t="n">
        <v>200</v>
      </c>
      <c r="C88" s="639" t="n">
        <v>44.4</v>
      </c>
      <c r="D88" s="72" t="n"/>
      <c r="F88" s="39" t="n">
        <v>0</v>
      </c>
      <c r="G88" s="39" t="n">
        <v>0</v>
      </c>
      <c r="H88" s="39" t="n">
        <v>0</v>
      </c>
      <c r="I88" s="39" t="n">
        <v>0</v>
      </c>
      <c r="J88" s="39" t="n">
        <v>0</v>
      </c>
      <c r="K88" s="39" t="n">
        <v>0</v>
      </c>
      <c r="L88" s="39" t="n">
        <v>0</v>
      </c>
      <c r="M88" s="39" t="n">
        <v>0</v>
      </c>
      <c r="N88" s="39" t="n">
        <v>0</v>
      </c>
      <c r="O88" s="39" t="n">
        <v>0</v>
      </c>
      <c r="P88" s="39" t="n">
        <v>0</v>
      </c>
      <c r="Q88" s="39" t="n">
        <v>0</v>
      </c>
      <c r="R88" s="39" t="n">
        <v>0</v>
      </c>
      <c r="S88" s="39" t="n"/>
      <c r="T88" s="39" t="n"/>
      <c r="U88" s="39" t="n"/>
      <c r="V88" s="39" t="n"/>
      <c r="W88" s="39" t="n"/>
      <c r="X88" s="39" t="n"/>
      <c r="Y88" s="39" t="n"/>
      <c r="Z88" s="39" t="n"/>
      <c r="AA88" s="26">
        <f>Y88+IF(NOT(ISBLANK(OFFSET(AA88,0,6))),N(OFFSET(AA88,0,6)),N(OFFSET(AA88,0,7)))-#REF!</f>
        <v/>
      </c>
    </row>
    <row r="89">
      <c r="A89" s="157" t="inlineStr">
        <is>
          <t>CAIXA P</t>
        </is>
      </c>
      <c r="B89" s="72" t="n">
        <v>150</v>
      </c>
      <c r="C89" s="639" t="n">
        <v>805.35</v>
      </c>
      <c r="D89" s="72" t="n"/>
      <c r="F89" s="39" t="n">
        <v>60</v>
      </c>
      <c r="G89" s="39" t="n">
        <v>60</v>
      </c>
      <c r="H89" s="39" t="n">
        <v>60</v>
      </c>
      <c r="I89" s="39" t="n">
        <v>59</v>
      </c>
      <c r="J89" s="39" t="n">
        <v>59</v>
      </c>
      <c r="K89" s="39" t="n">
        <v>59</v>
      </c>
      <c r="L89" s="39" t="n">
        <v>59</v>
      </c>
      <c r="M89" s="39" t="n">
        <v>59</v>
      </c>
      <c r="N89" s="39" t="n">
        <v>59</v>
      </c>
      <c r="O89" s="39" t="n">
        <v>59</v>
      </c>
      <c r="P89" s="39" t="n">
        <v>59</v>
      </c>
      <c r="Q89" s="39" t="n">
        <v>59</v>
      </c>
      <c r="R89" s="39" t="n">
        <v>55</v>
      </c>
      <c r="S89" s="39" t="n">
        <v>53</v>
      </c>
      <c r="T89" s="39" t="n">
        <v>53</v>
      </c>
      <c r="U89" s="39" t="n"/>
      <c r="V89" s="39" t="n"/>
      <c r="W89" s="39" t="n"/>
      <c r="X89" s="39" t="n"/>
      <c r="Y89" s="39" t="n"/>
      <c r="Z89" s="39" t="n">
        <v>49</v>
      </c>
      <c r="AA89" s="380">
        <f>Y89+IF(NOT(ISBLANK(OFFSET(AA89,0,6))),N(OFFSET(AA89,0,6)),N(OFFSET(AA89,0,7)))-Z89</f>
        <v/>
      </c>
    </row>
    <row r="90">
      <c r="A90" s="157" t="inlineStr">
        <is>
          <t>CAIXA M</t>
        </is>
      </c>
      <c r="B90" s="72" t="n">
        <v>100</v>
      </c>
      <c r="C90" s="639" t="n">
        <v>792.2</v>
      </c>
      <c r="D90" s="72" t="n"/>
      <c r="F90" s="39" t="n">
        <v>1</v>
      </c>
      <c r="G90" s="39" t="n">
        <v>1</v>
      </c>
      <c r="H90" s="39" t="n">
        <v>1</v>
      </c>
      <c r="I90" s="39" t="n">
        <v>1</v>
      </c>
      <c r="J90" s="39" t="n">
        <v>1</v>
      </c>
      <c r="K90" s="39" t="n">
        <v>0</v>
      </c>
      <c r="L90" s="39" t="n">
        <v>0</v>
      </c>
      <c r="M90" s="39" t="n">
        <v>0</v>
      </c>
      <c r="N90" s="39" t="n">
        <v>0</v>
      </c>
      <c r="O90" s="39" t="n">
        <v>0</v>
      </c>
      <c r="P90" s="39" t="n">
        <v>0</v>
      </c>
      <c r="Q90" s="39" t="n">
        <v>0</v>
      </c>
      <c r="R90" s="39" t="n">
        <v>0</v>
      </c>
      <c r="S90" s="39" t="n">
        <v>0</v>
      </c>
      <c r="T90" s="39" t="n">
        <v>0</v>
      </c>
      <c r="U90" s="39" t="n"/>
      <c r="V90" s="39" t="n"/>
      <c r="W90" s="39" t="n"/>
      <c r="X90" s="39" t="n"/>
      <c r="Y90" s="39" t="n"/>
      <c r="Z90" s="39" t="n">
        <v>0</v>
      </c>
      <c r="AA90" s="380">
        <f>Y90+IF(NOT(ISBLANK(OFFSET(AA90,0,6))),N(OFFSET(AA90,0,6)),N(OFFSET(AA90,0,7)))-Z90</f>
        <v/>
      </c>
    </row>
    <row r="91">
      <c r="A91" s="157" t="inlineStr">
        <is>
          <t>CARTUCHO P</t>
        </is>
      </c>
      <c r="B91" s="72" t="n">
        <v>200</v>
      </c>
      <c r="C91" s="639" t="n">
        <v>487.2</v>
      </c>
      <c r="D91" s="72" t="n"/>
      <c r="F91" s="39" t="n">
        <v>6</v>
      </c>
      <c r="G91" s="39" t="n">
        <v>6</v>
      </c>
      <c r="H91" s="39" t="n">
        <v>6</v>
      </c>
      <c r="I91" s="39" t="n">
        <v>6</v>
      </c>
      <c r="J91" s="39" t="n">
        <v>6</v>
      </c>
      <c r="K91" s="39" t="n">
        <v>6</v>
      </c>
      <c r="L91" s="39" t="n">
        <v>6</v>
      </c>
      <c r="M91" s="39" t="n">
        <v>6</v>
      </c>
      <c r="N91" s="39" t="n">
        <v>6</v>
      </c>
      <c r="O91" s="39" t="n">
        <v>6</v>
      </c>
      <c r="P91" s="39" t="n">
        <v>6</v>
      </c>
      <c r="Q91" s="39" t="n">
        <v>6</v>
      </c>
      <c r="R91" s="39" t="n">
        <v>6</v>
      </c>
      <c r="S91" s="39" t="n">
        <v>6</v>
      </c>
      <c r="T91" s="39" t="n">
        <v>6</v>
      </c>
      <c r="U91" s="39" t="n"/>
      <c r="V91" s="39" t="n"/>
      <c r="W91" s="39" t="n"/>
      <c r="X91" s="39" t="n"/>
      <c r="Y91" s="39" t="n"/>
      <c r="Z91" s="39" t="n">
        <v>6</v>
      </c>
      <c r="AA91" s="380">
        <f>Y91+IF(NOT(ISBLANK(OFFSET(AA91,0,6))),N(OFFSET(AA91,0,6)),N(OFFSET(AA91,0,7)))-Z91</f>
        <v/>
      </c>
    </row>
    <row r="92">
      <c r="A92" s="157" t="inlineStr">
        <is>
          <t>CARTUCHO M</t>
        </is>
      </c>
      <c r="B92" s="72" t="n">
        <v>150</v>
      </c>
      <c r="C92" s="639" t="n">
        <v>460.35</v>
      </c>
      <c r="D92" s="72" t="n"/>
      <c r="F92" s="39" t="n">
        <v>11</v>
      </c>
      <c r="G92" s="39" t="n">
        <v>11</v>
      </c>
      <c r="H92" s="39" t="n">
        <v>11</v>
      </c>
      <c r="I92" s="39" t="n">
        <v>11</v>
      </c>
      <c r="J92" s="39" t="n">
        <v>11</v>
      </c>
      <c r="K92" s="39" t="n">
        <v>11</v>
      </c>
      <c r="L92" s="39" t="n">
        <v>11</v>
      </c>
      <c r="M92" s="39" t="n">
        <v>11</v>
      </c>
      <c r="N92" s="39" t="n">
        <v>11</v>
      </c>
      <c r="O92" s="39" t="n">
        <v>11</v>
      </c>
      <c r="P92" s="39" t="n">
        <v>11</v>
      </c>
      <c r="Q92" s="39" t="n">
        <v>11</v>
      </c>
      <c r="R92" s="39" t="n">
        <v>11</v>
      </c>
      <c r="S92" s="39" t="n">
        <v>11</v>
      </c>
      <c r="T92" s="39" t="n">
        <v>11</v>
      </c>
      <c r="U92" s="39" t="n"/>
      <c r="V92" s="39" t="n"/>
      <c r="W92" s="39" t="n"/>
      <c r="X92" s="39" t="n"/>
      <c r="Y92" s="39" t="n"/>
      <c r="Z92" s="39" t="n">
        <v>11</v>
      </c>
      <c r="AA92" s="380">
        <f>Y92+IF(NOT(ISBLANK(OFFSET(AA92,0,6))),N(OFFSET(AA92,0,6)),N(OFFSET(AA92,0,7)))-Z92</f>
        <v/>
      </c>
    </row>
    <row r="93">
      <c r="F93" s="2" t="n"/>
      <c r="G93" s="2" t="n"/>
      <c r="H93" s="2" t="n"/>
      <c r="I93" s="2" t="n"/>
      <c r="J93" s="2" t="n"/>
      <c r="K93" s="2" t="n"/>
      <c r="L93" s="2" t="n"/>
      <c r="M93" s="2" t="n"/>
      <c r="N93" s="2" t="n"/>
      <c r="O93" s="2" t="n"/>
      <c r="P93" s="2" t="n"/>
      <c r="Q93" s="2" t="n"/>
      <c r="R93" s="2" t="n"/>
      <c r="S93" s="2" t="n"/>
      <c r="T93" s="2" t="n"/>
      <c r="U93" s="2" t="n"/>
      <c r="V93" s="2" t="n"/>
      <c r="W93" s="2" t="n"/>
      <c r="X93" s="2" t="n"/>
      <c r="Y93" s="2" t="n"/>
      <c r="Z93" s="2" t="n"/>
    </row>
    <row r="94">
      <c r="A94" s="415" t="inlineStr">
        <is>
          <t>ETIQUETAS ZEBRA</t>
        </is>
      </c>
      <c r="B94" s="416" t="inlineStr">
        <is>
          <t>PC</t>
        </is>
      </c>
      <c r="C94" s="416" t="inlineStr">
        <is>
          <t>R$</t>
        </is>
      </c>
      <c r="D94" s="416" t="n"/>
      <c r="F94" s="2" t="n"/>
      <c r="G94" s="2" t="n"/>
      <c r="H94" s="2" t="n"/>
      <c r="I94" s="2" t="n"/>
      <c r="J94" s="619" t="n">
        <v>46041</v>
      </c>
      <c r="K94" s="619" t="n">
        <v>46048</v>
      </c>
      <c r="L94" s="619" t="n">
        <v>46055</v>
      </c>
      <c r="M94" s="619" t="n">
        <v>46062</v>
      </c>
      <c r="N94" s="619" t="n">
        <v>46069</v>
      </c>
      <c r="O94" s="619" t="n">
        <v>46076</v>
      </c>
      <c r="P94" s="619" t="n">
        <v>46083</v>
      </c>
      <c r="Q94" s="619" t="n">
        <v>46090</v>
      </c>
      <c r="R94" s="619" t="n">
        <v>46097</v>
      </c>
      <c r="S94" s="619" t="n">
        <v>46104</v>
      </c>
      <c r="T94" s="619" t="n">
        <v>46111</v>
      </c>
      <c r="U94" s="619" t="n">
        <v>46118</v>
      </c>
      <c r="V94" s="619" t="n">
        <v>46125</v>
      </c>
      <c r="W94" s="619" t="n">
        <v>46132</v>
      </c>
      <c r="X94" s="619" t="n">
        <v>46139</v>
      </c>
      <c r="Y94" s="619" t="n">
        <v>46146</v>
      </c>
      <c r="Z94" s="619" t="n">
        <v>46154</v>
      </c>
      <c r="AA94" s="621" t="inlineStr">
        <is>
          <t>USOU</t>
        </is>
      </c>
    </row>
    <row r="95">
      <c r="A95" s="25" t="inlineStr">
        <is>
          <t>ETIQUETA BRANCA 100X80</t>
        </is>
      </c>
      <c r="B95" s="6" t="n">
        <v>1</v>
      </c>
      <c r="C95" s="632" t="n">
        <v>25.9</v>
      </c>
      <c r="D95" s="240" t="n"/>
      <c r="F95" s="2" t="n"/>
      <c r="G95" s="2" t="n"/>
      <c r="H95" s="2" t="n"/>
      <c r="I95" s="2" t="n"/>
      <c r="J95" s="39" t="n">
        <v>14</v>
      </c>
      <c r="K95" s="39" t="n">
        <v>14</v>
      </c>
      <c r="L95" s="39" t="n">
        <v>12</v>
      </c>
      <c r="M95" s="39" t="n">
        <v>12</v>
      </c>
      <c r="N95" s="39" t="n">
        <v>12</v>
      </c>
      <c r="O95" s="39" t="n">
        <v>10</v>
      </c>
      <c r="P95" s="39" t="n">
        <v>9</v>
      </c>
      <c r="Q95" s="39" t="n"/>
      <c r="R95" s="39" t="n"/>
      <c r="S95" s="39" t="n"/>
      <c r="T95" s="39" t="n"/>
      <c r="U95" s="39" t="n"/>
      <c r="V95" s="39" t="n"/>
      <c r="W95" s="39" t="n">
        <v>8</v>
      </c>
      <c r="X95" s="39" t="n">
        <v>8</v>
      </c>
      <c r="Y95" s="39" t="n">
        <v>8</v>
      </c>
      <c r="Z95" s="39" t="n">
        <v>7</v>
      </c>
      <c r="AA95" s="380">
        <f>Y95+IF(NOT(ISBLANK(OFFSET(AA95,0,6))),N(OFFSET(AA95,0,6)),N(OFFSET(AA95,0,7)))-Z95</f>
        <v/>
      </c>
    </row>
    <row r="96">
      <c r="A96" s="25" t="inlineStr">
        <is>
          <t>RIBBON DE CERA 110X74</t>
        </is>
      </c>
      <c r="B96" s="6" t="n">
        <v>1</v>
      </c>
      <c r="C96" s="632" t="n">
        <v>7.9</v>
      </c>
      <c r="D96" s="240" t="n"/>
      <c r="F96" s="2" t="n"/>
      <c r="G96" s="2" t="n"/>
      <c r="H96" s="2" t="n"/>
      <c r="I96" s="2" t="n"/>
      <c r="J96" s="39" t="n">
        <v>21</v>
      </c>
      <c r="K96" s="39" t="n">
        <v>21</v>
      </c>
      <c r="L96" s="39" t="n">
        <v>20</v>
      </c>
      <c r="M96" s="39" t="n">
        <v>20</v>
      </c>
      <c r="N96" s="39" t="n">
        <v>20</v>
      </c>
      <c r="O96" s="39" t="n">
        <v>19</v>
      </c>
      <c r="P96" s="39" t="n">
        <v>19</v>
      </c>
      <c r="Q96" s="39" t="n"/>
      <c r="R96" s="39" t="n"/>
      <c r="S96" s="39" t="n"/>
      <c r="T96" s="39" t="n"/>
      <c r="U96" s="39" t="n"/>
      <c r="V96" s="39" t="n"/>
      <c r="W96" s="39" t="n">
        <v>19</v>
      </c>
      <c r="X96" s="39" t="n">
        <v>18</v>
      </c>
      <c r="Y96" s="39" t="n">
        <v>18</v>
      </c>
      <c r="Z96" s="39" t="n">
        <v>18</v>
      </c>
      <c r="AA96" s="380">
        <f>Y96+IF(NOT(ISBLANK(OFFSET(AA96,0,6))),N(OFFSET(AA96,0,6)),N(OFFSET(AA96,0,7)))-Z96</f>
        <v/>
      </c>
    </row>
    <row r="97" ht="19.5" customHeight="1" thickBot="1">
      <c r="F97" s="2" t="n"/>
      <c r="G97" s="2" t="n"/>
      <c r="H97" s="2" t="n"/>
      <c r="I97" s="2" t="n"/>
      <c r="J97" s="2" t="n"/>
      <c r="K97" s="2" t="n"/>
      <c r="L97" s="2" t="n"/>
      <c r="M97" s="2" t="n"/>
      <c r="N97" s="2" t="n"/>
      <c r="O97" s="2" t="n"/>
      <c r="P97" s="2" t="n"/>
      <c r="Q97" s="2" t="n"/>
      <c r="R97" s="2" t="n"/>
      <c r="S97" s="2" t="n"/>
      <c r="T97" s="2" t="n"/>
      <c r="U97" s="2" t="n"/>
      <c r="V97" s="2" t="n"/>
      <c r="W97" s="2" t="n"/>
      <c r="X97" s="2" t="n"/>
      <c r="Y97" s="2" t="n"/>
      <c r="Z97" s="2" t="n"/>
    </row>
    <row r="98" ht="24" customHeight="1" thickBot="1">
      <c r="A98" s="696" t="n">
        <v>2026</v>
      </c>
      <c r="B98" s="686" t="n"/>
      <c r="C98" s="686" t="n"/>
      <c r="D98" s="686" t="n"/>
      <c r="E98" s="686" t="n"/>
      <c r="F98" s="686" t="n"/>
      <c r="G98" s="686" t="n"/>
      <c r="H98" s="686" t="n"/>
      <c r="I98" s="686" t="n"/>
      <c r="J98" s="686" t="n"/>
      <c r="K98" s="686" t="n"/>
      <c r="L98" s="686" t="n"/>
      <c r="M98" s="686" t="n"/>
      <c r="N98" s="686" t="n"/>
      <c r="O98" s="686" t="n"/>
      <c r="P98" s="686" t="n"/>
      <c r="Q98" s="686" t="n"/>
      <c r="R98" s="686" t="n"/>
      <c r="S98" s="686" t="n"/>
      <c r="T98" s="686" t="n"/>
      <c r="U98" s="686" t="n"/>
      <c r="V98" s="686" t="n"/>
      <c r="W98" s="686" t="n"/>
      <c r="X98" s="686" t="n"/>
      <c r="Y98" s="686" t="n"/>
      <c r="Z98" s="686" t="n"/>
      <c r="AA98" s="697" t="n"/>
    </row>
    <row r="99" ht="23.25" customHeight="1">
      <c r="A99" s="299" t="n"/>
      <c r="B99" s="299" t="n"/>
      <c r="C99" s="299" t="n"/>
      <c r="D99" s="299" t="n"/>
      <c r="E99" s="299" t="n"/>
      <c r="F99" s="299" t="n"/>
      <c r="G99" s="299" t="n"/>
      <c r="H99" s="299" t="n"/>
      <c r="I99" s="299" t="n"/>
      <c r="J99" s="299" t="n"/>
      <c r="K99" s="299" t="n"/>
      <c r="L99" s="299" t="n"/>
      <c r="M99" s="299" t="n"/>
      <c r="N99" s="299" t="n"/>
      <c r="O99" s="299" t="n"/>
      <c r="P99" s="299" t="n"/>
      <c r="Q99" s="299" t="n"/>
      <c r="R99" s="299" t="n"/>
      <c r="S99" s="299" t="n"/>
      <c r="T99" s="299" t="n"/>
      <c r="U99" s="299" t="n"/>
      <c r="V99" s="299" t="n"/>
      <c r="W99" s="299" t="n"/>
      <c r="X99" s="299" t="n"/>
      <c r="Y99" s="299" t="n"/>
      <c r="Z99" s="299" t="n"/>
      <c r="AA99" s="299" t="n"/>
    </row>
    <row r="100">
      <c r="A100" s="278" t="inlineStr">
        <is>
          <t>EUDORA MÃES/26</t>
        </is>
      </c>
      <c r="B100" s="279" t="inlineStr">
        <is>
          <t>PC</t>
        </is>
      </c>
      <c r="C100" s="279" t="inlineStr">
        <is>
          <t>R$</t>
        </is>
      </c>
      <c r="D100" s="279" t="n"/>
      <c r="F100" s="688" t="n">
        <v>46013</v>
      </c>
      <c r="G100" s="688" t="n">
        <v>46020</v>
      </c>
      <c r="H100" s="688" t="n">
        <v>46027</v>
      </c>
      <c r="I100" s="688" t="n">
        <v>46034</v>
      </c>
      <c r="J100" s="688" t="n">
        <v>46041</v>
      </c>
      <c r="K100" s="688" t="n">
        <v>46048</v>
      </c>
      <c r="L100" s="688" t="n">
        <v>46055</v>
      </c>
      <c r="M100" s="619" t="n">
        <v>46062</v>
      </c>
      <c r="N100" s="619" t="n">
        <v>46069</v>
      </c>
      <c r="O100" s="619" t="n">
        <v>46076</v>
      </c>
      <c r="P100" s="619" t="n">
        <v>46083</v>
      </c>
      <c r="Q100" s="619" t="n">
        <v>46090</v>
      </c>
      <c r="R100" s="619" t="n">
        <v>46097</v>
      </c>
      <c r="S100" s="619" t="n">
        <v>46104</v>
      </c>
      <c r="T100" s="619" t="n">
        <v>46111</v>
      </c>
      <c r="U100" s="619" t="n">
        <v>46118</v>
      </c>
      <c r="V100" s="619" t="n">
        <v>46125</v>
      </c>
      <c r="W100" s="619" t="n">
        <v>46132</v>
      </c>
      <c r="X100" s="619" t="n">
        <v>46139</v>
      </c>
      <c r="Y100" s="619" t="n">
        <v>46146</v>
      </c>
      <c r="Z100" s="619" t="n">
        <v>46154</v>
      </c>
      <c r="AA100" s="621" t="inlineStr">
        <is>
          <t>USOU</t>
        </is>
      </c>
    </row>
    <row r="101">
      <c r="A101" s="25" t="inlineStr">
        <is>
          <t xml:space="preserve">SACOLA M </t>
        </is>
      </c>
      <c r="B101" s="6" t="n">
        <v>150</v>
      </c>
      <c r="C101" s="632" t="n"/>
      <c r="D101" s="240" t="n"/>
      <c r="F101" s="39" t="n">
        <v>0</v>
      </c>
      <c r="G101" s="39" t="n">
        <v>0</v>
      </c>
      <c r="H101" s="39" t="n">
        <v>0</v>
      </c>
      <c r="I101" s="39" t="n">
        <v>0</v>
      </c>
      <c r="J101" s="39" t="n">
        <v>0</v>
      </c>
      <c r="K101" s="39" t="n">
        <v>0</v>
      </c>
      <c r="L101" s="39" t="n"/>
      <c r="M101" s="39" t="n">
        <v>0</v>
      </c>
      <c r="N101" s="39" t="n">
        <v>0</v>
      </c>
      <c r="O101" s="39" t="n">
        <v>0</v>
      </c>
      <c r="P101" s="39">
        <f>AQ10</f>
        <v/>
      </c>
      <c r="Q101" s="39" t="n">
        <v>2100</v>
      </c>
      <c r="R101" s="39" t="n">
        <v>1950</v>
      </c>
      <c r="S101" s="39" t="n">
        <v>1650</v>
      </c>
      <c r="T101" s="39" t="n">
        <v>1600</v>
      </c>
      <c r="U101" s="39" t="n">
        <v>1400</v>
      </c>
      <c r="V101" s="39" t="n">
        <v>900</v>
      </c>
      <c r="W101" s="39" t="n">
        <v>600</v>
      </c>
      <c r="X101" s="39" t="n">
        <v>300</v>
      </c>
      <c r="Y101" s="39" t="n">
        <v>0</v>
      </c>
      <c r="Z101" s="39" t="n">
        <v>0</v>
      </c>
      <c r="AA101" s="380">
        <f>Y101+IF(NOT(ISBLANK(OFFSET(AA101,0,6))),N(OFFSET(AA101,0,6)),N(OFFSET(AA101,0,7)))-Z101</f>
        <v/>
      </c>
    </row>
    <row r="102">
      <c r="A102" s="25" t="inlineStr">
        <is>
          <t>ADESIVO</t>
        </is>
      </c>
      <c r="B102" s="6" t="n">
        <v>1000</v>
      </c>
      <c r="C102" s="632" t="n"/>
      <c r="D102" s="240" t="n"/>
      <c r="F102" s="39" t="n"/>
      <c r="G102" s="39" t="n"/>
      <c r="H102" s="39" t="n"/>
      <c r="I102" s="39" t="n"/>
      <c r="J102" s="39" t="n"/>
      <c r="K102" s="39" t="n"/>
      <c r="L102" s="39" t="n"/>
      <c r="M102" s="39" t="n">
        <v>0</v>
      </c>
      <c r="N102" s="39" t="n">
        <v>0</v>
      </c>
      <c r="O102" s="39" t="n">
        <v>0</v>
      </c>
      <c r="P102" s="39">
        <f>AQ20</f>
        <v/>
      </c>
      <c r="Q102" s="39" t="n">
        <v>3</v>
      </c>
      <c r="R102" s="39" t="n">
        <v>2</v>
      </c>
      <c r="S102" s="39" t="n">
        <v>2</v>
      </c>
      <c r="T102" s="39" t="n">
        <v>2</v>
      </c>
      <c r="U102" s="39" t="n">
        <v>2</v>
      </c>
      <c r="V102" s="39" t="n">
        <v>1</v>
      </c>
      <c r="W102" s="39" t="n">
        <v>1</v>
      </c>
      <c r="X102" s="39" t="n">
        <v>0</v>
      </c>
      <c r="Y102" s="39" t="n">
        <v>0</v>
      </c>
      <c r="Z102" s="39" t="n">
        <v>0</v>
      </c>
      <c r="AA102" s="380">
        <f>Y102+IF(NOT(ISBLANK(OFFSET(AA102,0,6))),N(OFFSET(AA102,0,6)),N(OFFSET(AA102,0,7)))-Z102</f>
        <v/>
      </c>
    </row>
    <row r="103">
      <c r="A103" s="25" t="inlineStr">
        <is>
          <t>PAPEL DE SEDA</t>
        </is>
      </c>
      <c r="B103" s="6" t="n">
        <v>200</v>
      </c>
      <c r="C103" s="632" t="n"/>
      <c r="D103" s="240" t="n"/>
      <c r="F103" s="39" t="n">
        <v>0</v>
      </c>
      <c r="G103" s="39" t="n">
        <v>1</v>
      </c>
      <c r="H103" s="39" t="n">
        <v>1</v>
      </c>
      <c r="I103" s="39" t="n">
        <v>0</v>
      </c>
      <c r="J103" s="39" t="n">
        <v>0</v>
      </c>
      <c r="K103" s="39" t="n">
        <v>0</v>
      </c>
      <c r="L103" s="39" t="n"/>
      <c r="M103" s="39" t="n">
        <v>0</v>
      </c>
      <c r="N103" s="39" t="n">
        <v>0</v>
      </c>
      <c r="O103" s="39" t="n">
        <v>0</v>
      </c>
      <c r="P103" s="39">
        <f>AQ19</f>
        <v/>
      </c>
      <c r="Q103" s="39" t="n">
        <v>200</v>
      </c>
      <c r="R103" s="39" t="n">
        <v>200</v>
      </c>
      <c r="S103" s="39" t="n">
        <v>200</v>
      </c>
      <c r="T103" s="39" t="n">
        <v>200</v>
      </c>
      <c r="U103" s="39" t="n">
        <v>200</v>
      </c>
      <c r="V103" s="39" t="n">
        <v>200</v>
      </c>
      <c r="W103" s="39" t="n">
        <v>200</v>
      </c>
      <c r="X103" s="39" t="n">
        <v>200</v>
      </c>
      <c r="Y103" s="39" t="n">
        <v>200</v>
      </c>
      <c r="Z103" s="39" t="n">
        <v>200</v>
      </c>
      <c r="AA103" s="380">
        <f>Y103+IF(NOT(ISBLANK(OFFSET(AA103,0,6))),N(OFFSET(AA103,0,6)),N(OFFSET(AA103,0,7)))-Z103</f>
        <v/>
      </c>
    </row>
    <row r="104">
      <c r="A104" s="25" t="inlineStr">
        <is>
          <t>SACOLA M VENDA</t>
        </is>
      </c>
      <c r="B104" s="6" t="n">
        <v>150</v>
      </c>
      <c r="C104" s="632" t="n"/>
      <c r="D104" s="240" t="n"/>
      <c r="F104" s="39" t="n"/>
      <c r="G104" s="39" t="n"/>
      <c r="H104" s="39" t="n"/>
      <c r="I104" s="39" t="n"/>
      <c r="J104" s="39" t="n"/>
      <c r="K104" s="39" t="n"/>
      <c r="L104" s="39" t="n"/>
      <c r="M104" s="39" t="n">
        <v>0</v>
      </c>
      <c r="N104" s="39" t="n">
        <v>0</v>
      </c>
      <c r="O104" s="39" t="n">
        <v>0</v>
      </c>
      <c r="P104" s="39">
        <f>AQ16</f>
        <v/>
      </c>
      <c r="Q104" s="39" t="n">
        <v>598</v>
      </c>
      <c r="R104" s="39" t="n">
        <v>462</v>
      </c>
      <c r="S104" s="39" t="n">
        <v>266</v>
      </c>
      <c r="T104" s="39" t="n">
        <v>206</v>
      </c>
      <c r="U104" s="39" t="n"/>
      <c r="V104" s="39" t="n"/>
      <c r="W104" s="39" t="n"/>
      <c r="X104" s="39" t="n"/>
      <c r="Y104" s="39" t="n"/>
      <c r="Z104" s="39" t="n">
        <v>0</v>
      </c>
      <c r="AA104" s="380">
        <f>Y104+IF(NOT(ISBLANK(OFFSET(AA104,0,6))),N(OFFSET(AA104,0,6)),N(OFFSET(AA104,0,7)))-Z104</f>
        <v/>
      </c>
    </row>
    <row r="105">
      <c r="A105" s="25" t="inlineStr">
        <is>
          <t>KIT TAG 10 C/ 20</t>
        </is>
      </c>
      <c r="B105" s="6" t="n">
        <v>200</v>
      </c>
      <c r="C105" s="632" t="n"/>
      <c r="D105" s="240" t="n"/>
      <c r="F105" s="39" t="n">
        <v>0</v>
      </c>
      <c r="G105" s="39" t="n">
        <v>0</v>
      </c>
      <c r="H105" s="39" t="n">
        <v>0</v>
      </c>
      <c r="I105" s="39" t="n">
        <v>3</v>
      </c>
      <c r="J105" s="39" t="n">
        <v>3</v>
      </c>
      <c r="K105" s="39" t="n">
        <v>3</v>
      </c>
      <c r="L105" s="39" t="n">
        <v>3</v>
      </c>
      <c r="M105" s="39" t="n">
        <v>0</v>
      </c>
      <c r="N105" s="39" t="n">
        <v>0</v>
      </c>
      <c r="O105" s="39" t="n">
        <v>0</v>
      </c>
      <c r="P105" s="39">
        <f>AQ21</f>
        <v/>
      </c>
      <c r="Q105" s="39" t="n">
        <v>5</v>
      </c>
      <c r="R105" s="39" t="n">
        <v>5</v>
      </c>
      <c r="S105" s="39" t="n">
        <v>5</v>
      </c>
      <c r="T105" s="39" t="n">
        <v>5</v>
      </c>
      <c r="U105" s="39" t="n"/>
      <c r="V105" s="39" t="n"/>
      <c r="W105" s="39" t="n"/>
      <c r="X105" s="39" t="n"/>
      <c r="Y105" s="39" t="n"/>
      <c r="Z105" s="39" t="n">
        <v>5</v>
      </c>
      <c r="AA105" s="380">
        <f>Y105+IF(NOT(ISBLANK(OFFSET(AA105,0,6))),N(OFFSET(AA105,0,6)),N(OFFSET(AA105,0,7)))-Z105</f>
        <v/>
      </c>
    </row>
    <row r="106">
      <c r="A106" s="157" t="inlineStr">
        <is>
          <t>CAIXA M</t>
        </is>
      </c>
      <c r="B106" s="72" t="n">
        <v>100</v>
      </c>
      <c r="C106" s="639" t="n"/>
      <c r="D106" s="72" t="n"/>
      <c r="F106" s="39" t="n">
        <v>44</v>
      </c>
      <c r="G106" s="39" t="n">
        <v>44</v>
      </c>
      <c r="H106" s="39" t="n">
        <v>44</v>
      </c>
      <c r="I106" s="39" t="n">
        <v>44</v>
      </c>
      <c r="J106" s="39" t="n">
        <v>44</v>
      </c>
      <c r="K106" s="39" t="n">
        <v>44</v>
      </c>
      <c r="L106" s="39" t="n">
        <v>44</v>
      </c>
      <c r="M106" s="39" t="n">
        <v>0</v>
      </c>
      <c r="N106" s="39" t="n">
        <v>0</v>
      </c>
      <c r="O106" s="39" t="n">
        <v>0</v>
      </c>
      <c r="P106" s="39">
        <f>AQ25</f>
        <v/>
      </c>
      <c r="Q106" s="39" t="n">
        <v>100</v>
      </c>
      <c r="R106" s="39" t="n">
        <v>99</v>
      </c>
      <c r="S106" s="39" t="n">
        <v>99</v>
      </c>
      <c r="T106" s="39" t="n">
        <v>99</v>
      </c>
      <c r="U106" s="39" t="n"/>
      <c r="V106" s="39" t="n"/>
      <c r="W106" s="39" t="n"/>
      <c r="X106" s="39" t="n"/>
      <c r="Y106" s="39" t="n"/>
      <c r="Z106" s="39" t="n">
        <v>96</v>
      </c>
      <c r="AA106" s="380">
        <f>Y106+IF(NOT(ISBLANK(OFFSET(AA106,0,6))),N(OFFSET(AA106,0,6)),N(OFFSET(AA106,0,7)))-Z106</f>
        <v/>
      </c>
    </row>
    <row r="107">
      <c r="A107" s="157" t="inlineStr">
        <is>
          <t>CARTUCHO P</t>
        </is>
      </c>
      <c r="B107" s="72" t="n">
        <v>200</v>
      </c>
      <c r="C107" s="639" t="n"/>
      <c r="D107" s="72" t="n"/>
      <c r="F107" s="39" t="n">
        <v>88</v>
      </c>
      <c r="G107" s="39" t="n">
        <v>88</v>
      </c>
      <c r="H107" s="39" t="n">
        <v>88</v>
      </c>
      <c r="I107" s="39" t="n">
        <v>86</v>
      </c>
      <c r="J107" s="39" t="n">
        <v>84</v>
      </c>
      <c r="K107" s="39" t="n">
        <v>84</v>
      </c>
      <c r="L107" s="39" t="n">
        <v>84</v>
      </c>
      <c r="M107" s="39" t="n">
        <v>0</v>
      </c>
      <c r="N107" s="39" t="n">
        <v>0</v>
      </c>
      <c r="O107" s="39" t="n">
        <v>0</v>
      </c>
      <c r="P107" s="39" t="n">
        <v>0</v>
      </c>
      <c r="Q107" s="211" t="n">
        <v>50</v>
      </c>
      <c r="R107" s="39" t="n">
        <v>47</v>
      </c>
      <c r="S107" s="39" t="n">
        <v>47</v>
      </c>
      <c r="T107" s="39" t="n">
        <v>45</v>
      </c>
      <c r="U107" s="39" t="n"/>
      <c r="V107" s="39" t="n"/>
      <c r="W107" s="39" t="n"/>
      <c r="X107" s="39" t="n"/>
      <c r="Y107" s="39" t="n"/>
      <c r="Z107" s="39" t="n">
        <v>36</v>
      </c>
      <c r="AA107" s="380">
        <f>Y107+IF(NOT(ISBLANK(OFFSET(AA107,0,6))),N(OFFSET(AA107,0,6)),N(OFFSET(AA107,0,7)))-Z107</f>
        <v/>
      </c>
    </row>
    <row r="108">
      <c r="F108" s="2" t="n"/>
      <c r="G108" s="2" t="n"/>
      <c r="H108" s="2" t="n"/>
      <c r="I108" s="2" t="n"/>
      <c r="J108" s="2" t="n"/>
      <c r="K108" s="2" t="n"/>
      <c r="L108" s="2" t="n"/>
      <c r="M108" s="2" t="n"/>
      <c r="N108" s="2" t="n"/>
      <c r="O108" s="2" t="n"/>
      <c r="P108" s="2" t="n"/>
      <c r="Q108" s="2" t="n"/>
      <c r="R108" s="2" t="n"/>
      <c r="S108" s="2" t="n"/>
      <c r="T108" s="2" t="n"/>
      <c r="U108" s="2" t="n"/>
      <c r="V108" s="2" t="n"/>
      <c r="W108" s="2" t="n"/>
      <c r="X108" s="2" t="n"/>
      <c r="Y108" s="2" t="n"/>
      <c r="Z108" s="2" t="n"/>
    </row>
    <row r="109">
      <c r="A109" s="280" t="inlineStr">
        <is>
          <t>BOTICÁRIO MÃES/26</t>
        </is>
      </c>
      <c r="B109" s="255" t="inlineStr">
        <is>
          <t>PC</t>
        </is>
      </c>
      <c r="C109" s="255" t="inlineStr">
        <is>
          <t>R$</t>
        </is>
      </c>
      <c r="D109" s="255" t="n"/>
      <c r="F109" s="619" t="n">
        <v>46013</v>
      </c>
      <c r="G109" s="619" t="n">
        <v>46020</v>
      </c>
      <c r="H109" s="619" t="n">
        <v>46027</v>
      </c>
      <c r="I109" s="619" t="n">
        <v>46034</v>
      </c>
      <c r="J109" s="619" t="n">
        <v>46041</v>
      </c>
      <c r="K109" s="619" t="n">
        <v>46048</v>
      </c>
      <c r="L109" s="619" t="n">
        <v>46055</v>
      </c>
      <c r="M109" s="619" t="n">
        <v>46062</v>
      </c>
      <c r="N109" s="619" t="n">
        <v>46069</v>
      </c>
      <c r="O109" s="619" t="n">
        <v>46076</v>
      </c>
      <c r="P109" s="619" t="n">
        <v>46083</v>
      </c>
      <c r="Q109" s="619" t="n">
        <v>46090</v>
      </c>
      <c r="R109" s="619" t="n">
        <v>46097</v>
      </c>
      <c r="S109" s="619" t="n">
        <v>46104</v>
      </c>
      <c r="T109" s="619" t="n">
        <v>46111</v>
      </c>
      <c r="U109" s="619" t="n">
        <v>46118</v>
      </c>
      <c r="V109" s="619" t="n">
        <v>46125</v>
      </c>
      <c r="W109" s="619" t="n">
        <v>46132</v>
      </c>
      <c r="X109" s="619" t="n">
        <v>46139</v>
      </c>
      <c r="Y109" s="619" t="n">
        <v>46146</v>
      </c>
      <c r="Z109" s="619" t="n">
        <v>46154</v>
      </c>
      <c r="AA109" s="621" t="inlineStr">
        <is>
          <t>USOU</t>
        </is>
      </c>
    </row>
    <row r="110">
      <c r="A110" s="25" t="inlineStr">
        <is>
          <t>SACOLA P</t>
        </is>
      </c>
      <c r="B110" s="6" t="n">
        <v>200</v>
      </c>
      <c r="C110" s="632" t="n"/>
      <c r="D110" s="240" t="n"/>
      <c r="F110" s="39" t="n">
        <v>59</v>
      </c>
      <c r="G110" s="39" t="n">
        <v>59</v>
      </c>
      <c r="H110" s="39" t="n">
        <v>58</v>
      </c>
      <c r="I110" s="39" t="n">
        <v>47</v>
      </c>
      <c r="J110" s="39" t="n">
        <v>47</v>
      </c>
      <c r="K110" s="39" t="n">
        <v>46</v>
      </c>
      <c r="L110" s="39" t="n">
        <v>46</v>
      </c>
      <c r="M110" s="39" t="n">
        <v>0</v>
      </c>
      <c r="N110" s="39" t="n">
        <v>0</v>
      </c>
      <c r="O110" s="39" t="n">
        <v>0</v>
      </c>
      <c r="P110" s="39" t="n">
        <v>0</v>
      </c>
      <c r="Q110" s="39" t="n">
        <v>0</v>
      </c>
      <c r="R110" s="39" t="n">
        <v>0</v>
      </c>
      <c r="S110" s="39">
        <f>AM9</f>
        <v/>
      </c>
      <c r="T110" s="39" t="n">
        <v>4000</v>
      </c>
      <c r="U110" s="39" t="n">
        <v>4000</v>
      </c>
      <c r="V110" s="39" t="n">
        <v>4000</v>
      </c>
      <c r="W110" s="39" t="n">
        <v>4000</v>
      </c>
      <c r="X110" s="39" t="n">
        <v>3000</v>
      </c>
      <c r="Y110" s="39" t="n">
        <v>1600</v>
      </c>
      <c r="Z110" s="211" t="n">
        <v>600</v>
      </c>
      <c r="AA110" s="380">
        <f>Y110+IF(NOT(ISBLANK(OFFSET(AA110,0,6))),N(OFFSET(AA110,0,6)),N(OFFSET(AA110,0,7)))-Z110</f>
        <v/>
      </c>
    </row>
    <row r="111">
      <c r="A111" s="25" t="inlineStr">
        <is>
          <t>SACOLA M</t>
        </is>
      </c>
      <c r="B111" s="6" t="n">
        <v>200</v>
      </c>
      <c r="C111" s="632" t="n"/>
      <c r="D111" s="240" t="n"/>
      <c r="F111" s="39" t="n">
        <v>160</v>
      </c>
      <c r="G111" s="39" t="n">
        <v>160</v>
      </c>
      <c r="H111" s="39" t="n">
        <v>160</v>
      </c>
      <c r="I111" s="39" t="n">
        <v>131</v>
      </c>
      <c r="J111" s="39" t="n">
        <v>0</v>
      </c>
      <c r="K111" s="39" t="n">
        <v>0</v>
      </c>
      <c r="L111" s="39" t="n">
        <v>0</v>
      </c>
      <c r="M111" s="39" t="n">
        <v>0</v>
      </c>
      <c r="N111" s="39" t="n">
        <v>0</v>
      </c>
      <c r="O111" s="39" t="n">
        <v>0</v>
      </c>
      <c r="P111" s="39" t="n">
        <v>0</v>
      </c>
      <c r="Q111" s="39" t="n">
        <v>0</v>
      </c>
      <c r="R111" s="39" t="n">
        <v>0</v>
      </c>
      <c r="S111" s="39">
        <f>AM10</f>
        <v/>
      </c>
      <c r="T111" s="39" t="n">
        <v>2200</v>
      </c>
      <c r="U111" s="39" t="n">
        <v>2200</v>
      </c>
      <c r="V111" s="39" t="n">
        <v>2200</v>
      </c>
      <c r="W111" s="39" t="n">
        <v>2200</v>
      </c>
      <c r="X111" s="39" t="n">
        <v>1800</v>
      </c>
      <c r="Y111" s="39" t="n">
        <v>1400</v>
      </c>
      <c r="Z111" s="211" t="n">
        <v>0</v>
      </c>
      <c r="AA111" s="380">
        <f>Y111+IF(NOT(ISBLANK(OFFSET(AA111,0,6))),N(OFFSET(AA111,0,6)),N(OFFSET(AA111,0,7)))-Z111</f>
        <v/>
      </c>
    </row>
    <row r="112">
      <c r="A112" s="25" t="inlineStr">
        <is>
          <t>SACOLA G</t>
        </is>
      </c>
      <c r="B112" s="6" t="n">
        <v>100</v>
      </c>
      <c r="C112" s="632" t="n"/>
      <c r="D112" s="240" t="n"/>
      <c r="F112" s="39" t="n">
        <v>37</v>
      </c>
      <c r="G112" s="39" t="n">
        <v>37</v>
      </c>
      <c r="H112" s="39" t="n">
        <v>37</v>
      </c>
      <c r="I112" s="39" t="n">
        <v>16</v>
      </c>
      <c r="J112" s="39" t="n">
        <v>0</v>
      </c>
      <c r="K112" s="39" t="n">
        <v>0</v>
      </c>
      <c r="L112" s="39" t="n">
        <v>0</v>
      </c>
      <c r="M112" s="39" t="n">
        <v>0</v>
      </c>
      <c r="N112" s="39" t="n">
        <v>0</v>
      </c>
      <c r="O112" s="39" t="n">
        <v>0</v>
      </c>
      <c r="P112" s="39" t="n">
        <v>0</v>
      </c>
      <c r="Q112" s="39" t="n">
        <v>0</v>
      </c>
      <c r="R112" s="39" t="n">
        <v>0</v>
      </c>
      <c r="S112" s="39">
        <f>AM11</f>
        <v/>
      </c>
      <c r="T112" s="39" t="n">
        <v>800</v>
      </c>
      <c r="U112" s="39" t="n">
        <v>800</v>
      </c>
      <c r="V112" s="39" t="n">
        <v>800</v>
      </c>
      <c r="W112" s="39" t="n">
        <v>800</v>
      </c>
      <c r="X112" s="39" t="n">
        <v>700</v>
      </c>
      <c r="Y112" s="39" t="n">
        <v>600</v>
      </c>
      <c r="Z112" s="211" t="n">
        <v>300</v>
      </c>
      <c r="AA112" s="380">
        <f>Y112+IF(NOT(ISBLANK(OFFSET(AA112,0,6))),N(OFFSET(AA112,0,6)),N(OFFSET(AA112,0,7)))-Z112</f>
        <v/>
      </c>
    </row>
    <row r="113">
      <c r="A113" s="25" t="inlineStr">
        <is>
          <t>SACOLA P VENDA</t>
        </is>
      </c>
      <c r="B113" s="6" t="n">
        <v>200</v>
      </c>
      <c r="C113" s="632" t="n"/>
      <c r="D113" s="240" t="n"/>
      <c r="F113" s="39" t="n"/>
      <c r="G113" s="39" t="n"/>
      <c r="H113" s="39" t="n"/>
      <c r="I113" s="39" t="n"/>
      <c r="J113" s="39" t="n"/>
      <c r="K113" s="39" t="n"/>
      <c r="L113" s="39" t="n"/>
      <c r="M113" s="39" t="n">
        <v>0</v>
      </c>
      <c r="N113" s="39" t="n">
        <v>0</v>
      </c>
      <c r="O113" s="39" t="n">
        <v>0</v>
      </c>
      <c r="P113" s="39" t="n">
        <v>0</v>
      </c>
      <c r="Q113" s="39" t="n">
        <v>0</v>
      </c>
      <c r="R113" s="39" t="n">
        <v>0</v>
      </c>
      <c r="S113" s="39">
        <f>AM15</f>
        <v/>
      </c>
      <c r="T113" s="39" t="n">
        <v>334</v>
      </c>
      <c r="U113" s="39" t="n"/>
      <c r="V113" s="39" t="n"/>
      <c r="W113" s="39" t="n"/>
      <c r="X113" s="39" t="n"/>
      <c r="Y113" s="39" t="n"/>
      <c r="Z113" s="39" t="n">
        <v>0</v>
      </c>
      <c r="AA113" s="380">
        <f>Y113+IF(NOT(ISBLANK(OFFSET(AA113,0,6))),N(OFFSET(AA113,0,6)),N(OFFSET(AA113,0,7)))-Z113</f>
        <v/>
      </c>
    </row>
    <row r="114">
      <c r="A114" s="25" t="inlineStr">
        <is>
          <t>SACOLA M VENDA</t>
        </is>
      </c>
      <c r="B114" s="6" t="n">
        <v>200</v>
      </c>
      <c r="C114" s="632" t="n"/>
      <c r="D114" s="240" t="n"/>
      <c r="F114" s="39" t="n"/>
      <c r="G114" s="39" t="n"/>
      <c r="H114" s="39" t="n"/>
      <c r="I114" s="39" t="n"/>
      <c r="J114" s="39" t="n"/>
      <c r="K114" s="39" t="n"/>
      <c r="L114" s="39" t="n"/>
      <c r="M114" s="39" t="n">
        <v>0</v>
      </c>
      <c r="N114" s="39" t="n">
        <v>0</v>
      </c>
      <c r="O114" s="39" t="n">
        <v>0</v>
      </c>
      <c r="P114" s="39" t="n">
        <v>0</v>
      </c>
      <c r="Q114" s="39" t="n">
        <v>0</v>
      </c>
      <c r="R114" s="39" t="n">
        <v>0</v>
      </c>
      <c r="S114" s="39">
        <f>AM16</f>
        <v/>
      </c>
      <c r="T114" s="39" t="n">
        <v>154</v>
      </c>
      <c r="U114" s="39" t="n"/>
      <c r="V114" s="39" t="n"/>
      <c r="W114" s="39" t="n"/>
      <c r="X114" s="39" t="n"/>
      <c r="Y114" s="39" t="n"/>
      <c r="Z114" s="39" t="n">
        <v>0</v>
      </c>
      <c r="AA114" s="380">
        <f>Y114+IF(NOT(ISBLANK(OFFSET(AA114,0,6))),N(OFFSET(AA114,0,6)),N(OFFSET(AA114,0,7)))-Z114</f>
        <v/>
      </c>
    </row>
    <row r="115">
      <c r="A115" s="157" t="inlineStr">
        <is>
          <t>KIT PAPEL DE SEDA 10 C/ 20</t>
        </is>
      </c>
      <c r="B115" s="72" t="n">
        <v>200</v>
      </c>
      <c r="C115" s="639" t="n"/>
      <c r="D115" s="72" t="n"/>
      <c r="F115" s="39" t="n">
        <v>0</v>
      </c>
      <c r="G115" s="39" t="n">
        <v>0</v>
      </c>
      <c r="H115" s="39" t="n">
        <v>0</v>
      </c>
      <c r="I115" s="39" t="n">
        <v>0</v>
      </c>
      <c r="J115" s="39" t="n">
        <v>0</v>
      </c>
      <c r="K115" s="39" t="n">
        <v>0</v>
      </c>
      <c r="L115" s="39" t="n">
        <v>0</v>
      </c>
      <c r="M115" s="39" t="n">
        <v>0</v>
      </c>
      <c r="N115" s="39" t="n">
        <v>0</v>
      </c>
      <c r="O115" s="39" t="n">
        <v>0</v>
      </c>
      <c r="P115" s="39" t="n">
        <v>0</v>
      </c>
      <c r="Q115" s="39" t="n">
        <v>0</v>
      </c>
      <c r="R115" s="39" t="n">
        <v>0</v>
      </c>
      <c r="S115" s="39">
        <f>AM19</f>
        <v/>
      </c>
      <c r="T115" s="39" t="n">
        <v>5</v>
      </c>
      <c r="U115" s="39" t="n"/>
      <c r="V115" s="39" t="n"/>
      <c r="W115" s="39" t="n"/>
      <c r="X115" s="39" t="n"/>
      <c r="Y115" s="39" t="n"/>
      <c r="Z115" s="39" t="n">
        <v>0</v>
      </c>
      <c r="AA115" s="380">
        <f>Y115+IF(NOT(ISBLANK(OFFSET(AA115,0,6))),N(OFFSET(AA115,0,6)),N(OFFSET(AA115,0,7)))-Z115</f>
        <v/>
      </c>
    </row>
    <row r="116">
      <c r="A116" s="157" t="inlineStr">
        <is>
          <t>CAIXA P</t>
        </is>
      </c>
      <c r="B116" s="72" t="n">
        <v>150</v>
      </c>
      <c r="C116" s="639" t="n"/>
      <c r="D116" s="72" t="n"/>
      <c r="F116" s="39" t="n">
        <v>60</v>
      </c>
      <c r="G116" s="39" t="n">
        <v>60</v>
      </c>
      <c r="H116" s="39" t="n">
        <v>60</v>
      </c>
      <c r="I116" s="39" t="n">
        <v>59</v>
      </c>
      <c r="J116" s="39" t="n">
        <v>59</v>
      </c>
      <c r="K116" s="39" t="n">
        <v>59</v>
      </c>
      <c r="L116" s="39" t="n">
        <v>59</v>
      </c>
      <c r="M116" s="39" t="n">
        <v>0</v>
      </c>
      <c r="N116" s="39" t="n">
        <v>0</v>
      </c>
      <c r="O116" s="39" t="n">
        <v>0</v>
      </c>
      <c r="P116" s="39">
        <f>AP24</f>
        <v/>
      </c>
      <c r="Q116" s="39" t="n">
        <v>150</v>
      </c>
      <c r="R116" s="39" t="n">
        <v>150</v>
      </c>
      <c r="S116" s="39" t="n">
        <v>150</v>
      </c>
      <c r="T116" s="39" t="n">
        <v>68</v>
      </c>
      <c r="U116" s="39" t="n"/>
      <c r="V116" s="39" t="n"/>
      <c r="W116" s="39" t="n"/>
      <c r="X116" s="39" t="n"/>
      <c r="Y116" s="39" t="n"/>
      <c r="Z116" s="39" t="n">
        <v>0</v>
      </c>
      <c r="AA116" s="380">
        <f>Y116+IF(NOT(ISBLANK(OFFSET(AA116,0,6))),N(OFFSET(AA116,0,6)),N(OFFSET(AA116,0,7)))-Z116</f>
        <v/>
      </c>
    </row>
    <row r="117">
      <c r="A117" s="157" t="inlineStr">
        <is>
          <t>CAIXA M</t>
        </is>
      </c>
      <c r="B117" s="72" t="n">
        <v>100</v>
      </c>
      <c r="C117" s="639" t="n"/>
      <c r="D117" s="72" t="n"/>
      <c r="F117" s="39" t="n">
        <v>1</v>
      </c>
      <c r="G117" s="39" t="n">
        <v>1</v>
      </c>
      <c r="H117" s="39" t="n">
        <v>1</v>
      </c>
      <c r="I117" s="39" t="n">
        <v>1</v>
      </c>
      <c r="J117" s="39" t="n">
        <v>1</v>
      </c>
      <c r="K117" s="39" t="n">
        <v>0</v>
      </c>
      <c r="L117" s="39" t="n">
        <v>0</v>
      </c>
      <c r="M117" s="39" t="n">
        <v>0</v>
      </c>
      <c r="N117" s="39" t="n">
        <v>0</v>
      </c>
      <c r="O117" s="39" t="n">
        <v>0</v>
      </c>
      <c r="P117" s="39" t="n">
        <v>0</v>
      </c>
      <c r="Q117" s="39" t="n">
        <v>0</v>
      </c>
      <c r="R117" s="39" t="n">
        <v>0</v>
      </c>
      <c r="S117" s="39">
        <f>AM25</f>
        <v/>
      </c>
      <c r="T117" s="39" t="n">
        <v>78</v>
      </c>
      <c r="U117" s="39" t="n"/>
      <c r="V117" s="39" t="n"/>
      <c r="W117" s="39" t="n"/>
      <c r="X117" s="39" t="n"/>
      <c r="Y117" s="39" t="n"/>
      <c r="Z117" s="39" t="n">
        <v>0</v>
      </c>
      <c r="AA117" s="380">
        <f>Y117+IF(NOT(ISBLANK(OFFSET(AA117,0,6))),N(OFFSET(AA117,0,6)),N(OFFSET(AA117,0,7)))-Z117</f>
        <v/>
      </c>
    </row>
    <row r="118">
      <c r="A118" s="157" t="inlineStr">
        <is>
          <t>CARTUCHO M</t>
        </is>
      </c>
      <c r="B118" s="72" t="n">
        <v>150</v>
      </c>
      <c r="C118" s="639" t="n"/>
      <c r="D118" s="72" t="n"/>
      <c r="F118" s="39" t="n">
        <v>11</v>
      </c>
      <c r="G118" s="39" t="n">
        <v>11</v>
      </c>
      <c r="H118" s="39" t="n">
        <v>11</v>
      </c>
      <c r="I118" s="39" t="n">
        <v>11</v>
      </c>
      <c r="J118" s="39" t="n">
        <v>11</v>
      </c>
      <c r="K118" s="39" t="n">
        <v>11</v>
      </c>
      <c r="L118" s="39" t="n">
        <v>11</v>
      </c>
      <c r="M118" s="39" t="n">
        <v>0</v>
      </c>
      <c r="N118" s="39" t="n">
        <v>0</v>
      </c>
      <c r="O118" s="39" t="n">
        <v>0</v>
      </c>
      <c r="P118" s="39" t="n">
        <v>0</v>
      </c>
      <c r="Q118" s="39" t="n">
        <v>0</v>
      </c>
      <c r="R118" s="39" t="n">
        <v>0</v>
      </c>
      <c r="S118" s="39">
        <f>AM26</f>
        <v/>
      </c>
      <c r="T118" s="39" t="n">
        <v>88</v>
      </c>
      <c r="U118" s="39" t="n"/>
      <c r="V118" s="39" t="n"/>
      <c r="W118" s="39" t="n"/>
      <c r="X118" s="39" t="n"/>
      <c r="Y118" s="39" t="n"/>
      <c r="Z118" s="39" t="n">
        <v>0</v>
      </c>
      <c r="AA118" s="380">
        <f>Y118+IF(NOT(ISBLANK(OFFSET(AA118,0,6))),N(OFFSET(AA118,0,6)),N(OFFSET(AA118,0,7)))-Z118</f>
        <v/>
      </c>
    </row>
    <row r="119">
      <c r="F119" s="2" t="n"/>
      <c r="G119" s="2" t="n"/>
      <c r="H119" s="2" t="n"/>
      <c r="I119" s="2" t="n"/>
      <c r="J119" s="2" t="n"/>
      <c r="K119" s="2" t="n"/>
      <c r="L119" s="2" t="n"/>
      <c r="M119" s="2" t="n"/>
      <c r="N119" s="2" t="n"/>
      <c r="O119" s="2" t="n"/>
      <c r="P119" s="2" t="n"/>
      <c r="Q119" s="2" t="n"/>
      <c r="R119" s="2" t="n"/>
      <c r="S119" s="2" t="n"/>
      <c r="T119" s="2" t="n"/>
      <c r="U119" s="2" t="n"/>
      <c r="V119" s="2" t="n"/>
      <c r="W119" s="2" t="n"/>
      <c r="X119" s="2" t="n"/>
      <c r="Y119" s="2" t="n"/>
      <c r="Z119" s="2" t="n"/>
    </row>
    <row r="120">
      <c r="F120" s="2" t="n"/>
      <c r="G120" s="2" t="n"/>
      <c r="H120" s="2" t="n"/>
      <c r="I120" s="2" t="n"/>
      <c r="J120" s="2" t="n"/>
      <c r="K120" s="2" t="n"/>
      <c r="L120" s="2" t="n"/>
      <c r="M120" s="2" t="n"/>
      <c r="N120" s="2" t="n"/>
      <c r="O120" s="2" t="n"/>
      <c r="P120" s="2" t="n"/>
      <c r="Q120" s="2" t="n"/>
      <c r="R120" s="2" t="n"/>
      <c r="S120" s="2" t="n"/>
      <c r="T120" s="2" t="n"/>
      <c r="U120" s="2" t="n"/>
      <c r="V120" s="2" t="n"/>
      <c r="W120" s="2" t="n"/>
      <c r="X120" s="2" t="n"/>
      <c r="Y120" s="2" t="n"/>
      <c r="Z120" s="2" t="n"/>
    </row>
    <row r="121">
      <c r="F121" s="2" t="n"/>
      <c r="G121" s="2" t="n"/>
      <c r="H121" s="2" t="n"/>
      <c r="I121" s="2" t="n"/>
      <c r="J121" s="2" t="n"/>
      <c r="K121" s="2" t="n"/>
      <c r="L121" s="2" t="n"/>
      <c r="M121" s="2" t="n"/>
      <c r="N121" s="2" t="n"/>
      <c r="O121" s="2" t="n"/>
      <c r="P121" s="2" t="n"/>
      <c r="Q121" s="2" t="n"/>
      <c r="R121" s="2" t="n"/>
      <c r="S121" s="2" t="n"/>
      <c r="T121" s="2" t="n"/>
    </row>
    <row r="122">
      <c r="F122" s="2" t="n"/>
      <c r="G122" s="2" t="n"/>
      <c r="H122" s="2" t="n"/>
      <c r="I122" s="2" t="n"/>
      <c r="J122" s="2" t="n"/>
      <c r="K122" s="2" t="n"/>
      <c r="L122" s="2" t="n"/>
      <c r="M122" s="2" t="n"/>
      <c r="N122" s="2" t="n"/>
      <c r="O122" s="2" t="n"/>
      <c r="P122" s="2" t="n"/>
      <c r="Q122" s="2" t="n"/>
      <c r="R122" s="2" t="n"/>
      <c r="S122" s="2" t="n"/>
      <c r="T122" s="2" t="n"/>
    </row>
    <row r="123">
      <c r="F123" s="2" t="n"/>
      <c r="G123" s="2" t="n"/>
      <c r="H123" s="2" t="n"/>
      <c r="I123" s="2" t="n"/>
      <c r="J123" s="2" t="n"/>
      <c r="K123" s="2" t="n"/>
      <c r="L123" s="2" t="n"/>
      <c r="M123" s="2" t="n"/>
      <c r="N123" s="2" t="n"/>
      <c r="O123" s="2" t="n"/>
      <c r="P123" s="2" t="n"/>
      <c r="Q123" s="2" t="n"/>
      <c r="R123" s="2" t="n"/>
      <c r="S123" s="2" t="n"/>
      <c r="T123" s="2" t="n"/>
      <c r="U123" s="2" t="n"/>
      <c r="V123" s="2" t="n"/>
      <c r="W123" s="2" t="n"/>
      <c r="X123" s="2" t="n"/>
      <c r="Y123" s="2" t="n"/>
      <c r="Z123" s="2" t="n"/>
      <c r="AF123" s="15" t="n"/>
      <c r="AH123" s="75" t="n"/>
      <c r="AI123" s="75" t="n"/>
      <c r="AJ123" s="75" t="n"/>
    </row>
    <row r="124">
      <c r="F124" s="2" t="n"/>
      <c r="G124" s="2" t="n"/>
      <c r="H124" s="2" t="n"/>
      <c r="I124" s="2" t="n"/>
      <c r="J124" s="2" t="n"/>
      <c r="K124" s="2" t="n"/>
      <c r="L124" s="2" t="n"/>
      <c r="M124" s="2" t="n"/>
      <c r="N124" s="2" t="n"/>
      <c r="O124" s="2" t="n"/>
      <c r="P124" s="2" t="n"/>
      <c r="Q124" s="2" t="n"/>
      <c r="R124" s="2" t="n"/>
      <c r="S124" s="2" t="n"/>
      <c r="T124" s="2" t="n"/>
      <c r="U124" s="2" t="n"/>
      <c r="V124" s="2" t="n"/>
      <c r="W124" s="2" t="n"/>
      <c r="X124" s="2" t="n"/>
      <c r="Y124" s="2" t="n"/>
      <c r="Z124" s="2" t="n"/>
      <c r="AF124" s="15" t="n"/>
      <c r="AH124" s="75" t="n"/>
      <c r="AI124" s="75" t="n"/>
      <c r="AJ124" s="75" t="n"/>
    </row>
    <row r="125" ht="21" customHeight="1">
      <c r="A125" s="402" t="inlineStr">
        <is>
          <t>SOBRAS DATAS COMEMORATIVAS</t>
        </is>
      </c>
      <c r="B125" s="402" t="n"/>
      <c r="C125" s="402" t="n"/>
    </row>
    <row r="126" ht="37.5" customHeight="1">
      <c r="A126" s="369" t="inlineStr">
        <is>
          <t>ITENS</t>
        </is>
      </c>
      <c r="B126" s="369" t="n"/>
      <c r="C126" s="369" t="inlineStr">
        <is>
          <t>TEMOS EM ESTOQUE</t>
        </is>
      </c>
    </row>
    <row r="127">
      <c r="A127" s="689" t="n"/>
      <c r="B127" s="378" t="n"/>
      <c r="C127" s="365" t="n"/>
      <c r="F127" s="2" t="n"/>
      <c r="G127" s="2" t="n"/>
      <c r="H127" s="2" t="n"/>
      <c r="I127" s="2" t="n"/>
      <c r="J127" s="2" t="n"/>
      <c r="K127" s="2" t="n"/>
      <c r="L127" s="2" t="n"/>
      <c r="M127" s="2" t="n"/>
      <c r="N127" s="2" t="n"/>
      <c r="O127" s="2" t="n"/>
      <c r="P127" s="2" t="n"/>
      <c r="Q127" s="2" t="n"/>
      <c r="R127" s="2" t="n"/>
      <c r="S127" s="2" t="n"/>
      <c r="T127" s="2" t="n"/>
      <c r="AA127" s="2" t="n"/>
      <c r="AC127" s="75" t="n"/>
      <c r="AD127" s="75" t="n"/>
      <c r="AE127" s="1" t="n"/>
      <c r="AG127" s="41" t="n"/>
      <c r="AK127" s="75" t="n"/>
      <c r="AL127" s="75" t="n"/>
      <c r="AM127" s="75" t="n"/>
      <c r="AN127" s="75" t="n"/>
      <c r="AO127" s="75" t="n"/>
      <c r="AP127" s="75" t="n"/>
      <c r="AQ127" s="75" t="n"/>
      <c r="AR127" s="75" t="n"/>
      <c r="AS127" s="75" t="n"/>
      <c r="AT127" s="75" t="n"/>
      <c r="AU127" s="75" t="n"/>
      <c r="AV127" s="75" t="n"/>
      <c r="AW127" s="75" t="n"/>
      <c r="AX127" s="75" t="n"/>
      <c r="AY127" s="75" t="n"/>
      <c r="AZ127" s="75" t="n"/>
      <c r="BA127" s="75" t="n"/>
      <c r="BB127" s="75" t="n"/>
      <c r="BC127" s="75" t="n"/>
      <c r="BD127" s="75" t="n"/>
      <c r="BE127" s="75" t="n"/>
      <c r="BF127" s="75" t="n"/>
      <c r="BG127" s="75" t="n"/>
    </row>
    <row r="128">
      <c r="A128" s="186" t="n"/>
      <c r="B128" s="375" t="n"/>
      <c r="C128" s="376" t="n"/>
      <c r="F128" s="2" t="n"/>
      <c r="G128" s="2" t="n"/>
      <c r="H128" s="2" t="n"/>
      <c r="I128" s="2" t="n"/>
      <c r="J128" s="2" t="n"/>
      <c r="K128" s="2" t="n"/>
      <c r="L128" s="2" t="n"/>
      <c r="M128" s="2" t="n"/>
      <c r="N128" s="2" t="n"/>
      <c r="O128" s="2" t="n"/>
      <c r="P128" s="2" t="n"/>
      <c r="Q128" s="2" t="n"/>
      <c r="R128" s="2" t="n"/>
      <c r="S128" s="2" t="n"/>
      <c r="T128" s="2" t="n"/>
      <c r="AA128" s="2" t="n"/>
      <c r="AC128" s="75" t="n"/>
      <c r="AD128" s="75" t="n"/>
      <c r="AE128" s="1" t="n"/>
      <c r="AG128" s="41" t="n"/>
      <c r="AK128" s="75" t="n"/>
      <c r="AL128" s="75" t="n"/>
      <c r="AM128" s="75" t="n"/>
      <c r="AN128" s="75" t="n"/>
      <c r="AO128" s="75" t="n"/>
      <c r="AP128" s="75" t="n"/>
      <c r="AQ128" s="75" t="n"/>
      <c r="AR128" s="75" t="n"/>
      <c r="AS128" s="75" t="n"/>
      <c r="AT128" s="75" t="n"/>
      <c r="AU128" s="75" t="n"/>
      <c r="AV128" s="75" t="n"/>
      <c r="AW128" s="75" t="n"/>
      <c r="AX128" s="75" t="n"/>
      <c r="AY128" s="75" t="n"/>
      <c r="AZ128" s="75" t="n"/>
      <c r="BA128" s="75" t="n"/>
      <c r="BB128" s="75" t="n"/>
      <c r="BC128" s="75" t="n"/>
      <c r="BD128" s="75" t="n"/>
      <c r="BE128" s="75" t="n"/>
      <c r="BF128" s="75" t="n"/>
      <c r="BG128" s="75" t="n"/>
    </row>
    <row r="129">
      <c r="E129" s="11" t="n"/>
      <c r="F129" s="11" t="n"/>
      <c r="G129" s="11" t="n"/>
      <c r="H129" s="11" t="n"/>
      <c r="I129" s="11" t="n"/>
      <c r="J129" s="11" t="n"/>
      <c r="K129" s="11" t="n"/>
      <c r="L129" s="11" t="n"/>
      <c r="M129" s="11" t="n"/>
      <c r="N129" s="11" t="n"/>
      <c r="O129" s="11" t="n"/>
      <c r="P129" s="11" t="n"/>
      <c r="Q129" s="11" t="n"/>
      <c r="R129" s="11" t="n"/>
      <c r="S129" s="11" t="n"/>
      <c r="T129" s="11" t="n"/>
      <c r="U129" s="11" t="n"/>
      <c r="V129" s="11" t="n"/>
      <c r="W129" s="11" t="n"/>
      <c r="X129" s="11" t="n"/>
      <c r="Y129" s="11" t="n"/>
      <c r="Z129" s="11" t="n"/>
      <c r="AA129" s="11" t="n"/>
      <c r="AB129" s="11" t="n"/>
      <c r="AC129" s="71" t="n"/>
      <c r="AD129" s="71" t="n"/>
      <c r="AE129" s="11" t="n"/>
      <c r="AF129" s="34" t="n"/>
      <c r="AG129" s="11" t="n"/>
      <c r="AH129" s="34" t="n"/>
      <c r="AI129" s="34" t="n"/>
      <c r="AJ129" s="34" t="n"/>
      <c r="AK129" s="34" t="n"/>
      <c r="AL129" s="34" t="n"/>
      <c r="AM129" s="34" t="n"/>
      <c r="AN129" s="34" t="n"/>
      <c r="AO129" s="34" t="n"/>
      <c r="AP129" s="34" t="n"/>
      <c r="AQ129" s="34" t="n"/>
      <c r="AR129" s="34" t="n"/>
      <c r="AS129" s="34" t="n"/>
      <c r="AT129" s="34" t="n"/>
      <c r="AU129" s="34" t="n"/>
      <c r="AV129" s="34" t="n"/>
      <c r="AW129" s="34" t="n"/>
      <c r="AX129" s="34" t="n"/>
      <c r="AY129" s="34" t="n"/>
      <c r="AZ129" s="34" t="n"/>
      <c r="BA129" s="34" t="n"/>
      <c r="BB129" s="34" t="n"/>
      <c r="BC129" s="34" t="n"/>
      <c r="BD129" s="34" t="n"/>
      <c r="BE129" s="34" t="n"/>
      <c r="BF129" s="34" t="n"/>
      <c r="BG129" s="34" t="n"/>
    </row>
    <row r="130">
      <c r="E130" s="11" t="n"/>
      <c r="F130" s="11" t="n"/>
      <c r="G130" s="11" t="n"/>
      <c r="H130" s="11" t="n"/>
      <c r="I130" s="11" t="n"/>
      <c r="J130" s="11" t="n"/>
      <c r="K130" s="11" t="n"/>
      <c r="L130" s="11" t="n"/>
      <c r="M130" s="11" t="n"/>
      <c r="N130" s="11" t="n"/>
      <c r="O130" s="11" t="n"/>
      <c r="P130" s="11" t="n"/>
      <c r="Q130" s="11" t="n"/>
      <c r="R130" s="11" t="n"/>
      <c r="S130" s="11" t="n"/>
      <c r="T130" s="11" t="n"/>
      <c r="U130" s="11" t="n"/>
      <c r="V130" s="11" t="n"/>
      <c r="W130" s="11" t="n"/>
      <c r="X130" s="11" t="n"/>
      <c r="Y130" s="11" t="n"/>
      <c r="Z130" s="11" t="n"/>
      <c r="AA130" s="11" t="n"/>
      <c r="AB130" s="11" t="n"/>
      <c r="AC130" s="71" t="n"/>
      <c r="AD130" s="71" t="n"/>
      <c r="AE130" s="11" t="n"/>
      <c r="AF130" s="34" t="n"/>
      <c r="AG130" s="11" t="n"/>
      <c r="AH130" s="34" t="n"/>
      <c r="AI130" s="34" t="n"/>
      <c r="AJ130" s="34" t="n"/>
      <c r="AK130" s="34" t="n"/>
      <c r="AL130" s="34" t="n"/>
      <c r="AM130" s="34" t="n"/>
      <c r="AN130" s="34" t="n"/>
      <c r="AO130" s="34" t="n"/>
      <c r="AP130" s="34" t="n"/>
      <c r="AQ130" s="34" t="n"/>
      <c r="AR130" s="34" t="n"/>
      <c r="AS130" s="34" t="n"/>
      <c r="AT130" s="34" t="n"/>
      <c r="AU130" s="34" t="n"/>
      <c r="AV130" s="34" t="n"/>
      <c r="AW130" s="34" t="n"/>
      <c r="AX130" s="34" t="n"/>
      <c r="AY130" s="34" t="n"/>
      <c r="AZ130" s="34" t="n"/>
      <c r="BA130" s="34" t="n"/>
      <c r="BB130" s="34" t="n"/>
      <c r="BC130" s="34" t="n"/>
      <c r="BD130" s="34" t="n"/>
      <c r="BE130" s="34" t="n"/>
      <c r="BF130" s="34" t="n"/>
      <c r="BG130" s="34" t="n"/>
    </row>
    <row r="131">
      <c r="E131" s="11" t="n"/>
      <c r="F131" s="11" t="n"/>
      <c r="G131" s="11" t="n"/>
      <c r="H131" s="11" t="n"/>
      <c r="I131" s="11" t="n"/>
      <c r="J131" s="11" t="n"/>
      <c r="K131" s="11" t="n"/>
      <c r="L131" s="11" t="n"/>
      <c r="M131" s="11" t="n"/>
      <c r="N131" s="11" t="n"/>
      <c r="O131" s="11" t="n"/>
      <c r="P131" s="11" t="n"/>
      <c r="Q131" s="11" t="n"/>
      <c r="R131" s="11" t="n"/>
      <c r="S131" s="11" t="n"/>
      <c r="T131" s="11" t="n"/>
      <c r="U131" s="11" t="n"/>
      <c r="V131" s="11" t="n"/>
      <c r="W131" s="11" t="n"/>
      <c r="X131" s="11" t="n"/>
      <c r="Y131" s="11" t="n"/>
      <c r="Z131" s="11" t="n"/>
      <c r="AA131" s="11" t="n"/>
      <c r="AB131" s="11" t="n"/>
      <c r="AC131" s="71" t="n"/>
      <c r="AD131" s="71" t="n"/>
      <c r="AE131" s="11" t="n"/>
      <c r="AF131" s="34" t="n"/>
      <c r="AG131" s="11" t="n"/>
      <c r="AH131" s="34" t="n"/>
      <c r="AI131" s="34" t="n"/>
      <c r="AJ131" s="34" t="n"/>
      <c r="AK131" s="34" t="n"/>
      <c r="AL131" s="34" t="n"/>
      <c r="AM131" s="34" t="n"/>
      <c r="AN131" s="34" t="n"/>
      <c r="AO131" s="34" t="n"/>
      <c r="AP131" s="34" t="n"/>
      <c r="AQ131" s="34" t="n"/>
      <c r="AR131" s="34" t="n"/>
      <c r="AS131" s="34" t="n"/>
      <c r="AT131" s="34" t="n"/>
      <c r="AU131" s="34" t="n"/>
      <c r="AV131" s="34" t="n"/>
      <c r="AW131" s="34" t="n"/>
      <c r="AX131" s="34" t="n"/>
      <c r="AY131" s="34" t="n"/>
      <c r="AZ131" s="34" t="n"/>
      <c r="BA131" s="34" t="n"/>
      <c r="BB131" s="34" t="n"/>
      <c r="BC131" s="34" t="n"/>
      <c r="BD131" s="34" t="n"/>
      <c r="BE131" s="34" t="n"/>
      <c r="BF131" s="34" t="n"/>
      <c r="BG131" s="34" t="n"/>
    </row>
    <row r="132">
      <c r="B132" s="41" t="n"/>
      <c r="C132" s="684" t="n"/>
      <c r="D132" s="684" t="n"/>
    </row>
    <row r="133">
      <c r="B133" s="41" t="n"/>
      <c r="C133" s="684" t="n"/>
      <c r="D133" s="684" t="n"/>
    </row>
  </sheetData>
  <mergeCells count="9">
    <mergeCell ref="A5:A6"/>
    <mergeCell ref="B3:D3"/>
    <mergeCell ref="F5:AA5"/>
    <mergeCell ref="A1:AB1"/>
    <mergeCell ref="A98:AA98"/>
    <mergeCell ref="C5:C6"/>
    <mergeCell ref="B5:B6"/>
    <mergeCell ref="B2:D2"/>
    <mergeCell ref="D5:D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53" horizontalDpi="4294967295" verticalDpi="4294967295"/>
  <legacyDrawing xmlns:r="http://schemas.openxmlformats.org/officeDocument/2006/relationships" r:id="anysvml"/>
</worksheet>
</file>

<file path=xl/worksheets/sheet29.xml><?xml version="1.0" encoding="utf-8"?>
<worksheet xmlns="http://schemas.openxmlformats.org/spreadsheetml/2006/main">
  <sheetPr codeName="Planilha51">
    <tabColor theme="8"/>
    <outlinePr summaryBelow="1" summaryRight="1"/>
    <pageSetUpPr fitToPage="1"/>
  </sheetPr>
  <dimension ref="A1:BN133"/>
  <sheetViews>
    <sheetView showGridLines="0" topLeftCell="A76" zoomScale="80" zoomScaleNormal="80" zoomScaleSheetLayoutView="50" workbookViewId="0">
      <selection activeCell="AC96" sqref="AC96"/>
    </sheetView>
  </sheetViews>
  <sheetFormatPr baseColWidth="8" defaultColWidth="9.140625" defaultRowHeight="18.75"/>
  <cols>
    <col width="38.42578125" customWidth="1" min="1" max="1"/>
    <col width="8.140625" customWidth="1" min="2" max="2"/>
    <col width="15.85546875" customWidth="1" min="3" max="3"/>
    <col width="16.85546875" customWidth="1" min="4" max="4"/>
    <col width="2" customWidth="1" min="5" max="5"/>
    <col hidden="1" width="8.28515625" customWidth="1" min="6" max="6"/>
    <col hidden="1" width="13" customWidth="1" min="7" max="7"/>
    <col hidden="1" width="13" customWidth="1" min="8" max="8"/>
    <col hidden="1" width="13" customWidth="1" min="9" max="9"/>
    <col hidden="1" width="13" customWidth="1" min="10" max="10"/>
    <col hidden="1" width="13" customWidth="1" min="11" max="11"/>
    <col hidden="1" width="13" customWidth="1" min="12" max="12"/>
    <col hidden="1" width="13" customWidth="1" min="13" max="13"/>
    <col hidden="1" width="13" customWidth="1" min="14" max="14"/>
    <col hidden="1" width="1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13" customWidth="1" min="26" max="26"/>
    <col hidden="1" width="8.28515625" customWidth="1" min="27" max="27"/>
    <col hidden="1" width="13" customWidth="1" min="28" max="28"/>
    <col hidden="1" width="13" customWidth="1" min="29" max="29"/>
    <col width="13" customWidth="1" min="30" max="30"/>
    <col width="13" customWidth="1" min="31" max="31"/>
    <col width="9.5703125" customWidth="1" min="32" max="32"/>
    <col width="1.42578125" customWidth="1" min="33" max="33"/>
    <col width="16" customWidth="1" min="34" max="34"/>
    <col width="14.28515625" customWidth="1" min="35" max="35"/>
    <col width="1.7109375" customWidth="1" min="36" max="36"/>
    <col width="15.85546875" customWidth="1" min="37" max="37"/>
    <col width="1.28515625" customWidth="1" min="38" max="38"/>
    <col width="9.140625" customWidth="1" min="39" max="39"/>
    <col width="12.140625" customWidth="1" min="40" max="40"/>
    <col hidden="1" width="9.140625" customWidth="1" min="41" max="41"/>
    <col hidden="1" width="13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13" customWidth="1" min="50" max="50"/>
    <col hidden="1" width="9.140625" customWidth="1" min="51" max="51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13" customWidth="1" min="59" max="59"/>
    <col hidden="1" width="13" customWidth="1" min="60" max="60"/>
    <col hidden="1" width="13" customWidth="1" min="61" max="61"/>
    <col hidden="1" width="13" customWidth="1" min="62" max="62"/>
    <col hidden="1" width="13" customWidth="1" min="63" max="63"/>
    <col hidden="1" width="13" customWidth="1" min="64" max="64"/>
    <col hidden="1" width="13" customWidth="1" min="65" max="65"/>
    <col hidden="1" width="13" customWidth="1" min="66" max="66"/>
    <col width="9.140625" customWidth="1" min="67" max="67"/>
  </cols>
  <sheetData>
    <row r="1" ht="23.25" customHeight="1">
      <c r="A1" s="477" t="inlineStr">
        <is>
          <t>Controle de Contagem Semanal - Antilhas</t>
        </is>
      </c>
      <c r="AG1" s="477" t="n"/>
      <c r="AJ1" s="34" t="n"/>
      <c r="AK1" s="11" t="n"/>
      <c r="AL1" s="34" t="n"/>
    </row>
    <row r="2">
      <c r="A2" s="63" t="inlineStr">
        <is>
          <t>LOJA:</t>
        </is>
      </c>
      <c r="B2" s="604" t="inlineStr">
        <is>
          <t>ER JAÚ</t>
        </is>
      </c>
      <c r="C2" s="605" t="n"/>
      <c r="D2" s="606" t="n"/>
      <c r="AJ2" s="34" t="n"/>
      <c r="AK2" s="11" t="n"/>
      <c r="AL2" s="34" t="n"/>
    </row>
    <row r="3">
      <c r="A3" s="63" t="inlineStr">
        <is>
          <t>Responsável:</t>
        </is>
      </c>
      <c r="B3" s="607" t="inlineStr">
        <is>
          <t>MARCELA</t>
        </is>
      </c>
      <c r="C3" s="605" t="n"/>
      <c r="D3" s="606" t="n"/>
      <c r="E3" s="608" t="n"/>
      <c r="F3" s="608" t="n"/>
      <c r="G3" s="608" t="n"/>
      <c r="H3" s="608" t="n"/>
      <c r="I3" s="608" t="n"/>
      <c r="J3" s="608" t="n"/>
      <c r="K3" s="608" t="n"/>
      <c r="L3" s="608" t="n"/>
      <c r="M3" s="608" t="n"/>
      <c r="N3" s="608" t="n"/>
      <c r="O3" s="608" t="n"/>
      <c r="P3" s="608" t="n"/>
      <c r="Q3" s="608" t="n"/>
      <c r="R3" s="608" t="n"/>
      <c r="S3" s="608" t="n"/>
      <c r="T3" s="608" t="n"/>
      <c r="U3" s="608" t="n"/>
      <c r="V3" s="608" t="n"/>
      <c r="W3" s="608" t="n"/>
      <c r="X3" s="608" t="n"/>
      <c r="Y3" s="608" t="n"/>
      <c r="Z3" s="608" t="n"/>
      <c r="AA3" s="608" t="n"/>
      <c r="AB3" s="608" t="n"/>
      <c r="AC3" s="609" t="n"/>
      <c r="AD3" s="609" t="n"/>
      <c r="AE3" s="609" t="n"/>
      <c r="AF3" s="608" t="n"/>
      <c r="AG3" s="608" t="n"/>
      <c r="AJ3" s="34" t="n"/>
    </row>
    <row r="4">
      <c r="AH4" s="41" t="n"/>
      <c r="AI4" s="41" t="n"/>
      <c r="AK4" s="11" t="n"/>
      <c r="AL4" s="11" t="n"/>
      <c r="AM4" s="11" t="n"/>
      <c r="AN4" s="11" t="n"/>
      <c r="AO4" s="11" t="n"/>
      <c r="AP4" s="11" t="n"/>
      <c r="AQ4" s="11" t="n"/>
      <c r="AR4" s="11" t="n"/>
      <c r="AS4" s="11" t="n"/>
      <c r="AT4" s="11" t="n"/>
      <c r="AU4" s="11" t="n"/>
      <c r="AV4" s="11" t="n"/>
      <c r="AW4" s="11" t="n"/>
      <c r="AX4" s="11" t="n"/>
      <c r="AY4" s="11" t="n"/>
      <c r="AZ4" s="11" t="n"/>
      <c r="BA4" s="11" t="n"/>
      <c r="BB4" s="11" t="n"/>
      <c r="BC4" s="11" t="n"/>
      <c r="BD4" s="11" t="n"/>
      <c r="BE4" s="11" t="n"/>
      <c r="BF4" s="11" t="n"/>
      <c r="BG4" s="11" t="n"/>
      <c r="BH4" s="11" t="n"/>
      <c r="BI4" s="11" t="n"/>
      <c r="BJ4" s="11" t="n"/>
      <c r="BK4" s="11" t="n"/>
      <c r="BL4" s="11" t="n"/>
      <c r="BM4" s="11" t="n"/>
      <c r="BN4" s="11" t="n"/>
    </row>
    <row r="5" ht="24.75" customHeight="1">
      <c r="A5" s="610" t="inlineStr">
        <is>
          <t>Descrição</t>
        </is>
      </c>
      <c r="B5" s="611" t="inlineStr">
        <is>
          <t>PCT</t>
        </is>
      </c>
      <c r="C5" s="611" t="inlineStr">
        <is>
          <t xml:space="preserve">R$ </t>
        </is>
      </c>
      <c r="D5" s="612" t="inlineStr">
        <is>
          <t>Estoque Ideal</t>
        </is>
      </c>
      <c r="F5" s="502" t="n"/>
      <c r="G5" s="625" t="n"/>
      <c r="H5" s="625" t="n"/>
      <c r="I5" s="625" t="n"/>
      <c r="J5" s="625" t="n"/>
      <c r="K5" s="625" t="n"/>
      <c r="L5" s="625" t="n"/>
      <c r="M5" s="625" t="n"/>
      <c r="N5" s="625" t="n"/>
      <c r="O5" s="625" t="n"/>
      <c r="P5" s="625" t="n"/>
      <c r="Q5" s="625" t="n"/>
      <c r="R5" s="625" t="n"/>
      <c r="S5" s="625" t="n"/>
      <c r="T5" s="625" t="n"/>
      <c r="U5" s="625" t="n"/>
      <c r="V5" s="625" t="n"/>
      <c r="W5" s="625" t="n"/>
      <c r="X5" s="625" t="n"/>
      <c r="Y5" s="625" t="n"/>
      <c r="Z5" s="625" t="n"/>
      <c r="AA5" s="625" t="n"/>
      <c r="AB5" s="625" t="n"/>
      <c r="AC5" s="626" t="n"/>
      <c r="AD5" s="626" t="n"/>
      <c r="AE5" s="626" t="n"/>
      <c r="AF5" s="504" t="n"/>
      <c r="AH5" s="29" t="inlineStr">
        <is>
          <t>Pendências</t>
        </is>
      </c>
      <c r="AI5" s="29" t="inlineStr">
        <is>
          <t>Pendências</t>
        </is>
      </c>
      <c r="AK5" s="9" t="inlineStr">
        <is>
          <t>Novo Pedido</t>
        </is>
      </c>
      <c r="AL5" s="673" t="n">
        <v>46161.48296499255</v>
      </c>
      <c r="AM5" s="674" t="n">
        <v>46149</v>
      </c>
      <c r="AN5" s="615" t="inlineStr">
        <is>
          <t>TRANSF.</t>
        </is>
      </c>
      <c r="AO5" s="674" t="n">
        <v>46142</v>
      </c>
      <c r="AP5" s="674" t="n">
        <v>46114</v>
      </c>
      <c r="AQ5" s="674" t="n">
        <v>46107</v>
      </c>
      <c r="AR5" s="674" t="n">
        <v>46099</v>
      </c>
      <c r="AS5" s="675" t="n">
        <v>46065</v>
      </c>
      <c r="AT5" s="674" t="n">
        <v>46092</v>
      </c>
      <c r="AU5" s="674" t="n">
        <v>46084</v>
      </c>
      <c r="AV5" s="675" t="n">
        <v>46065</v>
      </c>
      <c r="AW5" s="676" t="n">
        <v>46045</v>
      </c>
      <c r="AX5" s="674" t="n">
        <v>46077</v>
      </c>
      <c r="AY5" s="674" t="n">
        <v>46071</v>
      </c>
      <c r="AZ5" s="674" t="n">
        <v>46056</v>
      </c>
      <c r="BA5" s="674" t="n">
        <v>46048</v>
      </c>
      <c r="BB5" s="674" t="n">
        <v>46043</v>
      </c>
      <c r="BC5" s="674" t="n">
        <v>46035</v>
      </c>
      <c r="BD5" s="674" t="n">
        <v>46029</v>
      </c>
      <c r="BE5" s="674" t="n">
        <v>46035</v>
      </c>
      <c r="BF5" s="674" t="n">
        <v>46029</v>
      </c>
      <c r="BG5" s="674" t="n">
        <v>46024</v>
      </c>
      <c r="BH5" s="674" t="n">
        <v>46007</v>
      </c>
      <c r="BI5" s="674" t="n">
        <v>46001</v>
      </c>
      <c r="BJ5" s="674" t="n">
        <v>46001</v>
      </c>
      <c r="BK5" s="674" t="n">
        <v>45994</v>
      </c>
      <c r="BL5" s="674" t="n">
        <v>45986</v>
      </c>
      <c r="BM5" s="674" t="n">
        <v>45986</v>
      </c>
      <c r="BN5" s="674" t="n">
        <v>45980</v>
      </c>
    </row>
    <row r="6" customFormat="1" s="3">
      <c r="A6" s="618" t="n"/>
      <c r="B6" s="618" t="n"/>
      <c r="C6" s="618" t="n"/>
      <c r="D6" s="618" t="n"/>
      <c r="E6" s="30" t="n"/>
      <c r="F6" s="619" t="n">
        <v>46006</v>
      </c>
      <c r="G6" s="619" t="n">
        <v>46013</v>
      </c>
      <c r="H6" s="619" t="n">
        <v>46020</v>
      </c>
      <c r="I6" s="619" t="n">
        <v>46027</v>
      </c>
      <c r="J6" s="619" t="n">
        <v>46034</v>
      </c>
      <c r="K6" s="619" t="n">
        <v>46041</v>
      </c>
      <c r="L6" s="619" t="n">
        <v>46048</v>
      </c>
      <c r="M6" s="619" t="n">
        <v>46055</v>
      </c>
      <c r="N6" s="619" t="n">
        <v>46062</v>
      </c>
      <c r="O6" s="619" t="n">
        <v>46069</v>
      </c>
      <c r="P6" s="619" t="n">
        <v>46076</v>
      </c>
      <c r="Q6" s="619" t="n">
        <v>46083</v>
      </c>
      <c r="R6" s="619" t="n">
        <v>46090</v>
      </c>
      <c r="S6" s="619" t="n">
        <v>46097</v>
      </c>
      <c r="T6" s="619" t="n">
        <v>46104</v>
      </c>
      <c r="U6" s="619" t="n">
        <v>46111</v>
      </c>
      <c r="V6" s="619" t="n">
        <v>46118</v>
      </c>
      <c r="W6" s="619" t="n">
        <v>46125</v>
      </c>
      <c r="X6" s="619" t="n">
        <v>46132</v>
      </c>
      <c r="Y6" s="619" t="n">
        <v>46139</v>
      </c>
      <c r="Z6" s="619" t="n">
        <v>46146</v>
      </c>
      <c r="AA6" s="619" t="n">
        <v>46154</v>
      </c>
      <c r="AB6" s="619" t="n">
        <v>46160</v>
      </c>
      <c r="AC6" s="620" t="n">
        <v>46161.48013502315</v>
      </c>
      <c r="AD6" s="620" t="n">
        <v>46161.48080876157</v>
      </c>
      <c r="AE6" s="620" t="n">
        <v>46161.48296567499</v>
      </c>
      <c r="AF6" s="678" t="inlineStr">
        <is>
          <t>USOU</t>
        </is>
      </c>
      <c r="AG6" s="30" t="n"/>
      <c r="AH6" s="699" t="inlineStr">
        <is>
          <t>TRANSF.</t>
        </is>
      </c>
      <c r="AI6" s="664" t="n">
        <v>46149</v>
      </c>
      <c r="AJ6" s="623" t="n"/>
      <c r="AK6" s="624" t="n">
        <v>46155</v>
      </c>
      <c r="AL6" s="673" t="n">
        <v>46161.48296499281</v>
      </c>
      <c r="AM6" s="674" t="n">
        <v>46155</v>
      </c>
      <c r="AN6" s="615" t="n">
        <v>46150</v>
      </c>
      <c r="AO6" s="674" t="n">
        <v>46149</v>
      </c>
      <c r="AP6" s="674" t="n">
        <v>46125</v>
      </c>
      <c r="AQ6" s="674" t="n">
        <v>46112</v>
      </c>
      <c r="AR6" s="674" t="n">
        <v>46106</v>
      </c>
      <c r="AS6" s="675" t="n">
        <v>46104</v>
      </c>
      <c r="AT6" s="674" t="n">
        <v>46099</v>
      </c>
      <c r="AU6" s="674" t="n">
        <v>46090</v>
      </c>
      <c r="AV6" s="675" t="n">
        <v>46087</v>
      </c>
      <c r="AW6" s="676" t="n">
        <v>46087</v>
      </c>
      <c r="AX6" s="674" t="n">
        <v>46084</v>
      </c>
      <c r="AY6" s="674" t="n">
        <v>46078</v>
      </c>
      <c r="AZ6" s="674" t="n">
        <v>46063</v>
      </c>
      <c r="BA6" s="674" t="n">
        <v>46056</v>
      </c>
      <c r="BB6" s="674" t="n">
        <v>46049</v>
      </c>
      <c r="BC6" s="674" t="n">
        <v>46049</v>
      </c>
      <c r="BD6" s="674" t="n">
        <v>46044</v>
      </c>
      <c r="BE6" s="674" t="n">
        <v>46041</v>
      </c>
      <c r="BF6" s="674" t="n">
        <v>46041</v>
      </c>
      <c r="BG6" s="674" t="n">
        <v>46041</v>
      </c>
      <c r="BH6" s="674" t="n">
        <v>46014</v>
      </c>
      <c r="BI6" s="674" t="n">
        <v>46010</v>
      </c>
      <c r="BJ6" s="674" t="n">
        <v>46009</v>
      </c>
      <c r="BK6" s="674" t="n">
        <v>46001</v>
      </c>
      <c r="BL6" s="674" t="n">
        <v>46000</v>
      </c>
      <c r="BM6" s="674" t="n">
        <v>45993</v>
      </c>
      <c r="BN6" s="674" t="n">
        <v>45992</v>
      </c>
    </row>
    <row r="7" ht="21.75" customFormat="1" customHeight="1" s="3">
      <c r="A7" s="20" t="inlineStr">
        <is>
          <t>SACOLAS BOTICÁRIO</t>
        </is>
      </c>
      <c r="B7" s="4" t="n"/>
      <c r="C7" s="5" t="n"/>
      <c r="D7" s="239" t="n"/>
      <c r="E7" s="11" t="n"/>
      <c r="F7" s="12" t="n"/>
      <c r="G7" s="12" t="n"/>
      <c r="H7" s="12" t="n"/>
      <c r="I7" s="12" t="n"/>
      <c r="J7" s="12" t="n"/>
      <c r="K7" s="12" t="n"/>
      <c r="L7" s="12" t="n"/>
      <c r="M7" s="12" t="n"/>
      <c r="N7" s="12" t="n"/>
      <c r="O7" s="12" t="n"/>
      <c r="P7" s="12" t="n"/>
      <c r="Q7" s="12" t="n"/>
      <c r="R7" s="12" t="n"/>
      <c r="S7" s="12" t="n"/>
      <c r="T7" s="12" t="n"/>
      <c r="U7" s="12" t="n"/>
      <c r="V7" s="12" t="n"/>
      <c r="W7" s="12" t="n"/>
      <c r="X7" s="12" t="n"/>
      <c r="Y7" s="12" t="n"/>
      <c r="Z7" s="12" t="n"/>
      <c r="AA7" s="12" t="n"/>
      <c r="AB7" s="12" t="n"/>
      <c r="AC7" s="12" t="n"/>
      <c r="AD7" s="12" t="n"/>
      <c r="AE7" s="12" t="n"/>
      <c r="AF7" s="12" t="n"/>
      <c r="AG7" s="11" t="n"/>
      <c r="AH7" s="85" t="n"/>
      <c r="AI7" s="85" t="n"/>
      <c r="AJ7" s="11" t="n"/>
      <c r="AK7" s="113" t="n"/>
      <c r="AL7" s="116" t="n"/>
      <c r="AM7" s="116" t="n"/>
      <c r="AN7" s="116" t="n"/>
      <c r="AO7" s="116" t="n"/>
      <c r="AP7" s="116" t="n"/>
      <c r="AQ7" s="116" t="n"/>
      <c r="AR7" s="116" t="n"/>
      <c r="AS7" s="116" t="inlineStr">
        <is>
          <t>MÃES</t>
        </is>
      </c>
      <c r="AT7" s="116" t="n"/>
      <c r="AU7" s="116" t="n"/>
      <c r="AV7" s="116" t="inlineStr">
        <is>
          <t>MÃES</t>
        </is>
      </c>
      <c r="AW7" s="116" t="inlineStr">
        <is>
          <t>MÃES</t>
        </is>
      </c>
      <c r="AX7" s="116" t="n"/>
      <c r="AY7" s="116" t="n"/>
      <c r="AZ7" s="116" t="n"/>
      <c r="BA7" s="116" t="n"/>
      <c r="BB7" s="116" t="n"/>
      <c r="BC7" s="116" t="n"/>
      <c r="BD7" s="116" t="n"/>
      <c r="BE7" s="116" t="n"/>
      <c r="BF7" s="116" t="n"/>
      <c r="BG7" s="116" t="n"/>
      <c r="BH7" s="116" t="n"/>
      <c r="BI7" s="116" t="n"/>
      <c r="BJ7" s="116" t="n"/>
      <c r="BK7" s="116" t="n"/>
      <c r="BL7" s="116" t="n"/>
      <c r="BM7" s="116" t="n"/>
      <c r="BN7" s="116" t="n"/>
    </row>
    <row r="8" customFormat="1" s="3">
      <c r="A8" s="21" t="inlineStr">
        <is>
          <t>SACOLA PP VERDE</t>
        </is>
      </c>
      <c r="B8" s="6" t="n">
        <v>300</v>
      </c>
      <c r="C8" s="627" t="n">
        <v>178.21</v>
      </c>
      <c r="D8" s="240" t="n">
        <v>1800</v>
      </c>
      <c r="E8" s="11" t="n"/>
      <c r="F8" s="39">
        <f>1200+BE8</f>
        <v/>
      </c>
      <c r="G8" s="39">
        <f>900+BE8</f>
        <v/>
      </c>
      <c r="H8" s="39" t="n">
        <v>900</v>
      </c>
      <c r="I8" s="39" t="n">
        <v>600</v>
      </c>
      <c r="J8" s="39" t="n">
        <v>300</v>
      </c>
      <c r="K8" s="39">
        <f>0+BD8</f>
        <v/>
      </c>
      <c r="L8" s="39">
        <f>600+AY8</f>
        <v/>
      </c>
      <c r="M8" s="39">
        <f>600+AX8</f>
        <v/>
      </c>
      <c r="N8" s="39">
        <f>600+AW8</f>
        <v/>
      </c>
      <c r="O8" s="39" t="n">
        <v>1200</v>
      </c>
      <c r="P8" s="39" t="n">
        <v>1200</v>
      </c>
      <c r="Q8" s="39" t="n">
        <v>600</v>
      </c>
      <c r="R8" s="39">
        <f>0+AR8</f>
        <v/>
      </c>
      <c r="S8" s="39" t="n">
        <v>900</v>
      </c>
      <c r="T8" s="39">
        <f>600+AO8</f>
        <v/>
      </c>
      <c r="U8" s="39">
        <f>600+AN8</f>
        <v/>
      </c>
      <c r="V8" s="39" t="n">
        <v>600</v>
      </c>
      <c r="W8" s="39" t="n">
        <v>900</v>
      </c>
      <c r="X8" s="39" t="n">
        <v>900</v>
      </c>
      <c r="Y8" s="39" t="n">
        <v>0</v>
      </c>
      <c r="Z8" s="39">
        <f>0+AL8</f>
        <v/>
      </c>
      <c r="AA8" s="39" t="n">
        <v>600</v>
      </c>
      <c r="AB8" s="39" t="n"/>
      <c r="AC8" s="6" t="n"/>
      <c r="AD8" s="6" t="n"/>
      <c r="AE8" s="6" t="n"/>
      <c r="AF8" s="380">
        <f>AD8+IF(NOT(ISBLANK(OFFSET(AF8,0,6))),N(OFFSET(AF8,0,6)),N(OFFSET(AF8,0,7)))-AE8</f>
        <v/>
      </c>
      <c r="AG8" s="11" t="n"/>
      <c r="AH8" s="78" t="n"/>
      <c r="AI8" s="78" t="n"/>
      <c r="AJ8" s="11" t="n"/>
      <c r="AK8" s="32" t="n">
        <v>600</v>
      </c>
      <c r="AL8" s="628" t="n">
        <v>0</v>
      </c>
      <c r="AM8" s="19" t="n">
        <v>0</v>
      </c>
      <c r="AN8" s="19" t="n"/>
      <c r="AO8" s="19" t="n">
        <v>1200</v>
      </c>
      <c r="AP8" s="19" t="n">
        <v>600</v>
      </c>
      <c r="AQ8" s="19" t="n">
        <v>600</v>
      </c>
      <c r="AR8" s="19" t="n">
        <v>300</v>
      </c>
      <c r="AS8" s="19" t="n"/>
      <c r="AT8" s="19" t="n"/>
      <c r="AU8" s="19" t="n">
        <v>1200</v>
      </c>
      <c r="AV8" s="19" t="n"/>
      <c r="AW8" s="19" t="n"/>
      <c r="AX8" s="19" t="n"/>
      <c r="AY8" s="19" t="n"/>
      <c r="AZ8" s="19" t="n">
        <v>900</v>
      </c>
      <c r="BA8" s="19" t="n">
        <v>600</v>
      </c>
      <c r="BB8" s="19" t="n">
        <v>600</v>
      </c>
      <c r="BC8" s="19" t="n"/>
      <c r="BD8" s="19" t="n"/>
      <c r="BE8" s="19" t="n"/>
      <c r="BF8" s="19" t="n"/>
      <c r="BG8" s="19" t="n">
        <v>1200</v>
      </c>
      <c r="BH8" s="19" t="n">
        <v>900</v>
      </c>
      <c r="BI8" s="19" t="n"/>
      <c r="BJ8" s="19" t="n">
        <v>600</v>
      </c>
      <c r="BK8" s="19" t="n"/>
      <c r="BL8" s="19" t="n"/>
      <c r="BM8" s="19" t="n">
        <v>1500</v>
      </c>
      <c r="BN8" s="19" t="n">
        <v>1200</v>
      </c>
    </row>
    <row r="9" customFormat="1" s="3">
      <c r="A9" s="21" t="inlineStr">
        <is>
          <t xml:space="preserve">SACOLA P VERDE </t>
        </is>
      </c>
      <c r="B9" s="6" t="n">
        <v>200</v>
      </c>
      <c r="C9" s="627" t="n">
        <v>183.89</v>
      </c>
      <c r="D9" s="240" t="n">
        <v>2600</v>
      </c>
      <c r="E9" s="11" t="n"/>
      <c r="F9" s="125">
        <f>3200+BE9</f>
        <v/>
      </c>
      <c r="G9" s="125">
        <f>2200+BE9</f>
        <v/>
      </c>
      <c r="H9" s="125" t="n">
        <v>2600</v>
      </c>
      <c r="I9" s="125" t="n">
        <v>2400</v>
      </c>
      <c r="J9" s="125" t="n">
        <v>1000</v>
      </c>
      <c r="K9" s="125">
        <f>0+BB9+BD9</f>
        <v/>
      </c>
      <c r="L9" s="125">
        <f>2600+AY9</f>
        <v/>
      </c>
      <c r="M9" s="125">
        <f>3200+AX9</f>
        <v/>
      </c>
      <c r="N9" s="125" t="n">
        <v>3000</v>
      </c>
      <c r="O9" s="125" t="n">
        <v>2000</v>
      </c>
      <c r="P9" s="125" t="n">
        <v>1600</v>
      </c>
      <c r="Q9" s="125">
        <f>1400+AU9</f>
        <v/>
      </c>
      <c r="R9" s="125">
        <f>2000+AR9</f>
        <v/>
      </c>
      <c r="S9" s="125">
        <f>2000+AQ9</f>
        <v/>
      </c>
      <c r="T9" s="125" t="n">
        <v>2200</v>
      </c>
      <c r="U9" s="125">
        <f>1200+AN9</f>
        <v/>
      </c>
      <c r="V9" s="125" t="n">
        <v>3200</v>
      </c>
      <c r="W9" s="125" t="n">
        <v>3200</v>
      </c>
      <c r="X9" s="125" t="n">
        <v>3000</v>
      </c>
      <c r="Y9" s="125" t="n">
        <v>2800</v>
      </c>
      <c r="Z9" s="125" t="n">
        <v>2400</v>
      </c>
      <c r="AA9" s="125" t="n">
        <v>1000</v>
      </c>
      <c r="AB9" s="125" t="n"/>
      <c r="AC9" s="84" t="n"/>
      <c r="AD9" s="84" t="n"/>
      <c r="AE9" s="84" t="n"/>
      <c r="AF9" s="380">
        <f>AD9+IF(NOT(ISBLANK(OFFSET(AF9,0,6))),N(OFFSET(AF9,0,6)),N(OFFSET(AF9,0,7)))-AE9</f>
        <v/>
      </c>
      <c r="AG9" s="11" t="n"/>
      <c r="AH9" s="78" t="n"/>
      <c r="AI9" s="78" t="n"/>
      <c r="AJ9" s="11" t="n"/>
      <c r="AK9" s="32" t="n">
        <v>1000</v>
      </c>
      <c r="AL9" s="628" t="n">
        <v>0</v>
      </c>
      <c r="AM9" s="19" t="n">
        <v>0</v>
      </c>
      <c r="AN9" s="19" t="n"/>
      <c r="AO9" s="19" t="n">
        <v>0</v>
      </c>
      <c r="AP9" s="19" t="n">
        <v>1200</v>
      </c>
      <c r="AQ9" s="19" t="n">
        <v>2600</v>
      </c>
      <c r="AR9" s="19" t="n"/>
      <c r="AS9" s="251" t="n">
        <v>3000</v>
      </c>
      <c r="AT9" s="19" t="n">
        <v>1000</v>
      </c>
      <c r="AU9" s="19" t="n">
        <v>1000</v>
      </c>
      <c r="AV9" s="19" t="n"/>
      <c r="AW9" s="19" t="n"/>
      <c r="AX9" s="19" t="n">
        <v>1600</v>
      </c>
      <c r="AY9" s="19" t="n">
        <v>1000</v>
      </c>
      <c r="AZ9" s="19" t="n"/>
      <c r="BA9" s="19" t="n">
        <v>1000</v>
      </c>
      <c r="BB9" s="19" t="n">
        <v>1600</v>
      </c>
      <c r="BC9" s="19" t="n"/>
      <c r="BD9" s="19" t="n"/>
      <c r="BE9" s="19" t="n">
        <v>2600</v>
      </c>
      <c r="BF9" s="19" t="n"/>
      <c r="BG9" s="19" t="n">
        <v>1000</v>
      </c>
      <c r="BH9" s="19" t="n">
        <v>1000</v>
      </c>
      <c r="BI9" s="19" t="n"/>
      <c r="BJ9" s="19" t="n">
        <v>600</v>
      </c>
      <c r="BK9" s="19" t="n">
        <v>1000</v>
      </c>
      <c r="BL9" s="19" t="n"/>
      <c r="BM9" s="19" t="n">
        <v>1000</v>
      </c>
      <c r="BN9" s="19" t="n">
        <v>2000</v>
      </c>
    </row>
    <row r="10" customFormat="1" s="3">
      <c r="A10" s="21" t="inlineStr">
        <is>
          <t>SACOLA M VERDE</t>
        </is>
      </c>
      <c r="B10" s="6" t="n">
        <v>200</v>
      </c>
      <c r="C10" s="627" t="n">
        <v>241.74</v>
      </c>
      <c r="D10" s="240" t="n">
        <v>800</v>
      </c>
      <c r="E10" s="11" t="n"/>
      <c r="F10" s="125">
        <f>1400+BE10</f>
        <v/>
      </c>
      <c r="G10" s="125">
        <f>1000+BE10</f>
        <v/>
      </c>
      <c r="H10" s="125" t="n">
        <v>1400</v>
      </c>
      <c r="I10" s="125" t="n">
        <v>1200</v>
      </c>
      <c r="J10" s="125" t="n">
        <v>800</v>
      </c>
      <c r="K10" s="125">
        <f>800+BB10</f>
        <v/>
      </c>
      <c r="L10" s="125" t="n">
        <v>1200</v>
      </c>
      <c r="M10" s="125" t="n">
        <v>800</v>
      </c>
      <c r="N10" s="125">
        <f>400+AW10</f>
        <v/>
      </c>
      <c r="O10" s="125" t="n">
        <v>600</v>
      </c>
      <c r="P10" s="125" t="n">
        <v>400</v>
      </c>
      <c r="Q10" s="125">
        <f>400+AU10</f>
        <v/>
      </c>
      <c r="R10" s="125">
        <f>200+AR10</f>
        <v/>
      </c>
      <c r="S10" s="125">
        <f>200+AQ10</f>
        <v/>
      </c>
      <c r="T10" s="125">
        <f>200+AO10</f>
        <v/>
      </c>
      <c r="U10" s="125">
        <f>400+AN10</f>
        <v/>
      </c>
      <c r="V10" s="125" t="n">
        <v>800</v>
      </c>
      <c r="W10" s="125" t="n">
        <v>600</v>
      </c>
      <c r="X10" s="125" t="n">
        <v>600</v>
      </c>
      <c r="Y10" s="125" t="n">
        <v>600</v>
      </c>
      <c r="Z10" s="125" t="n">
        <v>600</v>
      </c>
      <c r="AA10" s="125" t="n">
        <v>200</v>
      </c>
      <c r="AB10" s="125" t="n"/>
      <c r="AC10" s="84" t="n"/>
      <c r="AD10" s="84" t="n"/>
      <c r="AE10" s="84" t="n"/>
      <c r="AF10" s="380">
        <f>AD10+IF(NOT(ISBLANK(OFFSET(AF10,0,6))),N(OFFSET(AF10,0,6)),N(OFFSET(AF10,0,7)))-AE10</f>
        <v/>
      </c>
      <c r="AG10" s="11" t="n"/>
      <c r="AH10" s="78" t="n"/>
      <c r="AI10" s="78" t="n"/>
      <c r="AJ10" s="11" t="n"/>
      <c r="AK10" s="32" t="n"/>
      <c r="AL10" s="628" t="n">
        <v>0</v>
      </c>
      <c r="AM10" s="19" t="n">
        <v>0</v>
      </c>
      <c r="AN10" s="19" t="n"/>
      <c r="AO10" s="19" t="n">
        <v>0</v>
      </c>
      <c r="AP10" s="19" t="n">
        <v>200</v>
      </c>
      <c r="AQ10" s="19" t="n">
        <v>400</v>
      </c>
      <c r="AR10" s="19" t="n">
        <v>400</v>
      </c>
      <c r="AS10" s="251" t="n">
        <v>1400</v>
      </c>
      <c r="AT10" s="19" t="n">
        <v>400</v>
      </c>
      <c r="AU10" s="19" t="n">
        <v>200</v>
      </c>
      <c r="AV10" s="19" t="n"/>
      <c r="AW10" s="301" t="n">
        <v>1200</v>
      </c>
      <c r="AX10" s="19" t="n">
        <v>200</v>
      </c>
      <c r="AY10" s="19" t="n">
        <v>200</v>
      </c>
      <c r="AZ10" s="19" t="n">
        <v>400</v>
      </c>
      <c r="BA10" s="19" t="n"/>
      <c r="BB10" s="19" t="n"/>
      <c r="BC10" s="19" t="n"/>
      <c r="BD10" s="19" t="n"/>
      <c r="BE10" s="19" t="n">
        <v>400</v>
      </c>
      <c r="BF10" s="19" t="n"/>
      <c r="BG10" s="19" t="n"/>
      <c r="BH10" s="19" t="n">
        <v>400</v>
      </c>
      <c r="BI10" s="19" t="n"/>
      <c r="BJ10" s="19" t="n">
        <v>400</v>
      </c>
      <c r="BK10" s="19" t="n">
        <v>800</v>
      </c>
      <c r="BL10" s="19" t="n"/>
      <c r="BM10" s="19" t="n"/>
      <c r="BN10" s="19" t="n">
        <v>800</v>
      </c>
    </row>
    <row r="11" ht="19.5" customFormat="1" customHeight="1" s="3">
      <c r="A11" s="22" t="inlineStr">
        <is>
          <t xml:space="preserve">SACOLA G VERDE </t>
        </is>
      </c>
      <c r="B11" s="6" t="n">
        <v>100</v>
      </c>
      <c r="C11" s="627" t="n">
        <v>175.78</v>
      </c>
      <c r="D11" s="240" t="n">
        <v>1000</v>
      </c>
      <c r="E11" s="11" t="n"/>
      <c r="F11" s="39" t="n">
        <v>800</v>
      </c>
      <c r="G11" s="39">
        <f>100+BE11</f>
        <v/>
      </c>
      <c r="H11" s="39" t="n">
        <v>700</v>
      </c>
      <c r="I11" s="39" t="n">
        <v>500</v>
      </c>
      <c r="J11" s="39" t="n">
        <v>500</v>
      </c>
      <c r="K11" s="39">
        <f>400+BC11</f>
        <v/>
      </c>
      <c r="L11" s="39" t="n">
        <v>800</v>
      </c>
      <c r="M11" s="39" t="n">
        <v>700</v>
      </c>
      <c r="N11" s="39">
        <f>700+AW11</f>
        <v/>
      </c>
      <c r="O11" s="39" t="n">
        <v>900</v>
      </c>
      <c r="P11" s="39" t="n">
        <v>700</v>
      </c>
      <c r="Q11" s="39">
        <f>600+AU11</f>
        <v/>
      </c>
      <c r="R11" s="39" t="n">
        <v>1000</v>
      </c>
      <c r="S11" s="39" t="n">
        <v>700</v>
      </c>
      <c r="T11" s="39" t="n">
        <v>600</v>
      </c>
      <c r="U11" s="39" t="n">
        <v>500</v>
      </c>
      <c r="V11" s="39" t="n">
        <v>400</v>
      </c>
      <c r="W11" s="39" t="n">
        <v>300</v>
      </c>
      <c r="X11" s="39" t="n">
        <v>200</v>
      </c>
      <c r="Y11" s="39" t="n">
        <v>100</v>
      </c>
      <c r="Z11" s="39" t="n">
        <v>100</v>
      </c>
      <c r="AA11" s="39" t="n">
        <v>0</v>
      </c>
      <c r="AB11" s="39" t="n"/>
      <c r="AC11" s="6" t="n"/>
      <c r="AD11" s="6" t="n"/>
      <c r="AE11" s="6" t="n"/>
      <c r="AF11" s="380">
        <f>AD11+IF(NOT(ISBLANK(OFFSET(AF11,0,6))),N(OFFSET(AF11,0,6)),N(OFFSET(AF11,0,7)))-AE11</f>
        <v/>
      </c>
      <c r="AG11" s="11" t="n"/>
      <c r="AH11" s="78" t="n"/>
      <c r="AI11" s="78" t="n"/>
      <c r="AJ11" s="11" t="n"/>
      <c r="AK11" s="32" t="n">
        <v>300</v>
      </c>
      <c r="AL11" s="628" t="n">
        <v>0</v>
      </c>
      <c r="AM11" s="19" t="n">
        <v>0</v>
      </c>
      <c r="AN11" s="19" t="n"/>
      <c r="AO11" s="19" t="n">
        <v>0</v>
      </c>
      <c r="AP11" s="19" t="n">
        <v>200</v>
      </c>
      <c r="AQ11" s="19" t="n"/>
      <c r="AR11" s="19" t="n"/>
      <c r="AS11" s="251" t="n">
        <v>500</v>
      </c>
      <c r="AT11" s="19" t="n"/>
      <c r="AU11" s="19" t="n"/>
      <c r="AV11" s="19" t="n"/>
      <c r="AW11" s="19" t="n"/>
      <c r="AX11" s="19" t="n">
        <v>500</v>
      </c>
      <c r="AY11" s="19" t="n"/>
      <c r="AZ11" s="19" t="n">
        <v>300</v>
      </c>
      <c r="BA11" s="19" t="n"/>
      <c r="BB11" s="19" t="n"/>
      <c r="BC11" s="19" t="n"/>
      <c r="BD11" s="19" t="n"/>
      <c r="BE11" s="19" t="n"/>
      <c r="BF11" s="19" t="n">
        <v>500</v>
      </c>
      <c r="BG11" s="19" t="n"/>
      <c r="BH11" s="19" t="n">
        <v>600</v>
      </c>
      <c r="BI11" s="19" t="n"/>
      <c r="BJ11" s="19" t="n"/>
      <c r="BK11" s="19" t="n">
        <v>1000</v>
      </c>
      <c r="BL11" s="19" t="n"/>
      <c r="BM11" s="19" t="n">
        <v>300</v>
      </c>
      <c r="BN11" s="19" t="n"/>
    </row>
    <row r="12" ht="19.5" customFormat="1" customHeight="1" s="3">
      <c r="A12" s="144" t="inlineStr">
        <is>
          <t>SACOLA KRAFT M PARDA</t>
        </is>
      </c>
      <c r="B12" s="145" t="n">
        <v>200</v>
      </c>
      <c r="C12" s="694" t="n">
        <v>144.12</v>
      </c>
      <c r="D12" s="240" t="n">
        <v>0</v>
      </c>
      <c r="E12" s="11" t="n"/>
      <c r="F12" s="39" t="n">
        <v>200</v>
      </c>
      <c r="G12" s="39" t="n">
        <v>200</v>
      </c>
      <c r="H12" s="39" t="n">
        <v>0</v>
      </c>
      <c r="I12" s="39" t="n">
        <v>0</v>
      </c>
      <c r="J12" s="39" t="n">
        <v>0</v>
      </c>
      <c r="K12" s="39">
        <f>0+BD12+BC12</f>
        <v/>
      </c>
      <c r="L12" s="39" t="n">
        <v>400</v>
      </c>
      <c r="M12" s="39">
        <f>200+AX12</f>
        <v/>
      </c>
      <c r="N12" s="39">
        <f>600+AW12</f>
        <v/>
      </c>
      <c r="O12" s="39" t="n">
        <v>600</v>
      </c>
      <c r="P12" s="39" t="n">
        <v>600</v>
      </c>
      <c r="Q12" s="39" t="n">
        <v>800</v>
      </c>
      <c r="R12" s="39" t="n">
        <v>600</v>
      </c>
      <c r="S12" s="39" t="n">
        <v>400</v>
      </c>
      <c r="T12" s="39">
        <f>400+AO12</f>
        <v/>
      </c>
      <c r="U12" s="39" t="n">
        <v>600</v>
      </c>
      <c r="V12" s="39" t="n">
        <v>400</v>
      </c>
      <c r="W12" s="39" t="n">
        <v>400</v>
      </c>
      <c r="X12" s="39" t="n">
        <v>400</v>
      </c>
      <c r="Y12" s="39" t="n">
        <v>200</v>
      </c>
      <c r="Z12" s="39">
        <f>0+AL12</f>
        <v/>
      </c>
      <c r="AA12" s="39" t="n">
        <v>200</v>
      </c>
      <c r="AB12" s="39" t="n"/>
      <c r="AC12" s="6" t="n"/>
      <c r="AD12" s="6" t="n"/>
      <c r="AE12" s="6" t="n"/>
      <c r="AF12" s="380">
        <f>AD12+IF(NOT(ISBLANK(OFFSET(AF12,0,6))),N(OFFSET(AF12,0,6)),N(OFFSET(AF12,0,7)))-AE12</f>
        <v/>
      </c>
      <c r="AG12" s="11" t="n"/>
      <c r="AH12" s="78" t="n"/>
      <c r="AI12" s="367" t="n">
        <v>200</v>
      </c>
      <c r="AJ12" s="11" t="n"/>
      <c r="AK12" s="32" t="n"/>
      <c r="AL12" s="628" t="n">
        <v>0</v>
      </c>
      <c r="AM12" s="19" t="n">
        <v>0</v>
      </c>
      <c r="AN12" s="19" t="n"/>
      <c r="AO12" s="19" t="n">
        <v>200</v>
      </c>
      <c r="AP12" s="19" t="n">
        <v>0</v>
      </c>
      <c r="AQ12" s="19" t="n"/>
      <c r="AR12" s="19" t="n">
        <v>200</v>
      </c>
      <c r="AS12" s="19" t="n"/>
      <c r="AT12" s="19" t="n"/>
      <c r="AU12" s="19" t="n"/>
      <c r="AV12" s="19" t="n"/>
      <c r="AW12" s="19" t="n"/>
      <c r="AX12" s="19" t="n"/>
      <c r="AY12" s="19" t="n">
        <v>200</v>
      </c>
      <c r="AZ12" s="19" t="n">
        <v>200</v>
      </c>
      <c r="BA12" s="19" t="n">
        <v>400</v>
      </c>
      <c r="BB12" s="19" t="n"/>
      <c r="BC12" s="19" t="n"/>
      <c r="BD12" s="19" t="n"/>
      <c r="BE12" s="19" t="n"/>
      <c r="BF12" s="19" t="n">
        <v>200</v>
      </c>
      <c r="BG12" s="19" t="n">
        <v>400</v>
      </c>
      <c r="BH12" s="19" t="n"/>
      <c r="BI12" s="19" t="n"/>
      <c r="BJ12" s="19" t="n"/>
      <c r="BK12" s="19" t="n"/>
      <c r="BL12" s="19" t="n"/>
      <c r="BM12" s="19" t="n"/>
      <c r="BN12" s="19" t="n">
        <v>200</v>
      </c>
    </row>
    <row r="13" ht="19.5" customFormat="1" customHeight="1" s="3">
      <c r="A13" s="144" t="inlineStr">
        <is>
          <t>SACOLA KRAFT G PARDA</t>
        </is>
      </c>
      <c r="B13" s="145" t="n">
        <v>100</v>
      </c>
      <c r="C13" s="694" t="n">
        <v>115.12</v>
      </c>
      <c r="D13" s="240" t="n">
        <v>0</v>
      </c>
      <c r="E13" s="11" t="n"/>
      <c r="F13" s="39">
        <f>300+BE13</f>
        <v/>
      </c>
      <c r="G13" s="39" t="n">
        <v>400</v>
      </c>
      <c r="H13" s="39" t="n">
        <v>100</v>
      </c>
      <c r="I13" s="39" t="n">
        <v>100</v>
      </c>
      <c r="J13" s="39" t="n">
        <v>100</v>
      </c>
      <c r="K13" s="39">
        <f>100+BD13</f>
        <v/>
      </c>
      <c r="L13" s="39" t="n">
        <v>500</v>
      </c>
      <c r="M13" s="39" t="n">
        <v>400</v>
      </c>
      <c r="N13" s="39" t="n">
        <v>400</v>
      </c>
      <c r="O13" s="39" t="n">
        <v>400</v>
      </c>
      <c r="P13" s="39" t="n">
        <v>300</v>
      </c>
      <c r="Q13" s="39">
        <f>300+AU13</f>
        <v/>
      </c>
      <c r="R13" s="39" t="n">
        <v>500</v>
      </c>
      <c r="S13" s="39" t="n">
        <v>400</v>
      </c>
      <c r="T13" s="39" t="n">
        <v>400</v>
      </c>
      <c r="U13" s="39" t="n">
        <v>400</v>
      </c>
      <c r="V13" s="39" t="n">
        <v>400</v>
      </c>
      <c r="W13" s="39" t="n">
        <v>300</v>
      </c>
      <c r="X13" s="39" t="n">
        <v>300</v>
      </c>
      <c r="Y13" s="39" t="n">
        <v>300</v>
      </c>
      <c r="Z13" s="39" t="n">
        <v>200</v>
      </c>
      <c r="AA13" s="39" t="n">
        <v>200</v>
      </c>
      <c r="AB13" s="39" t="n"/>
      <c r="AC13" s="6" t="n"/>
      <c r="AD13" s="6" t="n"/>
      <c r="AE13" s="6" t="n"/>
      <c r="AF13" s="380">
        <f>AD13+IF(NOT(ISBLANK(OFFSET(AF13,0,6))),N(OFFSET(AF13,0,6)),N(OFFSET(AF13,0,7)))-AE13</f>
        <v/>
      </c>
      <c r="AG13" s="11" t="n"/>
      <c r="AH13" s="367" t="n"/>
      <c r="AI13" s="367" t="n"/>
      <c r="AJ13" s="11" t="n"/>
      <c r="AK13" s="32" t="n"/>
      <c r="AL13" s="628" t="n">
        <v>0</v>
      </c>
      <c r="AM13" s="19" t="n">
        <v>0</v>
      </c>
      <c r="AN13" s="19" t="n"/>
      <c r="AO13" s="19" t="n">
        <v>0</v>
      </c>
      <c r="AP13" s="19" t="n">
        <v>0</v>
      </c>
      <c r="AQ13" s="19" t="n"/>
      <c r="AR13" s="19" t="n"/>
      <c r="AS13" s="19" t="n"/>
      <c r="AT13" s="19" t="n"/>
      <c r="AU13" s="19" t="n"/>
      <c r="AV13" s="19" t="n"/>
      <c r="AW13" s="19" t="n"/>
      <c r="AX13" s="19" t="n">
        <v>200</v>
      </c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>
        <v>400</v>
      </c>
      <c r="BH13" s="19" t="n"/>
      <c r="BI13" s="19" t="n"/>
      <c r="BJ13" s="19" t="n">
        <v>200</v>
      </c>
      <c r="BK13" s="19" t="n"/>
      <c r="BL13" s="19" t="n"/>
      <c r="BM13" s="19" t="n"/>
      <c r="BN13" s="19" t="n">
        <v>100</v>
      </c>
    </row>
    <row r="14" ht="15" customHeight="1"/>
    <row r="15">
      <c r="A15" s="548" t="inlineStr">
        <is>
          <t>DIVERSOS</t>
        </is>
      </c>
      <c r="B15" s="12" t="n"/>
      <c r="C15" s="631" t="n"/>
      <c r="D15" s="631" t="n"/>
      <c r="F15" s="619" t="n">
        <v>46006</v>
      </c>
      <c r="G15" s="619" t="n">
        <v>46013</v>
      </c>
      <c r="H15" s="619" t="n">
        <v>46020</v>
      </c>
      <c r="I15" s="619" t="n">
        <v>46027</v>
      </c>
      <c r="J15" s="619" t="n">
        <v>46034</v>
      </c>
      <c r="K15" s="619" t="n">
        <v>46041</v>
      </c>
      <c r="L15" s="619" t="n">
        <v>46048</v>
      </c>
      <c r="M15" s="619" t="n">
        <v>46055</v>
      </c>
      <c r="N15" s="619" t="n">
        <v>46062</v>
      </c>
      <c r="O15" s="619" t="n">
        <v>46069</v>
      </c>
      <c r="P15" s="619" t="n">
        <v>46076</v>
      </c>
      <c r="Q15" s="619" t="n">
        <v>46083</v>
      </c>
      <c r="R15" s="619" t="n">
        <v>46090</v>
      </c>
      <c r="S15" s="619" t="n">
        <v>46097</v>
      </c>
      <c r="T15" s="619" t="n">
        <v>46104</v>
      </c>
      <c r="U15" s="619" t="n">
        <v>46111</v>
      </c>
      <c r="V15" s="619" t="n">
        <v>46118</v>
      </c>
      <c r="W15" s="619" t="n">
        <v>46125</v>
      </c>
      <c r="X15" s="619" t="n">
        <v>46132</v>
      </c>
      <c r="Y15" s="619" t="n">
        <v>46139</v>
      </c>
      <c r="Z15" s="619" t="n">
        <v>46146</v>
      </c>
      <c r="AA15" s="619" t="n">
        <v>46154</v>
      </c>
      <c r="AB15" s="619" t="n">
        <v>46160</v>
      </c>
      <c r="AC15" s="620" t="n">
        <v>46161.48013502315</v>
      </c>
      <c r="AD15" s="620" t="n">
        <v>46161.48080876157</v>
      </c>
      <c r="AE15" s="620" t="n">
        <v>46161.48296567536</v>
      </c>
      <c r="AF15" s="678" t="inlineStr">
        <is>
          <t>USOU</t>
        </is>
      </c>
      <c r="AH15" s="29" t="inlineStr">
        <is>
          <t>Pendências</t>
        </is>
      </c>
      <c r="AI15" s="29" t="inlineStr">
        <is>
          <t>Pendências</t>
        </is>
      </c>
      <c r="AJ15" s="11" t="n"/>
      <c r="AK15" s="9" t="inlineStr">
        <is>
          <t>Novo Pedido</t>
        </is>
      </c>
      <c r="AL15" s="673" t="n">
        <v>46161.48296499325</v>
      </c>
      <c r="AM15" s="674" t="n">
        <v>46149</v>
      </c>
      <c r="AN15" s="615" t="n">
        <v>46150</v>
      </c>
      <c r="AO15" s="674" t="n">
        <v>46142</v>
      </c>
      <c r="AP15" s="674" t="n">
        <v>46114</v>
      </c>
      <c r="AQ15" s="674" t="n">
        <v>46107</v>
      </c>
      <c r="AR15" s="674" t="n">
        <v>46099</v>
      </c>
      <c r="AS15" s="675" t="n">
        <v>46065</v>
      </c>
      <c r="AT15" s="674" t="n">
        <v>46092</v>
      </c>
      <c r="AU15" s="674" t="n">
        <v>46084</v>
      </c>
      <c r="AV15" s="675" t="n">
        <v>46065</v>
      </c>
      <c r="AW15" s="676" t="n">
        <v>46045</v>
      </c>
      <c r="AX15" s="674" t="n">
        <v>46077</v>
      </c>
      <c r="AY15" s="674" t="n">
        <v>46071</v>
      </c>
      <c r="AZ15" s="674" t="n">
        <v>46056</v>
      </c>
      <c r="BA15" s="674" t="n">
        <v>46048</v>
      </c>
      <c r="BB15" s="674" t="n">
        <v>46043</v>
      </c>
      <c r="BC15" s="674" t="n">
        <v>46035</v>
      </c>
      <c r="BD15" s="674" t="n">
        <v>46029</v>
      </c>
      <c r="BE15" s="674" t="n">
        <v>46035</v>
      </c>
      <c r="BF15" s="674" t="n">
        <v>46029</v>
      </c>
      <c r="BG15" s="674" t="n">
        <v>46024</v>
      </c>
      <c r="BH15" s="674" t="n">
        <v>46007</v>
      </c>
      <c r="BI15" s="674" t="n">
        <v>46001</v>
      </c>
      <c r="BJ15" s="674" t="n">
        <v>46001</v>
      </c>
      <c r="BK15" s="674" t="n">
        <v>45994</v>
      </c>
      <c r="BL15" s="674" t="n">
        <v>45986</v>
      </c>
      <c r="BM15" s="674" t="n">
        <v>45986</v>
      </c>
      <c r="BN15" s="674" t="n">
        <v>45980</v>
      </c>
    </row>
    <row r="16">
      <c r="A16" s="25" t="inlineStr">
        <is>
          <t>PAPEL DE SEDA C/ 200 UND</t>
        </is>
      </c>
      <c r="B16" s="6" t="n">
        <v>500</v>
      </c>
      <c r="C16" s="632" t="n">
        <v>95.90000000000001</v>
      </c>
      <c r="D16" s="240" t="n">
        <v>1</v>
      </c>
      <c r="F16" s="6" t="n">
        <v>3</v>
      </c>
      <c r="G16" s="6" t="n">
        <v>3</v>
      </c>
      <c r="H16" s="6" t="n">
        <v>2</v>
      </c>
      <c r="I16" s="6" t="n">
        <v>2</v>
      </c>
      <c r="J16" s="6" t="n">
        <v>2</v>
      </c>
      <c r="K16" s="6">
        <f>2+BD16</f>
        <v/>
      </c>
      <c r="L16" s="6" t="n">
        <v>4</v>
      </c>
      <c r="M16" s="6" t="n">
        <v>4</v>
      </c>
      <c r="N16" s="6" t="n">
        <v>4</v>
      </c>
      <c r="O16" s="6" t="n">
        <v>4</v>
      </c>
      <c r="P16" s="6" t="n">
        <v>4</v>
      </c>
      <c r="Q16" s="6" t="n">
        <v>4</v>
      </c>
      <c r="R16" s="6" t="n">
        <v>4</v>
      </c>
      <c r="S16" s="6" t="n">
        <v>4</v>
      </c>
      <c r="T16" s="6" t="n">
        <v>4</v>
      </c>
      <c r="U16" s="6" t="n">
        <v>3</v>
      </c>
      <c r="V16" s="6" t="n">
        <v>3</v>
      </c>
      <c r="W16" s="6" t="n">
        <v>3</v>
      </c>
      <c r="X16" s="6" t="n">
        <v>3</v>
      </c>
      <c r="Y16" s="6" t="n">
        <v>3</v>
      </c>
      <c r="Z16" s="6">
        <f>0+3</f>
        <v/>
      </c>
      <c r="AA16" s="6">
        <f>1+AJ16</f>
        <v/>
      </c>
      <c r="AB16" s="6" t="n"/>
      <c r="AC16" s="6" t="n"/>
      <c r="AD16" s="6" t="n"/>
      <c r="AE16" s="6" t="n"/>
      <c r="AF16" s="380">
        <f>AD16+IF(NOT(ISBLANK(OFFSET(AF16,0,6))),N(OFFSET(AF16,0,6)),N(OFFSET(AF16,0,7)))-AE16</f>
        <v/>
      </c>
      <c r="AH16" s="138" t="n"/>
      <c r="AI16" s="138" t="n"/>
      <c r="AK16" s="32" t="n"/>
      <c r="AL16" s="628" t="n">
        <v>0</v>
      </c>
      <c r="AM16" s="19" t="n">
        <v>5</v>
      </c>
      <c r="AN16" s="260" t="inlineStr">
        <is>
          <t>03 DE JSH</t>
        </is>
      </c>
      <c r="AO16" s="19" t="n">
        <v>0</v>
      </c>
      <c r="AP16" s="19" t="n">
        <v>0</v>
      </c>
      <c r="AQ16" s="19" t="n"/>
      <c r="AR16" s="19" t="n"/>
      <c r="AS16" s="19" t="n"/>
      <c r="AT16" s="19" t="n"/>
      <c r="AU16" s="19" t="n"/>
      <c r="AV16" s="19" t="n"/>
      <c r="AW16" s="301" t="n">
        <v>200</v>
      </c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>
        <v>2</v>
      </c>
      <c r="BH16" s="19" t="n"/>
      <c r="BI16" s="19" t="n"/>
      <c r="BJ16" s="19" t="n"/>
      <c r="BK16" s="19" t="n">
        <v>1</v>
      </c>
      <c r="BL16" s="19" t="n"/>
      <c r="BM16" s="19" t="n"/>
      <c r="BN16" s="19" t="n"/>
    </row>
    <row r="17">
      <c r="A17" s="25" t="inlineStr">
        <is>
          <t>ETIQUETAS</t>
        </is>
      </c>
      <c r="B17" s="6" t="n">
        <v>2000</v>
      </c>
      <c r="C17" s="632" t="n">
        <v>53.49</v>
      </c>
      <c r="D17" s="240" t="n">
        <v>1</v>
      </c>
      <c r="F17" s="6" t="n">
        <v>1</v>
      </c>
      <c r="G17" s="6" t="n">
        <v>1</v>
      </c>
      <c r="H17" s="6" t="n">
        <v>3</v>
      </c>
      <c r="I17" s="6" t="n">
        <v>3</v>
      </c>
      <c r="J17" s="6" t="n">
        <v>3</v>
      </c>
      <c r="K17" s="6" t="n">
        <v>3</v>
      </c>
      <c r="L17" s="6" t="n">
        <v>3</v>
      </c>
      <c r="M17" s="6" t="n">
        <v>3</v>
      </c>
      <c r="N17" s="6" t="n">
        <v>3</v>
      </c>
      <c r="O17" s="6" t="n">
        <v>2</v>
      </c>
      <c r="P17" s="6" t="n">
        <v>2</v>
      </c>
      <c r="Q17" s="6" t="n">
        <v>1</v>
      </c>
      <c r="R17" s="6" t="n">
        <v>0</v>
      </c>
      <c r="S17" s="6" t="n">
        <v>0</v>
      </c>
      <c r="T17" s="6" t="n">
        <v>0</v>
      </c>
      <c r="U17" s="6" t="n">
        <v>0</v>
      </c>
      <c r="V17" s="6" t="n">
        <v>0</v>
      </c>
      <c r="W17" s="6" t="n">
        <v>0</v>
      </c>
      <c r="X17" s="6" t="n">
        <v>0</v>
      </c>
      <c r="Y17" s="6" t="n">
        <v>0</v>
      </c>
      <c r="Z17" s="6">
        <f>0+AL17+3</f>
        <v/>
      </c>
      <c r="AA17" s="6" t="n">
        <v>0</v>
      </c>
      <c r="AB17" s="6" t="n"/>
      <c r="AC17" s="6" t="n"/>
      <c r="AD17" s="6" t="n"/>
      <c r="AE17" s="6" t="n"/>
      <c r="AF17" s="380">
        <f>AD17+IF(NOT(ISBLANK(OFFSET(AF17,0,6))),N(OFFSET(AF17,0,6)),N(OFFSET(AF17,0,7)))-AE17</f>
        <v/>
      </c>
      <c r="AH17" s="138" t="inlineStr">
        <is>
          <t>03 DE JC</t>
        </is>
      </c>
      <c r="AI17" s="138" t="n"/>
      <c r="AK17" s="32" t="n"/>
      <c r="AL17" s="628" t="n">
        <v>0</v>
      </c>
      <c r="AM17" s="19" t="n">
        <v>0</v>
      </c>
      <c r="AN17" s="260" t="inlineStr">
        <is>
          <t>03 DE JSH</t>
        </is>
      </c>
      <c r="AO17" s="19" t="n">
        <v>2</v>
      </c>
      <c r="AP17" s="19" t="n">
        <v>0</v>
      </c>
      <c r="AQ17" s="19" t="n"/>
      <c r="AR17" s="19" t="n"/>
      <c r="AS17" s="19" t="n"/>
      <c r="AT17" s="19" t="n"/>
      <c r="AU17" s="19" t="n"/>
      <c r="AV17" s="19" t="n"/>
      <c r="AW17" s="301" t="n">
        <v>2</v>
      </c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19" t="n"/>
      <c r="BM17" s="19" t="n"/>
      <c r="BN17" s="19" t="n"/>
    </row>
    <row r="18">
      <c r="A18" s="25" t="inlineStr">
        <is>
          <t xml:space="preserve">TAGS </t>
        </is>
      </c>
      <c r="B18" s="6" t="n">
        <v>200</v>
      </c>
      <c r="C18" s="632" t="n">
        <v>9.93</v>
      </c>
      <c r="D18" s="240" t="n">
        <v>2</v>
      </c>
      <c r="F18" s="6" t="n">
        <v>1</v>
      </c>
      <c r="G18" s="6" t="n">
        <v>1</v>
      </c>
      <c r="H18" s="6" t="n">
        <v>1</v>
      </c>
      <c r="I18" s="6" t="n">
        <v>1</v>
      </c>
      <c r="J18" s="6" t="n">
        <v>1</v>
      </c>
      <c r="K18" s="6" t="n">
        <v>1</v>
      </c>
      <c r="L18" s="6" t="n">
        <v>1</v>
      </c>
      <c r="M18" s="6" t="n">
        <v>1</v>
      </c>
      <c r="N18" s="6" t="n">
        <v>1</v>
      </c>
      <c r="O18" s="6" t="n">
        <v>1</v>
      </c>
      <c r="P18" s="6" t="n">
        <v>1</v>
      </c>
      <c r="Q18" s="6" t="n">
        <v>1</v>
      </c>
      <c r="R18" s="6" t="n">
        <v>1</v>
      </c>
      <c r="S18" s="6" t="n">
        <v>0</v>
      </c>
      <c r="T18" s="6" t="n">
        <v>0</v>
      </c>
      <c r="U18" s="6" t="n">
        <v>0</v>
      </c>
      <c r="V18" s="6" t="n">
        <v>0</v>
      </c>
      <c r="W18" s="6" t="n">
        <v>0</v>
      </c>
      <c r="X18" s="6" t="n">
        <v>0</v>
      </c>
      <c r="Y18" s="6" t="n">
        <v>0</v>
      </c>
      <c r="Z18" s="6">
        <f>0+AL18</f>
        <v/>
      </c>
      <c r="AA18" s="6" t="n">
        <v>1</v>
      </c>
      <c r="AB18" s="6" t="n"/>
      <c r="AC18" s="6" t="n"/>
      <c r="AD18" s="6" t="n"/>
      <c r="AE18" s="6" t="n"/>
      <c r="AF18" s="380">
        <f>AD18+IF(NOT(ISBLANK(OFFSET(AF18,0,6))),N(OFFSET(AF18,0,6)),N(OFFSET(AF18,0,7)))-AE18</f>
        <v/>
      </c>
      <c r="AH18" s="138" t="inlineStr">
        <is>
          <t>02 DE JSH</t>
        </is>
      </c>
      <c r="AI18" s="138" t="n"/>
      <c r="AK18" s="32" t="n"/>
      <c r="AL18" s="628" t="n">
        <v>0</v>
      </c>
      <c r="AM18" s="19" t="n">
        <v>0</v>
      </c>
      <c r="AN18" s="19" t="n"/>
      <c r="AO18" s="19" t="n">
        <v>2</v>
      </c>
      <c r="AP18" s="19" t="n">
        <v>0</v>
      </c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19" t="n"/>
      <c r="BM18" s="19" t="n"/>
      <c r="BN18" s="19" t="n"/>
    </row>
    <row r="19">
      <c r="A19" s="25" t="inlineStr">
        <is>
          <t>LÂMINA OLFATIVA</t>
        </is>
      </c>
      <c r="B19" s="6" t="n">
        <v>3000</v>
      </c>
      <c r="C19" s="632" t="n">
        <v>69.37</v>
      </c>
      <c r="D19" s="240" t="n">
        <v>1</v>
      </c>
      <c r="F19" s="84" t="n">
        <v>5</v>
      </c>
      <c r="G19" s="84" t="n">
        <v>5</v>
      </c>
      <c r="H19" s="84" t="n">
        <v>5</v>
      </c>
      <c r="I19" s="84" t="n">
        <v>5</v>
      </c>
      <c r="J19" s="84" t="n">
        <v>5</v>
      </c>
      <c r="K19" s="84" t="n">
        <v>4</v>
      </c>
      <c r="L19" s="84" t="n">
        <v>4</v>
      </c>
      <c r="M19" s="84" t="n">
        <v>4</v>
      </c>
      <c r="N19" s="84" t="n">
        <v>4</v>
      </c>
      <c r="O19" s="84" t="n">
        <v>4</v>
      </c>
      <c r="P19" s="84" t="n">
        <v>4</v>
      </c>
      <c r="Q19" s="84" t="n">
        <v>4</v>
      </c>
      <c r="R19" s="84" t="n">
        <v>4</v>
      </c>
      <c r="S19" s="84" t="n">
        <v>4</v>
      </c>
      <c r="T19" s="84" t="n">
        <v>4</v>
      </c>
      <c r="U19" s="84" t="n">
        <v>4</v>
      </c>
      <c r="V19" s="84" t="n">
        <v>4</v>
      </c>
      <c r="W19" s="84" t="n">
        <v>4</v>
      </c>
      <c r="X19" s="84" t="n">
        <v>4</v>
      </c>
      <c r="Y19" s="84" t="n">
        <v>4</v>
      </c>
      <c r="Z19" s="84" t="n">
        <v>4</v>
      </c>
      <c r="AA19" s="84" t="n">
        <v>4</v>
      </c>
      <c r="AB19" s="84" t="n"/>
      <c r="AC19" s="84" t="n"/>
      <c r="AD19" s="84" t="n"/>
      <c r="AE19" s="84" t="n"/>
      <c r="AF19" s="380">
        <f>AD19+IF(NOT(ISBLANK(OFFSET(AF19,0,6))),N(OFFSET(AF19,0,6)),N(OFFSET(AF19,0,7)))-AE19</f>
        <v/>
      </c>
      <c r="AH19" s="138" t="n"/>
      <c r="AI19" s="138" t="n"/>
      <c r="AK19" s="32" t="n"/>
      <c r="AL19" s="628" t="n">
        <v>0</v>
      </c>
      <c r="AM19" s="19" t="n">
        <v>0</v>
      </c>
      <c r="AN19" s="19" t="n"/>
      <c r="AO19" s="19" t="n">
        <v>0</v>
      </c>
      <c r="AP19" s="19" t="n">
        <v>0</v>
      </c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>
        <v>3</v>
      </c>
      <c r="BL19" s="19" t="n"/>
      <c r="BM19" s="19" t="n"/>
      <c r="BN19" s="19" t="n"/>
    </row>
    <row r="20" ht="19.5" customFormat="1" customHeight="1" s="3">
      <c r="A20" s="132" t="n"/>
      <c r="B20" s="133" t="n"/>
      <c r="C20" s="633" t="n"/>
      <c r="D20" s="633" t="n"/>
      <c r="E20" s="11" t="n"/>
      <c r="F20" s="2" t="n"/>
      <c r="G20" s="2" t="n"/>
      <c r="H20" s="2" t="n"/>
      <c r="I20" s="2" t="n"/>
      <c r="J20" s="2" t="n"/>
      <c r="K20" s="2" t="n"/>
      <c r="L20" s="2" t="n"/>
      <c r="M20" s="2" t="n"/>
      <c r="N20" s="2" t="n"/>
      <c r="O20" s="2" t="n"/>
      <c r="P20" s="2" t="n"/>
      <c r="Q20" s="2" t="n"/>
      <c r="R20" s="2" t="n"/>
      <c r="S20" s="2" t="n"/>
      <c r="T20" s="2" t="n"/>
      <c r="U20" s="2" t="n"/>
      <c r="V20" s="2" t="n"/>
      <c r="W20" s="2" t="n"/>
      <c r="X20" s="2" t="n"/>
      <c r="Y20" s="2" t="n"/>
      <c r="Z20" s="2" t="n"/>
      <c r="AA20" s="2" t="n"/>
      <c r="AB20" s="2" t="n"/>
      <c r="AC20" s="1" t="n"/>
      <c r="AD20" s="1" t="n"/>
      <c r="AE20" s="1" t="n"/>
      <c r="AF20" s="2" t="n"/>
      <c r="AG20" s="11" t="n"/>
      <c r="AH20" s="10" t="n"/>
      <c r="AI20" s="10" t="n"/>
      <c r="AJ20" s="11" t="n"/>
      <c r="AK20" s="33" t="n"/>
      <c r="AL20" s="396" t="n"/>
      <c r="AM20" s="75" t="n"/>
      <c r="AN20" s="75" t="n"/>
      <c r="AO20" s="75" t="n"/>
      <c r="AP20" s="75" t="n"/>
      <c r="AQ20" s="75" t="n"/>
      <c r="AR20" s="75" t="n"/>
      <c r="AS20" s="75" t="n"/>
      <c r="AT20" s="75" t="n"/>
      <c r="AU20" s="75" t="n"/>
      <c r="AV20" s="75" t="n"/>
      <c r="AW20" s="75" t="n"/>
      <c r="AX20" s="75" t="n"/>
      <c r="AY20" s="75" t="n"/>
      <c r="AZ20" s="75" t="n"/>
      <c r="BA20" s="75" t="n"/>
      <c r="BB20" s="75" t="n"/>
      <c r="BC20" s="75" t="n"/>
      <c r="BD20" s="75" t="n"/>
      <c r="BE20" s="75" t="n"/>
      <c r="BF20" s="75" t="n"/>
      <c r="BG20" s="75" t="n"/>
      <c r="BH20" s="75" t="n"/>
      <c r="BI20" s="75" t="n"/>
      <c r="BJ20" s="75" t="n"/>
      <c r="BK20" s="75" t="n"/>
      <c r="BL20" s="75" t="n"/>
      <c r="BM20" s="75" t="n"/>
      <c r="BN20" s="75" t="n"/>
    </row>
    <row r="21" customFormat="1" s="3">
      <c r="A21" s="548" t="inlineStr">
        <is>
          <t>KIT SACOLAS VENDIDAS BOTICÁRIO</t>
        </is>
      </c>
      <c r="B21" s="12" t="inlineStr">
        <is>
          <t>MÓD</t>
        </is>
      </c>
      <c r="C21" s="12" t="inlineStr">
        <is>
          <t>R$</t>
        </is>
      </c>
      <c r="D21" s="12" t="n"/>
      <c r="E21" s="608" t="n"/>
      <c r="F21" s="619" t="n">
        <v>46006</v>
      </c>
      <c r="G21" s="619" t="n">
        <v>46013</v>
      </c>
      <c r="H21" s="619" t="n">
        <v>46020</v>
      </c>
      <c r="I21" s="619" t="n">
        <v>46027</v>
      </c>
      <c r="J21" s="619" t="n">
        <v>46034</v>
      </c>
      <c r="K21" s="619" t="n">
        <v>46041</v>
      </c>
      <c r="L21" s="619" t="n">
        <v>46048</v>
      </c>
      <c r="M21" s="619" t="n">
        <v>46055</v>
      </c>
      <c r="N21" s="619" t="n">
        <v>46062</v>
      </c>
      <c r="O21" s="619" t="n">
        <v>46069</v>
      </c>
      <c r="P21" s="619" t="n">
        <v>46076</v>
      </c>
      <c r="Q21" s="619" t="n">
        <v>46083</v>
      </c>
      <c r="R21" s="619" t="n">
        <v>46090</v>
      </c>
      <c r="S21" s="619" t="n">
        <v>46097</v>
      </c>
      <c r="T21" s="619" t="n">
        <v>46104</v>
      </c>
      <c r="U21" s="619" t="n">
        <v>46111</v>
      </c>
      <c r="V21" s="619" t="n">
        <v>46118</v>
      </c>
      <c r="W21" s="619" t="n">
        <v>46125</v>
      </c>
      <c r="X21" s="619" t="n">
        <v>46132</v>
      </c>
      <c r="Y21" s="619" t="n">
        <v>46139</v>
      </c>
      <c r="Z21" s="619" t="n">
        <v>46146</v>
      </c>
      <c r="AA21" s="619" t="n">
        <v>46154</v>
      </c>
      <c r="AB21" s="619" t="n">
        <v>46160</v>
      </c>
      <c r="AC21" s="620" t="n">
        <v>46161.48013502315</v>
      </c>
      <c r="AD21" s="620" t="n">
        <v>46161.48080876157</v>
      </c>
      <c r="AE21" s="620" t="n">
        <v>46161.48296567552</v>
      </c>
      <c r="AF21" s="678" t="inlineStr">
        <is>
          <t>USOU</t>
        </is>
      </c>
      <c r="AG21" s="11" t="n"/>
      <c r="AH21" s="29" t="inlineStr">
        <is>
          <t>Pendências</t>
        </is>
      </c>
      <c r="AI21" s="29" t="inlineStr">
        <is>
          <t>Pendências</t>
        </is>
      </c>
      <c r="AK21" s="9" t="inlineStr">
        <is>
          <t>Novo Pedido</t>
        </is>
      </c>
      <c r="AL21" s="673" t="n">
        <v>46161.48296499362</v>
      </c>
      <c r="AM21" s="674" t="n">
        <v>46149</v>
      </c>
      <c r="AN21" s="615" t="n">
        <v>46150</v>
      </c>
      <c r="AO21" s="674" t="n">
        <v>46142</v>
      </c>
      <c r="AP21" s="674" t="n">
        <v>46114</v>
      </c>
      <c r="AQ21" s="674" t="n">
        <v>46107</v>
      </c>
      <c r="AR21" s="674" t="n">
        <v>46099</v>
      </c>
      <c r="AS21" s="675" t="n">
        <v>46065</v>
      </c>
      <c r="AT21" s="674" t="n">
        <v>46092</v>
      </c>
      <c r="AU21" s="674" t="n">
        <v>46084</v>
      </c>
      <c r="AV21" s="675" t="n">
        <v>46065</v>
      </c>
      <c r="AW21" s="676" t="n">
        <v>46045</v>
      </c>
      <c r="AX21" s="674" t="n">
        <v>46077</v>
      </c>
      <c r="AY21" s="674" t="n">
        <v>46071</v>
      </c>
      <c r="AZ21" s="674" t="n">
        <v>46056</v>
      </c>
      <c r="BA21" s="674" t="n">
        <v>46048</v>
      </c>
      <c r="BB21" s="674" t="n">
        <v>46043</v>
      </c>
      <c r="BC21" s="674" t="n">
        <v>46035</v>
      </c>
      <c r="BD21" s="674" t="n">
        <v>46029</v>
      </c>
      <c r="BE21" s="674" t="n">
        <v>46035</v>
      </c>
      <c r="BF21" s="674" t="n">
        <v>46029</v>
      </c>
      <c r="BG21" s="674" t="n">
        <v>46024</v>
      </c>
      <c r="BH21" s="674" t="n">
        <v>46007</v>
      </c>
      <c r="BI21" s="674" t="n">
        <v>46001</v>
      </c>
      <c r="BJ21" s="674" t="n">
        <v>46001</v>
      </c>
      <c r="BK21" s="674" t="n">
        <v>45994</v>
      </c>
      <c r="BL21" s="674" t="n">
        <v>45986</v>
      </c>
      <c r="BM21" s="674" t="n">
        <v>45986</v>
      </c>
      <c r="BN21" s="674" t="n">
        <v>45980</v>
      </c>
    </row>
    <row r="22" ht="20.25" customFormat="1" customHeight="1" s="3">
      <c r="A22" s="25" t="inlineStr">
        <is>
          <t>KIT SACOLA PP VERDE (KIT C/ 10)</t>
        </is>
      </c>
      <c r="B22" s="6" t="n">
        <v>280</v>
      </c>
      <c r="C22" s="632" t="n">
        <v>158.6</v>
      </c>
      <c r="D22" s="240" t="n">
        <v>15</v>
      </c>
      <c r="E22" s="695" t="n"/>
      <c r="F22" s="131" t="n">
        <v>0</v>
      </c>
      <c r="G22" s="131" t="n">
        <v>0</v>
      </c>
      <c r="H22" s="131" t="n">
        <v>0</v>
      </c>
      <c r="I22" s="131" t="n">
        <v>0</v>
      </c>
      <c r="J22" s="131" t="n">
        <v>0</v>
      </c>
      <c r="K22" s="131" t="n">
        <v>0</v>
      </c>
      <c r="L22" s="131" t="n">
        <v>0</v>
      </c>
      <c r="M22" s="131" t="n">
        <v>0</v>
      </c>
      <c r="N22" s="131" t="n">
        <v>0</v>
      </c>
      <c r="O22" s="131" t="n">
        <v>0</v>
      </c>
      <c r="P22" s="131" t="n">
        <v>0</v>
      </c>
      <c r="Q22" s="131" t="n">
        <v>0</v>
      </c>
      <c r="R22" s="131" t="n">
        <v>0</v>
      </c>
      <c r="S22" s="131" t="n">
        <v>0</v>
      </c>
      <c r="T22" s="131" t="n">
        <v>0</v>
      </c>
      <c r="U22" s="131" t="n">
        <v>0</v>
      </c>
      <c r="V22" s="131" t="n"/>
      <c r="W22" s="131" t="n"/>
      <c r="X22" s="131" t="n"/>
      <c r="Y22" s="131" t="n"/>
      <c r="Z22" s="131" t="n"/>
      <c r="AA22" s="131" t="n">
        <v>0</v>
      </c>
      <c r="AB22" s="131" t="n">
        <v>0</v>
      </c>
      <c r="AC22" s="679" t="n">
        <v>0</v>
      </c>
      <c r="AD22" s="679" t="n">
        <v>0</v>
      </c>
      <c r="AE22" s="679" t="n">
        <v>0</v>
      </c>
      <c r="AF22" s="380">
        <f>AD22+IF(NOT(ISBLANK(OFFSET(AF22,0,6))),N(OFFSET(AF22,0,6)),N(OFFSET(AF22,0,7)))-AE22</f>
        <v/>
      </c>
      <c r="AG22" s="128" t="n"/>
      <c r="AH22" s="78" t="n"/>
      <c r="AI22" s="78" t="n"/>
      <c r="AJ22" s="129" t="n"/>
      <c r="AK22" s="32" t="n"/>
      <c r="AL22" s="628" t="n">
        <v>0</v>
      </c>
      <c r="AM22" s="19" t="n">
        <v>0</v>
      </c>
      <c r="AN22" s="19" t="n"/>
      <c r="AO22" s="19" t="n">
        <v>0</v>
      </c>
      <c r="AP22" s="19" t="n">
        <v>0</v>
      </c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19" t="n"/>
      <c r="BM22" s="19" t="n"/>
      <c r="BN22" s="19" t="n"/>
    </row>
    <row r="23" ht="20.25" customFormat="1" customHeight="1" s="3">
      <c r="A23" s="25" t="inlineStr">
        <is>
          <t>KIT SACOLA P VERDE (KIT C/ 10)</t>
        </is>
      </c>
      <c r="B23" s="6" t="n">
        <v>200</v>
      </c>
      <c r="C23" s="632" t="n">
        <v>175.35</v>
      </c>
      <c r="D23" s="240" t="n">
        <v>15</v>
      </c>
      <c r="E23" s="1" t="n"/>
      <c r="F23" s="39" t="n">
        <v>0</v>
      </c>
      <c r="G23" s="39" t="n">
        <v>0</v>
      </c>
      <c r="H23" s="39" t="n">
        <v>0</v>
      </c>
      <c r="I23" s="39" t="n">
        <v>0</v>
      </c>
      <c r="J23" s="39" t="n">
        <v>0</v>
      </c>
      <c r="K23" s="39" t="n">
        <v>0</v>
      </c>
      <c r="L23" s="39" t="n">
        <v>0</v>
      </c>
      <c r="M23" s="39" t="n">
        <v>0</v>
      </c>
      <c r="N23" s="39" t="n">
        <v>0</v>
      </c>
      <c r="O23" s="39" t="n">
        <v>0</v>
      </c>
      <c r="P23" s="39" t="n">
        <v>0</v>
      </c>
      <c r="Q23" s="39" t="n">
        <v>0</v>
      </c>
      <c r="R23" s="39" t="n">
        <v>0</v>
      </c>
      <c r="S23" s="39" t="n">
        <v>0</v>
      </c>
      <c r="T23" s="39" t="n">
        <v>0</v>
      </c>
      <c r="U23" s="39" t="n">
        <v>0</v>
      </c>
      <c r="V23" s="39" t="n"/>
      <c r="W23" s="39" t="n"/>
      <c r="X23" s="39" t="n"/>
      <c r="Y23" s="39" t="n"/>
      <c r="Z23" s="39" t="n"/>
      <c r="AA23" s="39" t="n">
        <v>0</v>
      </c>
      <c r="AB23" s="39" t="n">
        <v>0</v>
      </c>
      <c r="AC23" s="6" t="n">
        <v>0</v>
      </c>
      <c r="AD23" s="6" t="n">
        <v>0</v>
      </c>
      <c r="AE23" s="6" t="n">
        <v>0</v>
      </c>
      <c r="AF23" s="380">
        <f>AD23+IF(NOT(ISBLANK(OFFSET(AF23,0,6))),N(OFFSET(AF23,0,6)),N(OFFSET(AF23,0,7)))-AE23</f>
        <v/>
      </c>
      <c r="AG23" s="128" t="n"/>
      <c r="AH23" s="78" t="n"/>
      <c r="AI23" s="78" t="n"/>
      <c r="AJ23" s="129" t="n"/>
      <c r="AK23" s="32" t="n"/>
      <c r="AL23" s="628" t="n">
        <v>0</v>
      </c>
      <c r="AM23" s="19" t="n">
        <v>0</v>
      </c>
      <c r="AN23" s="19" t="n"/>
      <c r="AO23" s="19" t="n">
        <v>0</v>
      </c>
      <c r="AP23" s="19" t="n">
        <v>0</v>
      </c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19" t="n"/>
      <c r="BM23" s="19" t="n"/>
      <c r="BN23" s="19" t="n"/>
    </row>
    <row r="24" ht="21.75" customFormat="1" customHeight="1" s="3">
      <c r="A24" s="25" t="inlineStr">
        <is>
          <t>KIT SACOLA M VERDE (KIT C/ 10)</t>
        </is>
      </c>
      <c r="B24" s="6" t="n">
        <v>150</v>
      </c>
      <c r="C24" s="632" t="n">
        <v>172.75</v>
      </c>
      <c r="D24" s="240" t="n">
        <v>10</v>
      </c>
      <c r="E24" s="1" t="n"/>
      <c r="F24" s="39" t="n">
        <v>29</v>
      </c>
      <c r="G24" s="39" t="n">
        <v>25</v>
      </c>
      <c r="H24" s="39" t="n">
        <v>25</v>
      </c>
      <c r="I24" s="39" t="n">
        <v>25</v>
      </c>
      <c r="J24" s="39" t="n">
        <v>25</v>
      </c>
      <c r="K24" s="39" t="n">
        <v>25</v>
      </c>
      <c r="L24" s="39" t="n">
        <v>25</v>
      </c>
      <c r="M24" s="39" t="n">
        <v>25</v>
      </c>
      <c r="N24" s="39" t="n">
        <v>25</v>
      </c>
      <c r="O24" s="39" t="n">
        <v>25</v>
      </c>
      <c r="P24" s="39" t="n">
        <v>25</v>
      </c>
      <c r="Q24" s="39" t="n">
        <v>25</v>
      </c>
      <c r="R24" s="39" t="n">
        <v>25</v>
      </c>
      <c r="S24" s="39" t="n">
        <v>24</v>
      </c>
      <c r="T24" s="39" t="n">
        <v>24</v>
      </c>
      <c r="U24" s="39" t="n">
        <v>22</v>
      </c>
      <c r="V24" s="39" t="n"/>
      <c r="W24" s="39" t="n"/>
      <c r="X24" s="39" t="n"/>
      <c r="Y24" s="39" t="n"/>
      <c r="Z24" s="39" t="n"/>
      <c r="AA24" s="39" t="n">
        <v>17</v>
      </c>
      <c r="AB24" s="39" t="n">
        <v>9</v>
      </c>
      <c r="AC24" s="6" t="n">
        <v>9</v>
      </c>
      <c r="AD24" s="6" t="n">
        <v>9</v>
      </c>
      <c r="AE24" s="6" t="n">
        <v>9</v>
      </c>
      <c r="AF24" s="380">
        <f>AD24+IF(NOT(ISBLANK(OFFSET(AF24,0,6))),N(OFFSET(AF24,0,6)),N(OFFSET(AF24,0,7)))-AE24</f>
        <v/>
      </c>
      <c r="AG24" s="128" t="n"/>
      <c r="AH24" s="78" t="inlineStr">
        <is>
          <t>CONSUMO</t>
        </is>
      </c>
      <c r="AI24" s="78" t="n"/>
      <c r="AJ24" s="129" t="n"/>
      <c r="AK24" s="32" t="n"/>
      <c r="AL24" s="628" t="n">
        <v>0</v>
      </c>
      <c r="AM24" s="19" t="n">
        <v>0</v>
      </c>
      <c r="AN24" s="19" t="n"/>
      <c r="AO24" s="19" t="n">
        <v>0</v>
      </c>
      <c r="AP24" s="19" t="n">
        <v>0</v>
      </c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19" t="n"/>
      <c r="BM24" s="19" t="n"/>
      <c r="BN24" s="19" t="n"/>
    </row>
    <row r="25" ht="21.75" customFormat="1" customHeight="1" s="3">
      <c r="A25" s="23" t="n"/>
      <c r="B25" s="1" t="n"/>
      <c r="C25" s="630" t="n"/>
      <c r="D25" s="277" t="n"/>
      <c r="E25" s="1" t="n"/>
      <c r="F25" s="2" t="n"/>
      <c r="G25" s="2" t="n"/>
      <c r="H25" s="2" t="n"/>
      <c r="I25" s="2" t="n"/>
      <c r="J25" s="2" t="n"/>
      <c r="K25" s="2" t="n"/>
      <c r="L25" s="2" t="n"/>
      <c r="M25" s="2" t="n"/>
      <c r="N25" s="2" t="n"/>
      <c r="O25" s="2" t="n"/>
      <c r="P25" s="2" t="n"/>
      <c r="Q25" s="2" t="n"/>
      <c r="R25" s="2" t="n"/>
      <c r="S25" s="2" t="n"/>
      <c r="T25" s="2" t="n"/>
      <c r="U25" s="2" t="n"/>
      <c r="V25" s="2" t="n"/>
      <c r="W25" s="2" t="n"/>
      <c r="X25" s="2" t="n"/>
      <c r="Y25" s="2" t="n"/>
      <c r="Z25" s="2" t="n"/>
      <c r="AA25" s="2" t="n"/>
      <c r="AB25" s="2" t="n"/>
      <c r="AC25" s="1" t="n"/>
      <c r="AD25" s="1" t="n"/>
      <c r="AE25" s="1" t="n"/>
      <c r="AG25" s="128" t="n"/>
      <c r="AH25" s="10" t="n"/>
      <c r="AI25" s="10" t="n"/>
      <c r="AJ25" s="129" t="n"/>
      <c r="AK25" s="33" t="n"/>
      <c r="AL25" s="396" t="n"/>
      <c r="AM25" s="75" t="n"/>
      <c r="AN25" s="75" t="n"/>
      <c r="AO25" s="75" t="n"/>
      <c r="AP25" s="75" t="n"/>
      <c r="AQ25" s="75" t="n"/>
      <c r="AR25" s="75" t="n"/>
      <c r="AS25" s="75" t="n"/>
      <c r="AT25" s="75" t="n"/>
      <c r="AU25" s="75" t="n"/>
      <c r="AV25" s="75" t="n"/>
      <c r="AW25" s="75" t="n"/>
      <c r="AX25" s="75" t="n"/>
      <c r="AY25" s="75" t="n"/>
      <c r="AZ25" s="75" t="n"/>
      <c r="BA25" s="75" t="n"/>
      <c r="BB25" s="75" t="n"/>
      <c r="BC25" s="75" t="n"/>
      <c r="BD25" s="75" t="n"/>
      <c r="BE25" s="75" t="n"/>
      <c r="BF25" s="75" t="n"/>
      <c r="BG25" s="75" t="n"/>
      <c r="BH25" s="75" t="n"/>
      <c r="BI25" s="75" t="n"/>
      <c r="BJ25" s="75" t="n"/>
      <c r="BK25" s="75" t="n"/>
      <c r="BL25" s="75" t="n"/>
      <c r="BM25" s="75" t="n"/>
      <c r="BN25" s="75" t="n"/>
    </row>
    <row r="26" ht="21.75" customFormat="1" customHeight="1" s="3">
      <c r="A26" s="548" t="inlineStr">
        <is>
          <t>SACOLAS P/ VENDA EM UND</t>
        </is>
      </c>
      <c r="B26" s="12" t="inlineStr">
        <is>
          <t>PC</t>
        </is>
      </c>
      <c r="C26" s="631" t="inlineStr">
        <is>
          <t>R$</t>
        </is>
      </c>
      <c r="D26" s="12" t="inlineStr">
        <is>
          <t>Estoque Ideal</t>
        </is>
      </c>
      <c r="E26" s="1" t="n"/>
      <c r="F26" s="619" t="n">
        <v>46006</v>
      </c>
      <c r="G26" s="619" t="n">
        <v>46013</v>
      </c>
      <c r="H26" s="619" t="n">
        <v>46020</v>
      </c>
      <c r="I26" s="619" t="n">
        <v>46027</v>
      </c>
      <c r="J26" s="619" t="n">
        <v>46034</v>
      </c>
      <c r="K26" s="619" t="n">
        <v>46041</v>
      </c>
      <c r="L26" s="619" t="n">
        <v>46048</v>
      </c>
      <c r="M26" s="619" t="n">
        <v>46055</v>
      </c>
      <c r="N26" s="619" t="n">
        <v>46062</v>
      </c>
      <c r="O26" s="619" t="n">
        <v>46069</v>
      </c>
      <c r="P26" s="619" t="n">
        <v>46076</v>
      </c>
      <c r="Q26" s="619" t="n">
        <v>46083</v>
      </c>
      <c r="R26" s="619" t="n">
        <v>46090</v>
      </c>
      <c r="S26" s="619" t="n">
        <v>46097</v>
      </c>
      <c r="T26" s="619" t="n">
        <v>46104</v>
      </c>
      <c r="U26" s="619" t="n">
        <v>46111</v>
      </c>
      <c r="V26" s="619" t="n">
        <v>46118</v>
      </c>
      <c r="W26" s="619" t="n">
        <v>46125</v>
      </c>
      <c r="X26" s="619" t="n">
        <v>46132</v>
      </c>
      <c r="Y26" s="619" t="n">
        <v>46139</v>
      </c>
      <c r="Z26" s="619" t="n">
        <v>46146</v>
      </c>
      <c r="AA26" s="619" t="n">
        <v>46154</v>
      </c>
      <c r="AB26" s="619" t="n">
        <v>46160</v>
      </c>
      <c r="AC26" s="620" t="n">
        <v>46161.48013502315</v>
      </c>
      <c r="AD26" s="620" t="n">
        <v>46161.48080876157</v>
      </c>
      <c r="AE26" s="620" t="n">
        <v>46161.48296567573</v>
      </c>
      <c r="AF26" s="678" t="inlineStr">
        <is>
          <t>USOU</t>
        </is>
      </c>
      <c r="AG26" s="128" t="n"/>
      <c r="AH26" s="29" t="inlineStr">
        <is>
          <t>Pendências</t>
        </is>
      </c>
      <c r="AI26" s="29" t="inlineStr">
        <is>
          <t>Pendências</t>
        </is>
      </c>
      <c r="AJ26" s="129" t="n"/>
      <c r="AK26" s="9" t="inlineStr">
        <is>
          <t>Novo Pedido</t>
        </is>
      </c>
      <c r="AL26" s="673" t="n">
        <v>46161.48296499388</v>
      </c>
      <c r="AM26" s="674" t="n">
        <v>46149</v>
      </c>
      <c r="AN26" s="615" t="n">
        <v>46150</v>
      </c>
      <c r="AO26" s="674" t="n">
        <v>46142</v>
      </c>
      <c r="AP26" s="674" t="n">
        <v>46114</v>
      </c>
      <c r="AQ26" s="674" t="n">
        <v>46107</v>
      </c>
      <c r="AR26" s="674" t="n">
        <v>46099</v>
      </c>
      <c r="AS26" s="675" t="n">
        <v>46065</v>
      </c>
      <c r="AT26" s="674" t="n">
        <v>46092</v>
      </c>
      <c r="AU26" s="674" t="n">
        <v>46084</v>
      </c>
      <c r="AV26" s="675" t="n">
        <v>46065</v>
      </c>
      <c r="AW26" s="676" t="n">
        <v>46045</v>
      </c>
      <c r="AX26" s="674" t="n">
        <v>46077</v>
      </c>
      <c r="AY26" s="674" t="n">
        <v>46071</v>
      </c>
      <c r="AZ26" s="674" t="n">
        <v>46056</v>
      </c>
      <c r="BA26" s="674" t="n">
        <v>46048</v>
      </c>
      <c r="BB26" s="674" t="n">
        <v>46043</v>
      </c>
      <c r="BC26" s="674" t="n">
        <v>46035</v>
      </c>
      <c r="BD26" s="674" t="n">
        <v>46029</v>
      </c>
      <c r="BE26" s="674" t="n">
        <v>46035</v>
      </c>
      <c r="BF26" s="674" t="n">
        <v>46029</v>
      </c>
      <c r="BG26" s="674" t="n">
        <v>46024</v>
      </c>
      <c r="BH26" s="674" t="n">
        <v>46007</v>
      </c>
      <c r="BI26" s="674" t="n">
        <v>46001</v>
      </c>
      <c r="BJ26" s="674" t="n">
        <v>46001</v>
      </c>
      <c r="BK26" s="674" t="n">
        <v>45994</v>
      </c>
      <c r="BL26" s="674" t="n">
        <v>45986</v>
      </c>
      <c r="BM26" s="674" t="n">
        <v>45986</v>
      </c>
      <c r="BN26" s="674" t="n">
        <v>45980</v>
      </c>
    </row>
    <row r="27" ht="21.75" customFormat="1" customHeight="1" s="3">
      <c r="A27" s="25" t="inlineStr">
        <is>
          <t>SACOLA PP 2025</t>
        </is>
      </c>
      <c r="B27" s="6" t="n">
        <v>300</v>
      </c>
      <c r="C27" s="632" t="n">
        <v>216</v>
      </c>
      <c r="D27" s="240" t="n"/>
      <c r="E27" s="1" t="n"/>
      <c r="F27" s="131" t="n">
        <v>322</v>
      </c>
      <c r="G27" s="131" t="n">
        <v>265</v>
      </c>
      <c r="H27" s="131" t="n">
        <v>265</v>
      </c>
      <c r="I27" s="131" t="n">
        <v>265</v>
      </c>
      <c r="J27" s="131" t="n">
        <v>265</v>
      </c>
      <c r="K27" s="131" t="n">
        <v>288</v>
      </c>
      <c r="L27" s="131" t="n">
        <v>288</v>
      </c>
      <c r="M27" s="131" t="n">
        <v>288</v>
      </c>
      <c r="N27" s="131" t="n">
        <v>276</v>
      </c>
      <c r="O27" s="131" t="n">
        <v>272</v>
      </c>
      <c r="P27" s="131" t="n">
        <v>271</v>
      </c>
      <c r="Q27" s="131" t="n">
        <v>271</v>
      </c>
      <c r="R27" s="131" t="n">
        <v>256</v>
      </c>
      <c r="S27" s="131" t="n">
        <v>256</v>
      </c>
      <c r="T27" s="131" t="n">
        <v>250</v>
      </c>
      <c r="U27" s="131" t="n">
        <v>250</v>
      </c>
      <c r="V27" s="131" t="n"/>
      <c r="W27" s="131" t="n"/>
      <c r="X27" s="131" t="n"/>
      <c r="Y27" s="131" t="n"/>
      <c r="Z27" s="131" t="n"/>
      <c r="AA27" s="131" t="n">
        <v>153</v>
      </c>
      <c r="AB27" s="131" t="n">
        <v>153</v>
      </c>
      <c r="AC27" s="679" t="n">
        <v>153</v>
      </c>
      <c r="AD27" s="679" t="n">
        <v>153</v>
      </c>
      <c r="AE27" s="679" t="n">
        <v>153</v>
      </c>
      <c r="AF27" s="380">
        <f>AD27+IF(NOT(ISBLANK(OFFSET(AF27,0,6))),N(OFFSET(AF27,0,6)),N(OFFSET(AF27,0,7)))-AE27</f>
        <v/>
      </c>
      <c r="AG27" s="128" t="n"/>
      <c r="AH27" s="138" t="n"/>
      <c r="AI27" s="138" t="n"/>
      <c r="AJ27" s="129" t="n"/>
      <c r="AK27" s="32" t="n">
        <v>300</v>
      </c>
      <c r="AL27" s="628" t="n">
        <v>0</v>
      </c>
      <c r="AM27" s="19" t="n">
        <v>0</v>
      </c>
      <c r="AN27" s="19" t="n"/>
      <c r="AO27" s="19" t="n">
        <v>0</v>
      </c>
      <c r="AP27" s="19" t="n">
        <v>0</v>
      </c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>
        <v>300</v>
      </c>
      <c r="BL27" s="19" t="n"/>
      <c r="BM27" s="19" t="n"/>
      <c r="BN27" s="19" t="n"/>
    </row>
    <row r="28" ht="21.75" customFormat="1" customHeight="1" s="3">
      <c r="A28" s="25" t="inlineStr">
        <is>
          <t>SACOLA P 2025</t>
        </is>
      </c>
      <c r="B28" s="6" t="n">
        <v>200</v>
      </c>
      <c r="C28" s="632" t="n">
        <v>246.28</v>
      </c>
      <c r="D28" s="240" t="n"/>
      <c r="E28" s="1" t="n"/>
      <c r="F28" s="39" t="n">
        <v>400</v>
      </c>
      <c r="G28" s="39" t="n">
        <v>374</v>
      </c>
      <c r="H28" s="39" t="n">
        <v>374</v>
      </c>
      <c r="I28" s="39" t="n">
        <v>374</v>
      </c>
      <c r="J28" s="39" t="n">
        <v>362</v>
      </c>
      <c r="K28" s="39" t="n">
        <v>361</v>
      </c>
      <c r="L28" s="39" t="n">
        <v>361</v>
      </c>
      <c r="M28" s="39" t="n">
        <v>351</v>
      </c>
      <c r="N28" s="39" t="n">
        <v>317</v>
      </c>
      <c r="O28" s="39" t="n">
        <v>316</v>
      </c>
      <c r="P28" s="39" t="n">
        <v>313</v>
      </c>
      <c r="Q28" s="39" t="n">
        <v>313</v>
      </c>
      <c r="R28" s="39" t="n">
        <v>312</v>
      </c>
      <c r="S28" s="39" t="n">
        <v>309</v>
      </c>
      <c r="T28" s="39" t="n">
        <v>309</v>
      </c>
      <c r="U28" s="39" t="n">
        <v>309</v>
      </c>
      <c r="V28" s="39" t="n"/>
      <c r="W28" s="39" t="n"/>
      <c r="X28" s="39" t="n"/>
      <c r="Y28" s="39" t="n"/>
      <c r="Z28" s="39" t="n"/>
      <c r="AA28" s="39" t="n">
        <v>252</v>
      </c>
      <c r="AB28" s="39" t="n">
        <v>252</v>
      </c>
      <c r="AC28" s="6" t="n">
        <v>252</v>
      </c>
      <c r="AD28" s="6" t="n">
        <v>252</v>
      </c>
      <c r="AE28" s="6" t="n">
        <v>252</v>
      </c>
      <c r="AF28" s="380">
        <f>AD28+IF(NOT(ISBLANK(OFFSET(AF28,0,6))),N(OFFSET(AF28,0,6)),N(OFFSET(AF28,0,7)))-AE28</f>
        <v/>
      </c>
      <c r="AG28" s="128" t="n"/>
      <c r="AH28" s="78" t="inlineStr">
        <is>
          <t>100 P/ ER SM</t>
        </is>
      </c>
      <c r="AI28" s="78" t="n"/>
      <c r="AJ28" s="129" t="n"/>
      <c r="AK28" s="32" t="n"/>
      <c r="AL28" s="628" t="n">
        <v>0</v>
      </c>
      <c r="AM28" s="19" t="n">
        <v>0</v>
      </c>
      <c r="AN28" s="19" t="n"/>
      <c r="AO28" s="19" t="n">
        <v>0</v>
      </c>
      <c r="AP28" s="19" t="n">
        <v>0</v>
      </c>
      <c r="AQ28" s="19" t="n"/>
      <c r="AR28" s="19" t="n"/>
      <c r="AS28" s="19" t="n"/>
      <c r="AT28" s="19" t="n"/>
      <c r="AU28" s="19" t="n"/>
      <c r="AV28" s="251" t="n">
        <v>400</v>
      </c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19" t="n"/>
      <c r="BM28" s="19" t="n"/>
      <c r="BN28" s="19" t="n"/>
    </row>
    <row r="29" ht="21.75" customFormat="1" customHeight="1" s="3">
      <c r="A29" s="25" t="inlineStr">
        <is>
          <t>SACOLA M 2025</t>
        </is>
      </c>
      <c r="B29" s="6" t="n">
        <v>200</v>
      </c>
      <c r="C29" s="632" t="n">
        <v>316.91</v>
      </c>
      <c r="D29" s="240" t="n"/>
      <c r="E29" s="1" t="n"/>
      <c r="F29" s="39" t="n">
        <v>400</v>
      </c>
      <c r="G29" s="39" t="n">
        <v>390</v>
      </c>
      <c r="H29" s="39" t="n">
        <v>390</v>
      </c>
      <c r="I29" s="39" t="n">
        <v>390</v>
      </c>
      <c r="J29" s="39" t="n">
        <v>390</v>
      </c>
      <c r="K29" s="39" t="n">
        <v>390</v>
      </c>
      <c r="L29" s="39" t="n">
        <v>390</v>
      </c>
      <c r="M29" s="39" t="n">
        <v>390</v>
      </c>
      <c r="N29" s="39" t="n">
        <v>390</v>
      </c>
      <c r="O29" s="39" t="n">
        <v>390</v>
      </c>
      <c r="P29" s="39" t="n">
        <v>390</v>
      </c>
      <c r="Q29" s="39" t="n">
        <v>390</v>
      </c>
      <c r="R29" s="39" t="n">
        <v>390</v>
      </c>
      <c r="S29" s="39" t="n">
        <v>380</v>
      </c>
      <c r="T29" s="39" t="n">
        <v>380</v>
      </c>
      <c r="U29" s="39" t="n">
        <v>370</v>
      </c>
      <c r="V29" s="39" t="n"/>
      <c r="W29" s="39" t="n"/>
      <c r="X29" s="39" t="n"/>
      <c r="Y29" s="39" t="n"/>
      <c r="Z29" s="39" t="n"/>
      <c r="AA29" s="39" t="n">
        <v>395</v>
      </c>
      <c r="AB29" s="39" t="n">
        <v>395</v>
      </c>
      <c r="AC29" s="6" t="n">
        <v>395</v>
      </c>
      <c r="AD29" s="6" t="n">
        <v>395</v>
      </c>
      <c r="AE29" s="6" t="n">
        <v>395</v>
      </c>
      <c r="AF29" s="380">
        <f>AD29+IF(NOT(ISBLANK(OFFSET(AF29,0,6))),N(OFFSET(AF29,0,6)),N(OFFSET(AF29,0,7)))-AE29</f>
        <v/>
      </c>
      <c r="AG29" s="128" t="n"/>
      <c r="AH29" s="78" t="inlineStr">
        <is>
          <t>100 P/ ER SM</t>
        </is>
      </c>
      <c r="AI29" s="78" t="n"/>
      <c r="AJ29" s="129" t="n"/>
      <c r="AK29" s="32" t="n"/>
      <c r="AL29" s="628" t="n">
        <v>0</v>
      </c>
      <c r="AM29" s="19" t="n">
        <v>0</v>
      </c>
      <c r="AN29" s="19" t="n"/>
      <c r="AO29" s="19" t="n">
        <v>0</v>
      </c>
      <c r="AP29" s="19" t="n">
        <v>0</v>
      </c>
      <c r="AQ29" s="19" t="n"/>
      <c r="AR29" s="19" t="n"/>
      <c r="AS29" s="19" t="n"/>
      <c r="AT29" s="19" t="n"/>
      <c r="AU29" s="19" t="n"/>
      <c r="AV29" s="251" t="n">
        <v>200</v>
      </c>
      <c r="AW29" s="301" t="n">
        <v>600</v>
      </c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19" t="n"/>
      <c r="BM29" s="19" t="n"/>
      <c r="BN29" s="19" t="n"/>
    </row>
    <row r="30" ht="16.5" customFormat="1" customHeight="1" s="3">
      <c r="A30" s="23" t="n"/>
      <c r="B30" s="1" t="n"/>
      <c r="C30" s="630" t="n"/>
      <c r="D30" s="630" t="n"/>
      <c r="E30" s="11" t="n"/>
      <c r="F30" s="2" t="n"/>
      <c r="G30" s="2" t="n"/>
      <c r="H30" s="2" t="n"/>
      <c r="I30" s="2" t="n"/>
      <c r="J30" s="2" t="n"/>
      <c r="K30" s="2" t="n"/>
      <c r="L30" s="2" t="n"/>
      <c r="M30" s="2" t="n"/>
      <c r="N30" s="2" t="n"/>
      <c r="O30" s="2" t="n"/>
      <c r="P30" s="2" t="n"/>
      <c r="Q30" s="2" t="n"/>
      <c r="R30" s="2" t="n"/>
      <c r="S30" s="2" t="n"/>
      <c r="T30" s="2" t="n"/>
      <c r="U30" s="2" t="n"/>
      <c r="V30" s="2" t="n"/>
      <c r="W30" s="2" t="n"/>
      <c r="X30" s="2" t="n"/>
      <c r="Y30" s="2" t="n"/>
      <c r="Z30" s="2" t="n"/>
      <c r="AA30" s="2" t="n"/>
      <c r="AB30" s="2" t="n"/>
      <c r="AC30" s="1" t="n"/>
      <c r="AD30" s="1" t="n"/>
      <c r="AE30" s="1" t="n"/>
      <c r="AF30" s="2" t="n"/>
      <c r="AG30" s="11" t="n"/>
      <c r="AH30" s="10" t="n"/>
      <c r="AI30" s="10" t="n"/>
      <c r="AJ30" s="11" t="n"/>
      <c r="AK30" s="33" t="n"/>
      <c r="AL30" s="16" t="n"/>
      <c r="AM30" s="15" t="n"/>
      <c r="AN30" s="15" t="n"/>
      <c r="AO30" s="15" t="n"/>
      <c r="AP30" s="15" t="n"/>
      <c r="AQ30" s="15" t="n"/>
      <c r="AR30" s="15" t="n"/>
      <c r="AS30" s="15" t="n"/>
      <c r="AT30" s="15" t="n"/>
      <c r="AU30" s="15" t="n"/>
      <c r="AV30" s="15" t="n"/>
      <c r="AW30" s="15" t="n"/>
      <c r="AX30" s="15" t="n"/>
      <c r="AY30" s="15" t="n"/>
      <c r="AZ30" s="15" t="n"/>
      <c r="BA30" s="15" t="n"/>
      <c r="BB30" s="15" t="n"/>
      <c r="BC30" s="15" t="n"/>
      <c r="BD30" s="15" t="n"/>
      <c r="BE30" s="15" t="n"/>
      <c r="BF30" s="15" t="n"/>
      <c r="BG30" s="15" t="n"/>
      <c r="BH30" s="15" t="n"/>
      <c r="BI30" s="15" t="n"/>
      <c r="BJ30" s="15" t="n"/>
      <c r="BK30" s="15" t="n"/>
      <c r="BL30" s="15" t="n"/>
      <c r="BM30" s="15" t="n"/>
      <c r="BN30" s="15" t="n"/>
    </row>
    <row r="31" customFormat="1" s="3">
      <c r="A31" s="548" t="inlineStr">
        <is>
          <t>DIVERSOS BOTICÁRIO</t>
        </is>
      </c>
      <c r="B31" s="12" t="n"/>
      <c r="C31" s="631" t="n"/>
      <c r="D31" s="631" t="n"/>
      <c r="E31" s="608" t="n"/>
      <c r="F31" s="619" t="n">
        <v>46006</v>
      </c>
      <c r="G31" s="619" t="n">
        <v>46013</v>
      </c>
      <c r="H31" s="619" t="n">
        <v>46020</v>
      </c>
      <c r="I31" s="619" t="n">
        <v>46027</v>
      </c>
      <c r="J31" s="619" t="n">
        <v>46034</v>
      </c>
      <c r="K31" s="619" t="n">
        <v>46041</v>
      </c>
      <c r="L31" s="619" t="n">
        <v>46048</v>
      </c>
      <c r="M31" s="619" t="n">
        <v>46055</v>
      </c>
      <c r="N31" s="619" t="n">
        <v>46062</v>
      </c>
      <c r="O31" s="619" t="n">
        <v>46069</v>
      </c>
      <c r="P31" s="619" t="n">
        <v>46076</v>
      </c>
      <c r="Q31" s="619" t="n">
        <v>46083</v>
      </c>
      <c r="R31" s="619" t="n">
        <v>46090</v>
      </c>
      <c r="S31" s="619" t="n">
        <v>46097</v>
      </c>
      <c r="T31" s="619" t="n">
        <v>46104</v>
      </c>
      <c r="U31" s="619" t="n">
        <v>46111</v>
      </c>
      <c r="V31" s="619" t="n">
        <v>46118</v>
      </c>
      <c r="W31" s="619" t="n">
        <v>46125</v>
      </c>
      <c r="X31" s="619" t="n">
        <v>46132</v>
      </c>
      <c r="Y31" s="619" t="n">
        <v>46139</v>
      </c>
      <c r="Z31" s="619" t="n">
        <v>46146</v>
      </c>
      <c r="AA31" s="619" t="n">
        <v>46154</v>
      </c>
      <c r="AB31" s="619" t="n">
        <v>46160</v>
      </c>
      <c r="AC31" s="620" t="n">
        <v>46161.48013502315</v>
      </c>
      <c r="AD31" s="620" t="n">
        <v>46161.48080876157</v>
      </c>
      <c r="AE31" s="620" t="n">
        <v>46161.48296567595</v>
      </c>
      <c r="AF31" s="621" t="inlineStr">
        <is>
          <t>USOU</t>
        </is>
      </c>
      <c r="AG31" s="608" t="n"/>
      <c r="AH31" s="29" t="inlineStr">
        <is>
          <t>Pendências</t>
        </is>
      </c>
      <c r="AI31" s="29" t="inlineStr">
        <is>
          <t>Pendências</t>
        </is>
      </c>
      <c r="AJ31" s="11" t="n"/>
      <c r="AK31" s="9" t="inlineStr">
        <is>
          <t>Novo Pedido</t>
        </is>
      </c>
      <c r="AL31" s="680" t="n">
        <v>46161.48296499413</v>
      </c>
      <c r="AM31" s="674" t="n">
        <v>46149</v>
      </c>
      <c r="AN31" s="615" t="n">
        <v>46150</v>
      </c>
      <c r="AO31" s="674" t="n">
        <v>46142</v>
      </c>
      <c r="AP31" s="674" t="n">
        <v>46114</v>
      </c>
      <c r="AQ31" s="674" t="n">
        <v>46107</v>
      </c>
      <c r="AR31" s="674" t="n">
        <v>46099</v>
      </c>
      <c r="AS31" s="675" t="n">
        <v>46065</v>
      </c>
      <c r="AT31" s="674" t="n">
        <v>46092</v>
      </c>
      <c r="AU31" s="674" t="n">
        <v>46084</v>
      </c>
      <c r="AV31" s="675" t="n">
        <v>46065</v>
      </c>
      <c r="AW31" s="676" t="n">
        <v>46045</v>
      </c>
      <c r="AX31" s="674" t="n">
        <v>46077</v>
      </c>
      <c r="AY31" s="674" t="n">
        <v>46071</v>
      </c>
      <c r="AZ31" s="674" t="n">
        <v>46056</v>
      </c>
      <c r="BA31" s="674" t="n">
        <v>46048</v>
      </c>
      <c r="BB31" s="674" t="n">
        <v>46043</v>
      </c>
      <c r="BC31" s="674" t="n">
        <v>46035</v>
      </c>
      <c r="BD31" s="674" t="n">
        <v>46029</v>
      </c>
      <c r="BE31" s="674" t="n">
        <v>46035</v>
      </c>
      <c r="BF31" s="674" t="n">
        <v>46029</v>
      </c>
      <c r="BG31" s="674" t="n">
        <v>46024</v>
      </c>
      <c r="BH31" s="674" t="n">
        <v>46007</v>
      </c>
      <c r="BI31" s="674" t="n">
        <v>46001</v>
      </c>
      <c r="BJ31" s="674" t="n">
        <v>46001</v>
      </c>
      <c r="BK31" s="674" t="n">
        <v>45994</v>
      </c>
      <c r="BL31" s="674" t="n">
        <v>45986</v>
      </c>
      <c r="BM31" s="674" t="n">
        <v>45986</v>
      </c>
      <c r="BN31" s="674" t="n">
        <v>45980</v>
      </c>
    </row>
    <row r="32" customFormat="1" s="3">
      <c r="A32" s="25" t="inlineStr">
        <is>
          <t>PAPEL DE SEDA 2025</t>
        </is>
      </c>
      <c r="B32" s="6" t="n">
        <v>200</v>
      </c>
      <c r="C32" s="632" t="n">
        <v>38</v>
      </c>
      <c r="D32" s="240" t="n">
        <v>10</v>
      </c>
      <c r="E32" s="608" t="n"/>
      <c r="F32" s="39" t="n">
        <v>200</v>
      </c>
      <c r="G32" s="39" t="n">
        <v>11</v>
      </c>
      <c r="H32" s="39" t="n">
        <v>0</v>
      </c>
      <c r="I32" s="39" t="n">
        <v>0</v>
      </c>
      <c r="J32" s="39" t="n">
        <v>0</v>
      </c>
      <c r="K32" s="39" t="n">
        <v>0</v>
      </c>
      <c r="L32" s="39" t="n">
        <v>0</v>
      </c>
      <c r="M32" s="39" t="n">
        <v>0</v>
      </c>
      <c r="N32" s="39" t="n">
        <v>0</v>
      </c>
      <c r="O32" s="39" t="n">
        <v>0</v>
      </c>
      <c r="P32" s="39" t="n">
        <v>0</v>
      </c>
      <c r="Q32" s="39">
        <f>0+AU32</f>
        <v/>
      </c>
      <c r="R32" s="39" t="n">
        <v>143</v>
      </c>
      <c r="S32" s="39" t="n">
        <v>11</v>
      </c>
      <c r="T32" s="39" t="n">
        <v>0</v>
      </c>
      <c r="U32" s="39" t="n">
        <v>0</v>
      </c>
      <c r="V32" s="39" t="n"/>
      <c r="W32" s="39" t="n"/>
      <c r="X32" s="39" t="n"/>
      <c r="Y32" s="39" t="n"/>
      <c r="Z32" s="39" t="n"/>
      <c r="AA32" s="39" t="n">
        <v>0</v>
      </c>
      <c r="AB32" s="39" t="n">
        <v>0</v>
      </c>
      <c r="AC32" s="6" t="n">
        <v>0</v>
      </c>
      <c r="AD32" s="6" t="n">
        <v>0</v>
      </c>
      <c r="AE32" s="6" t="n">
        <v>0</v>
      </c>
      <c r="AF32" s="380">
        <f>AD32+IF(NOT(ISBLANK(OFFSET(AF32,0,6))),N(OFFSET(AF32,0,6)),N(OFFSET(AF32,0,7)))-AE32</f>
        <v/>
      </c>
      <c r="AG32" s="608" t="n"/>
      <c r="AH32" s="78" t="n"/>
      <c r="AI32" s="78" t="n"/>
      <c r="AJ32" s="608" t="n"/>
      <c r="AK32" s="76" t="n">
        <v>200</v>
      </c>
      <c r="AL32" s="114" t="n">
        <v>0</v>
      </c>
      <c r="AM32" s="19" t="n">
        <v>0</v>
      </c>
      <c r="AN32" s="19" t="n"/>
      <c r="AO32" s="19" t="n">
        <v>0</v>
      </c>
      <c r="AP32" s="19" t="n">
        <v>0</v>
      </c>
      <c r="AQ32" s="19" t="n"/>
      <c r="AR32" s="19" t="n"/>
      <c r="AS32" s="19" t="n"/>
      <c r="AT32" s="19" t="n"/>
      <c r="AU32" s="19" t="n"/>
      <c r="AV32" s="19" t="n"/>
      <c r="AW32" s="19" t="n"/>
      <c r="AX32" s="19" t="n">
        <v>200</v>
      </c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>
        <v>200</v>
      </c>
      <c r="BL32" s="19" t="n"/>
      <c r="BM32" s="19" t="n"/>
      <c r="BN32" s="19" t="n"/>
    </row>
    <row r="33" customFormat="1" s="3">
      <c r="A33" s="25" t="inlineStr">
        <is>
          <t>KIT ETIQUETAS (50 c/ 50 un)</t>
        </is>
      </c>
      <c r="B33" s="6" t="n">
        <v>2500</v>
      </c>
      <c r="C33" s="632" t="n">
        <v>66.87</v>
      </c>
      <c r="D33" s="240" t="n">
        <v>10</v>
      </c>
      <c r="E33" s="608" t="n"/>
      <c r="F33" s="39" t="n">
        <v>11</v>
      </c>
      <c r="G33" s="39" t="n">
        <v>2</v>
      </c>
      <c r="H33" s="39" t="n">
        <v>2</v>
      </c>
      <c r="I33" s="39" t="n">
        <v>2</v>
      </c>
      <c r="J33" s="39" t="n">
        <v>0</v>
      </c>
      <c r="K33" s="39" t="n">
        <v>0</v>
      </c>
      <c r="L33" s="39" t="n">
        <v>0</v>
      </c>
      <c r="M33" s="39" t="n">
        <v>0</v>
      </c>
      <c r="N33" s="39" t="n">
        <v>0</v>
      </c>
      <c r="O33" s="39" t="n">
        <v>0</v>
      </c>
      <c r="P33" s="39" t="n">
        <v>0</v>
      </c>
      <c r="Q33" s="39" t="n">
        <v>0</v>
      </c>
      <c r="R33" s="39" t="n">
        <v>0</v>
      </c>
      <c r="S33" s="39" t="n">
        <v>0</v>
      </c>
      <c r="T33" s="39" t="n">
        <v>0</v>
      </c>
      <c r="U33" s="39" t="n">
        <v>0</v>
      </c>
      <c r="V33" s="39" t="n"/>
      <c r="W33" s="39" t="n"/>
      <c r="X33" s="39" t="n"/>
      <c r="Y33" s="39" t="n"/>
      <c r="Z33" s="39" t="n"/>
      <c r="AA33" s="39" t="n">
        <v>0</v>
      </c>
      <c r="AB33" s="39" t="n">
        <v>0</v>
      </c>
      <c r="AC33" s="6" t="n">
        <v>0</v>
      </c>
      <c r="AD33" s="6" t="n">
        <v>0</v>
      </c>
      <c r="AE33" s="6" t="n">
        <v>0</v>
      </c>
      <c r="AF33" s="380">
        <f>AD33+IF(NOT(ISBLANK(OFFSET(AF33,0,6))),N(OFFSET(AF33,0,6)),N(OFFSET(AF33,0,7)))-AE33</f>
        <v/>
      </c>
      <c r="AG33" s="608" t="n"/>
      <c r="AH33" s="78" t="n"/>
      <c r="AI33" s="78" t="n"/>
      <c r="AJ33" s="608" t="n"/>
      <c r="AK33" s="76" t="n">
        <v>1</v>
      </c>
      <c r="AL33" s="114" t="n">
        <v>0</v>
      </c>
      <c r="AM33" s="19" t="n">
        <v>0</v>
      </c>
      <c r="AN33" s="19" t="n"/>
      <c r="AO33" s="19" t="n">
        <v>0</v>
      </c>
      <c r="AP33" s="19" t="n">
        <v>0</v>
      </c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19" t="n"/>
      <c r="BM33" s="19" t="n"/>
      <c r="BN33" s="19" t="n"/>
    </row>
    <row r="34" customFormat="1" s="3">
      <c r="A34" s="25" t="inlineStr">
        <is>
          <t>KIT TAGS  (21 c/ 50 un)</t>
        </is>
      </c>
      <c r="B34" s="6" t="n">
        <v>1050</v>
      </c>
      <c r="C34" s="632" t="n">
        <v>52.14</v>
      </c>
      <c r="D34" s="240" t="n">
        <v>10</v>
      </c>
      <c r="E34" s="1" t="n"/>
      <c r="F34" s="39" t="n">
        <v>7</v>
      </c>
      <c r="G34" s="39" t="n">
        <v>7</v>
      </c>
      <c r="H34" s="39" t="n">
        <v>7</v>
      </c>
      <c r="I34" s="39" t="n">
        <v>7</v>
      </c>
      <c r="J34" s="39" t="n">
        <v>7</v>
      </c>
      <c r="K34" s="39" t="n">
        <v>7</v>
      </c>
      <c r="L34" s="39" t="n">
        <v>7</v>
      </c>
      <c r="M34" s="39" t="n">
        <v>7</v>
      </c>
      <c r="N34" s="39" t="n">
        <v>6</v>
      </c>
      <c r="O34" s="39" t="n">
        <v>6</v>
      </c>
      <c r="P34" s="39" t="n">
        <v>6</v>
      </c>
      <c r="Q34" s="39" t="n">
        <v>6</v>
      </c>
      <c r="R34" s="39" t="n">
        <v>6</v>
      </c>
      <c r="S34" s="39" t="n">
        <v>4</v>
      </c>
      <c r="T34" s="39" t="n">
        <v>2</v>
      </c>
      <c r="U34" s="39" t="n">
        <v>2</v>
      </c>
      <c r="V34" s="39" t="n"/>
      <c r="W34" s="39" t="n"/>
      <c r="X34" s="39" t="n"/>
      <c r="Y34" s="39" t="n"/>
      <c r="Z34" s="39" t="n"/>
      <c r="AA34" s="39" t="n">
        <v>1</v>
      </c>
      <c r="AB34" s="39" t="n">
        <v>1</v>
      </c>
      <c r="AC34" s="6" t="n">
        <v>1</v>
      </c>
      <c r="AD34" s="6" t="n">
        <v>1</v>
      </c>
      <c r="AE34" s="6" t="n">
        <v>1</v>
      </c>
      <c r="AF34" s="380">
        <f>AD34+IF(NOT(ISBLANK(OFFSET(AF34,0,6))),N(OFFSET(AF34,0,6)),N(OFFSET(AF34,0,7)))-AE34</f>
        <v/>
      </c>
      <c r="AG34" s="1" t="n"/>
      <c r="AH34" s="78" t="n"/>
      <c r="AI34" s="78" t="n"/>
      <c r="AJ34" s="1" t="n"/>
      <c r="AK34" s="76" t="n">
        <v>1</v>
      </c>
      <c r="AL34" s="628" t="n">
        <v>0</v>
      </c>
      <c r="AM34" s="19" t="n">
        <v>0</v>
      </c>
      <c r="AN34" s="19" t="n"/>
      <c r="AO34" s="19" t="n">
        <v>0</v>
      </c>
      <c r="AP34" s="19" t="n">
        <v>0</v>
      </c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19" t="n"/>
      <c r="BM34" s="19" t="n"/>
      <c r="BN34" s="19" t="n"/>
    </row>
    <row r="35" ht="17.25" customFormat="1" customHeight="1" s="3">
      <c r="A35" s="23" t="n"/>
      <c r="B35" s="1" t="n"/>
      <c r="C35" s="630" t="n"/>
      <c r="D35" s="630" t="n"/>
      <c r="E35" s="1" t="n"/>
      <c r="F35" s="2" t="n"/>
      <c r="G35" s="2" t="n"/>
      <c r="H35" s="2" t="n"/>
      <c r="I35" s="2" t="n"/>
      <c r="J35" s="2" t="n"/>
      <c r="K35" s="2" t="n"/>
      <c r="L35" s="2" t="n"/>
      <c r="M35" s="2" t="n"/>
      <c r="N35" s="2" t="n"/>
      <c r="O35" s="2" t="n"/>
      <c r="P35" s="2" t="n"/>
      <c r="Q35" s="2" t="n"/>
      <c r="R35" s="2" t="n"/>
      <c r="S35" s="2" t="n"/>
      <c r="T35" s="2" t="n"/>
      <c r="U35" s="2" t="n"/>
      <c r="V35" s="2" t="n"/>
      <c r="W35" s="2" t="n"/>
      <c r="X35" s="2" t="n"/>
      <c r="Y35" s="2" t="n"/>
      <c r="Z35" s="2" t="n"/>
      <c r="AA35" s="2" t="n"/>
      <c r="AB35" s="2" t="n"/>
      <c r="AC35" s="1" t="n"/>
      <c r="AD35" s="1" t="n"/>
      <c r="AE35" s="1" t="n"/>
      <c r="AG35" s="1" t="n"/>
      <c r="AH35" s="10" t="n"/>
      <c r="AI35" s="10" t="n"/>
      <c r="AJ35" s="1" t="n"/>
      <c r="AK35" s="210" t="n"/>
      <c r="AL35" s="396" t="n"/>
      <c r="AM35" s="75" t="n"/>
      <c r="AN35" s="75" t="n"/>
      <c r="AO35" s="75" t="n"/>
      <c r="AP35" s="75" t="n"/>
      <c r="AQ35" s="75" t="n"/>
      <c r="AR35" s="75" t="n"/>
      <c r="AS35" s="75" t="n"/>
      <c r="AT35" s="75" t="n"/>
      <c r="AU35" s="75" t="n"/>
      <c r="AV35" s="75" t="n"/>
      <c r="AW35" s="75" t="n"/>
      <c r="AX35" s="75" t="n"/>
      <c r="AY35" s="75" t="n"/>
      <c r="AZ35" s="75" t="n"/>
      <c r="BA35" s="75" t="n"/>
      <c r="BB35" s="75" t="n"/>
      <c r="BC35" s="75" t="n"/>
      <c r="BD35" s="75" t="n"/>
      <c r="BE35" s="75" t="n"/>
      <c r="BF35" s="75" t="n"/>
      <c r="BG35" s="75" t="n"/>
      <c r="BH35" s="75" t="n"/>
      <c r="BI35" s="75" t="n"/>
      <c r="BJ35" s="75" t="n"/>
      <c r="BK35" s="75" t="n"/>
      <c r="BL35" s="75" t="n"/>
      <c r="BM35" s="75" t="n"/>
      <c r="BN35" s="75" t="n"/>
    </row>
    <row r="36" customFormat="1" s="3">
      <c r="A36" s="548" t="inlineStr">
        <is>
          <t>CAIXAS BOTICÁRIO</t>
        </is>
      </c>
      <c r="B36" s="12" t="n"/>
      <c r="C36" s="631" t="n"/>
      <c r="D36" s="631" t="n"/>
      <c r="E36" s="1" t="n"/>
      <c r="F36" s="619" t="n">
        <v>46006</v>
      </c>
      <c r="G36" s="619" t="n">
        <v>46013</v>
      </c>
      <c r="H36" s="619" t="n">
        <v>46020</v>
      </c>
      <c r="I36" s="619" t="n">
        <v>46027</v>
      </c>
      <c r="J36" s="619" t="n">
        <v>46034</v>
      </c>
      <c r="K36" s="619" t="n">
        <v>46041</v>
      </c>
      <c r="L36" s="619" t="n">
        <v>46048</v>
      </c>
      <c r="M36" s="619" t="n">
        <v>46055</v>
      </c>
      <c r="N36" s="619" t="n">
        <v>46062</v>
      </c>
      <c r="O36" s="619" t="n">
        <v>46069</v>
      </c>
      <c r="P36" s="619" t="n">
        <v>46076</v>
      </c>
      <c r="Q36" s="619" t="n">
        <v>46083</v>
      </c>
      <c r="R36" s="619" t="n">
        <v>46090</v>
      </c>
      <c r="S36" s="619" t="n">
        <v>46097</v>
      </c>
      <c r="T36" s="619" t="n">
        <v>46104</v>
      </c>
      <c r="U36" s="619" t="n">
        <v>46111</v>
      </c>
      <c r="V36" s="619" t="n">
        <v>46118</v>
      </c>
      <c r="W36" s="619" t="n">
        <v>46125</v>
      </c>
      <c r="X36" s="619" t="n">
        <v>46132</v>
      </c>
      <c r="Y36" s="619" t="n">
        <v>46139</v>
      </c>
      <c r="Z36" s="619" t="n">
        <v>46146</v>
      </c>
      <c r="AA36" s="619" t="n">
        <v>46154</v>
      </c>
      <c r="AB36" s="619" t="n">
        <v>46160</v>
      </c>
      <c r="AC36" s="620" t="n">
        <v>46161.48013502315</v>
      </c>
      <c r="AD36" s="620" t="n">
        <v>46161.48080876157</v>
      </c>
      <c r="AE36" s="620" t="n">
        <v>46161.48296567611</v>
      </c>
      <c r="AF36" s="621" t="inlineStr">
        <is>
          <t>USOU</t>
        </is>
      </c>
      <c r="AG36" s="11" t="n"/>
      <c r="AH36" s="29" t="inlineStr">
        <is>
          <t>Pendências</t>
        </is>
      </c>
      <c r="AI36" s="29" t="inlineStr">
        <is>
          <t>Pendências</t>
        </is>
      </c>
      <c r="AJ36" s="11" t="n"/>
      <c r="AK36" s="9" t="inlineStr">
        <is>
          <t>Novo Pedido</t>
        </is>
      </c>
      <c r="AL36" s="673" t="n">
        <v>46161.48296499438</v>
      </c>
      <c r="AM36" s="674" t="n">
        <v>46149</v>
      </c>
      <c r="AN36" s="615" t="n">
        <v>46150</v>
      </c>
      <c r="AO36" s="674" t="n">
        <v>46142</v>
      </c>
      <c r="AP36" s="674" t="n">
        <v>46114</v>
      </c>
      <c r="AQ36" s="674" t="n">
        <v>46107</v>
      </c>
      <c r="AR36" s="674" t="n">
        <v>46099</v>
      </c>
      <c r="AS36" s="675" t="n">
        <v>46065</v>
      </c>
      <c r="AT36" s="674" t="n">
        <v>46092</v>
      </c>
      <c r="AU36" s="674" t="n">
        <v>46084</v>
      </c>
      <c r="AV36" s="675" t="n">
        <v>46065</v>
      </c>
      <c r="AW36" s="676" t="n">
        <v>46045</v>
      </c>
      <c r="AX36" s="674" t="n">
        <v>46077</v>
      </c>
      <c r="AY36" s="674" t="n">
        <v>46071</v>
      </c>
      <c r="AZ36" s="674" t="n">
        <v>46056</v>
      </c>
      <c r="BA36" s="674" t="n">
        <v>46048</v>
      </c>
      <c r="BB36" s="674" t="n">
        <v>46043</v>
      </c>
      <c r="BC36" s="674" t="n">
        <v>46035</v>
      </c>
      <c r="BD36" s="674" t="n">
        <v>46029</v>
      </c>
      <c r="BE36" s="674" t="n">
        <v>46035</v>
      </c>
      <c r="BF36" s="674" t="n">
        <v>46029</v>
      </c>
      <c r="BG36" s="674" t="n">
        <v>46024</v>
      </c>
      <c r="BH36" s="674" t="n">
        <v>46007</v>
      </c>
      <c r="BI36" s="674" t="n">
        <v>46001</v>
      </c>
      <c r="BJ36" s="674" t="n">
        <v>46001</v>
      </c>
      <c r="BK36" s="674" t="n">
        <v>45994</v>
      </c>
      <c r="BL36" s="674" t="n">
        <v>45986</v>
      </c>
      <c r="BM36" s="674" t="n">
        <v>45986</v>
      </c>
      <c r="BN36" s="674" t="n">
        <v>45980</v>
      </c>
    </row>
    <row r="37" customFormat="1" s="3">
      <c r="A37" s="25" t="inlineStr">
        <is>
          <t>KIT CAIXA P VERDE</t>
        </is>
      </c>
      <c r="B37" s="139" t="n">
        <v>75</v>
      </c>
      <c r="C37" s="634" t="n">
        <v>225.67</v>
      </c>
      <c r="D37" s="240" t="n">
        <v>15</v>
      </c>
      <c r="E37" s="1" t="n"/>
      <c r="F37" s="39" t="n">
        <v>10</v>
      </c>
      <c r="G37" s="39" t="n">
        <v>8</v>
      </c>
      <c r="H37" s="39" t="n">
        <v>8</v>
      </c>
      <c r="I37" s="39" t="n">
        <v>8</v>
      </c>
      <c r="J37" s="39" t="n">
        <v>8</v>
      </c>
      <c r="K37" s="39" t="n">
        <v>8</v>
      </c>
      <c r="L37" s="39" t="n">
        <v>7</v>
      </c>
      <c r="M37" s="39" t="n">
        <v>5</v>
      </c>
      <c r="N37" s="39" t="n">
        <v>3</v>
      </c>
      <c r="O37" s="39" t="n">
        <v>3</v>
      </c>
      <c r="P37" s="39" t="n">
        <v>0</v>
      </c>
      <c r="Q37" s="39" t="n">
        <v>0</v>
      </c>
      <c r="R37" s="39" t="n">
        <v>0</v>
      </c>
      <c r="S37" s="39" t="n">
        <v>0</v>
      </c>
      <c r="T37" s="39" t="n">
        <v>0</v>
      </c>
      <c r="U37" s="39" t="n">
        <v>0</v>
      </c>
      <c r="V37" s="39" t="n"/>
      <c r="W37" s="39" t="n"/>
      <c r="X37" s="39" t="n"/>
      <c r="Y37" s="39" t="n"/>
      <c r="Z37" s="39" t="n"/>
      <c r="AA37" s="39" t="n">
        <v>0</v>
      </c>
      <c r="AB37" s="39" t="n">
        <v>0</v>
      </c>
      <c r="AC37" s="6" t="n">
        <v>0</v>
      </c>
      <c r="AD37" s="6" t="n">
        <v>0</v>
      </c>
      <c r="AE37" s="6" t="n">
        <v>0</v>
      </c>
      <c r="AF37" s="380">
        <f>AD37+IF(NOT(ISBLANK(OFFSET(AF37,0,6))),N(OFFSET(AF37,0,6)),N(OFFSET(AF37,0,7)))-AE37</f>
        <v/>
      </c>
      <c r="AG37" s="11" t="n"/>
      <c r="AH37" s="78" t="inlineStr">
        <is>
          <t>40 DE CDJ</t>
        </is>
      </c>
      <c r="AI37" s="78" t="n"/>
      <c r="AJ37" s="1" t="n"/>
      <c r="AK37" s="32" t="n"/>
      <c r="AL37" s="628" t="n">
        <v>0</v>
      </c>
      <c r="AM37" s="19" t="n">
        <v>0</v>
      </c>
      <c r="AN37" s="19" t="n"/>
      <c r="AO37" s="19" t="n">
        <v>0</v>
      </c>
      <c r="AP37" s="19" t="n">
        <v>0</v>
      </c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19" t="n"/>
      <c r="BM37" s="19" t="n"/>
      <c r="BN37" s="19" t="n"/>
    </row>
    <row r="38" ht="19.5" customFormat="1" customHeight="1" s="3">
      <c r="A38" s="25" t="inlineStr">
        <is>
          <t>KIT CAIXA M VERDE</t>
        </is>
      </c>
      <c r="B38" s="139" t="n">
        <v>75</v>
      </c>
      <c r="C38" s="632" t="n">
        <v>294.59</v>
      </c>
      <c r="D38" s="240" t="n">
        <v>20</v>
      </c>
      <c r="E38" s="1" t="n"/>
      <c r="F38" s="39" t="n">
        <v>0</v>
      </c>
      <c r="G38" s="39" t="n">
        <v>0</v>
      </c>
      <c r="H38" s="39" t="n">
        <v>0</v>
      </c>
      <c r="I38" s="39" t="n">
        <v>0</v>
      </c>
      <c r="J38" s="39" t="n">
        <v>0</v>
      </c>
      <c r="K38" s="39" t="n">
        <v>0</v>
      </c>
      <c r="L38" s="39" t="n">
        <v>0</v>
      </c>
      <c r="M38" s="39" t="n">
        <v>0</v>
      </c>
      <c r="N38" s="39" t="n">
        <v>0</v>
      </c>
      <c r="O38" s="39" t="n">
        <v>0</v>
      </c>
      <c r="P38" s="39" t="n">
        <v>0</v>
      </c>
      <c r="Q38" s="39">
        <f>0+AU38</f>
        <v/>
      </c>
      <c r="R38" s="39" t="n">
        <v>93</v>
      </c>
      <c r="S38" s="39" t="n">
        <v>90</v>
      </c>
      <c r="T38" s="39" t="n">
        <v>85</v>
      </c>
      <c r="U38" s="39" t="n">
        <v>82</v>
      </c>
      <c r="V38" s="39" t="n"/>
      <c r="W38" s="39" t="n"/>
      <c r="X38" s="39" t="n"/>
      <c r="Y38" s="39" t="n"/>
      <c r="Z38" s="39" t="n"/>
      <c r="AA38" s="39" t="n">
        <v>76</v>
      </c>
      <c r="AB38" s="39" t="n">
        <v>73</v>
      </c>
      <c r="AC38" s="6" t="n">
        <v>73</v>
      </c>
      <c r="AD38" s="6" t="n">
        <v>73</v>
      </c>
      <c r="AE38" s="6" t="n">
        <v>73</v>
      </c>
      <c r="AF38" s="380">
        <f>AD38+IF(NOT(ISBLANK(OFFSET(AF38,0,6))),N(OFFSET(AF38,0,6)),N(OFFSET(AF38,0,7)))-AE38</f>
        <v/>
      </c>
      <c r="AG38" s="11" t="n"/>
      <c r="AH38" s="78" t="n"/>
      <c r="AI38" s="78" t="n"/>
      <c r="AK38" s="32" t="n"/>
      <c r="AL38" s="628" t="n">
        <v>0</v>
      </c>
      <c r="AM38" s="19" t="n">
        <v>0</v>
      </c>
      <c r="AN38" s="19" t="n"/>
      <c r="AO38" s="19" t="n">
        <v>0</v>
      </c>
      <c r="AP38" s="19" t="n">
        <v>0</v>
      </c>
      <c r="AQ38" s="19" t="n"/>
      <c r="AR38" s="19" t="n"/>
      <c r="AS38" s="19" t="n"/>
      <c r="AT38" s="19" t="n"/>
      <c r="AU38" s="19" t="n"/>
      <c r="AV38" s="19" t="n"/>
      <c r="AW38" s="301" t="n">
        <v>100</v>
      </c>
      <c r="AX38" s="19" t="n">
        <v>100</v>
      </c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19" t="n"/>
      <c r="BM38" s="19" t="n"/>
      <c r="BN38" s="19" t="n"/>
    </row>
    <row r="39" ht="18.75" customHeight="1">
      <c r="A39" s="25" t="inlineStr">
        <is>
          <t>KIT CAIXA G VERDE</t>
        </is>
      </c>
      <c r="B39" s="139" t="n">
        <v>50</v>
      </c>
      <c r="C39" s="632" t="n">
        <v>346.84</v>
      </c>
      <c r="D39" s="240" t="n">
        <v>10</v>
      </c>
      <c r="F39" s="39" t="n">
        <v>1</v>
      </c>
      <c r="G39" s="39" t="n">
        <v>1</v>
      </c>
      <c r="H39" s="39" t="n">
        <v>1</v>
      </c>
      <c r="I39" s="39" t="n">
        <v>1</v>
      </c>
      <c r="J39" s="39" t="n">
        <v>1</v>
      </c>
      <c r="K39" s="39" t="n">
        <v>0</v>
      </c>
      <c r="L39" s="39" t="n">
        <v>0</v>
      </c>
      <c r="M39" s="39" t="n">
        <v>0</v>
      </c>
      <c r="N39" s="39" t="n">
        <v>0</v>
      </c>
      <c r="O39" s="39" t="n">
        <v>0</v>
      </c>
      <c r="P39" s="39" t="n">
        <v>0</v>
      </c>
      <c r="Q39" s="39" t="n">
        <v>0</v>
      </c>
      <c r="R39" s="39" t="n">
        <v>0</v>
      </c>
      <c r="S39" s="39" t="n">
        <v>0</v>
      </c>
      <c r="T39" s="39" t="n">
        <v>0</v>
      </c>
      <c r="U39" s="39" t="n">
        <v>0</v>
      </c>
      <c r="V39" s="39" t="n"/>
      <c r="W39" s="39" t="n"/>
      <c r="X39" s="39" t="n"/>
      <c r="Y39" s="39" t="n"/>
      <c r="Z39" s="39" t="n"/>
      <c r="AA39" s="39" t="n">
        <v>0</v>
      </c>
      <c r="AB39" s="39" t="n">
        <v>0</v>
      </c>
      <c r="AC39" s="6" t="n">
        <v>0</v>
      </c>
      <c r="AD39" s="6" t="n">
        <v>0</v>
      </c>
      <c r="AE39" s="6" t="n">
        <v>0</v>
      </c>
      <c r="AF39" s="380">
        <f>AD39+IF(NOT(ISBLANK(OFFSET(AF39,0,6))),N(OFFSET(AF39,0,6)),N(OFFSET(AF39,0,7)))-AE39</f>
        <v/>
      </c>
      <c r="AH39" s="78" t="n"/>
      <c r="AI39" s="78" t="n"/>
      <c r="AJ39" s="1" t="n"/>
      <c r="AK39" s="32" t="n"/>
      <c r="AL39" s="628" t="n">
        <v>0</v>
      </c>
      <c r="AM39" s="19" t="n">
        <v>0</v>
      </c>
      <c r="AN39" s="19" t="n"/>
      <c r="AO39" s="19" t="n">
        <v>0</v>
      </c>
      <c r="AP39" s="19" t="n">
        <v>0</v>
      </c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19" t="n"/>
      <c r="BM39" s="19" t="n"/>
      <c r="BN39" s="19" t="n"/>
    </row>
    <row r="40">
      <c r="A40" s="23" t="n"/>
      <c r="B40" s="1" t="n"/>
      <c r="C40" s="630" t="n"/>
      <c r="D40" s="630" t="n"/>
      <c r="F40" s="2" t="n"/>
      <c r="G40" s="2" t="n"/>
      <c r="H40" s="2" t="n"/>
      <c r="I40" s="2" t="n"/>
      <c r="J40" s="2" t="n"/>
      <c r="K40" s="2" t="n"/>
      <c r="L40" s="2" t="n"/>
      <c r="M40" s="2" t="n"/>
      <c r="N40" s="2" t="n"/>
      <c r="O40" s="2" t="n"/>
      <c r="P40" s="2" t="n"/>
      <c r="Q40" s="2" t="n"/>
      <c r="R40" s="2" t="n"/>
      <c r="S40" s="2" t="n"/>
      <c r="T40" s="2" t="n"/>
      <c r="U40" s="2" t="n"/>
      <c r="V40" s="2" t="n"/>
      <c r="W40" s="2" t="n"/>
      <c r="X40" s="2" t="n"/>
      <c r="Y40" s="2" t="n"/>
      <c r="Z40" s="2" t="n"/>
      <c r="AA40" s="2" t="n"/>
      <c r="AB40" s="2" t="n"/>
      <c r="AC40" s="1" t="n"/>
      <c r="AD40" s="1" t="n"/>
      <c r="AE40" s="1" t="n"/>
      <c r="AJ40" s="1" t="n"/>
      <c r="AK40" s="33" t="n"/>
      <c r="AL40" s="396" t="n"/>
      <c r="AM40" s="75" t="n"/>
      <c r="AN40" s="75" t="n"/>
      <c r="AO40" s="75" t="n"/>
      <c r="AP40" s="75" t="n"/>
      <c r="AQ40" s="75" t="n"/>
      <c r="AR40" s="75" t="n"/>
      <c r="AS40" s="75" t="n"/>
      <c r="AT40" s="75" t="n"/>
      <c r="AU40" s="75" t="n"/>
      <c r="AV40" s="75" t="n"/>
      <c r="AW40" s="75" t="n"/>
      <c r="AX40" s="75" t="n"/>
      <c r="AY40" s="75" t="n"/>
      <c r="AZ40" s="75" t="n"/>
      <c r="BA40" s="75" t="n"/>
      <c r="BB40" s="75" t="n"/>
      <c r="BC40" s="75" t="n"/>
      <c r="BD40" s="75" t="n"/>
      <c r="BE40" s="75" t="n"/>
      <c r="BF40" s="75" t="n"/>
      <c r="BG40" s="75" t="n"/>
      <c r="BH40" s="75" t="n"/>
      <c r="BI40" s="75" t="n"/>
      <c r="BJ40" s="75" t="n"/>
      <c r="BK40" s="75" t="n"/>
      <c r="BL40" s="75" t="n"/>
      <c r="BM40" s="75" t="n"/>
      <c r="BN40" s="75" t="n"/>
    </row>
    <row r="41">
      <c r="A41" s="548" t="inlineStr">
        <is>
          <t xml:space="preserve">SACOLAS OMNI </t>
        </is>
      </c>
      <c r="B41" s="12" t="inlineStr">
        <is>
          <t>PC</t>
        </is>
      </c>
      <c r="C41" s="12" t="n"/>
      <c r="D41" s="12" t="inlineStr">
        <is>
          <t>Estoque Ideal</t>
        </is>
      </c>
      <c r="F41" s="619" t="n">
        <v>46006</v>
      </c>
      <c r="G41" s="619" t="n">
        <v>46013</v>
      </c>
      <c r="H41" s="619" t="n">
        <v>46020</v>
      </c>
      <c r="I41" s="619" t="n">
        <v>46027</v>
      </c>
      <c r="J41" s="619" t="n">
        <v>46034</v>
      </c>
      <c r="K41" s="619" t="n">
        <v>46041</v>
      </c>
      <c r="L41" s="619" t="n">
        <v>46048</v>
      </c>
      <c r="M41" s="619" t="n">
        <v>46055</v>
      </c>
      <c r="N41" s="619" t="n">
        <v>46062</v>
      </c>
      <c r="O41" s="619" t="n">
        <v>46069</v>
      </c>
      <c r="P41" s="619" t="n">
        <v>46076</v>
      </c>
      <c r="Q41" s="619" t="n">
        <v>46083</v>
      </c>
      <c r="R41" s="619" t="n">
        <v>46090</v>
      </c>
      <c r="S41" s="619" t="n">
        <v>46097</v>
      </c>
      <c r="T41" s="619" t="n">
        <v>46104</v>
      </c>
      <c r="U41" s="619" t="n">
        <v>46111</v>
      </c>
      <c r="V41" s="619" t="n">
        <v>46118</v>
      </c>
      <c r="W41" s="619" t="n">
        <v>46125</v>
      </c>
      <c r="X41" s="619" t="n">
        <v>46132</v>
      </c>
      <c r="Y41" s="619" t="n">
        <v>46139</v>
      </c>
      <c r="Z41" s="619" t="n">
        <v>46146</v>
      </c>
      <c r="AA41" s="619" t="n">
        <v>46154</v>
      </c>
      <c r="AB41" s="619" t="n">
        <v>46160</v>
      </c>
      <c r="AC41" s="620" t="n">
        <v>46161.48013502315</v>
      </c>
      <c r="AD41" s="620" t="n">
        <v>46161.48080876157</v>
      </c>
      <c r="AE41" s="620" t="n">
        <v>46161.48296567626</v>
      </c>
      <c r="AF41" s="621" t="inlineStr">
        <is>
          <t>USOU</t>
        </is>
      </c>
      <c r="AH41" s="29" t="inlineStr">
        <is>
          <t>Pendências</t>
        </is>
      </c>
      <c r="AI41" s="29" t="inlineStr">
        <is>
          <t>Pendências</t>
        </is>
      </c>
      <c r="AJ41" s="1" t="n"/>
      <c r="AK41" s="9" t="inlineStr">
        <is>
          <t>Novo Pedido</t>
        </is>
      </c>
      <c r="AL41" s="673" t="n">
        <v>46161.48296499462</v>
      </c>
      <c r="AM41" s="674" t="n">
        <v>46149</v>
      </c>
      <c r="AN41" s="615" t="n">
        <v>46150</v>
      </c>
      <c r="AO41" s="674" t="n">
        <v>46142</v>
      </c>
      <c r="AP41" s="674" t="n">
        <v>46114</v>
      </c>
      <c r="AQ41" s="674" t="n">
        <v>46107</v>
      </c>
      <c r="AR41" s="674" t="n">
        <v>46099</v>
      </c>
      <c r="AS41" s="675" t="n">
        <v>46065</v>
      </c>
      <c r="AT41" s="674" t="n">
        <v>46092</v>
      </c>
      <c r="AU41" s="674" t="n">
        <v>46084</v>
      </c>
      <c r="AV41" s="675" t="n">
        <v>46065</v>
      </c>
      <c r="AW41" s="676" t="n">
        <v>46045</v>
      </c>
      <c r="AX41" s="674" t="n">
        <v>46077</v>
      </c>
      <c r="AY41" s="674" t="n">
        <v>46071</v>
      </c>
      <c r="AZ41" s="674" t="n">
        <v>46056</v>
      </c>
      <c r="BA41" s="674" t="n">
        <v>46048</v>
      </c>
      <c r="BB41" s="674" t="n">
        <v>46043</v>
      </c>
      <c r="BC41" s="674" t="n">
        <v>46035</v>
      </c>
      <c r="BD41" s="674" t="n">
        <v>46029</v>
      </c>
      <c r="BE41" s="674" t="n">
        <v>46035</v>
      </c>
      <c r="BF41" s="674" t="n">
        <v>46029</v>
      </c>
      <c r="BG41" s="674" t="n">
        <v>46024</v>
      </c>
      <c r="BH41" s="674" t="n">
        <v>46007</v>
      </c>
      <c r="BI41" s="674" t="n">
        <v>46001</v>
      </c>
      <c r="BJ41" s="674" t="n">
        <v>46001</v>
      </c>
      <c r="BK41" s="674" t="n">
        <v>45994</v>
      </c>
      <c r="BL41" s="674" t="n">
        <v>45986</v>
      </c>
      <c r="BM41" s="674" t="n">
        <v>45986</v>
      </c>
      <c r="BN41" s="674" t="n">
        <v>45980</v>
      </c>
    </row>
    <row r="42">
      <c r="A42" s="25" t="inlineStr">
        <is>
          <t>KIT OVERBAG OMNI P</t>
        </is>
      </c>
      <c r="B42" s="6" t="n">
        <v>25</v>
      </c>
      <c r="C42" s="632" t="n">
        <v>41.75</v>
      </c>
      <c r="D42" s="240" t="n">
        <v>10</v>
      </c>
      <c r="F42" s="72" t="n">
        <v>10</v>
      </c>
      <c r="G42" s="72" t="n">
        <v>6</v>
      </c>
      <c r="H42" s="72" t="n">
        <v>6</v>
      </c>
      <c r="I42" s="72" t="n">
        <v>6</v>
      </c>
      <c r="J42" s="72" t="n">
        <v>4</v>
      </c>
      <c r="K42" s="72" t="n">
        <v>4</v>
      </c>
      <c r="L42" s="72" t="n">
        <v>4</v>
      </c>
      <c r="M42" s="72" t="n">
        <v>4</v>
      </c>
      <c r="N42" s="72" t="n">
        <v>4</v>
      </c>
      <c r="O42" s="72" t="n">
        <v>4</v>
      </c>
      <c r="P42" s="72" t="n">
        <v>4</v>
      </c>
      <c r="Q42" s="72" t="n">
        <v>4</v>
      </c>
      <c r="R42" s="72" t="n">
        <v>4</v>
      </c>
      <c r="S42" s="72" t="n">
        <v>4</v>
      </c>
      <c r="T42" s="72" t="n">
        <v>3</v>
      </c>
      <c r="U42" s="72" t="n">
        <v>3</v>
      </c>
      <c r="V42" s="72" t="n"/>
      <c r="W42" s="72" t="n"/>
      <c r="X42" s="72" t="n"/>
      <c r="Y42" s="72" t="n"/>
      <c r="Z42" s="72" t="n"/>
      <c r="AA42" s="72" t="n">
        <v>0</v>
      </c>
      <c r="AB42" s="72" t="n">
        <v>0</v>
      </c>
      <c r="AC42" s="72" t="n"/>
      <c r="AD42" s="72" t="n"/>
      <c r="AE42" s="72" t="n"/>
      <c r="AF42" s="380">
        <f>AD42+IF(NOT(ISBLANK(OFFSET(AF42,0,6))),N(OFFSET(AF42,0,6)),N(OFFSET(AF42,0,7)))-AE42</f>
        <v/>
      </c>
      <c r="AH42" s="78" t="n"/>
      <c r="AI42" s="78" t="n"/>
      <c r="AJ42" s="1" t="n"/>
      <c r="AK42" s="32" t="n"/>
      <c r="AL42" s="628" t="n">
        <v>0</v>
      </c>
      <c r="AM42" s="19" t="n">
        <v>0</v>
      </c>
      <c r="AN42" s="19" t="n"/>
      <c r="AO42" s="19" t="n">
        <v>0</v>
      </c>
      <c r="AP42" s="19" t="n">
        <v>0</v>
      </c>
      <c r="AQ42" s="19" t="n"/>
      <c r="AR42" s="19" t="n"/>
      <c r="AS42" s="19" t="n"/>
      <c r="AT42" s="19" t="n"/>
      <c r="AU42" s="19" t="n"/>
      <c r="AV42" s="19" t="n"/>
      <c r="AW42" s="301" t="n">
        <v>200</v>
      </c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19" t="n"/>
      <c r="BM42" s="19" t="n"/>
      <c r="BN42" s="19" t="n"/>
    </row>
    <row r="43">
      <c r="A43" s="25" t="inlineStr">
        <is>
          <t>KIT OVERBAG OMNI M</t>
        </is>
      </c>
      <c r="B43" s="6" t="n">
        <v>25</v>
      </c>
      <c r="C43" s="632" t="n">
        <v>57</v>
      </c>
      <c r="D43" s="240" t="n">
        <v>10</v>
      </c>
      <c r="F43" s="72" t="n">
        <v>8</v>
      </c>
      <c r="G43" s="72" t="n">
        <v>8</v>
      </c>
      <c r="H43" s="72" t="n">
        <v>8</v>
      </c>
      <c r="I43" s="72" t="n">
        <v>8</v>
      </c>
      <c r="J43" s="72" t="n">
        <v>8</v>
      </c>
      <c r="K43" s="72" t="n">
        <v>8</v>
      </c>
      <c r="L43" s="72" t="n">
        <v>8</v>
      </c>
      <c r="M43" s="72" t="n">
        <v>8</v>
      </c>
      <c r="N43" s="72" t="n">
        <v>8</v>
      </c>
      <c r="O43" s="72" t="n">
        <v>8</v>
      </c>
      <c r="P43" s="72" t="n">
        <v>8</v>
      </c>
      <c r="Q43" s="72" t="n">
        <v>8</v>
      </c>
      <c r="R43" s="72" t="n">
        <v>8</v>
      </c>
      <c r="S43" s="72" t="n">
        <v>8</v>
      </c>
      <c r="T43" s="72" t="n">
        <v>8</v>
      </c>
      <c r="U43" s="72" t="n">
        <v>8</v>
      </c>
      <c r="V43" s="72" t="n"/>
      <c r="W43" s="72" t="n"/>
      <c r="X43" s="72" t="n"/>
      <c r="Y43" s="72" t="n"/>
      <c r="Z43" s="72" t="n"/>
      <c r="AA43" s="72" t="n">
        <v>8</v>
      </c>
      <c r="AB43" s="72" t="n">
        <v>8</v>
      </c>
      <c r="AC43" s="72" t="n">
        <v>8</v>
      </c>
      <c r="AD43" s="72" t="n">
        <v>8</v>
      </c>
      <c r="AE43" s="72" t="n">
        <v>8</v>
      </c>
      <c r="AF43" s="380">
        <f>AD43+IF(NOT(ISBLANK(OFFSET(AF43,0,6))),N(OFFSET(AF43,0,6)),N(OFFSET(AF43,0,7)))-AE43</f>
        <v/>
      </c>
      <c r="AH43" s="78" t="inlineStr">
        <is>
          <t>08 P/ CD</t>
        </is>
      </c>
      <c r="AI43" s="78" t="n"/>
      <c r="AJ43" s="1" t="n"/>
      <c r="AK43" s="32" t="n"/>
      <c r="AL43" s="628" t="n">
        <v>0</v>
      </c>
      <c r="AM43" s="19" t="n">
        <v>0</v>
      </c>
      <c r="AN43" s="19" t="n"/>
      <c r="AO43" s="19" t="n">
        <v>0</v>
      </c>
      <c r="AP43" s="19" t="n">
        <v>0</v>
      </c>
      <c r="AQ43" s="19" t="n"/>
      <c r="AR43" s="19" t="n"/>
      <c r="AS43" s="19" t="n"/>
      <c r="AT43" s="19" t="n"/>
      <c r="AU43" s="19" t="n"/>
      <c r="AV43" s="251" t="n">
        <v>150</v>
      </c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19" t="n"/>
      <c r="BM43" s="19" t="n"/>
      <c r="BN43" s="19" t="n"/>
    </row>
    <row r="44">
      <c r="A44" s="23" t="n"/>
      <c r="B44" s="1" t="n"/>
      <c r="C44" s="630" t="n"/>
      <c r="D44" s="630" t="n"/>
      <c r="F44" s="2" t="n"/>
      <c r="G44" s="2" t="n"/>
      <c r="H44" s="2" t="n"/>
      <c r="I44" s="2" t="n"/>
      <c r="J44" s="2" t="n"/>
      <c r="K44" s="2" t="n"/>
      <c r="L44" s="2" t="n"/>
      <c r="M44" s="2" t="n"/>
      <c r="N44" s="2" t="n"/>
      <c r="O44" s="2" t="n"/>
      <c r="P44" s="2" t="n"/>
      <c r="Q44" s="2" t="n"/>
      <c r="R44" s="2" t="n"/>
      <c r="S44" s="2" t="n"/>
      <c r="T44" s="2" t="n"/>
      <c r="U44" s="2" t="n"/>
      <c r="V44" s="2" t="n"/>
      <c r="W44" s="2" t="n"/>
      <c r="X44" s="2" t="n"/>
      <c r="Y44" s="2" t="n"/>
      <c r="Z44" s="2" t="n"/>
      <c r="AA44" s="2" t="n"/>
      <c r="AB44" s="2" t="n"/>
      <c r="AC44" s="1" t="n"/>
      <c r="AD44" s="1" t="n"/>
      <c r="AE44" s="1" t="n"/>
      <c r="AH44" s="10" t="n"/>
      <c r="AI44" s="10" t="n"/>
      <c r="AJ44" s="1" t="n"/>
      <c r="AK44" s="33" t="n"/>
      <c r="AL44" s="396" t="n"/>
      <c r="AM44" s="75" t="n"/>
      <c r="AN44" s="75" t="n"/>
      <c r="AO44" s="75" t="n"/>
      <c r="AP44" s="75" t="n"/>
      <c r="AQ44" s="75" t="n"/>
      <c r="AR44" s="75" t="n"/>
      <c r="AS44" s="75" t="n"/>
      <c r="AT44" s="75" t="n"/>
      <c r="AU44" s="75" t="n"/>
      <c r="AV44" s="75" t="n"/>
      <c r="AW44" s="75" t="n"/>
      <c r="AX44" s="75" t="n"/>
      <c r="AY44" s="75" t="n"/>
      <c r="AZ44" s="75" t="n"/>
      <c r="BA44" s="75" t="n"/>
      <c r="BB44" s="75" t="n"/>
      <c r="BC44" s="75" t="n"/>
      <c r="BD44" s="75" t="n"/>
      <c r="BE44" s="75" t="n"/>
      <c r="BF44" s="75" t="n"/>
      <c r="BG44" s="75" t="n"/>
      <c r="BH44" s="75" t="n"/>
      <c r="BI44" s="75" t="n"/>
      <c r="BJ44" s="75" t="n"/>
      <c r="BK44" s="75" t="n"/>
      <c r="BL44" s="75" t="n"/>
      <c r="BM44" s="75" t="n"/>
      <c r="BN44" s="75" t="n"/>
    </row>
    <row r="45">
      <c r="A45" s="147" t="inlineStr">
        <is>
          <t>SACOLAS/SACO/DIVERSOS OUI</t>
        </is>
      </c>
      <c r="B45" s="148" t="n"/>
      <c r="C45" s="148" t="n"/>
      <c r="D45" s="148" t="n"/>
      <c r="E45" s="1" t="n"/>
      <c r="F45" s="619" t="n">
        <v>46006</v>
      </c>
      <c r="G45" s="619" t="n">
        <v>46013</v>
      </c>
      <c r="H45" s="619" t="n">
        <v>46020</v>
      </c>
      <c r="I45" s="619" t="n">
        <v>46027</v>
      </c>
      <c r="J45" s="619" t="n">
        <v>46034</v>
      </c>
      <c r="K45" s="619" t="n">
        <v>46041</v>
      </c>
      <c r="L45" s="619" t="n">
        <v>46048</v>
      </c>
      <c r="M45" s="619" t="n">
        <v>46055</v>
      </c>
      <c r="N45" s="619" t="n">
        <v>46062</v>
      </c>
      <c r="O45" s="619" t="n">
        <v>46069</v>
      </c>
      <c r="P45" s="619" t="n">
        <v>46076</v>
      </c>
      <c r="Q45" s="619" t="n">
        <v>46083</v>
      </c>
      <c r="R45" s="619" t="n">
        <v>46090</v>
      </c>
      <c r="S45" s="619" t="n">
        <v>46097</v>
      </c>
      <c r="T45" s="619" t="n">
        <v>46104</v>
      </c>
      <c r="U45" s="619" t="n">
        <v>46111</v>
      </c>
      <c r="V45" s="619" t="n">
        <v>46118</v>
      </c>
      <c r="W45" s="619" t="n">
        <v>46125</v>
      </c>
      <c r="X45" s="619" t="n">
        <v>46132</v>
      </c>
      <c r="Y45" s="619" t="n">
        <v>46139</v>
      </c>
      <c r="Z45" s="619" t="n">
        <v>46146</v>
      </c>
      <c r="AA45" s="619" t="n">
        <v>46154</v>
      </c>
      <c r="AB45" s="619" t="n">
        <v>46160</v>
      </c>
      <c r="AC45" s="620" t="n">
        <v>46161.48013502315</v>
      </c>
      <c r="AD45" s="620" t="n">
        <v>46161.48080876157</v>
      </c>
      <c r="AE45" s="620" t="n">
        <v>46161.48296567641</v>
      </c>
      <c r="AF45" s="621" t="inlineStr">
        <is>
          <t>USOU</t>
        </is>
      </c>
      <c r="AG45" s="41" t="n"/>
      <c r="AH45" s="29" t="inlineStr">
        <is>
          <t>Pendências</t>
        </is>
      </c>
      <c r="AI45" s="29" t="inlineStr">
        <is>
          <t>Pendências</t>
        </is>
      </c>
      <c r="AK45" s="9" t="inlineStr">
        <is>
          <t>Novo Pedido</t>
        </is>
      </c>
      <c r="AL45" s="673" t="n">
        <v>46161.48296499483</v>
      </c>
      <c r="AM45" s="674" t="n">
        <v>46149</v>
      </c>
      <c r="AN45" s="615" t="n">
        <v>46150</v>
      </c>
      <c r="AO45" s="674" t="n">
        <v>46142</v>
      </c>
      <c r="AP45" s="674" t="n">
        <v>46114</v>
      </c>
      <c r="AQ45" s="674" t="n">
        <v>46107</v>
      </c>
      <c r="AR45" s="674" t="n">
        <v>46099</v>
      </c>
      <c r="AS45" s="675" t="n">
        <v>46065</v>
      </c>
      <c r="AT45" s="674" t="n">
        <v>46092</v>
      </c>
      <c r="AU45" s="674" t="n">
        <v>46084</v>
      </c>
      <c r="AV45" s="675" t="n">
        <v>46065</v>
      </c>
      <c r="AW45" s="676" t="n">
        <v>46045</v>
      </c>
      <c r="AX45" s="674" t="n">
        <v>46077</v>
      </c>
      <c r="AY45" s="674" t="n">
        <v>46071</v>
      </c>
      <c r="AZ45" s="674" t="n">
        <v>46056</v>
      </c>
      <c r="BA45" s="674" t="n">
        <v>46048</v>
      </c>
      <c r="BB45" s="674" t="n">
        <v>46043</v>
      </c>
      <c r="BC45" s="674" t="n">
        <v>46035</v>
      </c>
      <c r="BD45" s="674" t="n">
        <v>46029</v>
      </c>
      <c r="BE45" s="674" t="n">
        <v>46035</v>
      </c>
      <c r="BF45" s="674" t="n">
        <v>46029</v>
      </c>
      <c r="BG45" s="674" t="n">
        <v>46024</v>
      </c>
      <c r="BH45" s="674" t="n">
        <v>46007</v>
      </c>
      <c r="BI45" s="674" t="n">
        <v>46001</v>
      </c>
      <c r="BJ45" s="674" t="n">
        <v>46001</v>
      </c>
      <c r="BK45" s="674" t="n">
        <v>45994</v>
      </c>
      <c r="BL45" s="674" t="n">
        <v>45986</v>
      </c>
      <c r="BM45" s="674" t="n">
        <v>45986</v>
      </c>
      <c r="BN45" s="674" t="n">
        <v>45980</v>
      </c>
    </row>
    <row r="46">
      <c r="A46" s="25" t="inlineStr">
        <is>
          <t>SACOLA P OUI</t>
        </is>
      </c>
      <c r="B46" s="72" t="n">
        <v>150</v>
      </c>
      <c r="C46" s="639" t="n">
        <v>453.38</v>
      </c>
      <c r="D46" s="240" t="n">
        <v>10</v>
      </c>
      <c r="E46" s="41" t="n"/>
      <c r="F46" s="72" t="n">
        <v>0</v>
      </c>
      <c r="G46" s="72" t="n">
        <v>0</v>
      </c>
      <c r="H46" s="72" t="n">
        <v>0</v>
      </c>
      <c r="I46" s="72" t="n">
        <v>0</v>
      </c>
      <c r="J46" s="72" t="n">
        <v>0</v>
      </c>
      <c r="K46" s="72" t="n">
        <v>0</v>
      </c>
      <c r="L46" s="72" t="n">
        <v>0</v>
      </c>
      <c r="M46" s="72" t="n">
        <v>0</v>
      </c>
      <c r="N46" s="72" t="n">
        <v>0</v>
      </c>
      <c r="O46" s="72" t="n">
        <v>0</v>
      </c>
      <c r="P46" s="72" t="n">
        <v>0</v>
      </c>
      <c r="Q46" s="72" t="n">
        <v>0</v>
      </c>
      <c r="R46" s="72" t="n">
        <v>0</v>
      </c>
      <c r="S46" s="72" t="n">
        <v>0</v>
      </c>
      <c r="T46" s="72" t="n">
        <v>0</v>
      </c>
      <c r="U46" s="72" t="n">
        <v>0</v>
      </c>
      <c r="V46" s="72" t="n"/>
      <c r="W46" s="72" t="n"/>
      <c r="X46" s="72" t="n"/>
      <c r="Y46" s="72" t="n"/>
      <c r="Z46" s="72" t="n"/>
      <c r="AA46" s="72" t="n">
        <v>0</v>
      </c>
      <c r="AB46" s="72" t="n">
        <v>0</v>
      </c>
      <c r="AC46" s="72" t="n">
        <v>0</v>
      </c>
      <c r="AD46" s="72" t="n">
        <v>0</v>
      </c>
      <c r="AE46" s="72" t="n">
        <v>0</v>
      </c>
      <c r="AF46" s="380">
        <f>AD46+IF(NOT(ISBLANK(OFFSET(AF46,0,6))),N(OFFSET(AF46,0,6)),N(OFFSET(AF46,0,7)))-AE46</f>
        <v/>
      </c>
      <c r="AG46" s="41" t="n"/>
      <c r="AH46" s="78" t="inlineStr">
        <is>
          <t>10 DE CD</t>
        </is>
      </c>
      <c r="AI46" s="138" t="n"/>
      <c r="AJ46" s="1" t="n"/>
      <c r="AK46" s="32" t="n"/>
      <c r="AL46" s="628" t="n">
        <v>0</v>
      </c>
      <c r="AM46" s="19" t="n">
        <v>0</v>
      </c>
      <c r="AN46" s="19" t="n"/>
      <c r="AO46" s="19" t="n">
        <v>0</v>
      </c>
      <c r="AP46" s="19" t="n">
        <v>0</v>
      </c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19" t="n"/>
      <c r="BM46" s="19" t="n"/>
      <c r="BN46" s="19" t="n"/>
    </row>
    <row r="47">
      <c r="A47" s="25" t="inlineStr">
        <is>
          <t>SACOLA M OUI</t>
        </is>
      </c>
      <c r="B47" s="72" t="n">
        <v>100</v>
      </c>
      <c r="C47" s="639" t="n">
        <v>355.78</v>
      </c>
      <c r="D47" s="240" t="n">
        <v>10</v>
      </c>
      <c r="E47" s="41" t="n"/>
      <c r="F47" s="72" t="n">
        <v>3</v>
      </c>
      <c r="G47" s="72" t="n">
        <v>2</v>
      </c>
      <c r="H47" s="72" t="n">
        <v>2</v>
      </c>
      <c r="I47" s="72" t="n">
        <v>2</v>
      </c>
      <c r="J47" s="72" t="n">
        <v>2</v>
      </c>
      <c r="K47" s="72" t="n">
        <v>2</v>
      </c>
      <c r="L47" s="72" t="n">
        <v>2</v>
      </c>
      <c r="M47" s="72" t="n">
        <v>2</v>
      </c>
      <c r="N47" s="72" t="n">
        <v>2</v>
      </c>
      <c r="O47" s="72" t="n">
        <v>2</v>
      </c>
      <c r="P47" s="72" t="n">
        <v>1</v>
      </c>
      <c r="Q47" s="72" t="n">
        <v>0</v>
      </c>
      <c r="R47" s="72" t="n">
        <v>0</v>
      </c>
      <c r="S47" s="72" t="n">
        <v>0</v>
      </c>
      <c r="T47" s="72" t="n">
        <v>0</v>
      </c>
      <c r="U47" s="72" t="n">
        <v>0</v>
      </c>
      <c r="V47" s="72" t="n"/>
      <c r="W47" s="72" t="n"/>
      <c r="X47" s="72" t="n"/>
      <c r="Y47" s="72" t="n"/>
      <c r="Z47" s="72" t="n"/>
      <c r="AA47" s="72" t="n">
        <v>0</v>
      </c>
      <c r="AB47" s="72" t="n">
        <v>0</v>
      </c>
      <c r="AC47" s="72" t="n">
        <v>0</v>
      </c>
      <c r="AD47" s="72" t="n">
        <v>0</v>
      </c>
      <c r="AE47" s="72" t="n">
        <v>0</v>
      </c>
      <c r="AF47" s="380">
        <f>AD47+IF(NOT(ISBLANK(OFFSET(AF47,0,6))),N(OFFSET(AF47,0,6)),N(OFFSET(AF47,0,7)))-AE47</f>
        <v/>
      </c>
      <c r="AG47" s="41" t="n"/>
      <c r="AH47" s="78" t="n"/>
      <c r="AI47" s="78" t="n"/>
      <c r="AJ47" s="1" t="n"/>
      <c r="AK47" s="32" t="n"/>
      <c r="AL47" s="628" t="n">
        <v>0</v>
      </c>
      <c r="AM47" s="19" t="n">
        <v>0</v>
      </c>
      <c r="AN47" s="19" t="n"/>
      <c r="AO47" s="19" t="n">
        <v>0</v>
      </c>
      <c r="AP47" s="19" t="n">
        <v>0</v>
      </c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19" t="n"/>
      <c r="BM47" s="19" t="n"/>
      <c r="BN47" s="19" t="n"/>
    </row>
    <row r="48">
      <c r="A48" s="25" t="inlineStr">
        <is>
          <t>SACOLA G OUI</t>
        </is>
      </c>
      <c r="B48" s="72" t="n">
        <v>50</v>
      </c>
      <c r="C48" s="639" t="n">
        <v>249.26</v>
      </c>
      <c r="D48" s="240" t="n">
        <v>10</v>
      </c>
      <c r="E48" s="41" t="n"/>
      <c r="F48" s="72" t="n">
        <v>8</v>
      </c>
      <c r="G48" s="72" t="n">
        <v>8</v>
      </c>
      <c r="H48" s="72" t="n">
        <v>8</v>
      </c>
      <c r="I48" s="72" t="n">
        <v>8</v>
      </c>
      <c r="J48" s="72" t="n">
        <v>7</v>
      </c>
      <c r="K48" s="72" t="n">
        <v>7</v>
      </c>
      <c r="L48" s="72" t="n">
        <v>7</v>
      </c>
      <c r="M48" s="72" t="n">
        <v>7</v>
      </c>
      <c r="N48" s="72" t="n">
        <v>7</v>
      </c>
      <c r="O48" s="72" t="n">
        <v>7</v>
      </c>
      <c r="P48" s="72" t="n">
        <v>7</v>
      </c>
      <c r="Q48" s="72" t="n">
        <v>7</v>
      </c>
      <c r="R48" s="72" t="n">
        <v>7</v>
      </c>
      <c r="S48" s="72" t="n">
        <v>7</v>
      </c>
      <c r="T48" s="72" t="n">
        <v>2</v>
      </c>
      <c r="U48" s="72" t="n">
        <v>2</v>
      </c>
      <c r="V48" s="72" t="n"/>
      <c r="W48" s="72" t="n"/>
      <c r="X48" s="72" t="n"/>
      <c r="Y48" s="72" t="n"/>
      <c r="Z48" s="72" t="n"/>
      <c r="AA48" s="72" t="n">
        <v>0</v>
      </c>
      <c r="AB48" s="72" t="n">
        <v>0</v>
      </c>
      <c r="AC48" s="72" t="n">
        <v>0</v>
      </c>
      <c r="AD48" s="72" t="n">
        <v>0</v>
      </c>
      <c r="AE48" s="72" t="n">
        <v>0</v>
      </c>
      <c r="AF48" s="380">
        <f>AD48+IF(NOT(ISBLANK(OFFSET(AF48,0,6))),N(OFFSET(AF48,0,6)),N(OFFSET(AF48,0,7)))-AE48</f>
        <v/>
      </c>
      <c r="AG48" s="41" t="n"/>
      <c r="AH48" s="138" t="n"/>
      <c r="AI48" s="138" t="n"/>
      <c r="AJ48" s="3" t="n"/>
      <c r="AK48" s="32" t="n"/>
      <c r="AL48" s="628" t="n">
        <v>0</v>
      </c>
      <c r="AM48" s="19" t="n">
        <v>0</v>
      </c>
      <c r="AN48" s="19" t="n"/>
      <c r="AO48" s="19" t="n">
        <v>0</v>
      </c>
      <c r="AP48" s="19" t="n">
        <v>0</v>
      </c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19" t="n"/>
      <c r="BM48" s="19" t="n"/>
      <c r="BN48" s="19" t="n"/>
    </row>
    <row r="49">
      <c r="A49" s="25" t="inlineStr">
        <is>
          <t>PAPEL DE SEDA O.U.I.</t>
        </is>
      </c>
      <c r="B49" s="6" t="n">
        <v>500</v>
      </c>
      <c r="C49" s="632" t="n">
        <v>138.53</v>
      </c>
      <c r="D49" s="240" t="n">
        <v>1</v>
      </c>
      <c r="E49" s="1" t="n"/>
      <c r="F49" s="72" t="n">
        <v>2</v>
      </c>
      <c r="G49" s="72" t="n">
        <v>2</v>
      </c>
      <c r="H49" s="72" t="n">
        <v>2</v>
      </c>
      <c r="I49" s="72" t="n">
        <v>2</v>
      </c>
      <c r="J49" s="72" t="n">
        <v>2</v>
      </c>
      <c r="K49" s="72" t="n">
        <v>2</v>
      </c>
      <c r="L49" s="72" t="n">
        <v>2</v>
      </c>
      <c r="M49" s="72" t="n">
        <v>2</v>
      </c>
      <c r="N49" s="72" t="n">
        <v>2</v>
      </c>
      <c r="O49" s="72" t="n">
        <v>2</v>
      </c>
      <c r="P49" s="72" t="n">
        <v>2</v>
      </c>
      <c r="Q49" s="72" t="n">
        <v>2</v>
      </c>
      <c r="R49" s="72" t="n">
        <v>2</v>
      </c>
      <c r="S49" s="72" t="n">
        <v>2</v>
      </c>
      <c r="T49" s="72" t="n">
        <v>2</v>
      </c>
      <c r="U49" s="72" t="n">
        <v>2</v>
      </c>
      <c r="V49" s="72" t="n">
        <v>2</v>
      </c>
      <c r="W49" s="72" t="n">
        <v>2</v>
      </c>
      <c r="X49" s="72" t="n">
        <v>2</v>
      </c>
      <c r="Y49" s="72" t="n">
        <v>2</v>
      </c>
      <c r="Z49" s="72" t="n">
        <v>2</v>
      </c>
      <c r="AA49" s="72" t="n">
        <v>2</v>
      </c>
      <c r="AB49" s="72" t="n"/>
      <c r="AC49" s="72" t="n"/>
      <c r="AD49" s="72" t="n"/>
      <c r="AE49" s="72" t="n"/>
      <c r="AF49" s="380">
        <f>AD49+IF(NOT(ISBLANK(OFFSET(AF49,0,6))),N(OFFSET(AF49,0,6)),N(OFFSET(AF49,0,7)))-AE49</f>
        <v/>
      </c>
      <c r="AG49" s="41" t="n"/>
      <c r="AH49" s="138" t="n"/>
      <c r="AI49" s="138" t="n"/>
      <c r="AJ49" s="608" t="n"/>
      <c r="AK49" s="32" t="n"/>
      <c r="AL49" s="628" t="n">
        <v>0</v>
      </c>
      <c r="AM49" s="19" t="n">
        <v>0</v>
      </c>
      <c r="AN49" s="19" t="n"/>
      <c r="AO49" s="19" t="n">
        <v>0</v>
      </c>
      <c r="AP49" s="19" t="n">
        <v>0</v>
      </c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19" t="n"/>
      <c r="BM49" s="19" t="n"/>
      <c r="BN49" s="19" t="n"/>
    </row>
    <row r="50">
      <c r="A50" s="25" t="inlineStr">
        <is>
          <t>ETIQUETA O.U.I.</t>
        </is>
      </c>
      <c r="B50" s="84" t="n">
        <v>1000</v>
      </c>
      <c r="C50" s="632" t="n">
        <v>181.15</v>
      </c>
      <c r="D50" s="240" t="n">
        <v>1</v>
      </c>
      <c r="E50" s="1" t="n"/>
      <c r="F50" s="72" t="n">
        <v>1</v>
      </c>
      <c r="G50" s="72" t="n">
        <v>1</v>
      </c>
      <c r="H50" s="72" t="n">
        <v>1</v>
      </c>
      <c r="I50" s="72" t="n">
        <v>1</v>
      </c>
      <c r="J50" s="72" t="n">
        <v>1</v>
      </c>
      <c r="K50" s="72" t="n">
        <v>1</v>
      </c>
      <c r="L50" s="72" t="n">
        <v>1</v>
      </c>
      <c r="M50" s="72" t="n">
        <v>1</v>
      </c>
      <c r="N50" s="72" t="n">
        <v>1</v>
      </c>
      <c r="O50" s="72" t="n">
        <v>1</v>
      </c>
      <c r="P50" s="72" t="n">
        <v>1</v>
      </c>
      <c r="Q50" s="72" t="n">
        <v>1</v>
      </c>
      <c r="R50" s="72" t="n">
        <v>1</v>
      </c>
      <c r="S50" s="72" t="n">
        <v>1</v>
      </c>
      <c r="T50" s="72" t="n">
        <v>1</v>
      </c>
      <c r="U50" s="72" t="n">
        <v>1</v>
      </c>
      <c r="V50" s="72" t="n">
        <v>1</v>
      </c>
      <c r="W50" s="72" t="n">
        <v>1</v>
      </c>
      <c r="X50" s="72" t="n">
        <v>1</v>
      </c>
      <c r="Y50" s="72" t="n">
        <v>1</v>
      </c>
      <c r="Z50" s="72" t="n">
        <v>1</v>
      </c>
      <c r="AA50" s="72" t="n">
        <v>1</v>
      </c>
      <c r="AB50" s="72" t="n"/>
      <c r="AC50" s="72" t="n"/>
      <c r="AD50" s="72" t="n"/>
      <c r="AE50" s="72" t="n"/>
      <c r="AF50" s="380">
        <f>AD50+IF(NOT(ISBLANK(OFFSET(AF50,0,6))),N(OFFSET(AF50,0,6)),N(OFFSET(AF50,0,7)))-AE50</f>
        <v/>
      </c>
      <c r="AG50" s="41" t="n"/>
      <c r="AH50" s="78" t="n"/>
      <c r="AI50" s="78" t="n"/>
      <c r="AJ50" s="608" t="n"/>
      <c r="AK50" s="32" t="n"/>
      <c r="AL50" s="628" t="n">
        <v>0</v>
      </c>
      <c r="AM50" s="19" t="n">
        <v>0</v>
      </c>
      <c r="AN50" s="19" t="n"/>
      <c r="AO50" s="19" t="n">
        <v>0</v>
      </c>
      <c r="AP50" s="19" t="n">
        <v>0</v>
      </c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19" t="n"/>
      <c r="BM50" s="19" t="n"/>
      <c r="BN50" s="19" t="n"/>
    </row>
    <row r="51">
      <c r="A51" s="25" t="inlineStr">
        <is>
          <t>LÂMINA OLFATIVA O.U.I.</t>
        </is>
      </c>
      <c r="B51" s="6" t="n">
        <v>3000</v>
      </c>
      <c r="C51" s="632" t="n">
        <v>223.78</v>
      </c>
      <c r="D51" s="240" t="n">
        <v>1</v>
      </c>
      <c r="E51" s="1" t="n"/>
      <c r="F51" s="72" t="n">
        <v>2</v>
      </c>
      <c r="G51" s="72" t="n">
        <v>2</v>
      </c>
      <c r="H51" s="72" t="n">
        <v>2</v>
      </c>
      <c r="I51" s="72" t="n">
        <v>2</v>
      </c>
      <c r="J51" s="72" t="n">
        <v>2</v>
      </c>
      <c r="K51" s="72" t="n">
        <v>2</v>
      </c>
      <c r="L51" s="72" t="n">
        <v>2</v>
      </c>
      <c r="M51" s="72" t="n">
        <v>2</v>
      </c>
      <c r="N51" s="72" t="n">
        <v>2</v>
      </c>
      <c r="O51" s="72" t="n">
        <v>2</v>
      </c>
      <c r="P51" s="72" t="n">
        <v>2</v>
      </c>
      <c r="Q51" s="72" t="n">
        <v>2</v>
      </c>
      <c r="R51" s="72" t="n">
        <v>2</v>
      </c>
      <c r="S51" s="72" t="n">
        <v>2</v>
      </c>
      <c r="T51" s="72" t="n">
        <v>2</v>
      </c>
      <c r="U51" s="72" t="n">
        <v>2</v>
      </c>
      <c r="V51" s="72" t="n">
        <v>2</v>
      </c>
      <c r="W51" s="72" t="n">
        <v>2</v>
      </c>
      <c r="X51" s="72" t="n">
        <v>2</v>
      </c>
      <c r="Y51" s="72" t="n">
        <v>2</v>
      </c>
      <c r="Z51" s="72" t="n">
        <v>2</v>
      </c>
      <c r="AA51" s="72" t="n">
        <v>2</v>
      </c>
      <c r="AB51" s="72" t="n"/>
      <c r="AC51" s="72" t="n"/>
      <c r="AD51" s="72" t="n"/>
      <c r="AE51" s="72" t="n"/>
      <c r="AF51" s="380">
        <f>AD51+IF(NOT(ISBLANK(OFFSET(AF51,0,6))),N(OFFSET(AF51,0,6)),N(OFFSET(AF51,0,7)))-AE51</f>
        <v/>
      </c>
      <c r="AG51" s="41" t="n"/>
      <c r="AH51" s="138" t="n"/>
      <c r="AI51" s="138" t="n"/>
      <c r="AJ51" s="608" t="n"/>
      <c r="AK51" s="32" t="n"/>
      <c r="AL51" s="628" t="n">
        <v>0</v>
      </c>
      <c r="AM51" s="19" t="n">
        <v>0</v>
      </c>
      <c r="AN51" s="19" t="n"/>
      <c r="AO51" s="19" t="n">
        <v>0</v>
      </c>
      <c r="AP51" s="19" t="n">
        <v>0</v>
      </c>
      <c r="AQ51" s="19" t="n"/>
      <c r="AR51" s="19" t="n"/>
      <c r="AS51" s="19" t="n"/>
      <c r="AT51" s="19" t="n"/>
      <c r="AU51" s="19" t="n"/>
      <c r="AV51" s="19" t="n"/>
      <c r="AW51" s="19" t="n"/>
      <c r="AX51" s="19" t="n"/>
      <c r="AY51" s="19" t="n"/>
      <c r="AZ51" s="19" t="n"/>
      <c r="BA51" s="19" t="n"/>
      <c r="BB51" s="19" t="n"/>
      <c r="BC51" s="19" t="n"/>
      <c r="BD51" s="19" t="n"/>
      <c r="BE51" s="19" t="n"/>
      <c r="BF51" s="19" t="n"/>
      <c r="BG51" s="19" t="n"/>
      <c r="BH51" s="19" t="n"/>
      <c r="BI51" s="19" t="n"/>
      <c r="BJ51" s="19" t="n"/>
      <c r="BK51" s="19" t="n"/>
      <c r="BL51" s="19" t="n"/>
      <c r="BM51" s="19" t="n"/>
      <c r="BN51" s="19" t="n"/>
    </row>
    <row r="52">
      <c r="A52" s="25" t="inlineStr">
        <is>
          <t>SACO M OUI (BRINDE)</t>
        </is>
      </c>
      <c r="B52" s="6" t="n">
        <v>200</v>
      </c>
      <c r="C52" s="632" t="n">
        <v>249.78</v>
      </c>
      <c r="D52" s="240" t="n">
        <v>50</v>
      </c>
      <c r="E52" s="1" t="n"/>
      <c r="F52" s="72" t="n">
        <v>0</v>
      </c>
      <c r="G52" s="72" t="n">
        <v>400</v>
      </c>
      <c r="H52" s="72" t="n">
        <v>400</v>
      </c>
      <c r="I52" s="72" t="n">
        <v>400</v>
      </c>
      <c r="J52" s="72" t="n">
        <v>400</v>
      </c>
      <c r="K52" s="72" t="n">
        <v>400</v>
      </c>
      <c r="L52" s="72" t="n">
        <v>400</v>
      </c>
      <c r="M52" s="72" t="n">
        <v>400</v>
      </c>
      <c r="N52" s="72" t="n">
        <v>400</v>
      </c>
      <c r="O52" s="72" t="n">
        <v>400</v>
      </c>
      <c r="P52" s="72" t="n">
        <v>400</v>
      </c>
      <c r="Q52" s="72" t="n">
        <v>400</v>
      </c>
      <c r="R52" s="72" t="n">
        <v>200</v>
      </c>
      <c r="S52" s="72" t="n">
        <v>200</v>
      </c>
      <c r="T52" s="72" t="n">
        <v>200</v>
      </c>
      <c r="U52" s="72" t="n">
        <v>200</v>
      </c>
      <c r="V52" s="72" t="n">
        <v>200</v>
      </c>
      <c r="W52" s="72" t="n">
        <v>200</v>
      </c>
      <c r="X52" s="72" t="n">
        <v>200</v>
      </c>
      <c r="Y52" s="72" t="n">
        <v>200</v>
      </c>
      <c r="Z52" s="72" t="n">
        <v>200</v>
      </c>
      <c r="AA52" s="72" t="n">
        <v>200</v>
      </c>
      <c r="AB52" s="72" t="n"/>
      <c r="AC52" s="72" t="n"/>
      <c r="AD52" s="72" t="n"/>
      <c r="AE52" s="72" t="n"/>
      <c r="AF52" s="380">
        <f>AD52+IF(NOT(ISBLANK(OFFSET(AF52,0,6))),N(OFFSET(AF52,0,6)),N(OFFSET(AF52,0,7)))-AE52</f>
        <v/>
      </c>
      <c r="AG52" s="41" t="n"/>
      <c r="AH52" s="138" t="n"/>
      <c r="AI52" s="138" t="n"/>
      <c r="AJ52" s="608" t="n"/>
      <c r="AK52" s="32" t="n"/>
      <c r="AL52" s="628" t="n">
        <v>0</v>
      </c>
      <c r="AM52" s="19" t="n">
        <v>0</v>
      </c>
      <c r="AN52" s="19" t="n"/>
      <c r="AO52" s="19" t="n">
        <v>0</v>
      </c>
      <c r="AP52" s="19" t="n">
        <v>0</v>
      </c>
      <c r="AQ52" s="19" t="n"/>
      <c r="AR52" s="19" t="n"/>
      <c r="AS52" s="19" t="n"/>
      <c r="AT52" s="19" t="n"/>
      <c r="AU52" s="19" t="n"/>
      <c r="AV52" s="19" t="n"/>
      <c r="AW52" s="19" t="n"/>
      <c r="AX52" s="19" t="n"/>
      <c r="AY52" s="19" t="n"/>
      <c r="AZ52" s="19" t="n"/>
      <c r="BA52" s="19" t="n"/>
      <c r="BB52" s="19" t="n"/>
      <c r="BC52" s="19" t="n"/>
      <c r="BD52" s="19" t="n"/>
      <c r="BE52" s="19" t="n"/>
      <c r="BF52" s="19" t="n"/>
      <c r="BG52" s="19" t="n"/>
      <c r="BH52" s="19" t="n"/>
      <c r="BI52" s="19" t="n">
        <v>400</v>
      </c>
      <c r="BJ52" s="19" t="n"/>
      <c r="BK52" s="19" t="n"/>
      <c r="BL52" s="19" t="n"/>
      <c r="BM52" s="19" t="n"/>
      <c r="BN52" s="19" t="n"/>
    </row>
    <row r="53">
      <c r="B53" s="41" t="n"/>
      <c r="E53" s="41" t="n"/>
      <c r="F53" s="41" t="n"/>
      <c r="G53" s="41" t="n"/>
      <c r="H53" s="41" t="n"/>
      <c r="I53" s="41" t="n"/>
      <c r="J53" s="41" t="n"/>
      <c r="K53" s="41" t="n"/>
      <c r="L53" s="41" t="n"/>
      <c r="M53" s="41" t="n"/>
      <c r="N53" s="41" t="n"/>
      <c r="O53" s="41" t="n"/>
      <c r="P53" s="41" t="n"/>
      <c r="Q53" s="41" t="n"/>
      <c r="R53" s="41" t="n"/>
      <c r="S53" s="41" t="n"/>
      <c r="T53" s="41" t="n"/>
      <c r="U53" s="41" t="n"/>
      <c r="V53" s="41" t="n"/>
      <c r="W53" s="41" t="n"/>
      <c r="X53" s="41" t="n"/>
      <c r="Y53" s="41" t="n"/>
      <c r="Z53" s="41" t="n"/>
      <c r="AA53" s="41" t="n"/>
      <c r="AB53" s="41" t="n"/>
      <c r="AC53" s="41" t="n"/>
      <c r="AD53" s="41" t="n"/>
      <c r="AE53" s="41" t="n"/>
      <c r="AG53" s="41" t="n"/>
      <c r="AJ53" s="41" t="n"/>
      <c r="AL53" s="41" t="n"/>
    </row>
    <row r="54">
      <c r="A54" s="147" t="inlineStr">
        <is>
          <t>CAIXAS OUI</t>
        </is>
      </c>
      <c r="B54" s="148" t="n"/>
      <c r="C54" s="148" t="n"/>
      <c r="D54" s="148" t="n"/>
      <c r="E54" s="1" t="n"/>
      <c r="F54" s="619" t="n">
        <v>46006</v>
      </c>
      <c r="G54" s="619" t="n">
        <v>46013</v>
      </c>
      <c r="H54" s="619" t="n">
        <v>46020</v>
      </c>
      <c r="I54" s="619" t="n">
        <v>46027</v>
      </c>
      <c r="J54" s="619" t="n">
        <v>46034</v>
      </c>
      <c r="K54" s="619" t="n">
        <v>46041</v>
      </c>
      <c r="L54" s="619" t="n">
        <v>46048</v>
      </c>
      <c r="M54" s="619" t="n">
        <v>46055</v>
      </c>
      <c r="N54" s="619" t="n">
        <v>46062</v>
      </c>
      <c r="O54" s="619" t="n">
        <v>46069</v>
      </c>
      <c r="P54" s="619" t="n">
        <v>46076</v>
      </c>
      <c r="Q54" s="619" t="n">
        <v>46083</v>
      </c>
      <c r="R54" s="619" t="n">
        <v>46090</v>
      </c>
      <c r="S54" s="619" t="n">
        <v>46097</v>
      </c>
      <c r="T54" s="619" t="n">
        <v>46104</v>
      </c>
      <c r="U54" s="619" t="n">
        <v>46111</v>
      </c>
      <c r="V54" s="619" t="n">
        <v>46118</v>
      </c>
      <c r="W54" s="619" t="n">
        <v>46125</v>
      </c>
      <c r="X54" s="619" t="n">
        <v>46132</v>
      </c>
      <c r="Y54" s="619" t="n">
        <v>46139</v>
      </c>
      <c r="Z54" s="619" t="n">
        <v>46146</v>
      </c>
      <c r="AA54" s="619" t="n">
        <v>46154</v>
      </c>
      <c r="AB54" s="619" t="n">
        <v>46160</v>
      </c>
      <c r="AC54" s="620" t="n">
        <v>46161.48013502315</v>
      </c>
      <c r="AD54" s="620" t="n">
        <v>46161.48080876157</v>
      </c>
      <c r="AE54" s="620" t="n">
        <v>46161.48296567659</v>
      </c>
      <c r="AF54" s="621" t="inlineStr">
        <is>
          <t>USOU</t>
        </is>
      </c>
      <c r="AG54" s="41" t="n"/>
      <c r="AH54" s="29" t="inlineStr">
        <is>
          <t>Pendências</t>
        </is>
      </c>
      <c r="AI54" s="29" t="inlineStr">
        <is>
          <t>Pendências</t>
        </is>
      </c>
      <c r="AK54" s="9" t="inlineStr">
        <is>
          <t>Novo Pedido</t>
        </is>
      </c>
      <c r="AL54" s="673" t="n">
        <v>46161.48296499522</v>
      </c>
      <c r="AM54" s="674" t="n">
        <v>46149</v>
      </c>
      <c r="AN54" s="615" t="n">
        <v>46150</v>
      </c>
      <c r="AO54" s="674" t="n">
        <v>46142</v>
      </c>
      <c r="AP54" s="674" t="n">
        <v>46114</v>
      </c>
      <c r="AQ54" s="674" t="n">
        <v>46107</v>
      </c>
      <c r="AR54" s="674" t="n">
        <v>46099</v>
      </c>
      <c r="AS54" s="675" t="n">
        <v>46065</v>
      </c>
      <c r="AT54" s="674" t="n">
        <v>46092</v>
      </c>
      <c r="AU54" s="674" t="n">
        <v>46084</v>
      </c>
      <c r="AV54" s="675" t="n">
        <v>46065</v>
      </c>
      <c r="AW54" s="676" t="n">
        <v>46045</v>
      </c>
      <c r="AX54" s="674" t="n">
        <v>46077</v>
      </c>
      <c r="AY54" s="674" t="n">
        <v>46071</v>
      </c>
      <c r="AZ54" s="674" t="n">
        <v>46056</v>
      </c>
      <c r="BA54" s="674" t="n">
        <v>46048</v>
      </c>
      <c r="BB54" s="674" t="n">
        <v>46043</v>
      </c>
      <c r="BC54" s="674" t="n">
        <v>46035</v>
      </c>
      <c r="BD54" s="674" t="n">
        <v>46029</v>
      </c>
      <c r="BE54" s="674" t="n">
        <v>46035</v>
      </c>
      <c r="BF54" s="674" t="n">
        <v>46029</v>
      </c>
      <c r="BG54" s="674" t="n">
        <v>46024</v>
      </c>
      <c r="BH54" s="674" t="n">
        <v>46007</v>
      </c>
      <c r="BI54" s="674" t="n">
        <v>46001</v>
      </c>
      <c r="BJ54" s="674" t="n">
        <v>46001</v>
      </c>
      <c r="BK54" s="674" t="n">
        <v>45994</v>
      </c>
      <c r="BL54" s="674" t="n">
        <v>45986</v>
      </c>
      <c r="BM54" s="674" t="n">
        <v>45986</v>
      </c>
      <c r="BN54" s="674" t="n">
        <v>45980</v>
      </c>
    </row>
    <row r="55">
      <c r="A55" s="25" t="inlineStr">
        <is>
          <t>KIT CAIXA P OUI</t>
        </is>
      </c>
      <c r="B55" s="72" t="n">
        <v>100</v>
      </c>
      <c r="C55" s="639" t="n">
        <v>539.7</v>
      </c>
      <c r="D55" s="240" t="n">
        <v>15</v>
      </c>
      <c r="E55" s="41" t="n"/>
      <c r="F55" s="72" t="n">
        <v>28</v>
      </c>
      <c r="G55" s="72" t="n">
        <v>28</v>
      </c>
      <c r="H55" s="72" t="n">
        <v>28</v>
      </c>
      <c r="I55" s="72" t="n">
        <v>28</v>
      </c>
      <c r="J55" s="72" t="n">
        <v>28</v>
      </c>
      <c r="K55" s="72" t="n">
        <v>29</v>
      </c>
      <c r="L55" s="72" t="n">
        <v>29</v>
      </c>
      <c r="M55" s="72" t="n">
        <v>29</v>
      </c>
      <c r="N55" s="72" t="n">
        <v>29</v>
      </c>
      <c r="O55" s="72" t="n">
        <v>29</v>
      </c>
      <c r="P55" s="72" t="n">
        <v>29</v>
      </c>
      <c r="Q55" s="72" t="n">
        <v>29</v>
      </c>
      <c r="R55" s="72" t="n">
        <v>29</v>
      </c>
      <c r="S55" s="72" t="n">
        <v>29</v>
      </c>
      <c r="T55" s="72" t="n">
        <v>27</v>
      </c>
      <c r="U55" s="72" t="n">
        <v>26</v>
      </c>
      <c r="V55" s="72" t="n"/>
      <c r="W55" s="72" t="n"/>
      <c r="X55" s="72" t="n"/>
      <c r="Y55" s="72" t="n"/>
      <c r="Z55" s="72" t="n"/>
      <c r="AA55" s="72" t="n">
        <v>21</v>
      </c>
      <c r="AB55" s="72" t="n">
        <v>21</v>
      </c>
      <c r="AC55" s="72" t="n">
        <v>21</v>
      </c>
      <c r="AD55" s="72" t="n">
        <v>21</v>
      </c>
      <c r="AE55" s="72" t="n">
        <v>21</v>
      </c>
      <c r="AF55" s="380">
        <f>AD55+IF(NOT(ISBLANK(OFFSET(AF55,0,6))),N(OFFSET(AF55,0,6)),N(OFFSET(AF55,0,7)))-AE55</f>
        <v/>
      </c>
      <c r="AG55" s="41" t="n"/>
      <c r="AH55" s="138" t="n"/>
      <c r="AI55" s="138" t="n"/>
      <c r="AJ55" s="608" t="n"/>
      <c r="AK55" s="32" t="n"/>
      <c r="AL55" s="628" t="n">
        <v>0</v>
      </c>
      <c r="AM55" s="19" t="n">
        <v>0</v>
      </c>
      <c r="AN55" s="19" t="n"/>
      <c r="AO55" s="19" t="n">
        <v>0</v>
      </c>
      <c r="AP55" s="19" t="n">
        <v>0</v>
      </c>
      <c r="AQ55" s="19" t="n"/>
      <c r="AR55" s="19" t="n"/>
      <c r="AS55" s="19" t="n"/>
      <c r="AT55" s="19" t="n"/>
      <c r="AU55" s="19" t="n"/>
      <c r="AV55" s="19" t="n"/>
      <c r="AW55" s="19" t="n"/>
      <c r="AX55" s="19" t="n"/>
      <c r="AY55" s="19" t="n"/>
      <c r="AZ55" s="19" t="n"/>
      <c r="BA55" s="19" t="n"/>
      <c r="BB55" s="19" t="n"/>
      <c r="BC55" s="19" t="n"/>
      <c r="BD55" s="19" t="n"/>
      <c r="BE55" s="19" t="n"/>
      <c r="BF55" s="19" t="n"/>
      <c r="BG55" s="19" t="n"/>
      <c r="BH55" s="19" t="n"/>
      <c r="BI55" s="19" t="n"/>
      <c r="BJ55" s="19" t="n"/>
      <c r="BK55" s="19" t="n"/>
      <c r="BL55" s="19" t="n"/>
      <c r="BM55" s="19" t="n"/>
      <c r="BN55" s="19" t="n"/>
    </row>
    <row r="56">
      <c r="A56" s="25" t="inlineStr">
        <is>
          <t>KIT CAIXA M OUI</t>
        </is>
      </c>
      <c r="B56" s="72" t="n">
        <v>100</v>
      </c>
      <c r="C56" s="639" t="n">
        <v>652.05</v>
      </c>
      <c r="D56" s="240" t="n">
        <v>25</v>
      </c>
      <c r="E56" s="41" t="n"/>
      <c r="F56" s="72" t="n">
        <v>0</v>
      </c>
      <c r="G56" s="72" t="n">
        <v>0</v>
      </c>
      <c r="H56" s="72" t="n">
        <v>0</v>
      </c>
      <c r="I56" s="72" t="n">
        <v>0</v>
      </c>
      <c r="J56" s="72" t="n">
        <v>0</v>
      </c>
      <c r="K56" s="72" t="n">
        <v>1</v>
      </c>
      <c r="L56" s="72" t="n">
        <v>1</v>
      </c>
      <c r="M56" s="72" t="n">
        <v>1</v>
      </c>
      <c r="N56" s="72" t="n">
        <v>1</v>
      </c>
      <c r="O56" s="72" t="n">
        <v>1</v>
      </c>
      <c r="P56" s="72" t="n">
        <v>2</v>
      </c>
      <c r="Q56" s="72" t="n">
        <v>2</v>
      </c>
      <c r="R56" s="72" t="n">
        <v>2</v>
      </c>
      <c r="S56" s="72" t="n">
        <v>2</v>
      </c>
      <c r="T56" s="72" t="n">
        <v>1</v>
      </c>
      <c r="U56" s="72" t="n">
        <v>1</v>
      </c>
      <c r="V56" s="72" t="n"/>
      <c r="W56" s="72" t="n"/>
      <c r="X56" s="72" t="n"/>
      <c r="Y56" s="72" t="n"/>
      <c r="Z56" s="72" t="n"/>
      <c r="AA56" s="72" t="n">
        <v>1</v>
      </c>
      <c r="AB56" s="72" t="n">
        <v>1</v>
      </c>
      <c r="AC56" s="72" t="n">
        <v>1</v>
      </c>
      <c r="AD56" s="72" t="n">
        <v>1</v>
      </c>
      <c r="AE56" s="72" t="n">
        <v>1</v>
      </c>
      <c r="AF56" s="380">
        <f>AD56+IF(NOT(ISBLANK(OFFSET(AF56,0,6))),N(OFFSET(AF56,0,6)),N(OFFSET(AF56,0,7)))-AE56</f>
        <v/>
      </c>
      <c r="AG56" s="41" t="n"/>
      <c r="AH56" s="138" t="n"/>
      <c r="AI56" s="138" t="n"/>
      <c r="AJ56" s="1" t="n"/>
      <c r="AK56" s="32" t="n"/>
      <c r="AL56" s="628" t="n">
        <v>0</v>
      </c>
      <c r="AM56" s="19" t="n">
        <v>0</v>
      </c>
      <c r="AN56" s="19" t="n"/>
      <c r="AO56" s="19" t="n">
        <v>0</v>
      </c>
      <c r="AP56" s="19" t="n">
        <v>0</v>
      </c>
      <c r="AQ56" s="19" t="n"/>
      <c r="AR56" s="19" t="n"/>
      <c r="AS56" s="19" t="n"/>
      <c r="AT56" s="19" t="n"/>
      <c r="AU56" s="19" t="n"/>
      <c r="AV56" s="19" t="n"/>
      <c r="AW56" s="19" t="n"/>
      <c r="AX56" s="19" t="n"/>
      <c r="AY56" s="19" t="n"/>
      <c r="AZ56" s="19" t="n"/>
      <c r="BA56" s="19" t="n"/>
      <c r="BB56" s="19" t="n"/>
      <c r="BC56" s="19" t="n"/>
      <c r="BD56" s="19" t="n"/>
      <c r="BE56" s="19" t="n"/>
      <c r="BF56" s="19" t="n"/>
      <c r="BG56" s="19" t="n"/>
      <c r="BH56" s="19" t="n"/>
      <c r="BI56" s="19" t="n"/>
      <c r="BJ56" s="19" t="n"/>
      <c r="BK56" s="19" t="n"/>
      <c r="BL56" s="19" t="n"/>
      <c r="BM56" s="19" t="n"/>
      <c r="BN56" s="19" t="n"/>
    </row>
    <row r="57">
      <c r="A57" s="25" t="inlineStr">
        <is>
          <t>KIT CAIXA G OUI</t>
        </is>
      </c>
      <c r="B57" s="72" t="n">
        <v>50</v>
      </c>
      <c r="C57" s="639" t="n">
        <v>567.53</v>
      </c>
      <c r="D57" s="240" t="n">
        <v>5</v>
      </c>
      <c r="E57" s="41" t="n"/>
      <c r="F57" s="72" t="n">
        <v>29</v>
      </c>
      <c r="G57" s="72" t="n">
        <v>29</v>
      </c>
      <c r="H57" s="72" t="n">
        <v>29</v>
      </c>
      <c r="I57" s="72" t="n">
        <v>29</v>
      </c>
      <c r="J57" s="72" t="n">
        <v>29</v>
      </c>
      <c r="K57" s="72" t="n">
        <v>28</v>
      </c>
      <c r="L57" s="72" t="n">
        <v>28</v>
      </c>
      <c r="M57" s="72" t="n">
        <v>28</v>
      </c>
      <c r="N57" s="72" t="n">
        <v>28</v>
      </c>
      <c r="O57" s="72" t="n">
        <v>28</v>
      </c>
      <c r="P57" s="72" t="n">
        <v>28</v>
      </c>
      <c r="Q57" s="72" t="n">
        <v>28</v>
      </c>
      <c r="R57" s="72" t="n">
        <v>28</v>
      </c>
      <c r="S57" s="72" t="n">
        <v>28</v>
      </c>
      <c r="T57" s="72" t="n">
        <v>28</v>
      </c>
      <c r="U57" s="72" t="n">
        <v>28</v>
      </c>
      <c r="V57" s="72" t="n"/>
      <c r="W57" s="72" t="n"/>
      <c r="X57" s="72" t="n"/>
      <c r="Y57" s="72" t="n"/>
      <c r="Z57" s="72" t="n"/>
      <c r="AA57" s="72" t="n">
        <v>28</v>
      </c>
      <c r="AB57" s="72" t="n">
        <v>28</v>
      </c>
      <c r="AC57" s="72" t="n">
        <v>28</v>
      </c>
      <c r="AD57" s="72" t="n">
        <v>28</v>
      </c>
      <c r="AE57" s="72" t="n">
        <v>28</v>
      </c>
      <c r="AF57" s="380">
        <f>AD57+IF(NOT(ISBLANK(OFFSET(AF57,0,6))),N(OFFSET(AF57,0,6)),N(OFFSET(AF57,0,7)))-AE57</f>
        <v/>
      </c>
      <c r="AG57" s="41" t="n"/>
      <c r="AH57" s="138" t="n"/>
      <c r="AI57" s="138" t="n"/>
      <c r="AJ57" s="1" t="n"/>
      <c r="AK57" s="32" t="n"/>
      <c r="AL57" s="628" t="n">
        <v>0</v>
      </c>
      <c r="AM57" s="19" t="n">
        <v>0</v>
      </c>
      <c r="AN57" s="19" t="n"/>
      <c r="AO57" s="19" t="n">
        <v>0</v>
      </c>
      <c r="AP57" s="19" t="n">
        <v>0</v>
      </c>
      <c r="AQ57" s="19" t="n"/>
      <c r="AR57" s="19" t="n"/>
      <c r="AS57" s="19" t="n"/>
      <c r="AT57" s="19" t="n"/>
      <c r="AU57" s="19" t="n"/>
      <c r="AV57" s="19" t="n"/>
      <c r="AW57" s="19" t="n"/>
      <c r="AX57" s="19" t="n"/>
      <c r="AY57" s="19" t="n"/>
      <c r="AZ57" s="19" t="n"/>
      <c r="BA57" s="19" t="n"/>
      <c r="BB57" s="19" t="n"/>
      <c r="BC57" s="19" t="n"/>
      <c r="BD57" s="19" t="n"/>
      <c r="BE57" s="19" t="n"/>
      <c r="BF57" s="19" t="n"/>
      <c r="BG57" s="19" t="n"/>
      <c r="BH57" s="19" t="n"/>
      <c r="BI57" s="19" t="n"/>
      <c r="BJ57" s="19" t="n"/>
      <c r="BK57" s="19" t="n"/>
      <c r="BL57" s="19" t="n"/>
      <c r="BM57" s="19" t="n"/>
      <c r="BN57" s="19" t="n"/>
    </row>
    <row r="58">
      <c r="B58" s="41" t="n"/>
      <c r="C58" s="41" t="n"/>
      <c r="D58" s="41" t="n"/>
      <c r="E58" s="41" t="n"/>
      <c r="F58" s="41" t="n"/>
      <c r="G58" s="41" t="n"/>
      <c r="H58" s="41" t="n"/>
      <c r="I58" s="41" t="n"/>
      <c r="J58" s="41" t="n"/>
      <c r="K58" s="41" t="n"/>
      <c r="L58" s="41" t="n"/>
      <c r="M58" s="41" t="n"/>
      <c r="N58" s="41" t="n"/>
      <c r="O58" s="41" t="n"/>
      <c r="P58" s="41" t="n"/>
      <c r="Q58" s="41" t="n"/>
      <c r="R58" s="41" t="n"/>
      <c r="S58" s="41" t="n"/>
      <c r="T58" s="41" t="n"/>
      <c r="U58" s="41" t="n"/>
      <c r="V58" s="41" t="n"/>
      <c r="W58" s="41" t="n"/>
      <c r="X58" s="41" t="n"/>
      <c r="Y58" s="41" t="n"/>
      <c r="Z58" s="41" t="n"/>
      <c r="AA58" s="41" t="n"/>
      <c r="AB58" s="41" t="n"/>
      <c r="AC58" s="41" t="n"/>
      <c r="AD58" s="41" t="n"/>
      <c r="AE58" s="41" t="n"/>
      <c r="AF58" s="41" t="n"/>
      <c r="AG58" s="41" t="n"/>
      <c r="AJ58" s="41" t="n"/>
      <c r="AL58" s="648" t="n"/>
      <c r="AM58" s="648" t="n"/>
      <c r="AN58" s="648" t="n"/>
      <c r="AO58" s="648" t="n"/>
      <c r="AP58" s="648" t="n"/>
      <c r="AQ58" s="648" t="n"/>
      <c r="AR58" s="648" t="n"/>
      <c r="AS58" s="648" t="n"/>
      <c r="AT58" s="648" t="n"/>
      <c r="AU58" s="648" t="n"/>
      <c r="AV58" s="648" t="n"/>
      <c r="AW58" s="648" t="n"/>
      <c r="AX58" s="648" t="n"/>
      <c r="AY58" s="648" t="n"/>
      <c r="AZ58" s="648" t="n"/>
      <c r="BA58" s="648" t="n"/>
      <c r="BB58" s="648" t="n"/>
      <c r="BC58" s="648" t="n"/>
      <c r="BD58" s="648" t="n"/>
      <c r="BE58" s="648" t="n"/>
      <c r="BF58" s="648" t="n"/>
      <c r="BG58" s="648" t="n"/>
      <c r="BH58" s="648" t="n"/>
      <c r="BI58" s="648" t="n"/>
      <c r="BJ58" s="648" t="n"/>
      <c r="BK58" s="648" t="n"/>
      <c r="BL58" s="648" t="n"/>
      <c r="BM58" s="648" t="n"/>
      <c r="BN58" s="648" t="n"/>
    </row>
    <row r="59">
      <c r="A59" s="149" t="inlineStr">
        <is>
          <t>SACOLAS E CAIXAS QDB</t>
        </is>
      </c>
      <c r="B59" s="150" t="n"/>
      <c r="C59" s="150" t="n"/>
      <c r="D59" s="150" t="n"/>
      <c r="E59" s="1" t="n"/>
      <c r="F59" s="619" t="n">
        <v>46006</v>
      </c>
      <c r="G59" s="619" t="n">
        <v>46013</v>
      </c>
      <c r="H59" s="619" t="n">
        <v>46020</v>
      </c>
      <c r="I59" s="619" t="n">
        <v>46027</v>
      </c>
      <c r="J59" s="619" t="n">
        <v>46034</v>
      </c>
      <c r="K59" s="619" t="n">
        <v>46041</v>
      </c>
      <c r="L59" s="619" t="n">
        <v>46048</v>
      </c>
      <c r="M59" s="619" t="n">
        <v>46055</v>
      </c>
      <c r="N59" s="619" t="n">
        <v>46062</v>
      </c>
      <c r="O59" s="619" t="n">
        <v>46069</v>
      </c>
      <c r="P59" s="619" t="n">
        <v>46076</v>
      </c>
      <c r="Q59" s="619" t="n">
        <v>46083</v>
      </c>
      <c r="R59" s="619" t="n">
        <v>46090</v>
      </c>
      <c r="S59" s="619" t="n">
        <v>46097</v>
      </c>
      <c r="T59" s="619" t="n">
        <v>46104</v>
      </c>
      <c r="U59" s="619" t="n">
        <v>46111</v>
      </c>
      <c r="V59" s="619" t="n">
        <v>46118</v>
      </c>
      <c r="W59" s="619" t="n">
        <v>46125</v>
      </c>
      <c r="X59" s="619" t="n">
        <v>46132</v>
      </c>
      <c r="Y59" s="619" t="n">
        <v>46139</v>
      </c>
      <c r="Z59" s="619" t="n">
        <v>46146</v>
      </c>
      <c r="AA59" s="619" t="n">
        <v>46154</v>
      </c>
      <c r="AB59" s="619" t="n">
        <v>46160</v>
      </c>
      <c r="AC59" s="620" t="n">
        <v>46161.48013502315</v>
      </c>
      <c r="AD59" s="620" t="n">
        <v>46161.48080876157</v>
      </c>
      <c r="AE59" s="620" t="n">
        <v>46161.48296567677</v>
      </c>
      <c r="AF59" s="621" t="inlineStr">
        <is>
          <t>USOU</t>
        </is>
      </c>
      <c r="AG59" s="41" t="n"/>
      <c r="AH59" s="29" t="inlineStr">
        <is>
          <t>Pendências</t>
        </is>
      </c>
      <c r="AI59" s="29" t="inlineStr">
        <is>
          <t>Pendências</t>
        </is>
      </c>
      <c r="AK59" s="9" t="inlineStr">
        <is>
          <t>Novo Pedido</t>
        </is>
      </c>
      <c r="AL59" s="673" t="n">
        <v>46161.48296499546</v>
      </c>
      <c r="AM59" s="674" t="n">
        <v>46149</v>
      </c>
      <c r="AN59" s="615" t="n">
        <v>46150</v>
      </c>
      <c r="AO59" s="674" t="n">
        <v>46142</v>
      </c>
      <c r="AP59" s="674" t="n">
        <v>46114</v>
      </c>
      <c r="AQ59" s="674" t="n">
        <v>46107</v>
      </c>
      <c r="AR59" s="674" t="n">
        <v>46099</v>
      </c>
      <c r="AS59" s="675" t="n">
        <v>46065</v>
      </c>
      <c r="AT59" s="674" t="n">
        <v>46092</v>
      </c>
      <c r="AU59" s="674" t="n">
        <v>46084</v>
      </c>
      <c r="AV59" s="675" t="n">
        <v>46065</v>
      </c>
      <c r="AW59" s="676" t="n">
        <v>46045</v>
      </c>
      <c r="AX59" s="674" t="n">
        <v>46077</v>
      </c>
      <c r="AY59" s="674" t="n">
        <v>46071</v>
      </c>
      <c r="AZ59" s="674" t="n">
        <v>46056</v>
      </c>
      <c r="BA59" s="674" t="n">
        <v>46048</v>
      </c>
      <c r="BB59" s="674" t="n">
        <v>46043</v>
      </c>
      <c r="BC59" s="674" t="n">
        <v>46035</v>
      </c>
      <c r="BD59" s="674" t="n">
        <v>46029</v>
      </c>
      <c r="BE59" s="674" t="n">
        <v>46035</v>
      </c>
      <c r="BF59" s="674" t="n">
        <v>46029</v>
      </c>
      <c r="BG59" s="674" t="n">
        <v>46024</v>
      </c>
      <c r="BH59" s="674" t="n">
        <v>46007</v>
      </c>
      <c r="BI59" s="674" t="n">
        <v>46001</v>
      </c>
      <c r="BJ59" s="674" t="n">
        <v>46001</v>
      </c>
      <c r="BK59" s="674" t="n">
        <v>45994</v>
      </c>
      <c r="BL59" s="674" t="n">
        <v>45986</v>
      </c>
      <c r="BM59" s="674" t="n">
        <v>45986</v>
      </c>
      <c r="BN59" s="674" t="n">
        <v>45980</v>
      </c>
    </row>
    <row r="60">
      <c r="A60" s="25" t="inlineStr">
        <is>
          <t>SACOLA P - QDB</t>
        </is>
      </c>
      <c r="B60" s="6" t="n">
        <v>300</v>
      </c>
      <c r="C60" s="632" t="n">
        <v>169.8</v>
      </c>
      <c r="D60" s="240" t="n">
        <v>50</v>
      </c>
      <c r="E60" s="1" t="n"/>
      <c r="F60" s="39" t="n">
        <v>0</v>
      </c>
      <c r="G60" s="39" t="n">
        <v>0</v>
      </c>
      <c r="H60" s="39" t="n">
        <v>0</v>
      </c>
      <c r="I60" s="39" t="n">
        <v>0</v>
      </c>
      <c r="J60" s="39" t="n">
        <v>0</v>
      </c>
      <c r="K60" s="39" t="n">
        <v>0</v>
      </c>
      <c r="L60" s="39" t="n">
        <v>0</v>
      </c>
      <c r="M60" s="39" t="n">
        <v>0</v>
      </c>
      <c r="N60" s="39" t="n">
        <v>0</v>
      </c>
      <c r="O60" s="39" t="n">
        <v>0</v>
      </c>
      <c r="P60" s="39" t="n">
        <v>0</v>
      </c>
      <c r="Q60" s="39" t="n">
        <v>0</v>
      </c>
      <c r="R60" s="39" t="n">
        <v>0</v>
      </c>
      <c r="S60" s="39" t="n">
        <v>0</v>
      </c>
      <c r="T60" s="39" t="n">
        <v>0</v>
      </c>
      <c r="U60" s="39" t="n">
        <v>0</v>
      </c>
      <c r="V60" s="39" t="n">
        <v>0</v>
      </c>
      <c r="W60" s="39" t="n">
        <v>0</v>
      </c>
      <c r="X60" s="39" t="n">
        <v>0</v>
      </c>
      <c r="Y60" s="39" t="n">
        <v>0</v>
      </c>
      <c r="Z60" s="39" t="n">
        <v>0</v>
      </c>
      <c r="AA60" s="39" t="n">
        <v>0</v>
      </c>
      <c r="AB60" s="39" t="n"/>
      <c r="AC60" s="6" t="n"/>
      <c r="AD60" s="6" t="n"/>
      <c r="AE60" s="6" t="n"/>
      <c r="AF60" s="380">
        <f>AD60+IF(NOT(ISBLANK(OFFSET(AF60,0,6))),N(OFFSET(AF60,0,6)),N(OFFSET(AF60,0,7)))-AE60</f>
        <v/>
      </c>
      <c r="AG60" s="41" t="n"/>
      <c r="AH60" s="138" t="n"/>
      <c r="AI60" s="138" t="n"/>
      <c r="AK60" s="76" t="n"/>
      <c r="AL60" s="628" t="n">
        <v>0</v>
      </c>
      <c r="AM60" s="19" t="n">
        <v>0</v>
      </c>
      <c r="AN60" s="19" t="n"/>
      <c r="AO60" s="19" t="n">
        <v>0</v>
      </c>
      <c r="AP60" s="19" t="n">
        <v>0</v>
      </c>
      <c r="AQ60" s="19" t="n"/>
      <c r="AR60" s="19" t="n"/>
      <c r="AS60" s="19" t="n"/>
      <c r="AT60" s="19" t="n"/>
      <c r="AU60" s="19" t="n"/>
      <c r="AV60" s="19" t="n"/>
      <c r="AW60" s="19" t="n"/>
      <c r="AX60" s="19" t="n"/>
      <c r="AY60" s="19" t="n"/>
      <c r="AZ60" s="19" t="n"/>
      <c r="BA60" s="19" t="n"/>
      <c r="BB60" s="19" t="n"/>
      <c r="BC60" s="19" t="n"/>
      <c r="BD60" s="19" t="n"/>
      <c r="BE60" s="19" t="n"/>
      <c r="BF60" s="19" t="n"/>
      <c r="BG60" s="19" t="n"/>
      <c r="BH60" s="19" t="n"/>
      <c r="BI60" s="19" t="n"/>
      <c r="BJ60" s="19" t="n"/>
      <c r="BK60" s="19" t="n"/>
      <c r="BL60" s="19" t="n"/>
      <c r="BM60" s="19" t="n"/>
      <c r="BN60" s="19" t="n"/>
    </row>
    <row r="61">
      <c r="A61" s="25" t="inlineStr">
        <is>
          <t>SACOLA M - QDB</t>
        </is>
      </c>
      <c r="B61" s="6" t="n">
        <v>200</v>
      </c>
      <c r="C61" s="632" t="n">
        <v>175.22</v>
      </c>
      <c r="D61" s="240" t="n">
        <v>50</v>
      </c>
      <c r="E61" s="1" t="n"/>
      <c r="F61" s="39" t="n">
        <v>0</v>
      </c>
      <c r="G61" s="39" t="n">
        <v>0</v>
      </c>
      <c r="H61" s="39" t="n">
        <v>0</v>
      </c>
      <c r="I61" s="39" t="n">
        <v>0</v>
      </c>
      <c r="J61" s="39" t="n">
        <v>0</v>
      </c>
      <c r="K61" s="39" t="n">
        <v>0</v>
      </c>
      <c r="L61" s="39" t="n">
        <v>0</v>
      </c>
      <c r="M61" s="39" t="n">
        <v>0</v>
      </c>
      <c r="N61" s="39" t="n">
        <v>0</v>
      </c>
      <c r="O61" s="39" t="n">
        <v>0</v>
      </c>
      <c r="P61" s="39" t="n">
        <v>0</v>
      </c>
      <c r="Q61" s="39" t="n">
        <v>0</v>
      </c>
      <c r="R61" s="39" t="n">
        <v>0</v>
      </c>
      <c r="S61" s="39" t="n">
        <v>0</v>
      </c>
      <c r="T61" s="39" t="n">
        <v>0</v>
      </c>
      <c r="U61" s="39" t="n">
        <v>0</v>
      </c>
      <c r="V61" s="39" t="n">
        <v>0</v>
      </c>
      <c r="W61" s="39" t="n">
        <v>0</v>
      </c>
      <c r="X61" s="39" t="n">
        <v>0</v>
      </c>
      <c r="Y61" s="39" t="n">
        <v>0</v>
      </c>
      <c r="Z61" s="39" t="n">
        <v>0</v>
      </c>
      <c r="AA61" s="39" t="n">
        <v>0</v>
      </c>
      <c r="AB61" s="39" t="n"/>
      <c r="AC61" s="6" t="n"/>
      <c r="AD61" s="6" t="n"/>
      <c r="AE61" s="6" t="n"/>
      <c r="AF61" s="380">
        <f>AD61+IF(NOT(ISBLANK(OFFSET(AF61,0,6))),N(OFFSET(AF61,0,6)),N(OFFSET(AF61,0,7)))-AE61</f>
        <v/>
      </c>
      <c r="AG61" s="41" t="n"/>
      <c r="AH61" s="138" t="n"/>
      <c r="AI61" s="138" t="n"/>
      <c r="AK61" s="76" t="n"/>
      <c r="AL61" s="628" t="n">
        <v>0</v>
      </c>
      <c r="AM61" s="19" t="n">
        <v>0</v>
      </c>
      <c r="AN61" s="19" t="n"/>
      <c r="AO61" s="19" t="n">
        <v>0</v>
      </c>
      <c r="AP61" s="19" t="n">
        <v>0</v>
      </c>
      <c r="AQ61" s="19" t="n"/>
      <c r="AR61" s="19" t="n"/>
      <c r="AS61" s="19" t="n"/>
      <c r="AT61" s="19" t="n"/>
      <c r="AU61" s="19" t="n"/>
      <c r="AV61" s="19" t="n"/>
      <c r="AW61" s="19" t="n"/>
      <c r="AX61" s="19" t="n"/>
      <c r="AY61" s="19" t="n"/>
      <c r="AZ61" s="19" t="n"/>
      <c r="BA61" s="19" t="n"/>
      <c r="BB61" s="19" t="n"/>
      <c r="BC61" s="19" t="n"/>
      <c r="BD61" s="19" t="n"/>
      <c r="BE61" s="19" t="n"/>
      <c r="BF61" s="19" t="n"/>
      <c r="BG61" s="19" t="n"/>
      <c r="BH61" s="19" t="n"/>
      <c r="BI61" s="19" t="n"/>
      <c r="BJ61" s="19" t="n"/>
      <c r="BK61" s="19" t="n"/>
      <c r="BL61" s="19" t="n"/>
      <c r="BM61" s="19" t="n"/>
      <c r="BN61" s="19" t="n"/>
    </row>
    <row r="62">
      <c r="A62" s="25" t="inlineStr">
        <is>
          <t>SACOLA G - QDB</t>
        </is>
      </c>
      <c r="B62" s="6" t="n">
        <v>200</v>
      </c>
      <c r="C62" s="632" t="n">
        <v>230.34</v>
      </c>
      <c r="D62" s="240" t="n">
        <v>15</v>
      </c>
      <c r="E62" s="1" t="n"/>
      <c r="F62" s="39" t="n">
        <v>0</v>
      </c>
      <c r="G62" s="39" t="n">
        <v>0</v>
      </c>
      <c r="H62" s="39" t="n">
        <v>0</v>
      </c>
      <c r="I62" s="39" t="n">
        <v>0</v>
      </c>
      <c r="J62" s="39" t="n">
        <v>0</v>
      </c>
      <c r="K62" s="39" t="n">
        <v>0</v>
      </c>
      <c r="L62" s="39" t="n">
        <v>0</v>
      </c>
      <c r="M62" s="39" t="n">
        <v>0</v>
      </c>
      <c r="N62" s="39" t="n">
        <v>0</v>
      </c>
      <c r="O62" s="39" t="n">
        <v>0</v>
      </c>
      <c r="P62" s="39" t="n">
        <v>0</v>
      </c>
      <c r="Q62" s="39" t="n">
        <v>0</v>
      </c>
      <c r="R62" s="39" t="n">
        <v>0</v>
      </c>
      <c r="S62" s="39" t="n">
        <v>0</v>
      </c>
      <c r="T62" s="39" t="n">
        <v>0</v>
      </c>
      <c r="U62" s="39" t="n">
        <v>0</v>
      </c>
      <c r="V62" s="39" t="n">
        <v>0</v>
      </c>
      <c r="W62" s="39" t="n">
        <v>0</v>
      </c>
      <c r="X62" s="39" t="n">
        <v>0</v>
      </c>
      <c r="Y62" s="39" t="n">
        <v>0</v>
      </c>
      <c r="Z62" s="39" t="n">
        <v>0</v>
      </c>
      <c r="AA62" s="39" t="n">
        <v>0</v>
      </c>
      <c r="AB62" s="39" t="n"/>
      <c r="AC62" s="6" t="n"/>
      <c r="AD62" s="6" t="n"/>
      <c r="AE62" s="6" t="n"/>
      <c r="AF62" s="380">
        <f>AD62+IF(NOT(ISBLANK(OFFSET(AF62,0,6))),N(OFFSET(AF62,0,6)),N(OFFSET(AF62,0,7)))-AE62</f>
        <v/>
      </c>
      <c r="AG62" s="41" t="n"/>
      <c r="AH62" s="138" t="n"/>
      <c r="AI62" s="138" t="n"/>
      <c r="AK62" s="76" t="n"/>
      <c r="AL62" s="628" t="n">
        <v>0</v>
      </c>
      <c r="AM62" s="19" t="n">
        <v>0</v>
      </c>
      <c r="AN62" s="19" t="n"/>
      <c r="AO62" s="19" t="n">
        <v>0</v>
      </c>
      <c r="AP62" s="19" t="n">
        <v>0</v>
      </c>
      <c r="AQ62" s="19" t="n"/>
      <c r="AR62" s="19" t="n"/>
      <c r="AS62" s="19" t="n"/>
      <c r="AT62" s="19" t="n"/>
      <c r="AU62" s="19" t="n"/>
      <c r="AV62" s="19" t="n"/>
      <c r="AW62" s="19" t="n"/>
      <c r="AX62" s="19" t="n"/>
      <c r="AY62" s="19" t="n"/>
      <c r="AZ62" s="19" t="n"/>
      <c r="BA62" s="19" t="n"/>
      <c r="BB62" s="19" t="n"/>
      <c r="BC62" s="19" t="n"/>
      <c r="BD62" s="19" t="n"/>
      <c r="BE62" s="19" t="n"/>
      <c r="BF62" s="19" t="n"/>
      <c r="BG62" s="19" t="n"/>
      <c r="BH62" s="19" t="n"/>
      <c r="BI62" s="19" t="n"/>
      <c r="BJ62" s="19" t="n"/>
      <c r="BK62" s="19" t="n"/>
      <c r="BL62" s="19" t="n"/>
      <c r="BM62" s="19" t="n"/>
      <c r="BN62" s="19" t="n"/>
    </row>
    <row r="63">
      <c r="A63" s="538" t="inlineStr">
        <is>
          <t>PAPEL DE SEDA QDB</t>
        </is>
      </c>
      <c r="B63" s="72" t="n">
        <v>100</v>
      </c>
      <c r="C63" s="639" t="n">
        <v>22.98</v>
      </c>
      <c r="D63" s="240" t="n">
        <v>1</v>
      </c>
      <c r="F63" s="39" t="n">
        <v>3</v>
      </c>
      <c r="G63" s="39" t="n">
        <v>3</v>
      </c>
      <c r="H63" s="39" t="n">
        <v>3</v>
      </c>
      <c r="I63" s="39" t="n">
        <v>3</v>
      </c>
      <c r="J63" s="39" t="n">
        <v>3</v>
      </c>
      <c r="K63" s="39" t="n">
        <v>3</v>
      </c>
      <c r="L63" s="39" t="n">
        <v>3</v>
      </c>
      <c r="M63" s="39" t="n">
        <v>3</v>
      </c>
      <c r="N63" s="39" t="n">
        <v>3</v>
      </c>
      <c r="O63" s="39" t="n">
        <v>3</v>
      </c>
      <c r="P63" s="39" t="n">
        <v>3</v>
      </c>
      <c r="Q63" s="39" t="n">
        <v>3</v>
      </c>
      <c r="R63" s="39" t="n">
        <v>3</v>
      </c>
      <c r="S63" s="39" t="n">
        <v>3</v>
      </c>
      <c r="T63" s="39" t="n">
        <v>3</v>
      </c>
      <c r="U63" s="39" t="n">
        <v>3</v>
      </c>
      <c r="V63" s="39" t="n">
        <v>3</v>
      </c>
      <c r="W63" s="39" t="n">
        <v>3</v>
      </c>
      <c r="X63" s="39" t="n">
        <v>3</v>
      </c>
      <c r="Y63" s="39" t="n">
        <v>3</v>
      </c>
      <c r="Z63" s="39" t="n">
        <v>3</v>
      </c>
      <c r="AA63" s="39" t="n">
        <v>3</v>
      </c>
      <c r="AB63" s="39" t="n"/>
      <c r="AC63" s="6" t="n"/>
      <c r="AD63" s="6" t="n"/>
      <c r="AE63" s="6" t="n"/>
      <c r="AF63" s="380">
        <f>AD63+IF(NOT(ISBLANK(OFFSET(AF63,0,6))),N(OFFSET(AF63,0,6)),N(OFFSET(AF63,0,7)))-AE63</f>
        <v/>
      </c>
      <c r="AH63" s="138" t="n"/>
      <c r="AI63" s="138" t="n"/>
      <c r="AJ63" s="1" t="n"/>
      <c r="AK63" s="32" t="n"/>
      <c r="AL63" s="628" t="n">
        <v>0</v>
      </c>
      <c r="AM63" s="19" t="n">
        <v>0</v>
      </c>
      <c r="AN63" s="19" t="n"/>
      <c r="AO63" s="19" t="n">
        <v>0</v>
      </c>
      <c r="AP63" s="19" t="n">
        <v>0</v>
      </c>
      <c r="AQ63" s="19" t="n"/>
      <c r="AR63" s="19" t="n"/>
      <c r="AS63" s="19" t="n"/>
      <c r="AT63" s="19" t="n"/>
      <c r="AU63" s="19" t="n"/>
      <c r="AV63" s="19" t="n"/>
      <c r="AW63" s="19" t="n"/>
      <c r="AX63" s="19" t="n"/>
      <c r="AY63" s="19" t="n"/>
      <c r="AZ63" s="19" t="n"/>
      <c r="BA63" s="19" t="n"/>
      <c r="BB63" s="19" t="n"/>
      <c r="BC63" s="19" t="n"/>
      <c r="BD63" s="19" t="n"/>
      <c r="BE63" s="19" t="n"/>
      <c r="BF63" s="19" t="n"/>
      <c r="BG63" s="19" t="n"/>
      <c r="BH63" s="19" t="n"/>
      <c r="BI63" s="19" t="n"/>
      <c r="BJ63" s="19" t="n"/>
      <c r="BK63" s="19" t="n"/>
      <c r="BL63" s="19" t="n"/>
      <c r="BM63" s="19" t="n"/>
      <c r="BN63" s="19" t="n"/>
    </row>
    <row r="64">
      <c r="A64" s="25" t="inlineStr">
        <is>
          <t>ETIQUETA QDB</t>
        </is>
      </c>
      <c r="B64" s="6" t="n">
        <v>1000</v>
      </c>
      <c r="C64" s="632" t="n">
        <v>7.75</v>
      </c>
      <c r="D64" s="240" t="n">
        <v>1</v>
      </c>
      <c r="E64" s="1" t="n"/>
      <c r="F64" s="39" t="n">
        <v>1</v>
      </c>
      <c r="G64" s="39" t="n">
        <v>1</v>
      </c>
      <c r="H64" s="39" t="n">
        <v>1</v>
      </c>
      <c r="I64" s="39" t="n">
        <v>1</v>
      </c>
      <c r="J64" s="39" t="n">
        <v>1</v>
      </c>
      <c r="K64" s="39" t="n">
        <v>1</v>
      </c>
      <c r="L64" s="39" t="n">
        <v>1</v>
      </c>
      <c r="M64" s="39" t="n">
        <v>1</v>
      </c>
      <c r="N64" s="39" t="n">
        <v>1</v>
      </c>
      <c r="O64" s="39" t="n">
        <v>1</v>
      </c>
      <c r="P64" s="39" t="n">
        <v>1</v>
      </c>
      <c r="Q64" s="39" t="n">
        <v>1</v>
      </c>
      <c r="R64" s="39" t="n">
        <v>1</v>
      </c>
      <c r="S64" s="39" t="n">
        <v>1</v>
      </c>
      <c r="T64" s="39" t="n">
        <v>1</v>
      </c>
      <c r="U64" s="39" t="n">
        <v>1</v>
      </c>
      <c r="V64" s="39" t="n">
        <v>1</v>
      </c>
      <c r="W64" s="39" t="n">
        <v>1</v>
      </c>
      <c r="X64" s="39" t="n">
        <v>1</v>
      </c>
      <c r="Y64" s="39" t="n">
        <v>1</v>
      </c>
      <c r="Z64" s="39" t="n">
        <v>1</v>
      </c>
      <c r="AA64" s="39" t="n">
        <v>1</v>
      </c>
      <c r="AB64" s="39" t="n"/>
      <c r="AC64" s="6" t="n"/>
      <c r="AD64" s="6" t="n"/>
      <c r="AE64" s="6" t="n"/>
      <c r="AF64" s="380">
        <f>AD64+IF(NOT(ISBLANK(OFFSET(AF64,0,6))),N(OFFSET(AF64,0,6)),N(OFFSET(AF64,0,7)))-AE64</f>
        <v/>
      </c>
      <c r="AG64" s="41" t="n"/>
      <c r="AH64" s="138" t="n"/>
      <c r="AI64" s="138" t="n"/>
      <c r="AK64" s="76" t="n"/>
      <c r="AL64" s="628" t="n">
        <v>0</v>
      </c>
      <c r="AM64" s="19" t="n">
        <v>0</v>
      </c>
      <c r="AN64" s="19" t="n"/>
      <c r="AO64" s="19" t="n">
        <v>0</v>
      </c>
      <c r="AP64" s="19" t="n">
        <v>0</v>
      </c>
      <c r="AQ64" s="19" t="n"/>
      <c r="AR64" s="19" t="n"/>
      <c r="AS64" s="19" t="n"/>
      <c r="AT64" s="19" t="n"/>
      <c r="AU64" s="19" t="n"/>
      <c r="AV64" s="19" t="n"/>
      <c r="AW64" s="19" t="n"/>
      <c r="AX64" s="19" t="n"/>
      <c r="AY64" s="19" t="n"/>
      <c r="AZ64" s="19" t="n"/>
      <c r="BA64" s="19" t="n"/>
      <c r="BB64" s="19" t="n"/>
      <c r="BC64" s="19" t="n"/>
      <c r="BD64" s="19" t="n"/>
      <c r="BE64" s="19" t="n"/>
      <c r="BF64" s="19" t="n"/>
      <c r="BG64" s="19" t="n"/>
      <c r="BH64" s="19" t="n"/>
      <c r="BI64" s="19" t="n"/>
      <c r="BJ64" s="19" t="n"/>
      <c r="BK64" s="19" t="n"/>
      <c r="BL64" s="19" t="n"/>
      <c r="BM64" s="19" t="n"/>
      <c r="BN64" s="19" t="n"/>
    </row>
    <row r="65">
      <c r="A65" s="25" t="inlineStr">
        <is>
          <t>TAG QDB</t>
        </is>
      </c>
      <c r="B65" s="6" t="n">
        <v>300</v>
      </c>
      <c r="C65" s="632" t="n">
        <v>53.97</v>
      </c>
      <c r="D65" s="240" t="n">
        <v>1</v>
      </c>
      <c r="E65" s="1" t="n"/>
      <c r="F65" s="39" t="n">
        <v>3</v>
      </c>
      <c r="G65" s="39" t="n">
        <v>3</v>
      </c>
      <c r="H65" s="39" t="n">
        <v>3</v>
      </c>
      <c r="I65" s="39" t="n">
        <v>3</v>
      </c>
      <c r="J65" s="39" t="n">
        <v>3</v>
      </c>
      <c r="K65" s="39" t="n">
        <v>3</v>
      </c>
      <c r="L65" s="39" t="n">
        <v>3</v>
      </c>
      <c r="M65" s="39" t="n">
        <v>3</v>
      </c>
      <c r="N65" s="39" t="n">
        <v>3</v>
      </c>
      <c r="O65" s="39" t="n">
        <v>3</v>
      </c>
      <c r="P65" s="39" t="n">
        <v>3</v>
      </c>
      <c r="Q65" s="39" t="n">
        <v>3</v>
      </c>
      <c r="R65" s="39" t="n">
        <v>3</v>
      </c>
      <c r="S65" s="39" t="n">
        <v>3</v>
      </c>
      <c r="T65" s="39" t="n">
        <v>3</v>
      </c>
      <c r="U65" s="39" t="n">
        <v>3</v>
      </c>
      <c r="V65" s="39" t="n">
        <v>3</v>
      </c>
      <c r="W65" s="39" t="n">
        <v>3</v>
      </c>
      <c r="X65" s="39" t="n">
        <v>3</v>
      </c>
      <c r="Y65" s="39" t="n">
        <v>3</v>
      </c>
      <c r="Z65" s="39" t="n">
        <v>3</v>
      </c>
      <c r="AA65" s="39" t="n">
        <v>3</v>
      </c>
      <c r="AB65" s="39" t="n"/>
      <c r="AC65" s="6" t="n"/>
      <c r="AD65" s="6" t="n"/>
      <c r="AE65" s="6" t="n"/>
      <c r="AF65" s="380">
        <f>AD65+IF(NOT(ISBLANK(OFFSET(AF65,0,6))),N(OFFSET(AF65,0,6)),N(OFFSET(AF65,0,7)))-AE65</f>
        <v/>
      </c>
      <c r="AG65" s="41" t="n"/>
      <c r="AH65" s="138" t="n"/>
      <c r="AI65" s="138" t="n"/>
      <c r="AK65" s="76" t="n"/>
      <c r="AL65" s="628" t="n">
        <v>0</v>
      </c>
      <c r="AM65" s="19" t="n">
        <v>0</v>
      </c>
      <c r="AN65" s="19" t="n"/>
      <c r="AO65" s="19" t="n">
        <v>0</v>
      </c>
      <c r="AP65" s="19" t="n">
        <v>0</v>
      </c>
      <c r="AQ65" s="19" t="n"/>
      <c r="AR65" s="19" t="n"/>
      <c r="AS65" s="19" t="n"/>
      <c r="AT65" s="19" t="n"/>
      <c r="AU65" s="19" t="n"/>
      <c r="AV65" s="19" t="n"/>
      <c r="AW65" s="19" t="n"/>
      <c r="AX65" s="19" t="n"/>
      <c r="AY65" s="19" t="n"/>
      <c r="AZ65" s="19" t="n"/>
      <c r="BA65" s="19" t="n"/>
      <c r="BB65" s="19" t="n"/>
      <c r="BC65" s="19" t="n"/>
      <c r="BD65" s="19" t="n"/>
      <c r="BE65" s="19" t="n"/>
      <c r="BF65" s="19" t="n"/>
      <c r="BG65" s="19" t="n"/>
      <c r="BH65" s="19" t="n"/>
      <c r="BI65" s="19" t="n"/>
      <c r="BJ65" s="19" t="n"/>
      <c r="BK65" s="19" t="n"/>
      <c r="BL65" s="19" t="n"/>
      <c r="BM65" s="19" t="n"/>
      <c r="BN65" s="19" t="n"/>
    </row>
    <row r="66">
      <c r="A66" s="25" t="inlineStr">
        <is>
          <t>LÂMINA OLFATIVA QDB</t>
        </is>
      </c>
      <c r="B66" s="6" t="n">
        <v>3000</v>
      </c>
      <c r="C66" s="632" t="n">
        <v>213</v>
      </c>
      <c r="D66" s="240" t="n">
        <v>0</v>
      </c>
      <c r="E66" s="1" t="n"/>
      <c r="F66" s="39" t="n">
        <v>0</v>
      </c>
      <c r="G66" s="39" t="n">
        <v>0</v>
      </c>
      <c r="H66" s="39" t="n">
        <v>0</v>
      </c>
      <c r="I66" s="39" t="n">
        <v>0</v>
      </c>
      <c r="J66" s="39" t="n">
        <v>0</v>
      </c>
      <c r="K66" s="39" t="n">
        <v>0</v>
      </c>
      <c r="L66" s="39" t="n">
        <v>0</v>
      </c>
      <c r="M66" s="39" t="n">
        <v>0</v>
      </c>
      <c r="N66" s="39" t="n">
        <v>0</v>
      </c>
      <c r="O66" s="39" t="n">
        <v>0</v>
      </c>
      <c r="P66" s="39" t="n">
        <v>0</v>
      </c>
      <c r="Q66" s="39" t="n">
        <v>0</v>
      </c>
      <c r="R66" s="39" t="n">
        <v>0</v>
      </c>
      <c r="S66" s="39" t="n">
        <v>0</v>
      </c>
      <c r="T66" s="39" t="n">
        <v>0</v>
      </c>
      <c r="U66" s="39" t="n">
        <v>0</v>
      </c>
      <c r="V66" s="39" t="n">
        <v>0</v>
      </c>
      <c r="W66" s="39" t="n">
        <v>0</v>
      </c>
      <c r="X66" s="39" t="n">
        <v>0</v>
      </c>
      <c r="Y66" s="39" t="n">
        <v>0</v>
      </c>
      <c r="Z66" s="39" t="n">
        <v>0</v>
      </c>
      <c r="AA66" s="39" t="n">
        <v>0</v>
      </c>
      <c r="AB66" s="39" t="n"/>
      <c r="AC66" s="6" t="n"/>
      <c r="AD66" s="6" t="n"/>
      <c r="AE66" s="6" t="n"/>
      <c r="AF66" s="380">
        <f>AD66+IF(NOT(ISBLANK(OFFSET(AF66,0,6))),N(OFFSET(AF66,0,6)),N(OFFSET(AF66,0,7)))-AE66</f>
        <v/>
      </c>
      <c r="AG66" s="41" t="n"/>
      <c r="AH66" s="138" t="n"/>
      <c r="AI66" s="138" t="n"/>
      <c r="AK66" s="76" t="n"/>
      <c r="AL66" s="628" t="n">
        <v>0</v>
      </c>
      <c r="AM66" s="19" t="n">
        <v>0</v>
      </c>
      <c r="AN66" s="19" t="n"/>
      <c r="AO66" s="19" t="n">
        <v>0</v>
      </c>
      <c r="AP66" s="19" t="n">
        <v>0</v>
      </c>
      <c r="AQ66" s="19" t="n"/>
      <c r="AR66" s="19" t="n"/>
      <c r="AS66" s="19" t="n"/>
      <c r="AT66" s="19" t="n"/>
      <c r="AU66" s="19" t="n"/>
      <c r="AV66" s="19" t="n"/>
      <c r="AW66" s="19" t="n"/>
      <c r="AX66" s="19" t="n"/>
      <c r="AY66" s="19" t="n"/>
      <c r="AZ66" s="19" t="n"/>
      <c r="BA66" s="19" t="n"/>
      <c r="BB66" s="19" t="n"/>
      <c r="BC66" s="19" t="n"/>
      <c r="BD66" s="19" t="n"/>
      <c r="BE66" s="19" t="n"/>
      <c r="BF66" s="19" t="n"/>
      <c r="BG66" s="19" t="n"/>
      <c r="BH66" s="19" t="n"/>
      <c r="BI66" s="19" t="n"/>
      <c r="BJ66" s="19" t="n"/>
      <c r="BK66" s="19" t="n"/>
      <c r="BL66" s="19" t="n"/>
      <c r="BM66" s="19" t="n"/>
      <c r="BN66" s="19" t="n"/>
    </row>
    <row r="67">
      <c r="A67" s="25" t="inlineStr">
        <is>
          <t>CAIXA P QDB</t>
        </is>
      </c>
      <c r="B67" s="6" t="n">
        <v>150</v>
      </c>
      <c r="C67" s="632" t="n">
        <v>306</v>
      </c>
      <c r="D67" s="240" t="n">
        <v>10</v>
      </c>
      <c r="E67" s="1" t="n"/>
      <c r="F67" s="39" t="n">
        <v>12</v>
      </c>
      <c r="G67" s="39" t="n">
        <v>12</v>
      </c>
      <c r="H67" s="39" t="n">
        <v>12</v>
      </c>
      <c r="I67" s="39" t="n">
        <v>12</v>
      </c>
      <c r="J67" s="39" t="n">
        <v>12</v>
      </c>
      <c r="K67" s="39" t="n">
        <v>12</v>
      </c>
      <c r="L67" s="39" t="n">
        <v>12</v>
      </c>
      <c r="M67" s="39" t="n">
        <v>12</v>
      </c>
      <c r="N67" s="39" t="n">
        <v>12</v>
      </c>
      <c r="O67" s="39" t="n">
        <v>12</v>
      </c>
      <c r="P67" s="39" t="n">
        <v>11</v>
      </c>
      <c r="Q67" s="39" t="n">
        <v>11</v>
      </c>
      <c r="R67" s="39" t="n">
        <v>11</v>
      </c>
      <c r="S67" s="39" t="n">
        <v>11</v>
      </c>
      <c r="T67" s="39" t="n">
        <v>11</v>
      </c>
      <c r="U67" s="39" t="n">
        <v>11</v>
      </c>
      <c r="V67" s="39" t="n"/>
      <c r="W67" s="39" t="n"/>
      <c r="X67" s="39" t="n"/>
      <c r="Y67" s="39" t="n"/>
      <c r="Z67" s="39" t="n"/>
      <c r="AA67" s="39" t="n">
        <v>11</v>
      </c>
      <c r="AB67" s="39" t="n">
        <v>11</v>
      </c>
      <c r="AC67" s="6" t="n">
        <v>11</v>
      </c>
      <c r="AD67" s="6" t="n">
        <v>11</v>
      </c>
      <c r="AE67" s="6" t="n">
        <v>11</v>
      </c>
      <c r="AF67" s="380">
        <f>AD67+IF(NOT(ISBLANK(OFFSET(AF67,0,6))),N(OFFSET(AF67,0,6)),N(OFFSET(AF67,0,7)))-AE67</f>
        <v/>
      </c>
      <c r="AG67" s="41" t="n"/>
      <c r="AH67" s="138" t="n"/>
      <c r="AI67" s="138" t="n"/>
      <c r="AK67" s="76" t="n"/>
      <c r="AL67" s="628" t="n">
        <v>0</v>
      </c>
      <c r="AM67" s="19" t="n">
        <v>0</v>
      </c>
      <c r="AN67" s="19" t="n"/>
      <c r="AO67" s="19" t="n">
        <v>0</v>
      </c>
      <c r="AP67" s="19" t="n">
        <v>0</v>
      </c>
      <c r="AQ67" s="163" t="n"/>
      <c r="AR67" s="163" t="n"/>
      <c r="AS67" s="163" t="n"/>
      <c r="AT67" s="163" t="n"/>
      <c r="AU67" s="163" t="n"/>
      <c r="AV67" s="163" t="n"/>
      <c r="AW67" s="163" t="n"/>
      <c r="AX67" s="163" t="n"/>
      <c r="AY67" s="163" t="n"/>
      <c r="AZ67" s="163" t="n"/>
      <c r="BA67" s="163" t="n"/>
      <c r="BB67" s="163" t="n"/>
      <c r="BC67" s="163" t="n"/>
      <c r="BD67" s="163" t="n"/>
      <c r="BE67" s="163" t="n"/>
      <c r="BF67" s="163" t="n"/>
      <c r="BG67" s="163" t="n"/>
      <c r="BH67" s="163" t="n"/>
      <c r="BI67" s="163" t="n"/>
      <c r="BJ67" s="163" t="n"/>
      <c r="BK67" s="163" t="n"/>
      <c r="BL67" s="163" t="n"/>
      <c r="BM67" s="163" t="n"/>
      <c r="BN67" s="163" t="n"/>
    </row>
    <row r="68">
      <c r="A68" s="25" t="inlineStr">
        <is>
          <t>CAIXA M QDB</t>
        </is>
      </c>
      <c r="B68" s="6" t="n">
        <v>75</v>
      </c>
      <c r="C68" s="632" t="n">
        <v>216.38</v>
      </c>
      <c r="D68" s="240" t="n">
        <v>10</v>
      </c>
      <c r="E68" s="1" t="n"/>
      <c r="F68" s="39" t="n">
        <v>0</v>
      </c>
      <c r="G68" s="39" t="n">
        <v>0</v>
      </c>
      <c r="H68" s="39" t="n">
        <v>0</v>
      </c>
      <c r="I68" s="39" t="n">
        <v>0</v>
      </c>
      <c r="J68" s="39" t="n">
        <v>0</v>
      </c>
      <c r="K68" s="39" t="n">
        <v>0</v>
      </c>
      <c r="L68" s="39" t="n">
        <v>0</v>
      </c>
      <c r="M68" s="39" t="n">
        <v>0</v>
      </c>
      <c r="N68" s="39" t="n">
        <v>0</v>
      </c>
      <c r="O68" s="39" t="n">
        <v>0</v>
      </c>
      <c r="P68" s="39" t="n">
        <v>0</v>
      </c>
      <c r="Q68" s="39" t="n">
        <v>0</v>
      </c>
      <c r="R68" s="39" t="n">
        <v>0</v>
      </c>
      <c r="S68" s="39" t="n">
        <v>0</v>
      </c>
      <c r="T68" s="39" t="n">
        <v>0</v>
      </c>
      <c r="U68" s="39" t="n">
        <v>0</v>
      </c>
      <c r="V68" s="39" t="n"/>
      <c r="W68" s="39" t="n"/>
      <c r="X68" s="39" t="n"/>
      <c r="Y68" s="39" t="n"/>
      <c r="Z68" s="39" t="n"/>
      <c r="AA68" s="39" t="n">
        <v>0</v>
      </c>
      <c r="AB68" s="39" t="n">
        <v>0</v>
      </c>
      <c r="AC68" s="6" t="n">
        <v>0</v>
      </c>
      <c r="AD68" s="6" t="n">
        <v>0</v>
      </c>
      <c r="AE68" s="6" t="n">
        <v>0</v>
      </c>
      <c r="AF68" s="380">
        <f>AD68+IF(NOT(ISBLANK(OFFSET(AF68,0,6))),N(OFFSET(AF68,0,6)),N(OFFSET(AF68,0,7)))-AE68</f>
        <v/>
      </c>
      <c r="AG68" s="41" t="n"/>
      <c r="AH68" s="138" t="n"/>
      <c r="AI68" s="138" t="n"/>
      <c r="AK68" s="76" t="n"/>
      <c r="AL68" s="628" t="n">
        <v>0</v>
      </c>
      <c r="AM68" s="19" t="n">
        <v>0</v>
      </c>
      <c r="AN68" s="19" t="n"/>
      <c r="AO68" s="19" t="n">
        <v>0</v>
      </c>
      <c r="AP68" s="19" t="n">
        <v>0</v>
      </c>
      <c r="AQ68" s="19" t="n"/>
      <c r="AR68" s="19" t="n"/>
      <c r="AS68" s="19" t="n"/>
      <c r="AT68" s="19" t="n"/>
      <c r="AU68" s="19" t="n"/>
      <c r="AV68" s="19" t="n"/>
      <c r="AW68" s="19" t="n"/>
      <c r="AX68" s="19" t="n"/>
      <c r="AY68" s="19" t="n"/>
      <c r="AZ68" s="19" t="n"/>
      <c r="BA68" s="19" t="n"/>
      <c r="BB68" s="19" t="n"/>
      <c r="BC68" s="19" t="n"/>
      <c r="BD68" s="19" t="n"/>
      <c r="BE68" s="19" t="n"/>
      <c r="BF68" s="19" t="n"/>
      <c r="BG68" s="19" t="n"/>
      <c r="BH68" s="19" t="n"/>
      <c r="BI68" s="19" t="n"/>
      <c r="BJ68" s="19" t="n"/>
      <c r="BK68" s="19" t="n"/>
      <c r="BL68" s="19" t="n"/>
      <c r="BM68" s="19" t="n"/>
      <c r="BN68" s="19" t="n"/>
    </row>
    <row r="69">
      <c r="A69" s="25" t="inlineStr">
        <is>
          <t>CAIXA G QDB</t>
        </is>
      </c>
      <c r="B69" s="6" t="n">
        <v>100</v>
      </c>
      <c r="C69" s="632" t="n">
        <v>306</v>
      </c>
      <c r="D69" s="240" t="n">
        <v>5</v>
      </c>
      <c r="E69" s="1" t="n"/>
      <c r="F69" s="39" t="n">
        <v>23</v>
      </c>
      <c r="G69" s="39" t="n">
        <v>22</v>
      </c>
      <c r="H69" s="39" t="n">
        <v>22</v>
      </c>
      <c r="I69" s="39" t="n">
        <v>22</v>
      </c>
      <c r="J69" s="39" t="n">
        <v>22</v>
      </c>
      <c r="K69" s="39" t="n">
        <v>21</v>
      </c>
      <c r="L69" s="39" t="n">
        <v>21</v>
      </c>
      <c r="M69" s="39" t="n">
        <v>21</v>
      </c>
      <c r="N69" s="39" t="n">
        <v>21</v>
      </c>
      <c r="O69" s="39" t="n">
        <v>21</v>
      </c>
      <c r="P69" s="39" t="n">
        <v>21</v>
      </c>
      <c r="Q69" s="39" t="n">
        <v>21</v>
      </c>
      <c r="R69" s="39" t="n">
        <v>21</v>
      </c>
      <c r="S69" s="39" t="n">
        <v>21</v>
      </c>
      <c r="T69" s="39" t="n">
        <v>21</v>
      </c>
      <c r="U69" s="39" t="n">
        <v>21</v>
      </c>
      <c r="V69" s="39" t="n"/>
      <c r="W69" s="39" t="n"/>
      <c r="X69" s="39" t="n"/>
      <c r="Y69" s="39" t="n"/>
      <c r="Z69" s="39" t="n"/>
      <c r="AA69" s="39" t="n">
        <v>20</v>
      </c>
      <c r="AB69" s="39" t="n">
        <v>20</v>
      </c>
      <c r="AC69" s="6" t="n">
        <v>20</v>
      </c>
      <c r="AD69" s="6" t="n">
        <v>20</v>
      </c>
      <c r="AE69" s="6" t="n">
        <v>20</v>
      </c>
      <c r="AF69" s="380">
        <f>AD69+IF(NOT(ISBLANK(OFFSET(AF69,0,6))),N(OFFSET(AF69,0,6)),N(OFFSET(AF69,0,7)))-AE69</f>
        <v/>
      </c>
      <c r="AG69" s="41" t="n"/>
      <c r="AH69" s="138" t="n"/>
      <c r="AI69" s="138" t="n"/>
      <c r="AK69" s="76" t="n"/>
      <c r="AL69" s="628" t="n">
        <v>0</v>
      </c>
      <c r="AM69" s="19" t="n">
        <v>0</v>
      </c>
      <c r="AN69" s="19" t="n"/>
      <c r="AO69" s="19" t="n">
        <v>0</v>
      </c>
      <c r="AP69" s="19" t="n">
        <v>0</v>
      </c>
      <c r="AQ69" s="163" t="n"/>
      <c r="AR69" s="163" t="n"/>
      <c r="AS69" s="163" t="n"/>
      <c r="AT69" s="163" t="n"/>
      <c r="AU69" s="163" t="n"/>
      <c r="AV69" s="163" t="n"/>
      <c r="AW69" s="163" t="n"/>
      <c r="AX69" s="163" t="n"/>
      <c r="AY69" s="163" t="n"/>
      <c r="AZ69" s="163" t="n"/>
      <c r="BA69" s="163" t="n"/>
      <c r="BB69" s="163" t="n"/>
      <c r="BC69" s="163" t="n"/>
      <c r="BD69" s="163" t="n"/>
      <c r="BE69" s="163" t="n"/>
      <c r="BF69" s="163" t="n"/>
      <c r="BG69" s="163" t="n"/>
      <c r="BH69" s="163" t="n"/>
      <c r="BI69" s="163" t="n"/>
      <c r="BJ69" s="163" t="n"/>
      <c r="BK69" s="163" t="n"/>
      <c r="BL69" s="163" t="n"/>
      <c r="BM69" s="163" t="n"/>
      <c r="BN69" s="163" t="n"/>
    </row>
    <row r="70">
      <c r="B70" s="41" t="n"/>
      <c r="C70" s="684" t="n"/>
      <c r="D70" s="684" t="n"/>
      <c r="F70" s="2" t="n"/>
      <c r="G70" s="2" t="n"/>
      <c r="H70" s="2" t="n"/>
      <c r="I70" s="2" t="n"/>
      <c r="J70" s="2" t="n"/>
      <c r="K70" s="2" t="n"/>
      <c r="L70" s="2" t="n"/>
      <c r="M70" s="2" t="n"/>
      <c r="N70" s="2" t="n"/>
      <c r="O70" s="2" t="n"/>
      <c r="P70" s="2" t="n"/>
      <c r="Q70" s="2" t="n"/>
      <c r="R70" s="2" t="n"/>
      <c r="S70" s="2" t="n"/>
      <c r="T70" s="2" t="n"/>
      <c r="U70" s="2" t="n"/>
      <c r="V70" s="2" t="n"/>
      <c r="W70" s="2" t="n"/>
      <c r="X70" s="2" t="n"/>
      <c r="Y70" s="2" t="n"/>
      <c r="Z70" s="2" t="n"/>
      <c r="AA70" s="2" t="n"/>
      <c r="AB70" s="2" t="n"/>
      <c r="AC70" s="1" t="n"/>
      <c r="AD70" s="1" t="n"/>
      <c r="AE70" s="1" t="n"/>
      <c r="AF70" s="2" t="n"/>
      <c r="AH70" s="75" t="n"/>
      <c r="AI70" s="75" t="n"/>
      <c r="AJ70" s="1" t="n"/>
      <c r="AK70" s="15" t="n"/>
      <c r="AL70" s="396" t="n"/>
      <c r="AM70" s="75" t="n"/>
      <c r="AN70" s="75" t="n"/>
      <c r="AO70" s="75" t="n"/>
      <c r="AP70" s="75" t="n"/>
      <c r="AQ70" s="75" t="n"/>
      <c r="AR70" s="75" t="n"/>
      <c r="AS70" s="75" t="n"/>
      <c r="AT70" s="75" t="n"/>
      <c r="AU70" s="75" t="n"/>
      <c r="AV70" s="75" t="n"/>
      <c r="AW70" s="75" t="n"/>
      <c r="AX70" s="75" t="n"/>
      <c r="AY70" s="75" t="n"/>
      <c r="AZ70" s="75" t="n"/>
      <c r="BA70" s="75" t="n"/>
      <c r="BB70" s="75" t="n"/>
      <c r="BC70" s="75" t="n"/>
      <c r="BD70" s="75" t="n"/>
      <c r="BE70" s="75" t="n"/>
      <c r="BF70" s="75" t="n"/>
      <c r="BG70" s="75" t="n"/>
      <c r="BH70" s="75" t="n"/>
      <c r="BI70" s="75" t="n"/>
      <c r="BJ70" s="75" t="n"/>
      <c r="BK70" s="75" t="n"/>
      <c r="BL70" s="75" t="n"/>
      <c r="BM70" s="75" t="n"/>
      <c r="BN70" s="75" t="n"/>
    </row>
    <row r="71">
      <c r="A71" s="220" t="inlineStr">
        <is>
          <t>SACOLAS E CAIXAS EUDORA</t>
        </is>
      </c>
      <c r="B71" s="221" t="n"/>
      <c r="C71" s="221" t="n"/>
      <c r="D71" s="221" t="n"/>
      <c r="F71" s="619" t="n">
        <v>46006</v>
      </c>
      <c r="G71" s="619" t="n">
        <v>46013</v>
      </c>
      <c r="H71" s="619" t="n">
        <v>46020</v>
      </c>
      <c r="I71" s="619" t="n">
        <v>46027</v>
      </c>
      <c r="J71" s="619" t="n">
        <v>46034</v>
      </c>
      <c r="K71" s="619" t="n">
        <v>46041</v>
      </c>
      <c r="L71" s="619" t="n">
        <v>46048</v>
      </c>
      <c r="M71" s="619" t="n">
        <v>46055</v>
      </c>
      <c r="N71" s="619" t="n">
        <v>46062</v>
      </c>
      <c r="O71" s="619" t="n">
        <v>46069</v>
      </c>
      <c r="P71" s="619" t="n">
        <v>46076</v>
      </c>
      <c r="Q71" s="619" t="n">
        <v>46083</v>
      </c>
      <c r="R71" s="619" t="n">
        <v>46090</v>
      </c>
      <c r="S71" s="619" t="n">
        <v>46097</v>
      </c>
      <c r="T71" s="619" t="n">
        <v>46104</v>
      </c>
      <c r="U71" s="619" t="n">
        <v>46111</v>
      </c>
      <c r="V71" s="619" t="n">
        <v>46118</v>
      </c>
      <c r="W71" s="619" t="n">
        <v>46125</v>
      </c>
      <c r="X71" s="619" t="n">
        <v>46132</v>
      </c>
      <c r="Y71" s="619" t="n">
        <v>46139</v>
      </c>
      <c r="Z71" s="619" t="n">
        <v>46146</v>
      </c>
      <c r="AA71" s="619" t="n">
        <v>46154</v>
      </c>
      <c r="AB71" s="619" t="n">
        <v>46160</v>
      </c>
      <c r="AC71" s="620" t="n">
        <v>46161.48013502315</v>
      </c>
      <c r="AD71" s="620" t="n">
        <v>46161.48080876157</v>
      </c>
      <c r="AE71" s="620" t="n">
        <v>46161.48296567702</v>
      </c>
      <c r="AF71" s="621" t="inlineStr">
        <is>
          <t>USOU</t>
        </is>
      </c>
      <c r="AH71" s="29" t="inlineStr">
        <is>
          <t>Pendências</t>
        </is>
      </c>
      <c r="AI71" s="29" t="inlineStr">
        <is>
          <t>Pendências</t>
        </is>
      </c>
      <c r="AJ71" s="1" t="n"/>
      <c r="AK71" s="9" t="inlineStr">
        <is>
          <t>Novo Pedido</t>
        </is>
      </c>
      <c r="AL71" s="673" t="n">
        <v>46161.48296499597</v>
      </c>
      <c r="AM71" s="674" t="n">
        <v>46149</v>
      </c>
      <c r="AN71" s="615" t="n">
        <v>46150</v>
      </c>
      <c r="AO71" s="674" t="n">
        <v>46142</v>
      </c>
      <c r="AP71" s="674" t="n">
        <v>46114</v>
      </c>
      <c r="AQ71" s="674" t="n">
        <v>46107</v>
      </c>
      <c r="AR71" s="674" t="n">
        <v>46099</v>
      </c>
      <c r="AS71" s="675" t="n">
        <v>46065</v>
      </c>
      <c r="AT71" s="674" t="n">
        <v>46092</v>
      </c>
      <c r="AU71" s="674" t="n">
        <v>46084</v>
      </c>
      <c r="AV71" s="675" t="n">
        <v>46065</v>
      </c>
      <c r="AW71" s="676" t="n">
        <v>46045</v>
      </c>
      <c r="AX71" s="674" t="n">
        <v>46077</v>
      </c>
      <c r="AY71" s="674" t="n">
        <v>46071</v>
      </c>
      <c r="AZ71" s="674" t="n">
        <v>46056</v>
      </c>
      <c r="BA71" s="674" t="n">
        <v>46048</v>
      </c>
      <c r="BB71" s="674" t="n">
        <v>46043</v>
      </c>
      <c r="BC71" s="674" t="n">
        <v>46035</v>
      </c>
      <c r="BD71" s="674" t="n">
        <v>46029</v>
      </c>
      <c r="BE71" s="674" t="n">
        <v>46035</v>
      </c>
      <c r="BF71" s="674" t="n">
        <v>46029</v>
      </c>
      <c r="BG71" s="674" t="n">
        <v>46024</v>
      </c>
      <c r="BH71" s="674" t="n">
        <v>46007</v>
      </c>
      <c r="BI71" s="674" t="n">
        <v>46001</v>
      </c>
      <c r="BJ71" s="674" t="n">
        <v>46001</v>
      </c>
      <c r="BK71" s="674" t="n">
        <v>45994</v>
      </c>
      <c r="BL71" s="674" t="n">
        <v>45986</v>
      </c>
      <c r="BM71" s="674" t="n">
        <v>45986</v>
      </c>
      <c r="BN71" s="674" t="n">
        <v>45980</v>
      </c>
    </row>
    <row r="72">
      <c r="A72" s="25" t="inlineStr">
        <is>
          <t>SACOLA P EUDORA</t>
        </is>
      </c>
      <c r="B72" s="6" t="n">
        <v>200</v>
      </c>
      <c r="C72" s="632" t="n">
        <v>183.24</v>
      </c>
      <c r="D72" s="240" t="inlineStr">
        <is>
          <t>?</t>
        </is>
      </c>
      <c r="F72" s="39" t="n">
        <v>1000</v>
      </c>
      <c r="G72" s="39">
        <f>800+BE72</f>
        <v/>
      </c>
      <c r="H72" s="39" t="n">
        <v>1000</v>
      </c>
      <c r="I72" s="39" t="n">
        <v>800</v>
      </c>
      <c r="J72" s="39" t="n">
        <v>400</v>
      </c>
      <c r="K72" s="39" t="n">
        <v>0</v>
      </c>
      <c r="L72" s="39">
        <f>400+AZ72</f>
        <v/>
      </c>
      <c r="M72" s="39" t="n">
        <v>400</v>
      </c>
      <c r="N72" s="39">
        <f>0+AW72</f>
        <v/>
      </c>
      <c r="O72" s="39" t="n">
        <v>600</v>
      </c>
      <c r="P72" s="39" t="n">
        <v>400</v>
      </c>
      <c r="Q72" s="39" t="n">
        <v>200</v>
      </c>
      <c r="R72" s="39" t="n">
        <v>600</v>
      </c>
      <c r="S72" s="39" t="n">
        <v>0</v>
      </c>
      <c r="T72" s="39">
        <f>0+AO72</f>
        <v/>
      </c>
      <c r="U72" s="39" t="n">
        <v>600</v>
      </c>
      <c r="V72" s="39" t="n">
        <v>200</v>
      </c>
      <c r="W72" s="39" t="n">
        <v>200</v>
      </c>
      <c r="X72" s="39" t="n">
        <v>200</v>
      </c>
      <c r="Y72" s="39" t="n">
        <v>200</v>
      </c>
      <c r="Z72" s="39" t="n">
        <v>0</v>
      </c>
      <c r="AA72" s="39">
        <f>0+AJ72</f>
        <v/>
      </c>
      <c r="AB72" s="39" t="n"/>
      <c r="AC72" s="6" t="n"/>
      <c r="AD72" s="6" t="n"/>
      <c r="AE72" s="6" t="n"/>
      <c r="AF72" s="380">
        <f>AD72+IF(NOT(ISBLANK(OFFSET(AF72,0,6))),N(OFFSET(AF72,0,6)),N(OFFSET(AF72,0,7)))-AE72</f>
        <v/>
      </c>
      <c r="AH72" s="138" t="n"/>
      <c r="AI72" s="138" t="n"/>
      <c r="AJ72" s="1" t="n"/>
      <c r="AK72" s="76" t="n"/>
      <c r="AL72" s="628" t="n">
        <v>0</v>
      </c>
      <c r="AM72" s="19" t="n">
        <v>600</v>
      </c>
      <c r="AN72" s="19" t="n"/>
      <c r="AO72" s="19" t="n">
        <v>0</v>
      </c>
      <c r="AP72" s="19" t="n">
        <v>200</v>
      </c>
      <c r="AQ72" s="19" t="n"/>
      <c r="AR72" s="19" t="n">
        <v>800</v>
      </c>
      <c r="AS72" s="19" t="n"/>
      <c r="AT72" s="19" t="n"/>
      <c r="AU72" s="19" t="n">
        <v>600</v>
      </c>
      <c r="AV72" s="19" t="n"/>
      <c r="AW72" s="19" t="n"/>
      <c r="AX72" s="19" t="n"/>
      <c r="AY72" s="19" t="n"/>
      <c r="AZ72" s="19" t="n">
        <v>1000</v>
      </c>
      <c r="BA72" s="19" t="n"/>
      <c r="BB72" s="19" t="n"/>
      <c r="BC72" s="19" t="n">
        <v>800</v>
      </c>
      <c r="BD72" s="19" t="n">
        <v>400</v>
      </c>
      <c r="BE72" s="19" t="n"/>
      <c r="BF72" s="19" t="n"/>
      <c r="BG72" s="19" t="n"/>
      <c r="BH72" s="19" t="n">
        <v>400</v>
      </c>
      <c r="BI72" s="19" t="n">
        <v>600</v>
      </c>
      <c r="BJ72" s="19" t="n"/>
      <c r="BK72" s="19" t="n">
        <v>400</v>
      </c>
      <c r="BL72" s="19" t="n">
        <v>800</v>
      </c>
      <c r="BM72" s="19" t="n"/>
      <c r="BN72" s="19" t="n">
        <v>600</v>
      </c>
    </row>
    <row r="73">
      <c r="A73" s="25" t="inlineStr">
        <is>
          <t>SACOLA M EUDORA</t>
        </is>
      </c>
      <c r="B73" s="6" t="n">
        <v>200</v>
      </c>
      <c r="C73" s="632" t="n">
        <v>240.83</v>
      </c>
      <c r="D73" s="240" t="inlineStr">
        <is>
          <t>?</t>
        </is>
      </c>
      <c r="F73" s="39" t="n">
        <v>600</v>
      </c>
      <c r="G73" s="39">
        <f>600+BE73</f>
        <v/>
      </c>
      <c r="H73" s="39" t="n">
        <v>800</v>
      </c>
      <c r="I73" s="39" t="n">
        <v>800</v>
      </c>
      <c r="J73" s="39" t="n">
        <v>600</v>
      </c>
      <c r="K73" s="39" t="n">
        <v>600</v>
      </c>
      <c r="L73" s="39" t="n">
        <v>400</v>
      </c>
      <c r="M73" s="39" t="n">
        <v>400</v>
      </c>
      <c r="N73" s="39" t="n">
        <v>200</v>
      </c>
      <c r="O73" s="39" t="n">
        <v>200</v>
      </c>
      <c r="P73" s="39" t="n">
        <v>0</v>
      </c>
      <c r="Q73" s="39">
        <f>400+AU73</f>
        <v/>
      </c>
      <c r="R73" s="39" t="n">
        <v>600</v>
      </c>
      <c r="S73" s="39" t="n">
        <v>600</v>
      </c>
      <c r="T73" s="39" t="n">
        <v>600</v>
      </c>
      <c r="U73" s="39" t="n">
        <v>600</v>
      </c>
      <c r="V73" s="39" t="n">
        <v>600</v>
      </c>
      <c r="W73" s="39" t="n">
        <v>600</v>
      </c>
      <c r="X73" s="39" t="n">
        <v>600</v>
      </c>
      <c r="Y73" s="39" t="n">
        <v>400</v>
      </c>
      <c r="Z73" s="39" t="n">
        <v>200</v>
      </c>
      <c r="AA73" s="39" t="n">
        <v>0</v>
      </c>
      <c r="AB73" s="39" t="n"/>
      <c r="AC73" s="6" t="n"/>
      <c r="AD73" s="6" t="n"/>
      <c r="AE73" s="6" t="n"/>
      <c r="AF73" s="380">
        <f>AD73+IF(NOT(ISBLANK(OFFSET(AF73,0,6))),N(OFFSET(AF73,0,6)),N(OFFSET(AF73,0,7)))-AE73</f>
        <v/>
      </c>
      <c r="AH73" s="138" t="n"/>
      <c r="AI73" s="138" t="n"/>
      <c r="AJ73" s="1" t="n"/>
      <c r="AK73" s="76" t="n"/>
      <c r="AL73" s="628" t="n">
        <v>0</v>
      </c>
      <c r="AM73" s="19" t="n">
        <v>0</v>
      </c>
      <c r="AN73" s="19" t="n"/>
      <c r="AO73" s="19" t="n">
        <v>0</v>
      </c>
      <c r="AP73" s="19" t="n">
        <v>0</v>
      </c>
      <c r="AQ73" s="19" t="n"/>
      <c r="AR73" s="19" t="n"/>
      <c r="AS73" s="19" t="n"/>
      <c r="AT73" s="19" t="n"/>
      <c r="AU73" s="19" t="n"/>
      <c r="AV73" s="19" t="n"/>
      <c r="AW73" s="19" t="n"/>
      <c r="AX73" s="19" t="n">
        <v>400</v>
      </c>
      <c r="AY73" s="19" t="n">
        <v>600</v>
      </c>
      <c r="AZ73" s="19" t="n"/>
      <c r="BA73" s="19" t="n"/>
      <c r="BB73" s="19" t="n"/>
      <c r="BC73" s="19" t="n"/>
      <c r="BD73" s="19" t="n"/>
      <c r="BE73" s="19" t="n"/>
      <c r="BF73" s="19" t="n"/>
      <c r="BG73" s="19" t="n"/>
      <c r="BH73" s="19" t="n">
        <v>200</v>
      </c>
      <c r="BI73" s="19" t="n"/>
      <c r="BJ73" s="19" t="n"/>
      <c r="BK73" s="19" t="n">
        <v>200</v>
      </c>
      <c r="BL73" s="19" t="n">
        <v>400</v>
      </c>
      <c r="BM73" s="19" t="n"/>
      <c r="BN73" s="19" t="n"/>
    </row>
    <row r="74">
      <c r="A74" s="25" t="inlineStr">
        <is>
          <t>SACOLA G EUDORA</t>
        </is>
      </c>
      <c r="B74" s="6" t="n">
        <v>100</v>
      </c>
      <c r="C74" s="632" t="n">
        <v>175.13</v>
      </c>
      <c r="D74" s="240" t="inlineStr">
        <is>
          <t>?</t>
        </is>
      </c>
      <c r="F74" s="39" t="n">
        <v>300</v>
      </c>
      <c r="G74" s="39">
        <f>300+BF74</f>
        <v/>
      </c>
      <c r="H74" s="39" t="n">
        <v>800</v>
      </c>
      <c r="I74" s="39" t="n">
        <v>700</v>
      </c>
      <c r="J74" s="39" t="n">
        <v>600</v>
      </c>
      <c r="K74" s="39" t="n">
        <v>600</v>
      </c>
      <c r="L74" s="39" t="n">
        <v>600</v>
      </c>
      <c r="M74" s="39" t="n">
        <v>500</v>
      </c>
      <c r="N74" s="39" t="n">
        <v>500</v>
      </c>
      <c r="O74" s="39" t="n">
        <v>500</v>
      </c>
      <c r="P74" s="39" t="n">
        <v>500</v>
      </c>
      <c r="Q74" s="39" t="n">
        <v>400</v>
      </c>
      <c r="R74" s="39" t="n">
        <v>300</v>
      </c>
      <c r="S74" s="39" t="n">
        <v>300</v>
      </c>
      <c r="T74" s="39" t="n">
        <v>300</v>
      </c>
      <c r="U74" s="39" t="n">
        <v>200</v>
      </c>
      <c r="V74" s="39" t="n">
        <v>200</v>
      </c>
      <c r="W74" s="39" t="n">
        <v>300</v>
      </c>
      <c r="X74" s="39" t="n">
        <v>300</v>
      </c>
      <c r="Y74" s="39" t="n">
        <v>300</v>
      </c>
      <c r="Z74" s="39" t="n">
        <v>300</v>
      </c>
      <c r="AA74" s="39" t="n">
        <v>200</v>
      </c>
      <c r="AB74" s="39" t="n"/>
      <c r="AC74" s="6" t="n"/>
      <c r="AD74" s="6" t="n"/>
      <c r="AE74" s="6" t="n"/>
      <c r="AF74" s="380">
        <f>AD74+IF(NOT(ISBLANK(OFFSET(AF74,0,6))),N(OFFSET(AF74,0,6)),N(OFFSET(AF74,0,7)))-AE74</f>
        <v/>
      </c>
      <c r="AH74" s="138" t="n"/>
      <c r="AI74" s="138" t="n"/>
      <c r="AJ74" s="1" t="n"/>
      <c r="AK74" s="76" t="n"/>
      <c r="AL74" s="628" t="n">
        <v>0</v>
      </c>
      <c r="AM74" s="19" t="n">
        <v>0</v>
      </c>
      <c r="AN74" s="19" t="n"/>
      <c r="AO74" s="19" t="n">
        <v>0</v>
      </c>
      <c r="AP74" s="19" t="n">
        <v>100</v>
      </c>
      <c r="AQ74" s="19" t="n"/>
      <c r="AR74" s="19" t="n"/>
      <c r="AS74" s="19" t="n"/>
      <c r="AT74" s="19" t="n"/>
      <c r="AU74" s="19" t="n"/>
      <c r="AV74" s="19" t="n"/>
      <c r="AW74" s="19" t="n"/>
      <c r="AX74" s="19" t="n"/>
      <c r="AY74" s="19" t="n"/>
      <c r="AZ74" s="19" t="n"/>
      <c r="BA74" s="19" t="n"/>
      <c r="BB74" s="19" t="n"/>
      <c r="BC74" s="19" t="n"/>
      <c r="BD74" s="19" t="n"/>
      <c r="BE74" s="19" t="n"/>
      <c r="BF74" s="19" t="n"/>
      <c r="BG74" s="19" t="n"/>
      <c r="BH74" s="19" t="n"/>
      <c r="BI74" s="19" t="n">
        <v>500</v>
      </c>
      <c r="BJ74" s="19" t="n"/>
      <c r="BK74" s="19" t="n"/>
      <c r="BL74" s="19" t="n"/>
      <c r="BM74" s="19" t="n">
        <v>200</v>
      </c>
      <c r="BN74" s="19" t="n"/>
    </row>
    <row r="75">
      <c r="A75" s="538" t="inlineStr">
        <is>
          <t>PAPEL DE SEDA EUDORA</t>
        </is>
      </c>
      <c r="B75" s="223" t="n">
        <v>200</v>
      </c>
      <c r="C75" s="683" t="n">
        <v>29.77</v>
      </c>
      <c r="D75" s="240" t="inlineStr">
        <is>
          <t>?</t>
        </is>
      </c>
      <c r="F75" s="39" t="n">
        <v>2</v>
      </c>
      <c r="G75" s="39" t="n">
        <v>2</v>
      </c>
      <c r="H75" s="39" t="n">
        <v>2</v>
      </c>
      <c r="I75" s="39" t="n">
        <v>2</v>
      </c>
      <c r="J75" s="39" t="n">
        <v>2</v>
      </c>
      <c r="K75" s="39" t="n">
        <v>2</v>
      </c>
      <c r="L75" s="39" t="n">
        <v>2</v>
      </c>
      <c r="M75" s="39" t="n">
        <v>2</v>
      </c>
      <c r="N75" s="39" t="n">
        <v>2</v>
      </c>
      <c r="O75" s="39" t="n">
        <v>2</v>
      </c>
      <c r="P75" s="39" t="n">
        <v>2</v>
      </c>
      <c r="Q75" s="39" t="n">
        <v>2</v>
      </c>
      <c r="R75" s="39" t="n">
        <v>2</v>
      </c>
      <c r="S75" s="39" t="n">
        <v>2</v>
      </c>
      <c r="T75" s="39" t="n">
        <v>2</v>
      </c>
      <c r="U75" s="39" t="n">
        <v>2</v>
      </c>
      <c r="V75" s="39" t="n">
        <v>2</v>
      </c>
      <c r="W75" s="39" t="n">
        <v>2</v>
      </c>
      <c r="X75" s="39" t="n">
        <v>2</v>
      </c>
      <c r="Y75" s="39" t="n">
        <v>2</v>
      </c>
      <c r="Z75" s="39" t="n">
        <v>2</v>
      </c>
      <c r="AA75" s="39" t="n">
        <v>2</v>
      </c>
      <c r="AB75" s="39" t="n"/>
      <c r="AC75" s="6" t="n"/>
      <c r="AD75" s="6" t="n"/>
      <c r="AE75" s="6" t="n"/>
      <c r="AF75" s="380">
        <f>AD75+IF(NOT(ISBLANK(OFFSET(AF75,0,6))),N(OFFSET(AF75,0,6)),N(OFFSET(AF75,0,7)))-AE75</f>
        <v/>
      </c>
      <c r="AH75" s="138" t="n"/>
      <c r="AI75" s="138" t="n"/>
      <c r="AJ75" s="1" t="n"/>
      <c r="AK75" s="32" t="n"/>
      <c r="AL75" s="628" t="n">
        <v>0</v>
      </c>
      <c r="AM75" s="19" t="n">
        <v>0</v>
      </c>
      <c r="AN75" s="19" t="n"/>
      <c r="AO75" s="19" t="n">
        <v>0</v>
      </c>
      <c r="AP75" s="19" t="n">
        <v>0</v>
      </c>
      <c r="AQ75" s="19" t="n"/>
      <c r="AR75" s="19" t="n"/>
      <c r="AS75" s="19" t="n"/>
      <c r="AT75" s="19" t="n"/>
      <c r="AU75" s="19" t="n"/>
      <c r="AV75" s="19" t="n"/>
      <c r="AW75" s="19" t="n"/>
      <c r="AX75" s="19" t="n"/>
      <c r="AY75" s="19" t="n"/>
      <c r="AZ75" s="19" t="n"/>
      <c r="BA75" s="19" t="n"/>
      <c r="BB75" s="19" t="n"/>
      <c r="BC75" s="19" t="n"/>
      <c r="BD75" s="19" t="n"/>
      <c r="BE75" s="19" t="n"/>
      <c r="BF75" s="19" t="n"/>
      <c r="BG75" s="19" t="n"/>
      <c r="BH75" s="19" t="n"/>
      <c r="BI75" s="19" t="n"/>
      <c r="BJ75" s="19" t="n"/>
      <c r="BK75" s="19" t="n"/>
      <c r="BL75" s="19" t="n"/>
      <c r="BM75" s="19" t="n"/>
      <c r="BN75" s="19" t="n"/>
    </row>
    <row r="76">
      <c r="A76" s="538" t="inlineStr">
        <is>
          <t>ADESIVOS EUDORA</t>
        </is>
      </c>
      <c r="B76" s="223" t="n">
        <v>1000</v>
      </c>
      <c r="C76" s="683" t="n">
        <v>70</v>
      </c>
      <c r="D76" s="240" t="inlineStr">
        <is>
          <t>?</t>
        </is>
      </c>
      <c r="F76" s="39" t="n">
        <v>2</v>
      </c>
      <c r="G76" s="39" t="n">
        <v>2</v>
      </c>
      <c r="H76" s="39" t="n">
        <v>2</v>
      </c>
      <c r="I76" s="39" t="n">
        <v>2</v>
      </c>
      <c r="J76" s="39" t="n">
        <v>2</v>
      </c>
      <c r="K76" s="39" t="n">
        <v>2</v>
      </c>
      <c r="L76" s="39" t="n">
        <v>2</v>
      </c>
      <c r="M76" s="39" t="n">
        <v>2</v>
      </c>
      <c r="N76" s="39" t="n">
        <v>2</v>
      </c>
      <c r="O76" s="39" t="n">
        <v>2</v>
      </c>
      <c r="P76" s="39" t="n">
        <v>2</v>
      </c>
      <c r="Q76" s="39" t="n">
        <v>2</v>
      </c>
      <c r="R76" s="39" t="n">
        <v>2</v>
      </c>
      <c r="S76" s="39" t="n">
        <v>2</v>
      </c>
      <c r="T76" s="39" t="n">
        <v>2</v>
      </c>
      <c r="U76" s="39" t="n">
        <v>2</v>
      </c>
      <c r="V76" s="39" t="n">
        <v>1</v>
      </c>
      <c r="W76" s="39" t="n">
        <v>1</v>
      </c>
      <c r="X76" s="39" t="n">
        <v>1</v>
      </c>
      <c r="Y76" s="39" t="n">
        <v>1</v>
      </c>
      <c r="Z76" s="39" t="n">
        <v>1</v>
      </c>
      <c r="AA76" s="39" t="n">
        <v>1</v>
      </c>
      <c r="AB76" s="39" t="n"/>
      <c r="AC76" s="6" t="n"/>
      <c r="AD76" s="6" t="n"/>
      <c r="AE76" s="6" t="n"/>
      <c r="AF76" s="380">
        <f>AD76+IF(NOT(ISBLANK(OFFSET(AF76,0,6))),N(OFFSET(AF76,0,6)),N(OFFSET(AF76,0,7)))-AE76</f>
        <v/>
      </c>
      <c r="AH76" s="138" t="n"/>
      <c r="AI76" s="138" t="n"/>
      <c r="AJ76" s="1" t="n"/>
      <c r="AK76" s="76" t="n"/>
      <c r="AL76" s="628" t="n">
        <v>0</v>
      </c>
      <c r="AM76" s="19" t="n">
        <v>0</v>
      </c>
      <c r="AN76" s="19" t="n"/>
      <c r="AO76" s="19" t="n">
        <v>0</v>
      </c>
      <c r="AP76" s="19" t="n">
        <v>0</v>
      </c>
      <c r="AQ76" s="19" t="n"/>
      <c r="AR76" s="19" t="n"/>
      <c r="AS76" s="19" t="n"/>
      <c r="AT76" s="19" t="n"/>
      <c r="AU76" s="19" t="n"/>
      <c r="AV76" s="19" t="n"/>
      <c r="AW76" s="19" t="n"/>
      <c r="AX76" s="19" t="n"/>
      <c r="AY76" s="19" t="n"/>
      <c r="AZ76" s="19" t="n"/>
      <c r="BA76" s="19" t="n"/>
      <c r="BB76" s="19" t="n"/>
      <c r="BC76" s="19" t="n"/>
      <c r="BD76" s="19" t="n"/>
      <c r="BE76" s="19" t="n"/>
      <c r="BF76" s="19" t="n"/>
      <c r="BG76" s="19" t="n"/>
      <c r="BH76" s="19" t="n"/>
      <c r="BI76" s="19" t="n"/>
      <c r="BJ76" s="19" t="n"/>
      <c r="BK76" s="19" t="n"/>
      <c r="BL76" s="19" t="n"/>
      <c r="BM76" s="19" t="n"/>
      <c r="BN76" s="19" t="n"/>
    </row>
    <row r="77">
      <c r="A77" s="538" t="inlineStr">
        <is>
          <t>LÂMINA OLFATIVA EUDORA</t>
        </is>
      </c>
      <c r="B77" s="225" t="n">
        <v>2000</v>
      </c>
      <c r="C77" s="683" t="n">
        <v>71</v>
      </c>
      <c r="D77" s="240" t="n">
        <v>0</v>
      </c>
      <c r="F77" s="39" t="n">
        <v>0</v>
      </c>
      <c r="G77" s="39" t="n">
        <v>0</v>
      </c>
      <c r="H77" s="39" t="n">
        <v>0</v>
      </c>
      <c r="I77" s="39" t="n">
        <v>0</v>
      </c>
      <c r="J77" s="39" t="n">
        <v>0</v>
      </c>
      <c r="K77" s="39" t="n">
        <v>0</v>
      </c>
      <c r="L77" s="39" t="n">
        <v>0</v>
      </c>
      <c r="M77" s="39" t="n">
        <v>0</v>
      </c>
      <c r="N77" s="39" t="n">
        <v>0</v>
      </c>
      <c r="O77" s="39" t="n">
        <v>0</v>
      </c>
      <c r="P77" s="39" t="n">
        <v>0</v>
      </c>
      <c r="Q77" s="39" t="n">
        <v>0</v>
      </c>
      <c r="R77" s="39" t="n">
        <v>0</v>
      </c>
      <c r="S77" s="39" t="n">
        <v>0</v>
      </c>
      <c r="T77" s="39" t="n">
        <v>0</v>
      </c>
      <c r="U77" s="39" t="n">
        <v>0</v>
      </c>
      <c r="V77" s="39" t="n">
        <v>0</v>
      </c>
      <c r="W77" s="39" t="n">
        <v>0</v>
      </c>
      <c r="X77" s="39" t="n">
        <v>0</v>
      </c>
      <c r="Y77" s="39" t="n">
        <v>0</v>
      </c>
      <c r="Z77" s="39" t="n">
        <v>0</v>
      </c>
      <c r="AA77" s="39" t="n">
        <v>0</v>
      </c>
      <c r="AB77" s="39" t="n"/>
      <c r="AC77" s="6" t="n"/>
      <c r="AD77" s="6" t="n"/>
      <c r="AE77" s="6" t="n"/>
      <c r="AF77" s="380">
        <f>AD77+IF(NOT(ISBLANK(OFFSET(AF77,0,6))),N(OFFSET(AF77,0,6)),N(OFFSET(AF77,0,7)))-AE77</f>
        <v/>
      </c>
      <c r="AH77" s="138" t="n"/>
      <c r="AI77" s="138" t="n"/>
      <c r="AJ77" s="1" t="n"/>
      <c r="AK77" s="76" t="n"/>
      <c r="AL77" s="628" t="n">
        <v>0</v>
      </c>
      <c r="AM77" s="19" t="n">
        <v>0</v>
      </c>
      <c r="AN77" s="19" t="n"/>
      <c r="AO77" s="19" t="n">
        <v>0</v>
      </c>
      <c r="AP77" s="19" t="n">
        <v>0</v>
      </c>
      <c r="AQ77" s="19" t="n"/>
      <c r="AR77" s="19" t="n"/>
      <c r="AS77" s="19" t="n"/>
      <c r="AT77" s="19" t="n"/>
      <c r="AU77" s="19" t="n"/>
      <c r="AV77" s="19" t="n"/>
      <c r="AW77" s="19" t="n"/>
      <c r="AX77" s="19" t="n"/>
      <c r="AY77" s="19" t="n"/>
      <c r="AZ77" s="19" t="n"/>
      <c r="BA77" s="19" t="n"/>
      <c r="BB77" s="19" t="n"/>
      <c r="BC77" s="19" t="n"/>
      <c r="BD77" s="19" t="n"/>
      <c r="BE77" s="19" t="n"/>
      <c r="BF77" s="19" t="n"/>
      <c r="BG77" s="19" t="n"/>
      <c r="BH77" s="19" t="n"/>
      <c r="BI77" s="19" t="n"/>
      <c r="BJ77" s="19" t="n"/>
      <c r="BK77" s="19" t="n"/>
      <c r="BL77" s="19" t="n"/>
      <c r="BM77" s="19" t="n"/>
      <c r="BN77" s="19" t="n"/>
    </row>
    <row r="78">
      <c r="A78" s="538" t="inlineStr">
        <is>
          <t>KIT SACOLA P EUDORA (C/ 10)</t>
        </is>
      </c>
      <c r="B78" s="223" t="n">
        <v>200</v>
      </c>
      <c r="C78" s="683" t="n">
        <v>184.13</v>
      </c>
      <c r="D78" s="240" t="n">
        <v>15</v>
      </c>
      <c r="F78" s="39" t="n">
        <v>2</v>
      </c>
      <c r="G78" s="39" t="n">
        <v>0</v>
      </c>
      <c r="H78" s="39" t="n">
        <v>0</v>
      </c>
      <c r="I78" s="39" t="n">
        <v>0</v>
      </c>
      <c r="J78" s="39" t="n">
        <v>0</v>
      </c>
      <c r="K78" s="39" t="n">
        <v>0</v>
      </c>
      <c r="L78" s="39">
        <f>0+AY78</f>
        <v/>
      </c>
      <c r="M78" s="39" t="n">
        <v>40</v>
      </c>
      <c r="N78" s="39" t="n">
        <v>39</v>
      </c>
      <c r="O78" s="39" t="n">
        <v>39</v>
      </c>
      <c r="P78" s="39" t="n">
        <v>40</v>
      </c>
      <c r="Q78" s="39" t="n">
        <v>40</v>
      </c>
      <c r="R78" s="39" t="n">
        <v>40</v>
      </c>
      <c r="S78" s="39" t="n">
        <v>40</v>
      </c>
      <c r="T78" s="39" t="n">
        <v>38</v>
      </c>
      <c r="U78" s="39" t="n">
        <v>38</v>
      </c>
      <c r="V78" s="39" t="n"/>
      <c r="W78" s="39" t="n"/>
      <c r="X78" s="39" t="n"/>
      <c r="Y78" s="39" t="n"/>
      <c r="Z78" s="39" t="n"/>
      <c r="AA78" s="39" t="n">
        <v>36</v>
      </c>
      <c r="AB78" s="39" t="n">
        <v>30</v>
      </c>
      <c r="AC78" s="6" t="n">
        <v>30</v>
      </c>
      <c r="AD78" s="6" t="n">
        <v>30</v>
      </c>
      <c r="AE78" s="6" t="n">
        <v>30</v>
      </c>
      <c r="AF78" s="380">
        <f>AD78+IF(NOT(ISBLANK(OFFSET(AF78,0,6))),N(OFFSET(AF78,0,6)),N(OFFSET(AF78,0,7)))-AE78</f>
        <v/>
      </c>
      <c r="AH78" s="138" t="n"/>
      <c r="AI78" s="138" t="n"/>
      <c r="AJ78" s="1" t="n"/>
      <c r="AK78" s="76" t="n"/>
      <c r="AL78" s="628" t="n">
        <v>0</v>
      </c>
      <c r="AM78" s="19" t="n">
        <v>0</v>
      </c>
      <c r="AN78" s="19" t="n"/>
      <c r="AO78" s="19" t="n">
        <v>0</v>
      </c>
      <c r="AP78" s="19" t="n">
        <v>0</v>
      </c>
      <c r="AQ78" s="19" t="n"/>
      <c r="AR78" s="19" t="n"/>
      <c r="AS78" s="19" t="n"/>
      <c r="AT78" s="19" t="n"/>
      <c r="AU78" s="19" t="n"/>
      <c r="AV78" s="19" t="n"/>
      <c r="AW78" s="19" t="n"/>
      <c r="AX78" s="19" t="n"/>
      <c r="AY78" s="19" t="n"/>
      <c r="AZ78" s="19" t="n"/>
      <c r="BA78" s="19" t="n"/>
      <c r="BB78" s="19" t="n">
        <v>40</v>
      </c>
      <c r="BC78" s="19" t="n"/>
      <c r="BD78" s="19" t="n"/>
      <c r="BE78" s="19" t="n"/>
      <c r="BF78" s="19" t="n"/>
      <c r="BG78" s="19" t="n"/>
      <c r="BH78" s="19" t="n"/>
      <c r="BI78" s="19" t="n"/>
      <c r="BJ78" s="19" t="n"/>
      <c r="BK78" s="19" t="n"/>
      <c r="BL78" s="19" t="n"/>
      <c r="BM78" s="19" t="n"/>
      <c r="BN78" s="19" t="n"/>
    </row>
    <row r="79">
      <c r="A79" s="538" t="inlineStr">
        <is>
          <t>KIT SACOLA M EUDORA (C/ 10)</t>
        </is>
      </c>
      <c r="B79" s="223" t="n">
        <v>150</v>
      </c>
      <c r="C79" s="683" t="n">
        <v>181.4</v>
      </c>
      <c r="D79" s="240" t="n">
        <v>15</v>
      </c>
      <c r="F79" s="39" t="n">
        <v>17</v>
      </c>
      <c r="G79" s="39" t="n">
        <v>16</v>
      </c>
      <c r="H79" s="39" t="n">
        <v>16</v>
      </c>
      <c r="I79" s="39" t="n">
        <v>16</v>
      </c>
      <c r="J79" s="39" t="n">
        <v>16</v>
      </c>
      <c r="K79" s="39" t="n">
        <v>16</v>
      </c>
      <c r="L79" s="39" t="n">
        <v>16</v>
      </c>
      <c r="M79" s="39" t="n">
        <v>16</v>
      </c>
      <c r="N79" s="39" t="n">
        <v>16</v>
      </c>
      <c r="O79" s="39" t="n">
        <v>16</v>
      </c>
      <c r="P79" s="39" t="n">
        <v>16</v>
      </c>
      <c r="Q79" s="39" t="n">
        <v>16</v>
      </c>
      <c r="R79" s="39" t="n">
        <v>16</v>
      </c>
      <c r="S79" s="39" t="n">
        <v>16</v>
      </c>
      <c r="T79" s="39" t="n">
        <v>18</v>
      </c>
      <c r="U79" s="39" t="n">
        <v>17</v>
      </c>
      <c r="V79" s="39" t="n"/>
      <c r="W79" s="39" t="n"/>
      <c r="X79" s="39" t="n"/>
      <c r="Y79" s="39" t="n"/>
      <c r="Z79" s="39" t="n"/>
      <c r="AA79" s="39" t="n">
        <v>15</v>
      </c>
      <c r="AB79" s="39" t="n">
        <v>15</v>
      </c>
      <c r="AC79" s="6" t="n">
        <v>15</v>
      </c>
      <c r="AD79" s="6" t="n">
        <v>15</v>
      </c>
      <c r="AE79" s="6" t="n">
        <v>15</v>
      </c>
      <c r="AF79" s="380">
        <f>AD79+IF(NOT(ISBLANK(OFFSET(AF79,0,6))),N(OFFSET(AF79,0,6)),N(OFFSET(AF79,0,7)))-AE79</f>
        <v/>
      </c>
      <c r="AH79" s="138" t="n"/>
      <c r="AI79" s="138" t="n"/>
      <c r="AJ79" s="1" t="n"/>
      <c r="AK79" s="76" t="n"/>
      <c r="AL79" s="628" t="n">
        <v>0</v>
      </c>
      <c r="AM79" s="19" t="n">
        <v>0</v>
      </c>
      <c r="AN79" s="19" t="n"/>
      <c r="AO79" s="19" t="n">
        <v>0</v>
      </c>
      <c r="AP79" s="19" t="n">
        <v>0</v>
      </c>
      <c r="AQ79" s="19" t="n"/>
      <c r="AR79" s="19" t="n"/>
      <c r="AS79" s="19" t="n"/>
      <c r="AT79" s="19" t="n"/>
      <c r="AU79" s="19" t="n"/>
      <c r="AV79" s="19" t="n"/>
      <c r="AW79" s="19" t="n"/>
      <c r="AX79" s="19" t="n"/>
      <c r="AY79" s="19" t="n"/>
      <c r="AZ79" s="19" t="n"/>
      <c r="BA79" s="19" t="n"/>
      <c r="BB79" s="19" t="n"/>
      <c r="BC79" s="19" t="n"/>
      <c r="BD79" s="19" t="n"/>
      <c r="BE79" s="19" t="n"/>
      <c r="BF79" s="19" t="n"/>
      <c r="BG79" s="19" t="n"/>
      <c r="BH79" s="19" t="n"/>
      <c r="BI79" s="19" t="n"/>
      <c r="BJ79" s="19" t="n"/>
      <c r="BK79" s="19" t="n"/>
      <c r="BL79" s="19" t="n"/>
      <c r="BM79" s="19" t="n"/>
      <c r="BN79" s="19" t="n"/>
    </row>
    <row r="80">
      <c r="A80" s="538" t="inlineStr">
        <is>
          <t>KIT SACOLA G EUDORA (C/ 10)</t>
        </is>
      </c>
      <c r="B80" s="223" t="inlineStr">
        <is>
          <t>-</t>
        </is>
      </c>
      <c r="C80" s="683" t="inlineStr">
        <is>
          <t>-</t>
        </is>
      </c>
      <c r="D80" s="240" t="n">
        <v>10</v>
      </c>
      <c r="F80" s="39" t="n">
        <v>0</v>
      </c>
      <c r="G80" s="39" t="n">
        <v>0</v>
      </c>
      <c r="H80" s="39" t="n">
        <v>0</v>
      </c>
      <c r="I80" s="39" t="n">
        <v>0</v>
      </c>
      <c r="J80" s="39" t="n">
        <v>0</v>
      </c>
      <c r="K80" s="39" t="n">
        <v>0</v>
      </c>
      <c r="L80" s="39" t="n">
        <v>0</v>
      </c>
      <c r="M80" s="39" t="n">
        <v>0</v>
      </c>
      <c r="N80" s="39" t="n">
        <v>0</v>
      </c>
      <c r="O80" s="39" t="n">
        <v>0</v>
      </c>
      <c r="P80" s="39" t="n">
        <v>0</v>
      </c>
      <c r="Q80" s="39" t="n">
        <v>0</v>
      </c>
      <c r="R80" s="39" t="n">
        <v>0</v>
      </c>
      <c r="S80" s="39" t="n">
        <v>0</v>
      </c>
      <c r="T80" s="39" t="n">
        <v>0</v>
      </c>
      <c r="U80" s="39" t="n">
        <v>0</v>
      </c>
      <c r="V80" s="39" t="n"/>
      <c r="W80" s="39" t="n"/>
      <c r="X80" s="39" t="n"/>
      <c r="Y80" s="39" t="n"/>
      <c r="Z80" s="39" t="n"/>
      <c r="AA80" s="39" t="n">
        <v>0</v>
      </c>
      <c r="AB80" s="39" t="n">
        <v>0</v>
      </c>
      <c r="AC80" s="6" t="n">
        <v>0</v>
      </c>
      <c r="AD80" s="6" t="n">
        <v>0</v>
      </c>
      <c r="AE80" s="6" t="n">
        <v>0</v>
      </c>
      <c r="AF80" s="380">
        <f>AD80+IF(NOT(ISBLANK(OFFSET(AF80,0,6))),N(OFFSET(AF80,0,6)),N(OFFSET(AF80,0,7)))-AE80</f>
        <v/>
      </c>
      <c r="AH80" s="138" t="n"/>
      <c r="AI80" s="138" t="n"/>
      <c r="AJ80" s="1" t="n"/>
      <c r="AK80" s="76" t="n"/>
      <c r="AL80" s="628" t="n">
        <v>0</v>
      </c>
      <c r="AM80" s="19" t="n">
        <v>0</v>
      </c>
      <c r="AN80" s="19" t="n"/>
      <c r="AO80" s="19" t="n">
        <v>0</v>
      </c>
      <c r="AP80" s="19" t="n">
        <v>0</v>
      </c>
      <c r="AQ80" s="19" t="n"/>
      <c r="AR80" s="19" t="n"/>
      <c r="AS80" s="19" t="n"/>
      <c r="AT80" s="19" t="n"/>
      <c r="AU80" s="19" t="n"/>
      <c r="AV80" s="19" t="n"/>
      <c r="AW80" s="19" t="n"/>
      <c r="AX80" s="19" t="n"/>
      <c r="AY80" s="19" t="n"/>
      <c r="AZ80" s="19" t="n"/>
      <c r="BA80" s="19" t="n"/>
      <c r="BB80" s="19" t="n"/>
      <c r="BC80" s="19" t="n"/>
      <c r="BD80" s="19" t="n"/>
      <c r="BE80" s="19" t="n"/>
      <c r="BF80" s="19" t="n"/>
      <c r="BG80" s="19" t="n"/>
      <c r="BH80" s="19" t="n"/>
      <c r="BI80" s="19" t="n"/>
      <c r="BJ80" s="19" t="n"/>
      <c r="BK80" s="19" t="n"/>
      <c r="BL80" s="19" t="n"/>
      <c r="BM80" s="19" t="n"/>
      <c r="BN80" s="19" t="n"/>
    </row>
    <row r="81">
      <c r="A81" s="538" t="inlineStr">
        <is>
          <t>CAIXA P EUDORA</t>
        </is>
      </c>
      <c r="B81" s="223" t="n">
        <v>150</v>
      </c>
      <c r="C81" s="683" t="n">
        <v>400.5</v>
      </c>
      <c r="D81" s="240" t="n">
        <v>15</v>
      </c>
      <c r="F81" s="39" t="n">
        <v>1</v>
      </c>
      <c r="G81" s="39" t="n">
        <v>51</v>
      </c>
      <c r="H81" s="39" t="n">
        <v>9</v>
      </c>
      <c r="I81" s="39" t="n">
        <v>9</v>
      </c>
      <c r="J81" s="39" t="n">
        <v>8</v>
      </c>
      <c r="K81" s="39" t="n">
        <v>17</v>
      </c>
      <c r="L81" s="39" t="n">
        <v>17</v>
      </c>
      <c r="M81" s="39" t="n">
        <v>16</v>
      </c>
      <c r="N81" s="39" t="n">
        <v>16</v>
      </c>
      <c r="O81" s="39" t="n">
        <v>16</v>
      </c>
      <c r="P81" s="39" t="n">
        <v>16</v>
      </c>
      <c r="Q81" s="39" t="n">
        <v>16</v>
      </c>
      <c r="R81" s="39" t="n">
        <v>16</v>
      </c>
      <c r="S81" s="39" t="n">
        <v>15</v>
      </c>
      <c r="T81" s="39" t="n">
        <v>15</v>
      </c>
      <c r="U81" s="39" t="n">
        <v>15</v>
      </c>
      <c r="V81" s="39" t="n"/>
      <c r="W81" s="39" t="n"/>
      <c r="X81" s="39" t="n"/>
      <c r="Y81" s="39" t="n"/>
      <c r="Z81" s="39" t="n"/>
      <c r="AA81" s="39" t="n">
        <v>8</v>
      </c>
      <c r="AB81" s="39" t="n">
        <v>8</v>
      </c>
      <c r="AC81" s="6" t="n">
        <v>8</v>
      </c>
      <c r="AD81" s="6" t="n">
        <v>8</v>
      </c>
      <c r="AE81" s="6" t="n">
        <v>8</v>
      </c>
      <c r="AF81" s="380">
        <f>AD81+IF(NOT(ISBLANK(OFFSET(AF81,0,6))),N(OFFSET(AF81,0,6)),N(OFFSET(AF81,0,7)))-AE81</f>
        <v/>
      </c>
      <c r="AH81" s="138" t="n"/>
      <c r="AI81" s="138" t="n"/>
      <c r="AJ81" s="1" t="n"/>
      <c r="AK81" s="76" t="n"/>
      <c r="AL81" s="628" t="n">
        <v>0</v>
      </c>
      <c r="AM81" s="19" t="n">
        <v>0</v>
      </c>
      <c r="AN81" s="19" t="n"/>
      <c r="AO81" s="19" t="n">
        <v>0</v>
      </c>
      <c r="AP81" s="19" t="n">
        <v>0</v>
      </c>
      <c r="AQ81" s="19" t="n"/>
      <c r="AR81" s="19" t="n"/>
      <c r="AS81" s="19" t="n"/>
      <c r="AT81" s="19" t="n"/>
      <c r="AU81" s="19" t="n"/>
      <c r="AV81" s="19" t="n"/>
      <c r="AW81" s="19" t="n"/>
      <c r="AX81" s="19" t="n"/>
      <c r="AY81" s="19" t="n"/>
      <c r="AZ81" s="19" t="n"/>
      <c r="BA81" s="19" t="n"/>
      <c r="BB81" s="19" t="n"/>
      <c r="BC81" s="19" t="n"/>
      <c r="BD81" s="19" t="n"/>
      <c r="BE81" s="19" t="n"/>
      <c r="BF81" s="19" t="n"/>
      <c r="BG81" s="19" t="n"/>
      <c r="BH81" s="19" t="n"/>
      <c r="BI81" s="19" t="n"/>
      <c r="BJ81" s="19" t="n"/>
      <c r="BK81" s="19" t="n"/>
      <c r="BL81" s="19" t="n"/>
      <c r="BM81" s="19" t="n"/>
      <c r="BN81" s="19" t="n"/>
    </row>
    <row r="82">
      <c r="A82" s="538" t="inlineStr">
        <is>
          <t>CAIXA M EUDORA</t>
        </is>
      </c>
      <c r="B82" s="223" t="n">
        <v>100</v>
      </c>
      <c r="C82" s="683" t="n">
        <v>365</v>
      </c>
      <c r="D82" s="240" t="n">
        <v>15</v>
      </c>
      <c r="F82" s="39" t="n">
        <v>27</v>
      </c>
      <c r="G82" s="39" t="n">
        <v>24</v>
      </c>
      <c r="H82" s="39" t="n">
        <v>24</v>
      </c>
      <c r="I82" s="39" t="n">
        <v>24</v>
      </c>
      <c r="J82" s="39" t="n">
        <v>23</v>
      </c>
      <c r="K82" s="39" t="n">
        <v>22</v>
      </c>
      <c r="L82" s="39" t="n">
        <v>22</v>
      </c>
      <c r="M82" s="39" t="n">
        <v>22</v>
      </c>
      <c r="N82" s="39" t="n">
        <v>21</v>
      </c>
      <c r="O82" s="39" t="n">
        <v>21</v>
      </c>
      <c r="P82" s="39" t="n">
        <v>21</v>
      </c>
      <c r="Q82" s="39" t="n">
        <v>21</v>
      </c>
      <c r="R82" s="39" t="n">
        <v>21</v>
      </c>
      <c r="S82" s="39" t="n">
        <v>21</v>
      </c>
      <c r="T82" s="39" t="n">
        <v>20</v>
      </c>
      <c r="U82" s="39" t="n">
        <v>20</v>
      </c>
      <c r="V82" s="39" t="n"/>
      <c r="W82" s="39" t="n"/>
      <c r="X82" s="39" t="n"/>
      <c r="Y82" s="39" t="n"/>
      <c r="Z82" s="39" t="n"/>
      <c r="AA82" s="39" t="n">
        <v>16</v>
      </c>
      <c r="AB82" s="39" t="n">
        <v>16</v>
      </c>
      <c r="AC82" s="6" t="n">
        <v>16</v>
      </c>
      <c r="AD82" s="6" t="n">
        <v>16</v>
      </c>
      <c r="AE82" s="6" t="n">
        <v>16</v>
      </c>
      <c r="AF82" s="380">
        <f>AD82+IF(NOT(ISBLANK(OFFSET(AF82,0,6))),N(OFFSET(AF82,0,6)),N(OFFSET(AF82,0,7)))-AE82</f>
        <v/>
      </c>
      <c r="AH82" s="138" t="inlineStr">
        <is>
          <t>10 P/ CD</t>
        </is>
      </c>
      <c r="AI82" s="138" t="n"/>
      <c r="AJ82" s="1" t="n"/>
      <c r="AK82" s="76" t="n"/>
      <c r="AL82" s="628" t="n">
        <v>0</v>
      </c>
      <c r="AM82" s="19" t="n">
        <v>0</v>
      </c>
      <c r="AN82" s="19" t="n"/>
      <c r="AO82" s="19" t="n">
        <v>0</v>
      </c>
      <c r="AP82" s="19" t="n">
        <v>0</v>
      </c>
      <c r="AQ82" s="19" t="n"/>
      <c r="AR82" s="19" t="n"/>
      <c r="AS82" s="19" t="n"/>
      <c r="AT82" s="19" t="n"/>
      <c r="AU82" s="19" t="n"/>
      <c r="AV82" s="19" t="n"/>
      <c r="AW82" s="19" t="n"/>
      <c r="AX82" s="19" t="n"/>
      <c r="AY82" s="19" t="n"/>
      <c r="AZ82" s="19" t="n"/>
      <c r="BA82" s="19" t="n"/>
      <c r="BB82" s="19" t="n"/>
      <c r="BC82" s="19" t="n"/>
      <c r="BD82" s="19" t="n"/>
      <c r="BE82" s="19" t="n"/>
      <c r="BF82" s="19" t="n"/>
      <c r="BG82" s="19" t="n"/>
      <c r="BH82" s="19" t="n"/>
      <c r="BI82" s="19" t="n"/>
      <c r="BJ82" s="19" t="n"/>
      <c r="BK82" s="19" t="n"/>
      <c r="BL82" s="19" t="n"/>
      <c r="BM82" s="19" t="n"/>
      <c r="BN82" s="19" t="n"/>
    </row>
    <row r="83">
      <c r="A83" s="538" t="inlineStr">
        <is>
          <t>CAIXA G EUDORA</t>
        </is>
      </c>
      <c r="B83" s="223" t="n">
        <v>75</v>
      </c>
      <c r="C83" s="683" t="n">
        <v>438.75</v>
      </c>
      <c r="D83" s="240" t="n">
        <v>10</v>
      </c>
      <c r="F83" s="39" t="n">
        <v>21</v>
      </c>
      <c r="G83" s="39" t="n">
        <v>21</v>
      </c>
      <c r="H83" s="39" t="n">
        <v>20</v>
      </c>
      <c r="I83" s="39" t="n">
        <v>20</v>
      </c>
      <c r="J83" s="39" t="n">
        <v>20</v>
      </c>
      <c r="K83" s="39" t="n">
        <v>20</v>
      </c>
      <c r="L83" s="39" t="n">
        <v>20</v>
      </c>
      <c r="M83" s="39" t="n">
        <v>19</v>
      </c>
      <c r="N83" s="39" t="n">
        <v>19</v>
      </c>
      <c r="O83" s="39" t="n">
        <v>19</v>
      </c>
      <c r="P83" s="39" t="n">
        <v>19</v>
      </c>
      <c r="Q83" s="39" t="n">
        <v>19</v>
      </c>
      <c r="R83" s="39" t="n">
        <v>19</v>
      </c>
      <c r="S83" s="39" t="n">
        <v>18</v>
      </c>
      <c r="T83" s="39" t="n">
        <v>18</v>
      </c>
      <c r="U83" s="39" t="n">
        <v>18</v>
      </c>
      <c r="V83" s="39" t="n"/>
      <c r="W83" s="39" t="n"/>
      <c r="X83" s="39" t="n"/>
      <c r="Y83" s="39" t="n"/>
      <c r="Z83" s="39" t="n"/>
      <c r="AA83" s="39" t="n">
        <v>17</v>
      </c>
      <c r="AB83" s="39" t="n">
        <v>17</v>
      </c>
      <c r="AC83" s="6" t="n">
        <v>17</v>
      </c>
      <c r="AD83" s="6" t="n">
        <v>17</v>
      </c>
      <c r="AE83" s="6" t="n">
        <v>17</v>
      </c>
      <c r="AF83" s="380">
        <f>AD83+IF(NOT(ISBLANK(OFFSET(AF83,0,6))),N(OFFSET(AF83,0,6)),N(OFFSET(AF83,0,7)))-AE83</f>
        <v/>
      </c>
      <c r="AH83" s="138" t="n"/>
      <c r="AI83" s="138" t="n"/>
      <c r="AJ83" s="1" t="n"/>
      <c r="AK83" s="76" t="n"/>
      <c r="AL83" s="628" t="n">
        <v>0</v>
      </c>
      <c r="AM83" s="19" t="n">
        <v>0</v>
      </c>
      <c r="AN83" s="19" t="n"/>
      <c r="AO83" s="19" t="n">
        <v>0</v>
      </c>
      <c r="AP83" s="19" t="n">
        <v>0</v>
      </c>
      <c r="AQ83" s="19" t="n"/>
      <c r="AR83" s="19" t="n"/>
      <c r="AS83" s="19" t="n"/>
      <c r="AT83" s="19" t="n"/>
      <c r="AU83" s="19" t="n"/>
      <c r="AV83" s="19" t="n"/>
      <c r="AW83" s="19" t="n"/>
      <c r="AX83" s="19" t="n"/>
      <c r="AY83" s="19" t="n"/>
      <c r="AZ83" s="19" t="n"/>
      <c r="BA83" s="19" t="n"/>
      <c r="BB83" s="19" t="n"/>
      <c r="BC83" s="19" t="n"/>
      <c r="BD83" s="19" t="n"/>
      <c r="BE83" s="19" t="n"/>
      <c r="BF83" s="19" t="n"/>
      <c r="BG83" s="19" t="n"/>
      <c r="BH83" s="19" t="n"/>
      <c r="BI83" s="19" t="n"/>
      <c r="BJ83" s="19" t="n"/>
      <c r="BK83" s="19" t="n"/>
      <c r="BL83" s="19" t="n"/>
      <c r="BM83" s="19" t="n"/>
      <c r="BN83" s="19" t="n"/>
    </row>
    <row r="84">
      <c r="B84" s="41" t="n"/>
      <c r="C84" s="684" t="n"/>
      <c r="D84" s="684" t="n"/>
      <c r="F84" s="2" t="n"/>
      <c r="G84" s="2" t="n"/>
      <c r="H84" s="2" t="n"/>
      <c r="I84" s="2" t="n"/>
      <c r="J84" s="2" t="n"/>
      <c r="K84" s="2" t="n"/>
      <c r="L84" s="2" t="n"/>
      <c r="M84" s="2" t="n"/>
      <c r="N84" s="2" t="n"/>
      <c r="O84" s="2" t="n"/>
      <c r="P84" s="2" t="n"/>
      <c r="Q84" s="2" t="n"/>
      <c r="R84" s="2" t="n"/>
      <c r="S84" s="2" t="n"/>
      <c r="T84" s="2" t="n"/>
      <c r="U84" s="2" t="n"/>
      <c r="V84" s="2" t="n"/>
      <c r="W84" s="2" t="n"/>
      <c r="X84" s="2" t="n"/>
      <c r="Y84" s="2" t="n"/>
      <c r="Z84" s="2" t="n"/>
      <c r="AA84" s="2" t="n"/>
      <c r="AB84" s="2" t="n"/>
      <c r="AC84" s="1" t="n"/>
      <c r="AD84" s="1" t="n"/>
      <c r="AE84" s="1" t="n"/>
      <c r="AF84" s="2" t="n"/>
      <c r="AH84" s="75" t="n"/>
      <c r="AI84" s="75" t="n"/>
      <c r="AJ84" s="1" t="n"/>
      <c r="AK84" s="15" t="n"/>
      <c r="AL84" s="396" t="n"/>
      <c r="AM84" s="75" t="n"/>
      <c r="AN84" s="75" t="n"/>
      <c r="AO84" s="75" t="n"/>
      <c r="AP84" s="75" t="n"/>
      <c r="AQ84" s="75" t="n"/>
      <c r="AR84" s="75" t="n"/>
      <c r="AS84" s="75" t="n"/>
      <c r="AT84" s="75" t="n"/>
      <c r="AU84" s="75" t="n"/>
      <c r="AV84" s="75" t="n"/>
      <c r="AW84" s="75" t="n"/>
      <c r="AX84" s="75" t="n"/>
      <c r="AY84" s="75" t="n"/>
      <c r="AZ84" s="75" t="n"/>
      <c r="BA84" s="75" t="n"/>
      <c r="BB84" s="75" t="n"/>
      <c r="BC84" s="75" t="n"/>
      <c r="BD84" s="75" t="n"/>
      <c r="BE84" s="75" t="n"/>
      <c r="BF84" s="75" t="n"/>
      <c r="BG84" s="75" t="n"/>
      <c r="BH84" s="75" t="n"/>
      <c r="BI84" s="75" t="n"/>
      <c r="BJ84" s="75" t="n"/>
      <c r="BK84" s="75" t="n"/>
      <c r="BL84" s="75" t="n"/>
      <c r="BM84" s="75" t="n"/>
      <c r="BN84" s="75" t="n"/>
    </row>
    <row r="85">
      <c r="A85" s="263" t="inlineStr">
        <is>
          <t>HARRY POTTER/25</t>
        </is>
      </c>
      <c r="B85" s="264" t="inlineStr">
        <is>
          <t>PC</t>
        </is>
      </c>
      <c r="C85" s="264" t="inlineStr">
        <is>
          <t>R$</t>
        </is>
      </c>
      <c r="D85" s="264" t="n"/>
      <c r="F85" s="619" t="n">
        <v>46006</v>
      </c>
      <c r="G85" s="619" t="n">
        <v>46013</v>
      </c>
      <c r="H85" s="619" t="n">
        <v>46020</v>
      </c>
      <c r="I85" s="619" t="n">
        <v>46027</v>
      </c>
      <c r="J85" s="619" t="n">
        <v>46034</v>
      </c>
      <c r="K85" s="619" t="n">
        <v>46041</v>
      </c>
      <c r="L85" s="619" t="n">
        <v>46048</v>
      </c>
      <c r="M85" s="619" t="n">
        <v>46055</v>
      </c>
      <c r="N85" s="619" t="n">
        <v>46062</v>
      </c>
      <c r="O85" s="619" t="n">
        <v>46069</v>
      </c>
      <c r="P85" s="619" t="n">
        <v>46076</v>
      </c>
      <c r="Q85" s="619" t="n">
        <v>46083</v>
      </c>
      <c r="R85" s="619" t="n">
        <v>46090</v>
      </c>
      <c r="S85" s="619" t="n">
        <v>46097</v>
      </c>
      <c r="T85" s="619" t="n">
        <v>46104</v>
      </c>
      <c r="U85" s="619" t="n">
        <v>46111</v>
      </c>
      <c r="V85" s="619" t="n">
        <v>46118</v>
      </c>
      <c r="W85" s="619" t="n">
        <v>46125</v>
      </c>
      <c r="X85" s="619" t="n">
        <v>46132</v>
      </c>
      <c r="Y85" s="619" t="n">
        <v>46139</v>
      </c>
      <c r="Z85" s="619" t="n">
        <v>46146</v>
      </c>
      <c r="AA85" s="619" t="n">
        <v>46154</v>
      </c>
      <c r="AB85" s="619" t="n">
        <v>46160</v>
      </c>
      <c r="AC85" s="620" t="n">
        <v>46161.48013503472</v>
      </c>
      <c r="AD85" s="620" t="n">
        <v>46161.48080876157</v>
      </c>
      <c r="AE85" s="620" t="n">
        <v>46161.48296567734</v>
      </c>
      <c r="AF85" s="621" t="inlineStr">
        <is>
          <t>USOU</t>
        </is>
      </c>
      <c r="AH85" s="75" t="n"/>
      <c r="AI85" s="75" t="n"/>
      <c r="AJ85" s="1" t="n"/>
      <c r="AK85" s="15" t="n"/>
      <c r="AL85" s="396" t="n"/>
      <c r="AM85" s="75" t="n"/>
      <c r="AN85" s="75" t="n"/>
      <c r="AO85" s="75" t="n"/>
      <c r="AP85" s="75" t="n"/>
      <c r="AQ85" s="75" t="n"/>
      <c r="AR85" s="75" t="n"/>
      <c r="AS85" s="75" t="n"/>
      <c r="AT85" s="75" t="n"/>
      <c r="AU85" s="75" t="n"/>
      <c r="AV85" s="75" t="n"/>
      <c r="AW85" s="75" t="n"/>
      <c r="AX85" s="75" t="n"/>
      <c r="AY85" s="75" t="n"/>
      <c r="AZ85" s="75" t="n"/>
      <c r="BA85" s="75" t="n"/>
      <c r="BB85" s="75" t="n"/>
      <c r="BC85" s="75" t="n"/>
      <c r="BD85" s="75" t="n"/>
      <c r="BE85" s="75" t="n"/>
      <c r="BF85" s="75" t="n"/>
      <c r="BG85" s="75" t="n"/>
      <c r="BH85" s="75" t="n"/>
      <c r="BI85" s="75" t="n"/>
      <c r="BJ85" s="75" t="n"/>
      <c r="BK85" s="75" t="n"/>
      <c r="BL85" s="75" t="n"/>
      <c r="BM85" s="75" t="n"/>
      <c r="BN85" s="75" t="n"/>
    </row>
    <row r="86" hidden="1">
      <c r="A86" s="25" t="inlineStr">
        <is>
          <t>SACOLA G HP/25</t>
        </is>
      </c>
      <c r="B86" s="6" t="n">
        <v>100</v>
      </c>
      <c r="C86" s="632" t="n">
        <v>316</v>
      </c>
      <c r="D86" s="240" t="n"/>
      <c r="F86" s="39" t="n">
        <v>0</v>
      </c>
      <c r="G86" s="39" t="n">
        <v>0</v>
      </c>
      <c r="H86" s="39" t="n">
        <v>0</v>
      </c>
      <c r="I86" s="39" t="n">
        <v>0</v>
      </c>
      <c r="J86" s="39" t="n">
        <v>0</v>
      </c>
      <c r="K86" s="39" t="n">
        <v>0</v>
      </c>
      <c r="L86" s="39" t="n">
        <v>0</v>
      </c>
      <c r="M86" s="39" t="n"/>
      <c r="N86" s="39" t="n"/>
      <c r="O86" s="39" t="n"/>
      <c r="P86" s="39" t="n"/>
      <c r="Q86" s="39" t="n"/>
      <c r="R86" s="39" t="n"/>
      <c r="S86" s="39" t="n"/>
      <c r="T86" s="39" t="n"/>
      <c r="U86" s="39" t="n"/>
      <c r="V86" s="39" t="n"/>
      <c r="W86" s="39" t="n"/>
      <c r="X86" s="39" t="n"/>
      <c r="Y86" s="39" t="n"/>
      <c r="Z86" s="39" t="n"/>
      <c r="AA86" s="39" t="n"/>
      <c r="AB86" s="39" t="n"/>
      <c r="AC86" s="6" t="n"/>
      <c r="AD86" s="6" t="n"/>
      <c r="AE86" s="6" t="n"/>
      <c r="AF86" s="26">
        <f>AD86+IF(NOT(ISBLANK(OFFSET(AF86,0,6))),N(OFFSET(AF86,0,6)),N(OFFSET(AF86,0,7)))-AE86</f>
        <v/>
      </c>
      <c r="AH86" s="75" t="n"/>
      <c r="AI86" s="75" t="n"/>
      <c r="AJ86" s="1" t="n"/>
      <c r="AK86" s="15" t="n"/>
      <c r="AL86" s="396" t="n"/>
      <c r="AM86" s="75" t="n"/>
      <c r="AN86" s="75" t="n"/>
      <c r="AO86" s="75" t="n"/>
      <c r="AP86" s="75" t="n"/>
      <c r="AQ86" s="75" t="n"/>
      <c r="AR86" s="75" t="n"/>
      <c r="AS86" s="75" t="n"/>
      <c r="AT86" s="75" t="n"/>
      <c r="AU86" s="75" t="n"/>
      <c r="AV86" s="75" t="n"/>
      <c r="AW86" s="75" t="n"/>
      <c r="AX86" s="75" t="n"/>
      <c r="AY86" s="75" t="n"/>
      <c r="AZ86" s="75" t="n"/>
      <c r="BA86" s="75" t="n"/>
      <c r="BB86" s="75" t="n"/>
      <c r="BC86" s="75" t="n"/>
      <c r="BD86" s="75" t="n"/>
      <c r="BE86" s="75" t="n"/>
      <c r="BF86" s="75" t="n"/>
      <c r="BG86" s="75" t="n"/>
      <c r="BH86" s="75" t="n"/>
      <c r="BI86" s="75" t="n"/>
      <c r="BJ86" s="75" t="n"/>
      <c r="BK86" s="75" t="n"/>
      <c r="BL86" s="75" t="n"/>
      <c r="BM86" s="75" t="n"/>
      <c r="BN86" s="75" t="n"/>
    </row>
    <row r="87" hidden="1">
      <c r="A87" s="25" t="inlineStr">
        <is>
          <t>TAG HP/25</t>
        </is>
      </c>
      <c r="B87" s="6" t="n">
        <v>100</v>
      </c>
      <c r="C87" s="632" t="n">
        <v>41</v>
      </c>
      <c r="D87" s="240" t="n"/>
      <c r="F87" s="39" t="n">
        <v>0</v>
      </c>
      <c r="G87" s="39" t="n">
        <v>0</v>
      </c>
      <c r="H87" s="39" t="n">
        <v>0</v>
      </c>
      <c r="I87" s="39" t="n">
        <v>0</v>
      </c>
      <c r="J87" s="39" t="n">
        <v>0</v>
      </c>
      <c r="K87" s="39" t="n">
        <v>0</v>
      </c>
      <c r="L87" s="39" t="n">
        <v>0</v>
      </c>
      <c r="M87" s="39" t="n"/>
      <c r="N87" s="39" t="n"/>
      <c r="O87" s="39" t="n"/>
      <c r="P87" s="39" t="n"/>
      <c r="Q87" s="39" t="n"/>
      <c r="R87" s="39" t="n"/>
      <c r="S87" s="39" t="n"/>
      <c r="T87" s="39" t="n"/>
      <c r="U87" s="39" t="n"/>
      <c r="V87" s="39" t="n"/>
      <c r="W87" s="39" t="n"/>
      <c r="X87" s="39" t="n"/>
      <c r="Y87" s="39" t="n"/>
      <c r="Z87" s="39" t="n"/>
      <c r="AA87" s="39" t="n"/>
      <c r="AB87" s="39" t="n"/>
      <c r="AC87" s="6" t="n"/>
      <c r="AD87" s="6" t="n"/>
      <c r="AE87" s="6" t="n"/>
      <c r="AF87" s="26">
        <f>AD87+IF(NOT(ISBLANK(OFFSET(AF87,0,6))),N(OFFSET(AF87,0,6)),N(OFFSET(AF87,0,7)))-AE87</f>
        <v/>
      </c>
      <c r="AH87" s="75" t="n"/>
      <c r="AI87" s="75" t="n"/>
      <c r="AJ87" s="1" t="n"/>
      <c r="AK87" s="15" t="n"/>
      <c r="AL87" s="396" t="n"/>
      <c r="AM87" s="75" t="n"/>
      <c r="AN87" s="75" t="n"/>
      <c r="AO87" s="75" t="n"/>
      <c r="AP87" s="75" t="n"/>
      <c r="AQ87" s="75" t="n"/>
      <c r="AR87" s="75" t="n"/>
      <c r="AS87" s="75" t="n"/>
      <c r="AT87" s="75" t="n"/>
      <c r="AU87" s="75" t="n"/>
      <c r="AV87" s="75" t="n"/>
      <c r="AW87" s="75" t="n"/>
      <c r="AX87" s="75" t="n"/>
      <c r="AY87" s="75" t="n"/>
      <c r="AZ87" s="75" t="n"/>
      <c r="BA87" s="75" t="n"/>
      <c r="BB87" s="75" t="n"/>
      <c r="BC87" s="75" t="n"/>
      <c r="BD87" s="75" t="n"/>
      <c r="BE87" s="75" t="n"/>
      <c r="BF87" s="75" t="n"/>
      <c r="BG87" s="75" t="n"/>
      <c r="BH87" s="75" t="n"/>
      <c r="BI87" s="75" t="n"/>
      <c r="BJ87" s="75" t="n"/>
      <c r="BK87" s="75" t="n"/>
      <c r="BL87" s="75" t="n"/>
      <c r="BM87" s="75" t="n"/>
      <c r="BN87" s="75" t="n"/>
    </row>
    <row r="88">
      <c r="A88" s="25" t="inlineStr">
        <is>
          <t>CARTUCHO P HP/25</t>
        </is>
      </c>
      <c r="B88" s="6" t="n">
        <v>150</v>
      </c>
      <c r="C88" s="632" t="n">
        <v>478.5</v>
      </c>
      <c r="D88" s="240" t="n"/>
      <c r="F88" s="39" t="n">
        <v>45</v>
      </c>
      <c r="G88" s="39" t="n">
        <v>45</v>
      </c>
      <c r="H88" s="39" t="n">
        <v>45</v>
      </c>
      <c r="I88" s="39" t="n">
        <v>45</v>
      </c>
      <c r="J88" s="39" t="n">
        <v>45</v>
      </c>
      <c r="K88" s="39" t="n">
        <v>46</v>
      </c>
      <c r="L88" s="39" t="n">
        <v>46</v>
      </c>
      <c r="M88" s="39" t="n">
        <v>46</v>
      </c>
      <c r="N88" s="211" t="n">
        <v>100</v>
      </c>
      <c r="O88" s="39" t="n">
        <v>60</v>
      </c>
      <c r="P88" s="39" t="n">
        <v>60</v>
      </c>
      <c r="Q88" s="39" t="n">
        <v>60</v>
      </c>
      <c r="R88" s="39" t="n">
        <v>56</v>
      </c>
      <c r="S88" s="39" t="n">
        <v>56</v>
      </c>
      <c r="T88" s="39" t="n">
        <v>56</v>
      </c>
      <c r="U88" s="39" t="n">
        <v>56</v>
      </c>
      <c r="V88" s="39" t="n"/>
      <c r="W88" s="39" t="n"/>
      <c r="X88" s="39" t="n"/>
      <c r="Y88" s="39" t="n"/>
      <c r="Z88" s="39" t="n"/>
      <c r="AA88" s="39" t="n">
        <v>49</v>
      </c>
      <c r="AB88" s="39" t="n">
        <v>49</v>
      </c>
      <c r="AC88" s="6" t="n">
        <v>146</v>
      </c>
      <c r="AD88" s="6" t="n">
        <v>146</v>
      </c>
      <c r="AE88" s="6" t="n">
        <v>146</v>
      </c>
      <c r="AF88" s="380">
        <f>AD88+IF(NOT(ISBLANK(OFFSET(AF88,0,6))),N(OFFSET(AF88,0,6)),N(OFFSET(AF88,0,7)))-AE88</f>
        <v/>
      </c>
      <c r="AH88" s="75" t="n"/>
      <c r="AI88" s="75" t="n"/>
      <c r="AJ88" s="1" t="n"/>
      <c r="AK88" s="15" t="n"/>
      <c r="AL88" s="396" t="n"/>
      <c r="AM88" s="75" t="n"/>
      <c r="AN88" s="75" t="n"/>
      <c r="AO88" s="75" t="n"/>
      <c r="AP88" s="75" t="n"/>
      <c r="AQ88" s="75" t="n"/>
      <c r="AR88" s="75" t="n"/>
      <c r="AS88" s="75" t="n"/>
      <c r="AT88" s="75" t="n"/>
      <c r="AU88" s="75" t="n"/>
      <c r="AV88" s="75" t="n"/>
      <c r="AW88" s="75" t="n"/>
      <c r="AX88" s="75" t="n"/>
      <c r="AY88" s="75" t="n"/>
      <c r="AZ88" s="75" t="n"/>
      <c r="BA88" s="75" t="n"/>
      <c r="BB88" s="75" t="n"/>
      <c r="BC88" s="75" t="n"/>
      <c r="BD88" s="75" t="n"/>
      <c r="BE88" s="75" t="n"/>
      <c r="BF88" s="75" t="n"/>
      <c r="BG88" s="75" t="n"/>
      <c r="BH88" s="75" t="n"/>
      <c r="BI88" s="75" t="n"/>
      <c r="BJ88" s="75" t="n"/>
      <c r="BK88" s="75" t="n"/>
      <c r="BL88" s="75" t="n"/>
      <c r="BM88" s="75" t="n"/>
      <c r="BN88" s="75" t="n"/>
    </row>
    <row r="89">
      <c r="B89" s="41" t="n"/>
      <c r="C89" s="684" t="n"/>
      <c r="D89" s="684" t="n"/>
      <c r="F89" s="2" t="n"/>
      <c r="G89" s="2" t="n"/>
      <c r="H89" s="2" t="n"/>
      <c r="I89" s="2" t="n"/>
      <c r="J89" s="2" t="n"/>
      <c r="K89" s="2" t="n"/>
      <c r="L89" s="2" t="n"/>
      <c r="M89" s="2" t="n"/>
      <c r="N89" s="2" t="n"/>
      <c r="O89" s="2" t="n"/>
      <c r="P89" s="2" t="n"/>
      <c r="Q89" s="2" t="n"/>
      <c r="R89" s="2" t="n"/>
      <c r="S89" s="2" t="n"/>
      <c r="T89" s="2" t="n"/>
      <c r="U89" s="2" t="n"/>
      <c r="V89" s="2" t="n"/>
      <c r="W89" s="2" t="n"/>
      <c r="X89" s="2" t="n"/>
      <c r="Y89" s="2" t="n"/>
      <c r="Z89" s="2" t="n"/>
      <c r="AA89" s="2" t="n"/>
      <c r="AB89" s="2" t="n"/>
      <c r="AC89" s="1" t="n"/>
      <c r="AD89" s="1" t="n"/>
      <c r="AE89" s="1" t="n"/>
      <c r="AF89" s="2" t="n"/>
      <c r="AH89" s="75" t="n"/>
      <c r="AI89" s="75" t="n"/>
      <c r="AJ89" s="1" t="n"/>
      <c r="AK89" s="15" t="n"/>
      <c r="AL89" s="396" t="n"/>
      <c r="AM89" s="75" t="n"/>
      <c r="AN89" s="75" t="n"/>
      <c r="AO89" s="75" t="n"/>
      <c r="AP89" s="75" t="n"/>
      <c r="AQ89" s="75" t="n"/>
      <c r="AR89" s="75" t="n"/>
      <c r="AS89" s="75" t="n"/>
      <c r="AT89" s="75" t="n"/>
      <c r="AU89" s="75" t="n"/>
      <c r="AV89" s="75" t="n"/>
      <c r="AW89" s="75" t="n"/>
      <c r="AX89" s="75" t="n"/>
      <c r="AY89" s="75" t="n"/>
      <c r="AZ89" s="75" t="n"/>
      <c r="BA89" s="75" t="n"/>
      <c r="BB89" s="75" t="n"/>
      <c r="BC89" s="75" t="n"/>
      <c r="BD89" s="75" t="n"/>
      <c r="BE89" s="75" t="n"/>
      <c r="BF89" s="75" t="n"/>
      <c r="BG89" s="75" t="n"/>
      <c r="BH89" s="75" t="n"/>
      <c r="BI89" s="75" t="n"/>
      <c r="BJ89" s="75" t="n"/>
      <c r="BK89" s="75" t="n"/>
      <c r="BL89" s="75" t="n"/>
      <c r="BM89" s="75" t="n"/>
      <c r="BN89" s="75" t="n"/>
    </row>
    <row r="90">
      <c r="A90" s="415" t="inlineStr">
        <is>
          <t>HOMEM ARANHA/25</t>
        </is>
      </c>
      <c r="B90" s="416" t="inlineStr">
        <is>
          <t>PC</t>
        </is>
      </c>
      <c r="C90" s="416" t="inlineStr">
        <is>
          <t>R$</t>
        </is>
      </c>
      <c r="D90" s="416" t="n"/>
      <c r="F90" s="619" t="n">
        <v>46006</v>
      </c>
      <c r="G90" s="619" t="n">
        <v>46013</v>
      </c>
      <c r="H90" s="619" t="n">
        <v>46020</v>
      </c>
      <c r="I90" s="619" t="n">
        <v>46027</v>
      </c>
      <c r="J90" s="619" t="n">
        <v>46034</v>
      </c>
      <c r="K90" s="619" t="n">
        <v>46041</v>
      </c>
      <c r="L90" s="619" t="n">
        <v>46048</v>
      </c>
      <c r="M90" s="619" t="n">
        <v>46055</v>
      </c>
      <c r="N90" s="619" t="n">
        <v>46062</v>
      </c>
      <c r="O90" s="619" t="n">
        <v>46069</v>
      </c>
      <c r="P90" s="619" t="n">
        <v>46076</v>
      </c>
      <c r="Q90" s="619" t="n">
        <v>46083</v>
      </c>
      <c r="R90" s="619" t="n">
        <v>46090</v>
      </c>
      <c r="S90" s="619" t="n">
        <v>46097</v>
      </c>
      <c r="T90" s="619" t="n">
        <v>46104</v>
      </c>
      <c r="U90" s="619" t="n">
        <v>46111</v>
      </c>
      <c r="V90" s="619" t="n">
        <v>46118</v>
      </c>
      <c r="W90" s="619" t="n">
        <v>46125</v>
      </c>
      <c r="X90" s="619" t="n">
        <v>46132</v>
      </c>
      <c r="Y90" s="619" t="n">
        <v>46139</v>
      </c>
      <c r="Z90" s="619" t="n">
        <v>46146</v>
      </c>
      <c r="AA90" s="619" t="n">
        <v>46154</v>
      </c>
      <c r="AB90" s="619" t="n">
        <v>46160</v>
      </c>
      <c r="AC90" s="620" t="n">
        <v>46161.48013503472</v>
      </c>
      <c r="AD90" s="620" t="n">
        <v>46161.48080876157</v>
      </c>
      <c r="AE90" s="620" t="n">
        <v>46161.48296567749</v>
      </c>
      <c r="AF90" s="621" t="inlineStr">
        <is>
          <t>USOU</t>
        </is>
      </c>
    </row>
    <row r="91" hidden="1">
      <c r="A91" s="25" t="inlineStr">
        <is>
          <t>SACOLA M</t>
        </is>
      </c>
      <c r="B91" s="6" t="n">
        <v>200</v>
      </c>
      <c r="C91" s="632" t="n">
        <v>479.2</v>
      </c>
      <c r="D91" s="240" t="n"/>
      <c r="F91" s="39" t="n">
        <v>0</v>
      </c>
      <c r="G91" s="39" t="n">
        <v>0</v>
      </c>
      <c r="H91" s="39" t="n">
        <v>0</v>
      </c>
      <c r="I91" s="39" t="n">
        <v>0</v>
      </c>
      <c r="J91" s="39" t="n">
        <v>0</v>
      </c>
      <c r="K91" s="39" t="n">
        <v>0</v>
      </c>
      <c r="L91" s="39" t="n">
        <v>0</v>
      </c>
      <c r="M91" s="39" t="n">
        <v>0</v>
      </c>
      <c r="N91" s="39" t="n"/>
      <c r="O91" s="39" t="n"/>
      <c r="P91" s="39" t="n"/>
      <c r="Q91" s="39" t="n"/>
      <c r="R91" s="39" t="n"/>
      <c r="S91" s="39" t="n"/>
      <c r="T91" s="39" t="n"/>
      <c r="U91" s="39" t="n"/>
      <c r="V91" s="39" t="n"/>
      <c r="W91" s="39" t="n"/>
      <c r="X91" s="39" t="n"/>
      <c r="Y91" s="39" t="n"/>
      <c r="Z91" s="39" t="n"/>
      <c r="AA91" s="39" t="n"/>
      <c r="AB91" s="39" t="n"/>
      <c r="AC91" s="6" t="n"/>
      <c r="AD91" s="6" t="n"/>
      <c r="AE91" s="6" t="n"/>
      <c r="AF91" s="26">
        <f>AD91+IF(NOT(ISBLANK(OFFSET(AF91,0,6))),N(OFFSET(AF91,0,6)),N(OFFSET(AF91,0,7)))-AE91</f>
        <v/>
      </c>
    </row>
    <row r="92">
      <c r="A92" s="25" t="inlineStr">
        <is>
          <t>PAPEL DE SEDA</t>
        </is>
      </c>
      <c r="B92" s="6" t="n">
        <v>200</v>
      </c>
      <c r="C92" s="632" t="n">
        <v>45.47</v>
      </c>
      <c r="D92" s="240" t="n"/>
      <c r="F92" s="39" t="n">
        <v>17</v>
      </c>
      <c r="G92" s="39" t="n">
        <v>15</v>
      </c>
      <c r="H92" s="39" t="n">
        <v>15</v>
      </c>
      <c r="I92" s="39" t="n">
        <v>15</v>
      </c>
      <c r="J92" s="39" t="n">
        <v>7</v>
      </c>
      <c r="K92" s="39" t="n">
        <v>10</v>
      </c>
      <c r="L92" s="39" t="n">
        <v>10</v>
      </c>
      <c r="M92" s="39" t="n">
        <v>10</v>
      </c>
      <c r="N92" s="39" t="n">
        <v>10</v>
      </c>
      <c r="O92" s="39" t="n">
        <v>10</v>
      </c>
      <c r="P92" s="39" t="n">
        <v>10</v>
      </c>
      <c r="Q92" s="39" t="n">
        <v>2</v>
      </c>
      <c r="R92" s="39" t="n">
        <v>2</v>
      </c>
      <c r="S92" s="39" t="n">
        <v>2</v>
      </c>
      <c r="T92" s="39" t="n">
        <v>2</v>
      </c>
      <c r="U92" s="39" t="n">
        <v>2</v>
      </c>
      <c r="V92" s="39" t="n"/>
      <c r="W92" s="39" t="n"/>
      <c r="X92" s="39" t="n"/>
      <c r="Y92" s="39" t="n"/>
      <c r="Z92" s="39" t="n"/>
      <c r="AA92" s="39" t="n">
        <v>0</v>
      </c>
      <c r="AB92" s="39" t="n">
        <v>0</v>
      </c>
      <c r="AC92" s="6" t="n">
        <v>0</v>
      </c>
      <c r="AD92" s="6" t="n">
        <v>0</v>
      </c>
      <c r="AE92" s="6" t="n">
        <v>0</v>
      </c>
      <c r="AF92" s="380">
        <f>AD92+IF(NOT(ISBLANK(OFFSET(AF92,0,6))),N(OFFSET(AF92,0,6)),N(OFFSET(AF92,0,7)))-AE92</f>
        <v/>
      </c>
    </row>
    <row r="93">
      <c r="A93" s="25" t="inlineStr">
        <is>
          <t>CAIXA M</t>
        </is>
      </c>
      <c r="B93" s="6" t="n">
        <v>100</v>
      </c>
      <c r="C93" s="632" t="n">
        <v>1490</v>
      </c>
      <c r="D93" s="240" t="n"/>
      <c r="F93" s="39" t="n">
        <v>37</v>
      </c>
      <c r="G93" s="39" t="n">
        <v>32</v>
      </c>
      <c r="H93" s="39" t="n">
        <v>31</v>
      </c>
      <c r="I93" s="39" t="n">
        <v>31</v>
      </c>
      <c r="J93" s="39" t="n">
        <v>31</v>
      </c>
      <c r="K93" s="39" t="n">
        <v>29</v>
      </c>
      <c r="L93" s="39" t="n">
        <v>29</v>
      </c>
      <c r="M93" s="39" t="n">
        <v>29</v>
      </c>
      <c r="N93" s="39" t="n">
        <v>29</v>
      </c>
      <c r="O93" s="39" t="n">
        <v>29</v>
      </c>
      <c r="P93" s="39" t="n">
        <v>29</v>
      </c>
      <c r="Q93" s="39" t="n">
        <v>29</v>
      </c>
      <c r="R93" s="39" t="n">
        <v>29</v>
      </c>
      <c r="S93" s="39" t="n">
        <v>29</v>
      </c>
      <c r="T93" s="39" t="n">
        <v>29</v>
      </c>
      <c r="U93" s="39" t="n">
        <v>29</v>
      </c>
      <c r="V93" s="39" t="n"/>
      <c r="W93" s="39" t="n"/>
      <c r="X93" s="39" t="n"/>
      <c r="Y93" s="39" t="n"/>
      <c r="Z93" s="39" t="n"/>
      <c r="AA93" s="39" t="n">
        <v>29</v>
      </c>
      <c r="AB93" s="39" t="n">
        <v>29</v>
      </c>
      <c r="AC93" s="6" t="n">
        <v>36</v>
      </c>
      <c r="AD93" s="6" t="n">
        <v>36</v>
      </c>
      <c r="AE93" s="6" t="n">
        <v>36</v>
      </c>
      <c r="AF93" s="380">
        <f>AD93+IF(NOT(ISBLANK(OFFSET(AF93,0,6))),N(OFFSET(AF93,0,6)),N(OFFSET(AF93,0,7)))-AE93</f>
        <v/>
      </c>
    </row>
    <row r="94">
      <c r="B94" s="41" t="n"/>
      <c r="C94" s="684" t="n"/>
      <c r="D94" s="684" t="n"/>
      <c r="F94" s="2" t="n"/>
      <c r="G94" s="2" t="n"/>
      <c r="H94" s="2" t="n"/>
      <c r="I94" s="2" t="n"/>
      <c r="J94" s="2" t="n"/>
      <c r="K94" s="2" t="n"/>
      <c r="L94" s="2" t="n"/>
      <c r="M94" s="2" t="n"/>
      <c r="N94" s="2" t="n"/>
      <c r="O94" s="2" t="n"/>
      <c r="P94" s="2" t="n"/>
      <c r="Q94" s="2" t="n"/>
      <c r="R94" s="2" t="n"/>
      <c r="S94" s="2" t="n"/>
      <c r="T94" s="2" t="n"/>
      <c r="U94" s="2" t="n"/>
      <c r="V94" s="2" t="n"/>
      <c r="W94" s="2" t="n"/>
      <c r="X94" s="2" t="n"/>
      <c r="Y94" s="2" t="n"/>
      <c r="Z94" s="2" t="n"/>
      <c r="AA94" s="2" t="n"/>
      <c r="AB94" s="2" t="n"/>
      <c r="AC94" s="1" t="n"/>
      <c r="AD94" s="1" t="n"/>
      <c r="AE94" s="1" t="n"/>
      <c r="AF94" s="2" t="n"/>
      <c r="AH94" s="75" t="n"/>
      <c r="AI94" s="75" t="n"/>
      <c r="AJ94" s="1" t="n"/>
      <c r="AK94" s="15" t="n"/>
      <c r="AL94" s="396" t="n"/>
      <c r="AM94" s="75" t="n"/>
      <c r="AN94" s="75" t="n"/>
      <c r="AO94" s="75" t="n"/>
      <c r="AP94" s="75" t="n"/>
      <c r="AQ94" s="75" t="n"/>
      <c r="AR94" s="75" t="n"/>
      <c r="AS94" s="75" t="n"/>
      <c r="AT94" s="75" t="n"/>
      <c r="AU94" s="75" t="n"/>
      <c r="AV94" s="75" t="n"/>
      <c r="AW94" s="75" t="n"/>
      <c r="AX94" s="75" t="n"/>
      <c r="AY94" s="75" t="n"/>
      <c r="AZ94" s="75" t="n"/>
      <c r="BA94" s="75" t="n"/>
      <c r="BB94" s="75" t="n"/>
      <c r="BC94" s="75" t="n"/>
      <c r="BD94" s="75" t="n"/>
      <c r="BE94" s="75" t="n"/>
      <c r="BF94" s="75" t="n"/>
      <c r="BG94" s="75" t="n"/>
      <c r="BH94" s="75" t="n"/>
      <c r="BI94" s="75" t="n"/>
      <c r="BJ94" s="75" t="n"/>
      <c r="BK94" s="75" t="n"/>
      <c r="BL94" s="75" t="n"/>
      <c r="BM94" s="75" t="n"/>
      <c r="BN94" s="75" t="n"/>
    </row>
    <row r="95">
      <c r="A95" s="278" t="inlineStr">
        <is>
          <t>EUDORA NATAL/25</t>
        </is>
      </c>
      <c r="B95" s="279" t="inlineStr">
        <is>
          <t>PC</t>
        </is>
      </c>
      <c r="C95" s="279" t="inlineStr">
        <is>
          <t>R$</t>
        </is>
      </c>
      <c r="D95" s="279" t="n"/>
      <c r="F95" s="619" t="n">
        <v>46006</v>
      </c>
      <c r="G95" s="619" t="n">
        <v>46013</v>
      </c>
      <c r="H95" s="619" t="n">
        <v>46020</v>
      </c>
      <c r="I95" s="619" t="n">
        <v>46027</v>
      </c>
      <c r="J95" s="619" t="n">
        <v>46034</v>
      </c>
      <c r="K95" s="619" t="n">
        <v>46041</v>
      </c>
      <c r="L95" s="619" t="n">
        <v>46048</v>
      </c>
      <c r="M95" s="619" t="n">
        <v>46055</v>
      </c>
      <c r="N95" s="619" t="n">
        <v>46062</v>
      </c>
      <c r="O95" s="619" t="n">
        <v>46069</v>
      </c>
      <c r="P95" s="619" t="n">
        <v>46076</v>
      </c>
      <c r="Q95" s="619" t="n">
        <v>46083</v>
      </c>
      <c r="R95" s="619" t="n">
        <v>46090</v>
      </c>
      <c r="S95" s="619" t="n">
        <v>46097</v>
      </c>
      <c r="T95" s="619" t="n">
        <v>46104</v>
      </c>
      <c r="U95" s="619" t="n">
        <v>46111</v>
      </c>
      <c r="V95" s="619" t="n">
        <v>46118</v>
      </c>
      <c r="W95" s="619" t="n">
        <v>46125</v>
      </c>
      <c r="X95" s="619" t="n">
        <v>46132</v>
      </c>
      <c r="Y95" s="619" t="n">
        <v>46139</v>
      </c>
      <c r="Z95" s="619" t="n">
        <v>46146</v>
      </c>
      <c r="AA95" s="619" t="n">
        <v>46154</v>
      </c>
      <c r="AB95" s="619" t="n">
        <v>46160</v>
      </c>
      <c r="AC95" s="620" t="n">
        <v>46161.48013503472</v>
      </c>
      <c r="AD95" s="620" t="n">
        <v>46161.48080876157</v>
      </c>
      <c r="AE95" s="620" t="n">
        <v>46161.48296567764</v>
      </c>
      <c r="AF95" s="621" t="inlineStr">
        <is>
          <t>USOU</t>
        </is>
      </c>
      <c r="AH95" s="75" t="n"/>
      <c r="AI95" s="75" t="n"/>
      <c r="AJ95" s="1" t="n"/>
      <c r="AK95" s="15" t="n"/>
      <c r="AL95" s="396" t="n"/>
      <c r="AM95" s="75" t="n"/>
      <c r="AN95" s="75" t="n"/>
      <c r="AO95" s="75" t="n"/>
      <c r="AP95" s="75" t="n"/>
      <c r="AQ95" s="75" t="n"/>
      <c r="AR95" s="75" t="n"/>
      <c r="AS95" s="75" t="n"/>
      <c r="AT95" s="75" t="n"/>
      <c r="AU95" s="75" t="n"/>
      <c r="AV95" s="75" t="n"/>
      <c r="AW95" s="75" t="n"/>
      <c r="AX95" s="75" t="n"/>
      <c r="AY95" s="75" t="n"/>
      <c r="AZ95" s="75" t="n"/>
      <c r="BA95" s="75" t="n"/>
      <c r="BB95" s="75" t="n"/>
      <c r="BC95" s="75" t="n"/>
      <c r="BD95" s="75" t="n"/>
      <c r="BE95" s="75" t="n"/>
      <c r="BF95" s="75" t="n"/>
      <c r="BG95" s="75" t="n"/>
      <c r="BH95" s="75" t="n"/>
      <c r="BI95" s="75" t="n"/>
      <c r="BJ95" s="75" t="n"/>
      <c r="BK95" s="75" t="n"/>
      <c r="BL95" s="75" t="n"/>
      <c r="BM95" s="75" t="n"/>
      <c r="BN95" s="75" t="n"/>
    </row>
    <row r="96">
      <c r="A96" s="25" t="inlineStr">
        <is>
          <t xml:space="preserve">SACOLA M </t>
        </is>
      </c>
      <c r="B96" s="6" t="n">
        <v>200</v>
      </c>
      <c r="C96" s="632" t="n">
        <v>336</v>
      </c>
      <c r="D96" s="240" t="n"/>
      <c r="F96" s="39" t="n">
        <v>89</v>
      </c>
      <c r="G96" s="39" t="n">
        <v>21</v>
      </c>
      <c r="H96" s="39" t="n">
        <v>4</v>
      </c>
      <c r="I96" s="39" t="n">
        <v>4</v>
      </c>
      <c r="J96" s="39" t="n">
        <v>4</v>
      </c>
      <c r="K96" s="39" t="n">
        <v>55</v>
      </c>
      <c r="L96" s="39" t="n">
        <v>55</v>
      </c>
      <c r="M96" s="39" t="n">
        <v>55</v>
      </c>
      <c r="N96" s="39" t="n">
        <v>55</v>
      </c>
      <c r="O96" s="39" t="n">
        <v>55</v>
      </c>
      <c r="P96" s="39" t="n">
        <v>54</v>
      </c>
      <c r="Q96" s="39" t="n">
        <v>40</v>
      </c>
      <c r="R96" s="39" t="n">
        <v>13</v>
      </c>
      <c r="S96" s="39" t="n">
        <v>12</v>
      </c>
      <c r="T96" s="39" t="n">
        <v>0</v>
      </c>
      <c r="U96" s="39" t="n">
        <v>0</v>
      </c>
      <c r="V96" s="39" t="n"/>
      <c r="W96" s="39" t="n"/>
      <c r="X96" s="39" t="n"/>
      <c r="Y96" s="39" t="n"/>
      <c r="Z96" s="39" t="n"/>
      <c r="AA96" s="39" t="n">
        <v>0</v>
      </c>
      <c r="AB96" s="39" t="n">
        <v>0</v>
      </c>
      <c r="AC96" s="6" t="n">
        <v>0</v>
      </c>
      <c r="AD96" s="6" t="n">
        <v>0</v>
      </c>
      <c r="AE96" s="6" t="n">
        <v>0</v>
      </c>
      <c r="AF96" s="380">
        <f>AD96+IF(NOT(ISBLANK(OFFSET(AF96,0,6))),N(OFFSET(AF96,0,6)),N(OFFSET(AF96,0,7)))-AE96</f>
        <v/>
      </c>
      <c r="AH96" s="75" t="n"/>
      <c r="AI96" s="75" t="n"/>
      <c r="AJ96" s="1" t="n"/>
      <c r="AK96" s="15" t="n"/>
      <c r="AL96" s="396" t="n"/>
      <c r="AM96" s="75" t="n"/>
      <c r="AN96" s="75" t="n"/>
      <c r="AO96" s="75" t="n"/>
      <c r="AP96" s="75" t="n"/>
      <c r="AQ96" s="75" t="n"/>
      <c r="AR96" s="75" t="n"/>
      <c r="AS96" s="75" t="n"/>
      <c r="AT96" s="75" t="n"/>
      <c r="AU96" s="75" t="n"/>
      <c r="AV96" s="75" t="n"/>
      <c r="AW96" s="75" t="n"/>
      <c r="AX96" s="75" t="n"/>
      <c r="AY96" s="75" t="n"/>
      <c r="AZ96" s="75" t="n"/>
      <c r="BA96" s="75" t="n"/>
      <c r="BB96" s="75" t="n"/>
      <c r="BC96" s="75" t="n"/>
      <c r="BD96" s="75" t="n"/>
      <c r="BE96" s="75" t="n"/>
      <c r="BF96" s="75" t="n"/>
      <c r="BG96" s="75" t="n"/>
      <c r="BH96" s="75" t="n"/>
      <c r="BI96" s="75" t="n"/>
      <c r="BJ96" s="75" t="n"/>
      <c r="BK96" s="75" t="n"/>
      <c r="BL96" s="75" t="n"/>
      <c r="BM96" s="75" t="n"/>
      <c r="BN96" s="75" t="n"/>
    </row>
    <row r="97">
      <c r="A97" s="25" t="inlineStr">
        <is>
          <t>PAPEL DE SEDA</t>
        </is>
      </c>
      <c r="B97" s="6" t="n">
        <v>200</v>
      </c>
      <c r="C97" s="632" t="n">
        <v>54</v>
      </c>
      <c r="D97" s="240" t="n"/>
      <c r="F97" s="39" t="n">
        <v>246</v>
      </c>
      <c r="G97" s="39" t="n">
        <v>217</v>
      </c>
      <c r="H97" s="39" t="n">
        <v>209</v>
      </c>
      <c r="I97" s="39" t="n">
        <v>209</v>
      </c>
      <c r="J97" s="39" t="n">
        <v>207</v>
      </c>
      <c r="K97" s="39" t="n">
        <v>196</v>
      </c>
      <c r="L97" s="39" t="n">
        <v>196</v>
      </c>
      <c r="M97" s="39" t="n">
        <v>196</v>
      </c>
      <c r="N97" s="39" t="n">
        <v>196</v>
      </c>
      <c r="O97" s="39" t="n">
        <v>196</v>
      </c>
      <c r="P97" s="39" t="n">
        <v>157</v>
      </c>
      <c r="Q97" s="39" t="n">
        <v>157</v>
      </c>
      <c r="R97" s="39" t="n">
        <v>157</v>
      </c>
      <c r="S97" s="39" t="n">
        <v>157</v>
      </c>
      <c r="T97" s="39" t="n">
        <v>157</v>
      </c>
      <c r="U97" s="39" t="n">
        <v>157</v>
      </c>
      <c r="V97" s="39" t="n"/>
      <c r="W97" s="39" t="n"/>
      <c r="X97" s="39" t="n"/>
      <c r="Y97" s="39" t="n"/>
      <c r="Z97" s="39" t="n"/>
      <c r="AA97" s="39" t="n">
        <v>146</v>
      </c>
      <c r="AB97" s="39" t="n">
        <v>136</v>
      </c>
      <c r="AC97" s="6" t="n">
        <v>136</v>
      </c>
      <c r="AD97" s="6" t="n">
        <v>136</v>
      </c>
      <c r="AE97" s="6" t="n">
        <v>136</v>
      </c>
      <c r="AF97" s="380">
        <f>AD97+IF(NOT(ISBLANK(OFFSET(AF97,0,6))),N(OFFSET(AF97,0,6)),N(OFFSET(AF97,0,7)))-AE97</f>
        <v/>
      </c>
      <c r="AH97" s="75" t="n"/>
      <c r="AI97" s="75" t="n"/>
      <c r="AJ97" s="1" t="n"/>
      <c r="AK97" s="15" t="n"/>
      <c r="AL97" s="396" t="n"/>
      <c r="AM97" s="75" t="n"/>
      <c r="AN97" s="75" t="n"/>
      <c r="AO97" s="75" t="n"/>
      <c r="AP97" s="75" t="n"/>
      <c r="AQ97" s="75" t="n"/>
      <c r="AR97" s="75" t="n"/>
      <c r="AS97" s="75" t="n"/>
      <c r="AT97" s="75" t="n"/>
      <c r="AU97" s="75" t="n"/>
      <c r="AV97" s="75" t="n"/>
      <c r="AW97" s="75" t="n"/>
      <c r="AX97" s="75" t="n"/>
      <c r="AY97" s="75" t="n"/>
      <c r="AZ97" s="75" t="n"/>
      <c r="BA97" s="75" t="n"/>
      <c r="BB97" s="75" t="n"/>
      <c r="BC97" s="75" t="n"/>
      <c r="BD97" s="75" t="n"/>
      <c r="BE97" s="75" t="n"/>
      <c r="BF97" s="75" t="n"/>
      <c r="BG97" s="75" t="n"/>
      <c r="BH97" s="75" t="n"/>
      <c r="BI97" s="75" t="n"/>
      <c r="BJ97" s="75" t="n"/>
      <c r="BK97" s="75" t="n"/>
      <c r="BL97" s="75" t="n"/>
      <c r="BM97" s="75" t="n"/>
      <c r="BN97" s="75" t="n"/>
    </row>
    <row r="98">
      <c r="A98" s="25" t="inlineStr">
        <is>
          <t>KIT TAG 10 C/ 20</t>
        </is>
      </c>
      <c r="B98" s="6" t="n">
        <v>200</v>
      </c>
      <c r="C98" s="632" t="n">
        <v>40</v>
      </c>
      <c r="D98" s="240" t="n"/>
      <c r="F98" s="39" t="n">
        <v>0</v>
      </c>
      <c r="G98" s="39" t="n">
        <v>0</v>
      </c>
      <c r="H98" s="39" t="n">
        <v>0</v>
      </c>
      <c r="I98" s="39" t="n">
        <v>0</v>
      </c>
      <c r="J98" s="39" t="n">
        <v>0</v>
      </c>
      <c r="K98" s="39" t="n">
        <v>0</v>
      </c>
      <c r="L98" s="39" t="n">
        <v>0</v>
      </c>
      <c r="M98" s="39" t="n">
        <v>0</v>
      </c>
      <c r="N98" s="39" t="n">
        <v>0</v>
      </c>
      <c r="O98" s="39" t="n">
        <v>0</v>
      </c>
      <c r="P98" s="39" t="n">
        <v>5</v>
      </c>
      <c r="Q98" s="39" t="n">
        <v>5</v>
      </c>
      <c r="R98" s="39" t="n">
        <v>5</v>
      </c>
      <c r="S98" s="39" t="n">
        <v>5</v>
      </c>
      <c r="T98" s="39" t="n">
        <v>0</v>
      </c>
      <c r="U98" s="39" t="n">
        <v>0</v>
      </c>
      <c r="V98" s="39" t="n"/>
      <c r="W98" s="39" t="n"/>
      <c r="X98" s="39" t="n"/>
      <c r="Y98" s="39" t="n"/>
      <c r="Z98" s="39" t="n"/>
      <c r="AA98" s="39" t="n">
        <v>0</v>
      </c>
      <c r="AB98" s="39" t="n">
        <v>0</v>
      </c>
      <c r="AC98" s="6" t="n">
        <v>0</v>
      </c>
      <c r="AD98" s="6" t="n">
        <v>0</v>
      </c>
      <c r="AE98" s="6" t="n">
        <v>0</v>
      </c>
      <c r="AF98" s="380">
        <f>AD98+IF(NOT(ISBLANK(OFFSET(AF98,0,6))),N(OFFSET(AF98,0,6)),N(OFFSET(AF98,0,7)))-AE98</f>
        <v/>
      </c>
      <c r="AH98" s="75" t="n"/>
      <c r="AI98" s="75" t="n"/>
      <c r="AJ98" s="1" t="n"/>
      <c r="AK98" s="15" t="n"/>
      <c r="AL98" s="396" t="n"/>
      <c r="AM98" s="75" t="n"/>
      <c r="AN98" s="75" t="n"/>
      <c r="AO98" s="75" t="n"/>
      <c r="AP98" s="75" t="n"/>
      <c r="AQ98" s="75" t="n"/>
      <c r="AR98" s="75" t="n"/>
      <c r="AS98" s="75" t="n"/>
      <c r="AT98" s="75" t="n"/>
      <c r="AU98" s="75" t="n"/>
      <c r="AV98" s="75" t="n"/>
      <c r="AW98" s="75" t="n"/>
      <c r="AX98" s="75" t="n"/>
      <c r="AY98" s="75" t="n"/>
      <c r="AZ98" s="75" t="n"/>
      <c r="BA98" s="75" t="n"/>
      <c r="BB98" s="75" t="n"/>
      <c r="BC98" s="75" t="n"/>
      <c r="BD98" s="75" t="n"/>
      <c r="BE98" s="75" t="n"/>
      <c r="BF98" s="75" t="n"/>
      <c r="BG98" s="75" t="n"/>
      <c r="BH98" s="75" t="n"/>
      <c r="BI98" s="75" t="n"/>
      <c r="BJ98" s="75" t="n"/>
      <c r="BK98" s="75" t="n"/>
      <c r="BL98" s="75" t="n"/>
      <c r="BM98" s="75" t="n"/>
      <c r="BN98" s="75" t="n"/>
    </row>
    <row r="99">
      <c r="A99" s="157" t="inlineStr">
        <is>
          <t>CAIXA M</t>
        </is>
      </c>
      <c r="B99" s="72" t="n">
        <v>100</v>
      </c>
      <c r="C99" s="639" t="n">
        <v>904</v>
      </c>
      <c r="D99" s="72" t="n"/>
      <c r="F99" s="39" t="n">
        <v>108</v>
      </c>
      <c r="G99" s="39" t="n">
        <v>108</v>
      </c>
      <c r="H99" s="39" t="n">
        <v>108</v>
      </c>
      <c r="I99" s="39" t="n">
        <v>108</v>
      </c>
      <c r="J99" s="39" t="n">
        <v>108</v>
      </c>
      <c r="K99" s="39" t="n">
        <v>116</v>
      </c>
      <c r="L99" s="39" t="n">
        <v>116</v>
      </c>
      <c r="M99" s="39" t="n">
        <v>116</v>
      </c>
      <c r="N99" s="39" t="n">
        <v>116</v>
      </c>
      <c r="O99" s="39" t="n">
        <v>116</v>
      </c>
      <c r="P99" s="39" t="n">
        <v>109</v>
      </c>
      <c r="Q99" s="39" t="n">
        <v>109</v>
      </c>
      <c r="R99" s="39" t="n">
        <v>109</v>
      </c>
      <c r="S99" s="39" t="n">
        <v>109</v>
      </c>
      <c r="T99" s="39" t="n">
        <v>108</v>
      </c>
      <c r="U99" s="39" t="n">
        <v>108</v>
      </c>
      <c r="V99" s="39" t="n"/>
      <c r="W99" s="39" t="n"/>
      <c r="X99" s="39" t="n"/>
      <c r="Y99" s="39" t="n"/>
      <c r="Z99" s="39" t="n"/>
      <c r="AA99" s="39" t="n">
        <v>105</v>
      </c>
      <c r="AB99" s="39" t="n">
        <v>105</v>
      </c>
      <c r="AC99" s="6" t="n">
        <v>105</v>
      </c>
      <c r="AD99" s="6" t="n">
        <v>105</v>
      </c>
      <c r="AE99" s="6" t="n">
        <v>105</v>
      </c>
      <c r="AF99" s="380">
        <f>AD99+IF(NOT(ISBLANK(OFFSET(AF99,0,6))),N(OFFSET(AF99,0,6)),N(OFFSET(AF99,0,7)))-AE99</f>
        <v/>
      </c>
      <c r="AH99" s="75" t="n"/>
      <c r="AI99" s="75" t="n"/>
      <c r="AJ99" s="1" t="n"/>
      <c r="AK99" s="15" t="n"/>
      <c r="AL99" s="396" t="n"/>
      <c r="AM99" s="75" t="n"/>
      <c r="AN99" s="75" t="n"/>
      <c r="AO99" s="75" t="n"/>
      <c r="AP99" s="75" t="n"/>
      <c r="AQ99" s="75" t="n"/>
      <c r="AR99" s="75" t="n"/>
      <c r="AS99" s="75" t="n"/>
      <c r="AT99" s="75" t="n"/>
      <c r="AU99" s="75" t="n"/>
      <c r="AV99" s="75" t="n"/>
      <c r="AW99" s="75" t="n"/>
      <c r="AX99" s="75" t="n"/>
      <c r="AY99" s="75" t="n"/>
      <c r="AZ99" s="75" t="n"/>
      <c r="BA99" s="75" t="n"/>
      <c r="BB99" s="75" t="n"/>
      <c r="BC99" s="75" t="n"/>
      <c r="BD99" s="75" t="n"/>
      <c r="BE99" s="75" t="n"/>
      <c r="BF99" s="75" t="n"/>
      <c r="BG99" s="75" t="n"/>
      <c r="BH99" s="75" t="n"/>
      <c r="BI99" s="75" t="n"/>
      <c r="BJ99" s="75" t="n"/>
      <c r="BK99" s="75" t="n"/>
      <c r="BL99" s="75" t="n"/>
      <c r="BM99" s="75" t="n"/>
      <c r="BN99" s="75" t="n"/>
    </row>
    <row r="100">
      <c r="A100" s="157" t="inlineStr">
        <is>
          <t>CARTUCHO P</t>
        </is>
      </c>
      <c r="B100" s="72" t="n">
        <v>200</v>
      </c>
      <c r="C100" s="639" t="n">
        <v>464</v>
      </c>
      <c r="D100" s="72" t="n"/>
      <c r="F100" s="39" t="n">
        <v>201</v>
      </c>
      <c r="G100" s="39" t="n">
        <v>199</v>
      </c>
      <c r="H100" s="39" t="n">
        <v>198</v>
      </c>
      <c r="I100" s="39" t="n">
        <v>198</v>
      </c>
      <c r="J100" s="39" t="n">
        <v>198</v>
      </c>
      <c r="K100" s="39" t="n">
        <v>199</v>
      </c>
      <c r="L100" s="39" t="n">
        <v>199</v>
      </c>
      <c r="M100" s="39" t="n">
        <v>199</v>
      </c>
      <c r="N100" s="39" t="n">
        <v>199</v>
      </c>
      <c r="O100" s="39" t="n">
        <v>199</v>
      </c>
      <c r="P100" s="39" t="n">
        <v>198</v>
      </c>
      <c r="Q100" s="39" t="n">
        <v>197</v>
      </c>
      <c r="R100" s="39" t="n">
        <v>197</v>
      </c>
      <c r="S100" s="39" t="n">
        <v>195</v>
      </c>
      <c r="T100" s="39" t="n">
        <v>195</v>
      </c>
      <c r="U100" s="39" t="n">
        <v>195</v>
      </c>
      <c r="V100" s="39" t="n"/>
      <c r="W100" s="39" t="n"/>
      <c r="X100" s="39" t="n"/>
      <c r="Y100" s="39" t="n"/>
      <c r="Z100" s="39" t="n"/>
      <c r="AA100" s="39" t="n">
        <v>180</v>
      </c>
      <c r="AB100" s="39" t="n">
        <v>180</v>
      </c>
      <c r="AC100" s="6" t="n">
        <v>180</v>
      </c>
      <c r="AD100" s="6" t="n">
        <v>180</v>
      </c>
      <c r="AE100" s="6" t="n">
        <v>180</v>
      </c>
      <c r="AF100" s="380">
        <f>AD100+IF(NOT(ISBLANK(OFFSET(AF100,0,6))),N(OFFSET(AF100,0,6)),N(OFFSET(AF100,0,7)))-AE100</f>
        <v/>
      </c>
      <c r="AH100" s="75" t="n"/>
      <c r="AI100" s="75" t="n"/>
      <c r="AJ100" s="1" t="n"/>
      <c r="AK100" s="15" t="n"/>
      <c r="AL100" s="396" t="n"/>
      <c r="AM100" s="75" t="n"/>
      <c r="AN100" s="75" t="n"/>
      <c r="AO100" s="75" t="n"/>
      <c r="AP100" s="75" t="n"/>
      <c r="AQ100" s="75" t="n"/>
      <c r="AR100" s="75" t="n"/>
      <c r="AS100" s="75" t="n"/>
      <c r="AT100" s="75" t="n"/>
      <c r="AU100" s="75" t="n"/>
      <c r="AV100" s="75" t="n"/>
      <c r="AW100" s="75" t="n"/>
      <c r="AX100" s="75" t="n"/>
      <c r="AY100" s="75" t="n"/>
      <c r="AZ100" s="75" t="n"/>
      <c r="BA100" s="75" t="n"/>
      <c r="BB100" s="75" t="n"/>
      <c r="BC100" s="75" t="n"/>
      <c r="BD100" s="75" t="n"/>
      <c r="BE100" s="75" t="n"/>
      <c r="BF100" s="75" t="n"/>
      <c r="BG100" s="75" t="n"/>
      <c r="BH100" s="75" t="n"/>
      <c r="BI100" s="75" t="n"/>
      <c r="BJ100" s="75" t="n"/>
      <c r="BK100" s="75" t="n"/>
      <c r="BL100" s="75" t="n"/>
      <c r="BM100" s="75" t="n"/>
      <c r="BN100" s="75" t="n"/>
    </row>
    <row r="101">
      <c r="F101" s="2" t="n"/>
      <c r="G101" s="2" t="n"/>
      <c r="H101" s="2" t="n"/>
      <c r="I101" s="2" t="n"/>
      <c r="J101" s="2" t="n"/>
      <c r="K101" s="2" t="n"/>
      <c r="L101" s="2" t="n"/>
      <c r="M101" s="2" t="n"/>
      <c r="N101" s="2" t="n"/>
      <c r="O101" s="2" t="n"/>
      <c r="P101" s="2" t="n"/>
      <c r="Q101" s="2" t="n"/>
      <c r="R101" s="2" t="n"/>
      <c r="S101" s="2" t="n"/>
      <c r="T101" s="2" t="n"/>
      <c r="U101" s="2" t="n"/>
      <c r="V101" s="2" t="n"/>
      <c r="W101" s="2" t="n"/>
      <c r="X101" s="2" t="n"/>
      <c r="Y101" s="2" t="n"/>
      <c r="Z101" s="2" t="n"/>
      <c r="AA101" s="2" t="n"/>
      <c r="AB101" s="2" t="n"/>
      <c r="AC101" s="1" t="n"/>
      <c r="AD101" s="1" t="n"/>
      <c r="AE101" s="1" t="n"/>
      <c r="AH101" s="75" t="n"/>
      <c r="AI101" s="75" t="n"/>
      <c r="AJ101" s="1" t="n"/>
      <c r="AK101" s="15" t="n"/>
      <c r="AL101" s="396" t="n"/>
      <c r="AM101" s="75" t="n"/>
      <c r="AN101" s="75" t="n"/>
      <c r="AO101" s="75" t="n"/>
      <c r="AP101" s="75" t="n"/>
      <c r="AQ101" s="75" t="n"/>
      <c r="AR101" s="75" t="n"/>
      <c r="AS101" s="75" t="n"/>
      <c r="AT101" s="75" t="n"/>
      <c r="AU101" s="75" t="n"/>
      <c r="AV101" s="75" t="n"/>
      <c r="AW101" s="75" t="n"/>
      <c r="AX101" s="75" t="n"/>
      <c r="AY101" s="75" t="n"/>
      <c r="AZ101" s="75" t="n"/>
      <c r="BA101" s="75" t="n"/>
      <c r="BB101" s="75" t="n"/>
      <c r="BC101" s="75" t="n"/>
      <c r="BD101" s="75" t="n"/>
      <c r="BE101" s="75" t="n"/>
      <c r="BF101" s="75" t="n"/>
      <c r="BG101" s="75" t="n"/>
      <c r="BH101" s="75" t="n"/>
      <c r="BI101" s="75" t="n"/>
      <c r="BJ101" s="75" t="n"/>
      <c r="BK101" s="75" t="n"/>
      <c r="BL101" s="75" t="n"/>
      <c r="BM101" s="75" t="n"/>
      <c r="BN101" s="75" t="n"/>
    </row>
    <row r="102">
      <c r="A102" s="280" t="inlineStr">
        <is>
          <t>BOTICÁRIO NATAL/25</t>
        </is>
      </c>
      <c r="B102" s="255" t="inlineStr">
        <is>
          <t>PC</t>
        </is>
      </c>
      <c r="C102" s="255" t="inlineStr">
        <is>
          <t>R$</t>
        </is>
      </c>
      <c r="D102" s="255" t="n"/>
      <c r="F102" s="619" t="n">
        <v>46006</v>
      </c>
      <c r="G102" s="619" t="n">
        <v>46013</v>
      </c>
      <c r="H102" s="619" t="n">
        <v>46020</v>
      </c>
      <c r="I102" s="619" t="n">
        <v>46027</v>
      </c>
      <c r="J102" s="619" t="n">
        <v>46034</v>
      </c>
      <c r="K102" s="619" t="n">
        <v>46041</v>
      </c>
      <c r="L102" s="619" t="n">
        <v>46048</v>
      </c>
      <c r="M102" s="619" t="n">
        <v>46055</v>
      </c>
      <c r="N102" s="619" t="n">
        <v>46062</v>
      </c>
      <c r="O102" s="619" t="n">
        <v>46069</v>
      </c>
      <c r="P102" s="619" t="n">
        <v>46076</v>
      </c>
      <c r="Q102" s="619" t="n">
        <v>46083</v>
      </c>
      <c r="R102" s="619" t="n">
        <v>46090</v>
      </c>
      <c r="S102" s="619" t="n">
        <v>46097</v>
      </c>
      <c r="T102" s="619" t="n">
        <v>46104</v>
      </c>
      <c r="U102" s="619" t="n">
        <v>46111</v>
      </c>
      <c r="V102" s="619" t="n">
        <v>46118</v>
      </c>
      <c r="W102" s="619" t="n">
        <v>46125</v>
      </c>
      <c r="X102" s="619" t="n">
        <v>46132</v>
      </c>
      <c r="Y102" s="619" t="n">
        <v>46139</v>
      </c>
      <c r="Z102" s="619" t="n">
        <v>46146</v>
      </c>
      <c r="AA102" s="619" t="n">
        <v>46154</v>
      </c>
      <c r="AB102" s="619" t="n">
        <v>46160</v>
      </c>
      <c r="AC102" s="620" t="n">
        <v>46161.48013503472</v>
      </c>
      <c r="AD102" s="620" t="n">
        <v>46161.48080876157</v>
      </c>
      <c r="AE102" s="620" t="n">
        <v>46161.48296567786</v>
      </c>
      <c r="AF102" s="621" t="inlineStr">
        <is>
          <t>USOU</t>
        </is>
      </c>
      <c r="AH102" s="75" t="n"/>
      <c r="AI102" s="75" t="n"/>
      <c r="AJ102" s="1" t="n"/>
      <c r="AK102" s="15" t="n"/>
      <c r="AL102" s="396" t="n"/>
      <c r="AM102" s="75" t="n"/>
      <c r="AN102" s="75" t="n"/>
      <c r="AO102" s="75" t="n"/>
      <c r="AP102" s="75" t="n"/>
      <c r="AQ102" s="75" t="n"/>
      <c r="AR102" s="75" t="n"/>
      <c r="AS102" s="75" t="n"/>
      <c r="AT102" s="75" t="n"/>
      <c r="AU102" s="75" t="n"/>
      <c r="AV102" s="75" t="n"/>
      <c r="AW102" s="75" t="n"/>
      <c r="AX102" s="75" t="n"/>
      <c r="AY102" s="75" t="n"/>
      <c r="AZ102" s="75" t="n"/>
      <c r="BA102" s="75" t="n"/>
      <c r="BB102" s="75" t="n"/>
      <c r="BC102" s="75" t="n"/>
      <c r="BD102" s="75" t="n"/>
      <c r="BE102" s="75" t="n"/>
      <c r="BF102" s="75" t="n"/>
      <c r="BG102" s="75" t="n"/>
      <c r="BH102" s="75" t="n"/>
      <c r="BI102" s="75" t="n"/>
      <c r="BJ102" s="75" t="n"/>
      <c r="BK102" s="75" t="n"/>
      <c r="BL102" s="75" t="n"/>
      <c r="BM102" s="75" t="n"/>
      <c r="BN102" s="75" t="n"/>
    </row>
    <row r="103" hidden="1">
      <c r="A103" s="25" t="inlineStr">
        <is>
          <t>SACOLA P</t>
        </is>
      </c>
      <c r="B103" s="6" t="n">
        <v>200</v>
      </c>
      <c r="C103" s="632" t="n">
        <v>274.2</v>
      </c>
      <c r="D103" s="240" t="n"/>
      <c r="F103" s="39" t="n">
        <v>92</v>
      </c>
      <c r="G103" s="39" t="n">
        <v>53</v>
      </c>
      <c r="H103" s="39" t="n">
        <v>9</v>
      </c>
      <c r="I103" s="39" t="n">
        <v>9</v>
      </c>
      <c r="J103" s="39" t="n">
        <v>9</v>
      </c>
      <c r="K103" s="39" t="n">
        <v>0</v>
      </c>
      <c r="L103" s="39" t="n">
        <v>0</v>
      </c>
      <c r="M103" s="39" t="n"/>
      <c r="N103" s="39" t="n"/>
      <c r="O103" s="39" t="n"/>
      <c r="P103" s="39" t="n"/>
      <c r="Q103" s="39" t="n"/>
      <c r="R103" s="39" t="n"/>
      <c r="S103" s="39" t="n"/>
      <c r="T103" s="39" t="n"/>
      <c r="U103" s="39" t="n"/>
      <c r="V103" s="39" t="n"/>
      <c r="W103" s="39" t="n"/>
      <c r="X103" s="39" t="n"/>
      <c r="Y103" s="39" t="n"/>
      <c r="Z103" s="39" t="n"/>
      <c r="AA103" s="39" t="n"/>
      <c r="AB103" s="39" t="n"/>
      <c r="AC103" s="6" t="n"/>
      <c r="AD103" s="6" t="n"/>
      <c r="AE103" s="6" t="n"/>
      <c r="AF103" s="26">
        <f>AD103+IF(NOT(ISBLANK(OFFSET(AF103,0,6))),N(OFFSET(AF103,0,6)),N(OFFSET(AF103,0,7)))-AE103</f>
        <v/>
      </c>
      <c r="AH103" s="75" t="n"/>
      <c r="AI103" s="75" t="n"/>
      <c r="AJ103" s="1" t="n"/>
      <c r="AK103" s="15" t="n"/>
      <c r="AL103" s="396" t="n"/>
      <c r="AM103" s="75" t="n"/>
      <c r="AN103" s="75" t="n"/>
      <c r="AO103" s="75" t="n"/>
      <c r="AP103" s="75" t="n"/>
      <c r="AQ103" s="75" t="n"/>
      <c r="AR103" s="75" t="n"/>
      <c r="AS103" s="75" t="n"/>
      <c r="AT103" s="75" t="n"/>
      <c r="AU103" s="75" t="n"/>
      <c r="AV103" s="75" t="n"/>
      <c r="AW103" s="75" t="n"/>
      <c r="AX103" s="75" t="n"/>
      <c r="AY103" s="75" t="n"/>
      <c r="AZ103" s="75" t="n"/>
      <c r="BA103" s="75" t="n"/>
      <c r="BB103" s="75" t="n"/>
      <c r="BC103" s="75" t="n"/>
      <c r="BD103" s="75" t="n"/>
      <c r="BE103" s="75" t="n"/>
      <c r="BF103" s="75" t="n"/>
      <c r="BG103" s="75" t="n"/>
      <c r="BH103" s="75" t="n"/>
      <c r="BI103" s="75" t="n"/>
      <c r="BJ103" s="75" t="n"/>
      <c r="BK103" s="75" t="n"/>
      <c r="BL103" s="75" t="n"/>
      <c r="BM103" s="75" t="n"/>
      <c r="BN103" s="75" t="n"/>
    </row>
    <row r="104" hidden="1">
      <c r="A104" s="25" t="inlineStr">
        <is>
          <t>SACOLA M</t>
        </is>
      </c>
      <c r="B104" s="6" t="n">
        <v>200</v>
      </c>
      <c r="C104" s="632" t="n">
        <v>347.8</v>
      </c>
      <c r="D104" s="240" t="n"/>
      <c r="F104" s="39" t="n">
        <v>409</v>
      </c>
      <c r="G104" s="39" t="n">
        <v>341</v>
      </c>
      <c r="H104" s="39" t="n">
        <v>306</v>
      </c>
      <c r="I104" s="39" t="n">
        <v>306</v>
      </c>
      <c r="J104" s="39" t="n">
        <v>306</v>
      </c>
      <c r="K104" s="39" t="n">
        <v>0</v>
      </c>
      <c r="L104" s="39" t="n">
        <v>0</v>
      </c>
      <c r="M104" s="39" t="n"/>
      <c r="N104" s="39" t="n"/>
      <c r="O104" s="39" t="n"/>
      <c r="P104" s="39" t="n"/>
      <c r="Q104" s="39" t="n"/>
      <c r="R104" s="39" t="n"/>
      <c r="S104" s="39" t="n"/>
      <c r="T104" s="39" t="n"/>
      <c r="U104" s="39" t="n"/>
      <c r="V104" s="39" t="n"/>
      <c r="W104" s="39" t="n"/>
      <c r="X104" s="39" t="n"/>
      <c r="Y104" s="39" t="n"/>
      <c r="Z104" s="39" t="n"/>
      <c r="AA104" s="39" t="n"/>
      <c r="AB104" s="39" t="n"/>
      <c r="AC104" s="6" t="n"/>
      <c r="AD104" s="6" t="n"/>
      <c r="AE104" s="6" t="n"/>
      <c r="AF104" s="26">
        <f>AD104+IF(NOT(ISBLANK(OFFSET(AF104,0,6))),N(OFFSET(AF104,0,6)),N(OFFSET(AF104,0,7)))-AE104</f>
        <v/>
      </c>
      <c r="AH104" s="75" t="n"/>
      <c r="AI104" s="75" t="n"/>
      <c r="AJ104" s="1" t="n"/>
      <c r="AK104" s="15" t="n"/>
      <c r="AL104" s="396" t="n"/>
      <c r="AM104" s="75" t="n"/>
      <c r="AN104" s="75" t="n"/>
      <c r="AO104" s="75" t="n"/>
      <c r="AP104" s="75" t="n"/>
      <c r="AQ104" s="75" t="n"/>
      <c r="AR104" s="75" t="n"/>
      <c r="AS104" s="75" t="n"/>
      <c r="AT104" s="75" t="n"/>
      <c r="AU104" s="75" t="n"/>
      <c r="AV104" s="75" t="n"/>
      <c r="AW104" s="75" t="n"/>
      <c r="AX104" s="75" t="n"/>
      <c r="AY104" s="75" t="n"/>
      <c r="AZ104" s="75" t="n"/>
      <c r="BA104" s="75" t="n"/>
      <c r="BB104" s="75" t="n"/>
      <c r="BC104" s="75" t="n"/>
      <c r="BD104" s="75" t="n"/>
      <c r="BE104" s="75" t="n"/>
      <c r="BF104" s="75" t="n"/>
      <c r="BG104" s="75" t="n"/>
      <c r="BH104" s="75" t="n"/>
      <c r="BI104" s="75" t="n"/>
      <c r="BJ104" s="75" t="n"/>
      <c r="BK104" s="75" t="n"/>
      <c r="BL104" s="75" t="n"/>
      <c r="BM104" s="75" t="n"/>
      <c r="BN104" s="75" t="n"/>
    </row>
    <row r="105" hidden="1">
      <c r="A105" s="25" t="inlineStr">
        <is>
          <t>SACOLA G</t>
        </is>
      </c>
      <c r="B105" s="6" t="n">
        <v>100</v>
      </c>
      <c r="C105" s="632" t="n">
        <v>267</v>
      </c>
      <c r="D105" s="240" t="n"/>
      <c r="F105" s="39" t="n">
        <v>50</v>
      </c>
      <c r="G105" s="39" t="n">
        <v>45</v>
      </c>
      <c r="H105" s="39" t="n">
        <v>39</v>
      </c>
      <c r="I105" s="39" t="n">
        <v>39</v>
      </c>
      <c r="J105" s="39" t="n">
        <v>39</v>
      </c>
      <c r="K105" s="39" t="n">
        <v>0</v>
      </c>
      <c r="L105" s="39" t="n">
        <v>0</v>
      </c>
      <c r="M105" s="39" t="n"/>
      <c r="N105" s="39" t="n"/>
      <c r="O105" s="39" t="n"/>
      <c r="P105" s="39" t="n"/>
      <c r="Q105" s="39" t="n"/>
      <c r="R105" s="39" t="n"/>
      <c r="S105" s="39" t="n"/>
      <c r="T105" s="39" t="n"/>
      <c r="U105" s="39" t="n"/>
      <c r="V105" s="39" t="n"/>
      <c r="W105" s="39" t="n"/>
      <c r="X105" s="39" t="n"/>
      <c r="Y105" s="39" t="n"/>
      <c r="Z105" s="39" t="n"/>
      <c r="AA105" s="39" t="n"/>
      <c r="AB105" s="39" t="n"/>
      <c r="AC105" s="6" t="n"/>
      <c r="AD105" s="6" t="n"/>
      <c r="AE105" s="6" t="n"/>
      <c r="AF105" s="26">
        <f>AD105+IF(NOT(ISBLANK(OFFSET(AF105,0,6))),N(OFFSET(AF105,0,6)),N(OFFSET(AF105,0,7)))-AE105</f>
        <v/>
      </c>
      <c r="AH105" s="75" t="n"/>
      <c r="AI105" s="75" t="n"/>
      <c r="AJ105" s="1" t="n"/>
      <c r="AK105" s="15" t="n"/>
      <c r="AL105" s="396" t="n"/>
      <c r="AM105" s="75" t="n"/>
      <c r="AN105" s="75" t="n"/>
      <c r="AO105" s="75" t="n"/>
      <c r="AP105" s="75" t="n"/>
      <c r="AQ105" s="75" t="n"/>
      <c r="AR105" s="75" t="n"/>
      <c r="AS105" s="75" t="n"/>
      <c r="AT105" s="75" t="n"/>
      <c r="AU105" s="75" t="n"/>
      <c r="AV105" s="75" t="n"/>
      <c r="AW105" s="75" t="n"/>
      <c r="AX105" s="75" t="n"/>
      <c r="AY105" s="75" t="n"/>
      <c r="AZ105" s="75" t="n"/>
      <c r="BA105" s="75" t="n"/>
      <c r="BB105" s="75" t="n"/>
      <c r="BC105" s="75" t="n"/>
      <c r="BD105" s="75" t="n"/>
      <c r="BE105" s="75" t="n"/>
      <c r="BF105" s="75" t="n"/>
      <c r="BG105" s="75" t="n"/>
      <c r="BH105" s="75" t="n"/>
      <c r="BI105" s="75" t="n"/>
      <c r="BJ105" s="75" t="n"/>
      <c r="BK105" s="75" t="n"/>
      <c r="BL105" s="75" t="n"/>
      <c r="BM105" s="75" t="n"/>
      <c r="BN105" s="75" t="n"/>
    </row>
    <row r="106" hidden="1">
      <c r="A106" s="157" t="inlineStr">
        <is>
          <t>KIT PAPEL DE SEDA 10 C/ 20</t>
        </is>
      </c>
      <c r="B106" s="72" t="n">
        <v>200</v>
      </c>
      <c r="C106" s="639" t="n">
        <v>44.4</v>
      </c>
      <c r="D106" s="72" t="n"/>
      <c r="F106" s="39" t="n">
        <v>0</v>
      </c>
      <c r="G106" s="39" t="n">
        <v>0</v>
      </c>
      <c r="H106" s="39" t="n">
        <v>0</v>
      </c>
      <c r="I106" s="39" t="n">
        <v>0</v>
      </c>
      <c r="J106" s="39" t="n">
        <v>0</v>
      </c>
      <c r="K106" s="39" t="n">
        <v>0</v>
      </c>
      <c r="L106" s="39" t="n">
        <v>0</v>
      </c>
      <c r="M106" s="39" t="n"/>
      <c r="N106" s="39" t="n"/>
      <c r="O106" s="39" t="n"/>
      <c r="P106" s="39" t="n"/>
      <c r="Q106" s="39" t="n"/>
      <c r="R106" s="39" t="n"/>
      <c r="S106" s="39" t="n"/>
      <c r="T106" s="39" t="n"/>
      <c r="U106" s="39" t="n"/>
      <c r="V106" s="39" t="n"/>
      <c r="W106" s="39" t="n"/>
      <c r="X106" s="39" t="n"/>
      <c r="Y106" s="39" t="n"/>
      <c r="Z106" s="39" t="n"/>
      <c r="AA106" s="39" t="n"/>
      <c r="AB106" s="39" t="n"/>
      <c r="AC106" s="6" t="n"/>
      <c r="AD106" s="6" t="n"/>
      <c r="AE106" s="6" t="n"/>
      <c r="AF106" s="26">
        <f>AD106+IF(NOT(ISBLANK(OFFSET(AF106,0,6))),N(OFFSET(AF106,0,6)),N(OFFSET(AF106,0,7)))-AE106</f>
        <v/>
      </c>
      <c r="AH106" s="75" t="n"/>
      <c r="AI106" s="75" t="n"/>
      <c r="AJ106" s="1" t="n"/>
      <c r="AK106" s="15" t="n"/>
      <c r="AL106" s="396" t="n"/>
      <c r="AM106" s="75" t="n"/>
      <c r="AN106" s="75" t="n"/>
      <c r="AO106" s="75" t="n"/>
      <c r="AP106" s="75" t="n"/>
      <c r="AQ106" s="75" t="n"/>
      <c r="AR106" s="75" t="n"/>
      <c r="AS106" s="75" t="n"/>
      <c r="AT106" s="75" t="n"/>
      <c r="AU106" s="75" t="n"/>
      <c r="AV106" s="75" t="n"/>
      <c r="AW106" s="75" t="n"/>
      <c r="AX106" s="75" t="n"/>
      <c r="AY106" s="75" t="n"/>
      <c r="AZ106" s="75" t="n"/>
      <c r="BA106" s="75" t="n"/>
      <c r="BB106" s="75" t="n"/>
      <c r="BC106" s="75" t="n"/>
      <c r="BD106" s="75" t="n"/>
      <c r="BE106" s="75" t="n"/>
      <c r="BF106" s="75" t="n"/>
      <c r="BG106" s="75" t="n"/>
      <c r="BH106" s="75" t="n"/>
      <c r="BI106" s="75" t="n"/>
      <c r="BJ106" s="75" t="n"/>
      <c r="BK106" s="75" t="n"/>
      <c r="BL106" s="75" t="n"/>
      <c r="BM106" s="75" t="n"/>
      <c r="BN106" s="75" t="n"/>
    </row>
    <row r="107">
      <c r="A107" s="157" t="inlineStr">
        <is>
          <t>CAIXA P</t>
        </is>
      </c>
      <c r="B107" s="72" t="n">
        <v>150</v>
      </c>
      <c r="C107" s="639" t="n">
        <v>805.35</v>
      </c>
      <c r="D107" s="72" t="n"/>
      <c r="F107" s="39" t="n">
        <v>76</v>
      </c>
      <c r="G107" s="39" t="n">
        <v>107</v>
      </c>
      <c r="H107" s="39" t="n">
        <v>103</v>
      </c>
      <c r="I107" s="39" t="n">
        <v>103</v>
      </c>
      <c r="J107" s="39" t="n">
        <v>103</v>
      </c>
      <c r="K107" s="39" t="n">
        <v>104</v>
      </c>
      <c r="L107" s="39" t="n">
        <v>104</v>
      </c>
      <c r="M107" s="39" t="n">
        <v>102</v>
      </c>
      <c r="N107" s="39" t="n">
        <v>101</v>
      </c>
      <c r="O107" s="39" t="n">
        <v>101</v>
      </c>
      <c r="P107" s="39" t="n">
        <v>104</v>
      </c>
      <c r="Q107" s="39" t="n">
        <v>103</v>
      </c>
      <c r="R107" s="39" t="n">
        <v>103</v>
      </c>
      <c r="S107" s="39" t="n">
        <v>103</v>
      </c>
      <c r="T107" s="39" t="n">
        <v>100</v>
      </c>
      <c r="U107" s="39" t="n">
        <v>100</v>
      </c>
      <c r="V107" s="39" t="n"/>
      <c r="W107" s="39" t="n"/>
      <c r="X107" s="39" t="n"/>
      <c r="Y107" s="39" t="n"/>
      <c r="Z107" s="39" t="n"/>
      <c r="AA107" s="39" t="n">
        <v>99</v>
      </c>
      <c r="AB107" s="39" t="n">
        <v>99</v>
      </c>
      <c r="AC107" s="6" t="n">
        <v>99</v>
      </c>
      <c r="AD107" s="6" t="n">
        <v>99</v>
      </c>
      <c r="AE107" s="6" t="n">
        <v>99</v>
      </c>
      <c r="AF107" s="380">
        <f>AD107+IF(NOT(ISBLANK(OFFSET(AF107,0,6))),N(OFFSET(AF107,0,6)),N(OFFSET(AF107,0,7)))-AE107</f>
        <v/>
      </c>
      <c r="AH107" s="75" t="n"/>
      <c r="AI107" s="75" t="n"/>
      <c r="AJ107" s="1" t="n"/>
      <c r="AK107" s="15" t="n"/>
      <c r="AL107" s="396" t="n"/>
      <c r="AM107" s="75" t="n"/>
      <c r="AN107" s="75" t="n"/>
      <c r="AO107" s="75" t="n"/>
      <c r="AP107" s="75" t="n"/>
      <c r="AQ107" s="75" t="n"/>
      <c r="AR107" s="75" t="n"/>
      <c r="AS107" s="75" t="n"/>
      <c r="AT107" s="75" t="n"/>
      <c r="AU107" s="75" t="n"/>
      <c r="AV107" s="75" t="n"/>
      <c r="AW107" s="75" t="n"/>
      <c r="AX107" s="75" t="n"/>
      <c r="AY107" s="75" t="n"/>
      <c r="AZ107" s="75" t="n"/>
      <c r="BA107" s="75" t="n"/>
      <c r="BB107" s="75" t="n"/>
      <c r="BC107" s="75" t="n"/>
      <c r="BD107" s="75" t="n"/>
      <c r="BE107" s="75" t="n"/>
      <c r="BF107" s="75" t="n"/>
      <c r="BG107" s="75" t="n"/>
      <c r="BH107" s="75" t="n"/>
      <c r="BI107" s="75" t="n"/>
      <c r="BJ107" s="75" t="n"/>
      <c r="BK107" s="75" t="n"/>
      <c r="BL107" s="75" t="n"/>
      <c r="BM107" s="75" t="n"/>
      <c r="BN107" s="75" t="n"/>
    </row>
    <row r="108">
      <c r="A108" s="157" t="inlineStr">
        <is>
          <t>CAIXA M</t>
        </is>
      </c>
      <c r="B108" s="72" t="n">
        <v>100</v>
      </c>
      <c r="C108" s="639" t="n">
        <v>792.2</v>
      </c>
      <c r="D108" s="72" t="n"/>
      <c r="F108" s="39" t="n">
        <v>78</v>
      </c>
      <c r="G108" s="39" t="n">
        <v>69</v>
      </c>
      <c r="H108" s="39" t="n">
        <v>54</v>
      </c>
      <c r="I108" s="39" t="n">
        <v>54</v>
      </c>
      <c r="J108" s="39" t="n">
        <v>54</v>
      </c>
      <c r="K108" s="39" t="n">
        <v>43</v>
      </c>
      <c r="L108" s="39" t="n">
        <v>43</v>
      </c>
      <c r="M108" s="39" t="n">
        <v>42</v>
      </c>
      <c r="N108" s="39" t="n">
        <v>42</v>
      </c>
      <c r="O108" s="39" t="n">
        <v>42</v>
      </c>
      <c r="P108" s="39" t="n">
        <v>42</v>
      </c>
      <c r="Q108" s="39" t="n">
        <v>41</v>
      </c>
      <c r="R108" s="39" t="n">
        <v>40</v>
      </c>
      <c r="S108" s="39" t="n">
        <v>40</v>
      </c>
      <c r="T108" s="39" t="n">
        <v>40</v>
      </c>
      <c r="U108" s="39" t="n">
        <v>40</v>
      </c>
      <c r="V108" s="39" t="n"/>
      <c r="W108" s="39" t="n"/>
      <c r="X108" s="39" t="n"/>
      <c r="Y108" s="39" t="n"/>
      <c r="Z108" s="39" t="n"/>
      <c r="AA108" s="39" t="n">
        <v>40</v>
      </c>
      <c r="AB108" s="39" t="n">
        <v>40</v>
      </c>
      <c r="AC108" s="6" t="n">
        <v>40</v>
      </c>
      <c r="AD108" s="6" t="n">
        <v>40</v>
      </c>
      <c r="AE108" s="6" t="n">
        <v>40</v>
      </c>
      <c r="AF108" s="380">
        <f>AD108+IF(NOT(ISBLANK(OFFSET(AF108,0,6))),N(OFFSET(AF108,0,6)),N(OFFSET(AF108,0,7)))-AE108</f>
        <v/>
      </c>
      <c r="AH108" s="75" t="n"/>
      <c r="AI108" s="75" t="n"/>
      <c r="AJ108" s="1" t="n"/>
      <c r="AK108" s="15" t="n"/>
      <c r="AL108" s="396" t="n"/>
      <c r="AM108" s="75" t="n"/>
      <c r="AN108" s="75" t="n"/>
      <c r="AO108" s="75" t="n"/>
      <c r="AP108" s="75" t="n"/>
      <c r="AQ108" s="75" t="n"/>
      <c r="AR108" s="75" t="n"/>
      <c r="AS108" s="75" t="n"/>
      <c r="AT108" s="75" t="n"/>
      <c r="AU108" s="75" t="n"/>
      <c r="AV108" s="75" t="n"/>
      <c r="AW108" s="75" t="n"/>
      <c r="AX108" s="75" t="n"/>
      <c r="AY108" s="75" t="n"/>
      <c r="AZ108" s="75" t="n"/>
      <c r="BA108" s="75" t="n"/>
      <c r="BB108" s="75" t="n"/>
      <c r="BC108" s="75" t="n"/>
      <c r="BD108" s="75" t="n"/>
      <c r="BE108" s="75" t="n"/>
      <c r="BF108" s="75" t="n"/>
      <c r="BG108" s="75" t="n"/>
      <c r="BH108" s="75" t="n"/>
      <c r="BI108" s="75" t="n"/>
      <c r="BJ108" s="75" t="n"/>
      <c r="BK108" s="75" t="n"/>
      <c r="BL108" s="75" t="n"/>
      <c r="BM108" s="75" t="n"/>
      <c r="BN108" s="75" t="n"/>
    </row>
    <row r="109">
      <c r="A109" s="157" t="inlineStr">
        <is>
          <t>CARTUCHO P</t>
        </is>
      </c>
      <c r="B109" s="72" t="n">
        <v>200</v>
      </c>
      <c r="C109" s="639" t="n">
        <v>487.2</v>
      </c>
      <c r="D109" s="72" t="n"/>
      <c r="F109" s="39" t="n">
        <v>53</v>
      </c>
      <c r="G109" s="39" t="n">
        <v>21</v>
      </c>
      <c r="H109" s="39" t="n">
        <v>13</v>
      </c>
      <c r="I109" s="39" t="n">
        <v>13</v>
      </c>
      <c r="J109" s="39" t="n">
        <v>13</v>
      </c>
      <c r="K109" s="39" t="n">
        <v>13</v>
      </c>
      <c r="L109" s="39" t="n">
        <v>13</v>
      </c>
      <c r="M109" s="39" t="n">
        <v>13</v>
      </c>
      <c r="N109" s="39" t="n">
        <v>13</v>
      </c>
      <c r="O109" s="39" t="n">
        <v>13</v>
      </c>
      <c r="P109" s="39" t="n">
        <v>13</v>
      </c>
      <c r="Q109" s="39" t="n">
        <v>13</v>
      </c>
      <c r="R109" s="39" t="n">
        <v>13</v>
      </c>
      <c r="S109" s="39" t="n">
        <v>13</v>
      </c>
      <c r="T109" s="39" t="n">
        <v>13</v>
      </c>
      <c r="U109" s="39" t="n">
        <v>13</v>
      </c>
      <c r="V109" s="39" t="n"/>
      <c r="W109" s="39" t="n"/>
      <c r="X109" s="39" t="n"/>
      <c r="Y109" s="39" t="n"/>
      <c r="Z109" s="39" t="n"/>
      <c r="AA109" s="39" t="n">
        <v>13</v>
      </c>
      <c r="AB109" s="39" t="n">
        <v>13</v>
      </c>
      <c r="AC109" s="6" t="n">
        <v>13</v>
      </c>
      <c r="AD109" s="6" t="n">
        <v>13</v>
      </c>
      <c r="AE109" s="6" t="n">
        <v>13</v>
      </c>
      <c r="AF109" s="380">
        <f>AD109+IF(NOT(ISBLANK(OFFSET(AF109,0,6))),N(OFFSET(AF109,0,6)),N(OFFSET(AF109,0,7)))-AE109</f>
        <v/>
      </c>
      <c r="AH109" s="75" t="n"/>
      <c r="AI109" s="75" t="n"/>
      <c r="AJ109" s="1" t="n"/>
      <c r="AK109" s="15" t="n"/>
      <c r="AL109" s="396" t="n"/>
      <c r="AM109" s="75" t="n"/>
      <c r="AN109" s="75" t="n"/>
      <c r="AO109" s="75" t="n"/>
      <c r="AP109" s="75" t="n"/>
      <c r="AQ109" s="75" t="n"/>
      <c r="AR109" s="75" t="n"/>
      <c r="AS109" s="75" t="n"/>
      <c r="AT109" s="75" t="n"/>
      <c r="AU109" s="75" t="n"/>
      <c r="AV109" s="75" t="n"/>
      <c r="AW109" s="75" t="n"/>
      <c r="AX109" s="75" t="n"/>
      <c r="AY109" s="75" t="n"/>
      <c r="AZ109" s="75" t="n"/>
      <c r="BA109" s="75" t="n"/>
      <c r="BB109" s="75" t="n"/>
      <c r="BC109" s="75" t="n"/>
      <c r="BD109" s="75" t="n"/>
      <c r="BE109" s="75" t="n"/>
      <c r="BF109" s="75" t="n"/>
      <c r="BG109" s="75" t="n"/>
      <c r="BH109" s="75" t="n"/>
      <c r="BI109" s="75" t="n"/>
      <c r="BJ109" s="75" t="n"/>
      <c r="BK109" s="75" t="n"/>
      <c r="BL109" s="75" t="n"/>
      <c r="BM109" s="75" t="n"/>
      <c r="BN109" s="75" t="n"/>
    </row>
    <row r="110">
      <c r="A110" s="157" t="inlineStr">
        <is>
          <t>CARTUCHO M</t>
        </is>
      </c>
      <c r="B110" s="72" t="n">
        <v>150</v>
      </c>
      <c r="C110" s="639" t="n">
        <v>460.35</v>
      </c>
      <c r="D110" s="72" t="n"/>
      <c r="F110" s="39" t="n">
        <v>119</v>
      </c>
      <c r="G110" s="39" t="n">
        <v>98</v>
      </c>
      <c r="H110" s="39" t="n">
        <v>80</v>
      </c>
      <c r="I110" s="39" t="n">
        <v>80</v>
      </c>
      <c r="J110" s="39" t="n">
        <v>80</v>
      </c>
      <c r="K110" s="39" t="n">
        <v>53</v>
      </c>
      <c r="L110" s="39" t="n">
        <v>51</v>
      </c>
      <c r="M110" s="39" t="n">
        <v>51</v>
      </c>
      <c r="N110" s="39" t="n">
        <v>51</v>
      </c>
      <c r="O110" s="39" t="n">
        <v>51</v>
      </c>
      <c r="P110" s="39" t="n">
        <v>51</v>
      </c>
      <c r="Q110" s="39" t="n">
        <v>51</v>
      </c>
      <c r="R110" s="39" t="n">
        <v>51</v>
      </c>
      <c r="S110" s="39" t="n">
        <v>51</v>
      </c>
      <c r="T110" s="39" t="n">
        <v>51</v>
      </c>
      <c r="U110" s="39" t="n">
        <v>51</v>
      </c>
      <c r="V110" s="39" t="n"/>
      <c r="W110" s="39" t="n"/>
      <c r="X110" s="39" t="n"/>
      <c r="Y110" s="39" t="n"/>
      <c r="Z110" s="39" t="n"/>
      <c r="AA110" s="39" t="n">
        <v>51</v>
      </c>
      <c r="AB110" s="39" t="n">
        <v>51</v>
      </c>
      <c r="AC110" s="6" t="n">
        <v>51</v>
      </c>
      <c r="AD110" s="6" t="n">
        <v>51</v>
      </c>
      <c r="AE110" s="6" t="n">
        <v>51</v>
      </c>
      <c r="AF110" s="380">
        <f>AD110+IF(NOT(ISBLANK(OFFSET(AF110,0,6))),N(OFFSET(AF110,0,6)),N(OFFSET(AF110,0,7)))-AE110</f>
        <v/>
      </c>
      <c r="AH110" s="10" t="n"/>
      <c r="AI110" s="75" t="n"/>
      <c r="AJ110" s="1" t="n"/>
      <c r="AK110" s="15" t="n"/>
      <c r="AL110" s="396" t="n"/>
      <c r="AM110" s="75" t="n"/>
      <c r="AN110" s="75" t="n"/>
      <c r="AO110" s="75" t="n"/>
      <c r="AP110" s="75" t="n"/>
      <c r="AQ110" s="75" t="n"/>
      <c r="AR110" s="75" t="n"/>
      <c r="AS110" s="75" t="n"/>
      <c r="AT110" s="75" t="n"/>
      <c r="AU110" s="75" t="n"/>
      <c r="AV110" s="75" t="n"/>
      <c r="AW110" s="75" t="n"/>
      <c r="AX110" s="75" t="n"/>
      <c r="AY110" s="75" t="n"/>
      <c r="AZ110" s="75" t="n"/>
      <c r="BA110" s="75" t="n"/>
      <c r="BB110" s="75" t="n"/>
      <c r="BC110" s="75" t="n"/>
      <c r="BD110" s="75" t="n"/>
      <c r="BE110" s="75" t="n"/>
      <c r="BF110" s="75" t="n"/>
      <c r="BG110" s="75" t="n"/>
      <c r="BH110" s="75" t="n"/>
      <c r="BI110" s="75" t="n"/>
      <c r="BJ110" s="75" t="n"/>
      <c r="BK110" s="75" t="n"/>
      <c r="BL110" s="75" t="n"/>
      <c r="BM110" s="75" t="n"/>
      <c r="BN110" s="75" t="n"/>
    </row>
    <row r="111" ht="19.5" customHeight="1" thickBot="1">
      <c r="B111" s="41" t="n"/>
      <c r="C111" s="684" t="n"/>
      <c r="D111" s="684" t="n"/>
      <c r="F111" s="2" t="n"/>
      <c r="G111" s="2" t="n"/>
      <c r="H111" s="2" t="n"/>
      <c r="I111" s="2" t="n"/>
      <c r="J111" s="2" t="n"/>
      <c r="K111" s="2" t="n"/>
      <c r="L111" s="2" t="n"/>
      <c r="M111" s="2" t="n"/>
      <c r="N111" s="2" t="n"/>
      <c r="O111" s="2" t="n"/>
      <c r="P111" s="2" t="n"/>
      <c r="Q111" s="2" t="n"/>
      <c r="R111" s="2" t="n"/>
      <c r="S111" s="2" t="n"/>
      <c r="T111" s="2" t="n"/>
      <c r="U111" s="2" t="n"/>
      <c r="V111" s="2" t="n"/>
      <c r="W111" s="2" t="n"/>
      <c r="X111" s="2" t="n"/>
      <c r="Y111" s="2" t="n"/>
      <c r="Z111" s="2" t="n"/>
      <c r="AA111" s="2" t="n"/>
      <c r="AB111" s="2" t="n"/>
      <c r="AC111" s="1" t="n"/>
      <c r="AD111" s="1" t="n"/>
      <c r="AE111" s="1" t="n"/>
      <c r="AF111" s="2" t="n"/>
      <c r="AH111" s="75" t="n"/>
      <c r="AI111" s="75" t="n"/>
      <c r="AJ111" s="1" t="n"/>
      <c r="AK111" s="15" t="n"/>
      <c r="AL111" s="396" t="n"/>
      <c r="AM111" s="75" t="n"/>
      <c r="AN111" s="75" t="n"/>
      <c r="AO111" s="75" t="n"/>
      <c r="AP111" s="75" t="n"/>
      <c r="AQ111" s="75" t="n"/>
      <c r="AR111" s="75" t="n"/>
      <c r="AS111" s="75" t="n"/>
      <c r="AT111" s="75" t="n"/>
      <c r="AU111" s="75" t="n"/>
      <c r="AV111" s="75" t="n"/>
      <c r="AW111" s="75" t="n"/>
      <c r="AX111" s="75" t="n"/>
      <c r="AY111" s="75" t="n"/>
      <c r="AZ111" s="75" t="n"/>
      <c r="BA111" s="75" t="n"/>
      <c r="BB111" s="75" t="n"/>
      <c r="BC111" s="75" t="n"/>
      <c r="BD111" s="75" t="n"/>
      <c r="BE111" s="75" t="n"/>
      <c r="BF111" s="75" t="n"/>
      <c r="BG111" s="75" t="n"/>
      <c r="BH111" s="75" t="n"/>
      <c r="BI111" s="75" t="n"/>
      <c r="BJ111" s="75" t="n"/>
      <c r="BK111" s="75" t="n"/>
      <c r="BL111" s="75" t="n"/>
      <c r="BM111" s="75" t="n"/>
      <c r="BN111" s="75" t="n"/>
    </row>
    <row r="112" ht="24" customHeight="1" thickBot="1">
      <c r="A112" s="496" t="n">
        <v>2026</v>
      </c>
      <c r="B112" s="686" t="n"/>
      <c r="C112" s="686" t="n"/>
      <c r="D112" s="686" t="n"/>
      <c r="E112" s="686" t="n"/>
      <c r="F112" s="686" t="n"/>
      <c r="G112" s="686" t="n"/>
      <c r="H112" s="686" t="n"/>
      <c r="I112" s="686" t="n"/>
      <c r="J112" s="686" t="n"/>
      <c r="K112" s="686" t="n"/>
      <c r="L112" s="686" t="n"/>
      <c r="M112" s="686" t="n"/>
      <c r="N112" s="686" t="n"/>
      <c r="O112" s="686" t="n"/>
      <c r="P112" s="686" t="n"/>
      <c r="Q112" s="686" t="n"/>
      <c r="R112" s="686" t="n"/>
      <c r="S112" s="686" t="n"/>
      <c r="T112" s="686" t="n"/>
      <c r="U112" s="686" t="n"/>
      <c r="V112" s="686" t="n"/>
      <c r="W112" s="686" t="n"/>
      <c r="X112" s="686" t="n"/>
      <c r="Y112" s="686" t="n"/>
      <c r="Z112" s="686" t="n"/>
      <c r="AA112" s="686" t="n"/>
      <c r="AB112" s="686" t="n"/>
      <c r="AC112" s="687" t="n"/>
      <c r="AD112" s="687" t="n"/>
      <c r="AE112" s="687" t="n"/>
      <c r="AF112" s="500" t="n"/>
      <c r="AH112" s="75" t="n"/>
      <c r="AI112" s="75" t="n"/>
      <c r="AJ112" s="1" t="n"/>
      <c r="AK112" s="15" t="n"/>
      <c r="AL112" s="396" t="n"/>
      <c r="AM112" s="75" t="n"/>
      <c r="AN112" s="75" t="n"/>
      <c r="AO112" s="75" t="n"/>
      <c r="AP112" s="75" t="n"/>
      <c r="AQ112" s="75" t="n"/>
      <c r="AR112" s="75" t="n"/>
      <c r="AS112" s="75" t="n"/>
      <c r="AT112" s="75" t="n"/>
      <c r="AU112" s="75" t="n"/>
      <c r="AV112" s="75" t="n"/>
      <c r="AW112" s="75" t="n"/>
      <c r="AX112" s="75" t="n"/>
      <c r="AY112" s="75" t="n"/>
      <c r="AZ112" s="75" t="n"/>
      <c r="BA112" s="75" t="n"/>
      <c r="BB112" s="75" t="n"/>
      <c r="BC112" s="75" t="n"/>
      <c r="BD112" s="75" t="n"/>
      <c r="BE112" s="75" t="n"/>
      <c r="BF112" s="75" t="n"/>
      <c r="BG112" s="75" t="n"/>
      <c r="BH112" s="75" t="n"/>
      <c r="BI112" s="75" t="n"/>
      <c r="BJ112" s="75" t="n"/>
      <c r="BK112" s="75" t="n"/>
      <c r="BL112" s="75" t="n"/>
      <c r="BM112" s="75" t="n"/>
      <c r="BN112" s="75" t="n"/>
    </row>
    <row r="113">
      <c r="B113" s="41" t="n"/>
      <c r="C113" s="684" t="n"/>
      <c r="D113" s="684" t="n"/>
      <c r="F113" s="2" t="n"/>
      <c r="G113" s="2" t="n"/>
      <c r="H113" s="2" t="n"/>
      <c r="I113" s="2" t="n"/>
      <c r="J113" s="2" t="n"/>
      <c r="K113" s="2" t="n"/>
      <c r="L113" s="2" t="n"/>
      <c r="M113" s="2" t="n"/>
      <c r="N113" s="2" t="n"/>
      <c r="O113" s="2" t="n"/>
      <c r="P113" s="2" t="n"/>
      <c r="Q113" s="2" t="n"/>
      <c r="R113" s="2" t="n"/>
      <c r="S113" s="2" t="n"/>
      <c r="T113" s="2" t="n"/>
      <c r="U113" s="2" t="n"/>
      <c r="V113" s="2" t="n"/>
      <c r="W113" s="2" t="n"/>
      <c r="X113" s="2" t="n"/>
      <c r="Y113" s="2" t="n"/>
      <c r="Z113" s="2" t="n"/>
      <c r="AA113" s="2" t="n"/>
      <c r="AB113" s="2" t="n"/>
      <c r="AC113" s="1" t="n"/>
      <c r="AD113" s="1" t="n"/>
      <c r="AE113" s="1" t="n"/>
      <c r="AF113" s="2" t="n"/>
      <c r="AH113" s="75" t="n"/>
      <c r="AI113" s="75" t="n"/>
      <c r="AJ113" s="1" t="n"/>
      <c r="AK113" s="15" t="n"/>
      <c r="AL113" s="396" t="n"/>
      <c r="AM113" s="75" t="n"/>
      <c r="AN113" s="75" t="n"/>
      <c r="AO113" s="75" t="n"/>
      <c r="AP113" s="75" t="n"/>
      <c r="AQ113" s="75" t="n"/>
      <c r="AR113" s="75" t="n"/>
      <c r="AS113" s="75" t="n"/>
      <c r="AT113" s="75" t="n"/>
      <c r="AU113" s="75" t="n"/>
      <c r="AV113" s="75" t="n"/>
      <c r="AW113" s="75" t="n"/>
      <c r="AX113" s="75" t="n"/>
      <c r="AY113" s="75" t="n"/>
      <c r="AZ113" s="75" t="n"/>
      <c r="BA113" s="75" t="n"/>
      <c r="BB113" s="75" t="n"/>
      <c r="BC113" s="75" t="n"/>
      <c r="BD113" s="75" t="n"/>
      <c r="BE113" s="75" t="n"/>
      <c r="BF113" s="75" t="n"/>
      <c r="BG113" s="75" t="n"/>
      <c r="BH113" s="75" t="n"/>
      <c r="BI113" s="75" t="n"/>
      <c r="BJ113" s="75" t="n"/>
      <c r="BK113" s="75" t="n"/>
      <c r="BL113" s="75" t="n"/>
      <c r="BM113" s="75" t="n"/>
      <c r="BN113" s="75" t="n"/>
    </row>
    <row r="114">
      <c r="A114" s="278" t="inlineStr">
        <is>
          <t>EUDORA MÃES/26</t>
        </is>
      </c>
      <c r="B114" s="279" t="inlineStr">
        <is>
          <t>PC</t>
        </is>
      </c>
      <c r="C114" s="279" t="inlineStr">
        <is>
          <t>R$</t>
        </is>
      </c>
      <c r="D114" s="279" t="n"/>
      <c r="F114" s="2" t="n"/>
      <c r="G114" s="2" t="n"/>
      <c r="H114" s="2" t="n"/>
      <c r="I114" s="2" t="n"/>
      <c r="J114" s="2" t="n"/>
      <c r="K114" s="2" t="n"/>
      <c r="L114" s="2" t="n"/>
      <c r="M114" s="2" t="n"/>
      <c r="N114" s="619" t="n">
        <v>46062</v>
      </c>
      <c r="O114" s="619" t="n">
        <v>46069</v>
      </c>
      <c r="P114" s="619" t="n">
        <v>46076</v>
      </c>
      <c r="Q114" s="619" t="n">
        <v>46083</v>
      </c>
      <c r="R114" s="619" t="n">
        <v>46090</v>
      </c>
      <c r="S114" s="619" t="n">
        <v>46097</v>
      </c>
      <c r="T114" s="619" t="n">
        <v>46104</v>
      </c>
      <c r="U114" s="619" t="n">
        <v>46111</v>
      </c>
      <c r="V114" s="619" t="n">
        <v>46118</v>
      </c>
      <c r="W114" s="619" t="n">
        <v>46125</v>
      </c>
      <c r="X114" s="619" t="n">
        <v>46132</v>
      </c>
      <c r="Y114" s="619" t="n">
        <v>46139</v>
      </c>
      <c r="Z114" s="619" t="n">
        <v>46146</v>
      </c>
      <c r="AA114" s="619" t="n">
        <v>46154</v>
      </c>
      <c r="AB114" s="619" t="n">
        <v>46160</v>
      </c>
      <c r="AC114" s="620" t="n">
        <v>46161.48013503472</v>
      </c>
      <c r="AD114" s="620" t="n">
        <v>46161.48080876157</v>
      </c>
      <c r="AE114" s="620" t="n">
        <v>46161.48296567812</v>
      </c>
      <c r="AF114" s="621" t="inlineStr">
        <is>
          <t>USOU</t>
        </is>
      </c>
      <c r="AH114" s="75" t="n"/>
      <c r="AI114" s="75" t="n"/>
      <c r="AJ114" s="1" t="n"/>
      <c r="AK114" s="15" t="n"/>
      <c r="AL114" s="396" t="n"/>
      <c r="AM114" s="75" t="n"/>
      <c r="AN114" s="75" t="n"/>
      <c r="AO114" s="75" t="n"/>
      <c r="AP114" s="75" t="n"/>
      <c r="AQ114" s="75" t="n"/>
      <c r="AR114" s="75" t="n"/>
      <c r="AS114" s="75" t="n"/>
      <c r="AT114" s="75" t="n"/>
      <c r="AU114" s="75" t="n"/>
      <c r="AV114" s="75" t="n"/>
      <c r="AW114" s="75" t="n"/>
      <c r="AX114" s="75" t="n"/>
      <c r="AY114" s="75" t="n"/>
      <c r="AZ114" s="75" t="n"/>
      <c r="BA114" s="75" t="n"/>
      <c r="BB114" s="75" t="n"/>
      <c r="BC114" s="75" t="n"/>
      <c r="BD114" s="75" t="n"/>
      <c r="BE114" s="75" t="n"/>
      <c r="BF114" s="75" t="n"/>
      <c r="BG114" s="75" t="n"/>
      <c r="BH114" s="75" t="n"/>
      <c r="BI114" s="75" t="n"/>
      <c r="BJ114" s="75" t="n"/>
      <c r="BK114" s="75" t="n"/>
      <c r="BL114" s="75" t="n"/>
      <c r="BM114" s="75" t="n"/>
      <c r="BN114" s="75" t="n"/>
    </row>
    <row r="115">
      <c r="A115" s="25" t="inlineStr">
        <is>
          <t xml:space="preserve">SACOLA M </t>
        </is>
      </c>
      <c r="B115" s="6" t="n">
        <v>150</v>
      </c>
      <c r="C115" s="632" t="n"/>
      <c r="D115" s="240" t="n"/>
      <c r="F115" s="2" t="n"/>
      <c r="G115" s="2" t="n"/>
      <c r="H115" s="2" t="n"/>
      <c r="I115" s="2" t="n"/>
      <c r="J115" s="2" t="n"/>
      <c r="K115" s="2" t="n"/>
      <c r="L115" s="2" t="n"/>
      <c r="M115" s="2" t="n"/>
      <c r="N115" s="39" t="n">
        <v>0</v>
      </c>
      <c r="O115" s="39" t="n">
        <v>0</v>
      </c>
      <c r="P115" s="39" t="n">
        <v>0</v>
      </c>
      <c r="Q115" s="39">
        <f>AT10</f>
        <v/>
      </c>
      <c r="R115" s="39" t="n">
        <v>1200</v>
      </c>
      <c r="S115" s="39" t="n">
        <v>1050</v>
      </c>
      <c r="T115" s="39" t="n">
        <v>900</v>
      </c>
      <c r="U115" s="39" t="n">
        <v>750</v>
      </c>
      <c r="V115" s="39" t="n">
        <v>750</v>
      </c>
      <c r="W115" s="39" t="n">
        <v>750</v>
      </c>
      <c r="X115" s="39" t="n">
        <v>750</v>
      </c>
      <c r="Y115" s="39" t="n">
        <v>600</v>
      </c>
      <c r="Z115" s="39" t="n">
        <v>600</v>
      </c>
      <c r="AA115" s="39" t="n">
        <v>600</v>
      </c>
      <c r="AB115" s="39" t="n"/>
      <c r="AC115" s="6" t="n"/>
      <c r="AD115" s="6" t="n"/>
      <c r="AE115" s="6" t="n"/>
      <c r="AF115" s="380">
        <f>AD115+IF(NOT(ISBLANK(OFFSET(AF115,0,6))),N(OFFSET(AF115,0,6)),N(OFFSET(AF115,0,7)))-AE115</f>
        <v/>
      </c>
      <c r="AH115" s="75" t="n"/>
      <c r="AI115" s="75" t="n"/>
      <c r="AJ115" s="1" t="n"/>
      <c r="AK115" s="15" t="n"/>
      <c r="AL115" s="396" t="n"/>
      <c r="AM115" s="75" t="n"/>
      <c r="AN115" s="75" t="n"/>
      <c r="AO115" s="75" t="n"/>
      <c r="AP115" s="75" t="n"/>
      <c r="AQ115" s="75" t="n"/>
      <c r="AR115" s="75" t="n"/>
      <c r="AS115" s="75" t="n"/>
      <c r="AT115" s="75" t="n"/>
      <c r="AU115" s="75" t="n"/>
      <c r="AV115" s="75" t="n"/>
      <c r="AW115" s="75" t="n"/>
      <c r="AX115" s="75" t="n"/>
      <c r="AY115" s="75" t="n"/>
      <c r="AZ115" s="75" t="n"/>
      <c r="BA115" s="75" t="n"/>
      <c r="BB115" s="75" t="n"/>
      <c r="BC115" s="75" t="n"/>
      <c r="BD115" s="75" t="n"/>
      <c r="BE115" s="75" t="n"/>
      <c r="BF115" s="75" t="n"/>
      <c r="BG115" s="75" t="n"/>
      <c r="BH115" s="75" t="n"/>
      <c r="BI115" s="75" t="n"/>
      <c r="BJ115" s="75" t="n"/>
      <c r="BK115" s="75" t="n"/>
      <c r="BL115" s="75" t="n"/>
      <c r="BM115" s="75" t="n"/>
      <c r="BN115" s="75" t="n"/>
    </row>
    <row r="116">
      <c r="A116" s="25" t="inlineStr">
        <is>
          <t>ADESIVO</t>
        </is>
      </c>
      <c r="B116" s="6" t="n">
        <v>1000</v>
      </c>
      <c r="C116" s="632" t="n"/>
      <c r="D116" s="240" t="n"/>
      <c r="F116" s="2" t="n"/>
      <c r="G116" s="2" t="n"/>
      <c r="H116" s="2" t="n"/>
      <c r="I116" s="2" t="n"/>
      <c r="J116" s="2" t="n"/>
      <c r="K116" s="2" t="n"/>
      <c r="L116" s="2" t="n"/>
      <c r="M116" s="2" t="n"/>
      <c r="N116" s="39" t="n">
        <v>0</v>
      </c>
      <c r="O116" s="39" t="n">
        <v>0</v>
      </c>
      <c r="P116" s="39" t="n">
        <v>0</v>
      </c>
      <c r="Q116" s="39">
        <f>AT17</f>
        <v/>
      </c>
      <c r="R116" s="39" t="n">
        <v>2</v>
      </c>
      <c r="S116" s="39" t="n">
        <v>1</v>
      </c>
      <c r="T116" s="39" t="n">
        <v>0</v>
      </c>
      <c r="U116" s="39" t="n">
        <v>0</v>
      </c>
      <c r="V116" s="39" t="n">
        <v>0</v>
      </c>
      <c r="W116" s="39" t="n">
        <v>0</v>
      </c>
      <c r="X116" s="39" t="n">
        <v>0</v>
      </c>
      <c r="Y116" s="39" t="n">
        <v>0</v>
      </c>
      <c r="Z116" s="39" t="n">
        <v>0</v>
      </c>
      <c r="AA116" s="39" t="n">
        <v>0</v>
      </c>
      <c r="AB116" s="39" t="n"/>
      <c r="AC116" s="6" t="n"/>
      <c r="AD116" s="6" t="n"/>
      <c r="AE116" s="6" t="n"/>
      <c r="AF116" s="380">
        <f>AD116+IF(NOT(ISBLANK(OFFSET(AF116,0,6))),N(OFFSET(AF116,0,6)),N(OFFSET(AF116,0,7)))-AE116</f>
        <v/>
      </c>
      <c r="AH116" s="75" t="n"/>
      <c r="AI116" s="75" t="n"/>
      <c r="AJ116" s="1" t="n"/>
      <c r="AK116" s="15" t="n"/>
      <c r="AL116" s="396" t="n"/>
      <c r="AM116" s="75" t="n"/>
      <c r="AN116" s="75" t="n"/>
      <c r="AO116" s="75" t="n"/>
      <c r="AP116" s="75" t="n"/>
      <c r="AQ116" s="75" t="n"/>
      <c r="AR116" s="75" t="n"/>
      <c r="AS116" s="75" t="n"/>
      <c r="AT116" s="75" t="n"/>
      <c r="AU116" s="75" t="n"/>
      <c r="AV116" s="75" t="n"/>
      <c r="AW116" s="75" t="n"/>
      <c r="AX116" s="75" t="n"/>
      <c r="AY116" s="75" t="n"/>
      <c r="AZ116" s="75" t="n"/>
      <c r="BA116" s="75" t="n"/>
      <c r="BB116" s="75" t="n"/>
      <c r="BC116" s="75" t="n"/>
      <c r="BD116" s="75" t="n"/>
      <c r="BE116" s="75" t="n"/>
      <c r="BF116" s="75" t="n"/>
      <c r="BG116" s="75" t="n"/>
      <c r="BH116" s="75" t="n"/>
      <c r="BI116" s="75" t="n"/>
      <c r="BJ116" s="75" t="n"/>
      <c r="BK116" s="75" t="n"/>
      <c r="BL116" s="75" t="n"/>
      <c r="BM116" s="75" t="n"/>
      <c r="BN116" s="75" t="n"/>
    </row>
    <row r="117">
      <c r="A117" s="25" t="inlineStr">
        <is>
          <t>PAPEL DE SEDA</t>
        </is>
      </c>
      <c r="B117" s="6" t="n">
        <v>200</v>
      </c>
      <c r="C117" s="632" t="n"/>
      <c r="D117" s="240" t="n"/>
      <c r="F117" s="2" t="n"/>
      <c r="G117" s="2" t="n"/>
      <c r="H117" s="2" t="n"/>
      <c r="I117" s="2" t="n"/>
      <c r="J117" s="2" t="n"/>
      <c r="K117" s="2" t="n"/>
      <c r="L117" s="2" t="n"/>
      <c r="M117" s="2" t="n"/>
      <c r="N117" s="39" t="n">
        <v>0</v>
      </c>
      <c r="O117" s="39" t="n">
        <v>0</v>
      </c>
      <c r="P117" s="39" t="n">
        <v>0</v>
      </c>
      <c r="Q117" s="39">
        <f>AT16</f>
        <v/>
      </c>
      <c r="R117" s="39" t="n">
        <v>200</v>
      </c>
      <c r="S117" s="39" t="n">
        <v>100</v>
      </c>
      <c r="T117" s="39" t="n">
        <v>0</v>
      </c>
      <c r="U117" s="39" t="n">
        <v>0</v>
      </c>
      <c r="V117" s="39" t="n">
        <v>0</v>
      </c>
      <c r="W117" s="39" t="n">
        <v>0</v>
      </c>
      <c r="X117" s="39" t="n">
        <v>0</v>
      </c>
      <c r="Y117" s="39" t="n">
        <v>0</v>
      </c>
      <c r="Z117" s="39" t="n">
        <v>0</v>
      </c>
      <c r="AA117" s="39" t="n">
        <v>0</v>
      </c>
      <c r="AB117" s="39" t="n"/>
      <c r="AC117" s="6" t="n"/>
      <c r="AD117" s="6" t="n"/>
      <c r="AE117" s="6" t="n"/>
      <c r="AF117" s="380">
        <f>AD117+IF(NOT(ISBLANK(OFFSET(AF117,0,6))),N(OFFSET(AF117,0,6)),N(OFFSET(AF117,0,7)))-AE117</f>
        <v/>
      </c>
      <c r="AH117" s="75" t="n"/>
      <c r="AI117" s="75" t="n"/>
      <c r="AJ117" s="1" t="n"/>
      <c r="AK117" s="15" t="n"/>
      <c r="AL117" s="396" t="n"/>
      <c r="AM117" s="75" t="n"/>
      <c r="AN117" s="75" t="n"/>
      <c r="AO117" s="75" t="n"/>
      <c r="AP117" s="75" t="n"/>
      <c r="AQ117" s="75" t="n"/>
      <c r="AR117" s="75" t="n"/>
      <c r="AS117" s="75" t="n"/>
      <c r="AT117" s="75" t="n"/>
      <c r="AU117" s="75" t="n"/>
      <c r="AV117" s="75" t="n"/>
      <c r="AW117" s="75" t="n"/>
      <c r="AX117" s="75" t="n"/>
      <c r="AY117" s="75" t="n"/>
      <c r="AZ117" s="75" t="n"/>
      <c r="BA117" s="75" t="n"/>
      <c r="BB117" s="75" t="n"/>
      <c r="BC117" s="75" t="n"/>
      <c r="BD117" s="75" t="n"/>
      <c r="BE117" s="75" t="n"/>
      <c r="BF117" s="75" t="n"/>
      <c r="BG117" s="75" t="n"/>
      <c r="BH117" s="75" t="n"/>
      <c r="BI117" s="75" t="n"/>
      <c r="BJ117" s="75" t="n"/>
      <c r="BK117" s="75" t="n"/>
      <c r="BL117" s="75" t="n"/>
      <c r="BM117" s="75" t="n"/>
      <c r="BN117" s="75" t="n"/>
    </row>
    <row r="118">
      <c r="A118" s="25" t="inlineStr">
        <is>
          <t>SACOLA M VENDA</t>
        </is>
      </c>
      <c r="B118" s="6" t="n">
        <v>150</v>
      </c>
      <c r="C118" s="632" t="n"/>
      <c r="D118" s="240" t="n"/>
      <c r="F118" s="2" t="n"/>
      <c r="G118" s="2" t="n"/>
      <c r="H118" s="2" t="n"/>
      <c r="I118" s="2" t="n"/>
      <c r="J118" s="2" t="n"/>
      <c r="K118" s="2" t="n"/>
      <c r="L118" s="2" t="n"/>
      <c r="M118" s="2" t="n"/>
      <c r="N118" s="39" t="n">
        <v>0</v>
      </c>
      <c r="O118" s="39" t="n">
        <v>0</v>
      </c>
      <c r="P118" s="39" t="n">
        <v>0</v>
      </c>
      <c r="Q118" s="39">
        <f>AT29</f>
        <v/>
      </c>
      <c r="R118" s="39" t="n">
        <v>441</v>
      </c>
      <c r="S118" s="39" t="n">
        <v>351</v>
      </c>
      <c r="T118" s="39" t="n">
        <v>246</v>
      </c>
      <c r="U118" s="39" t="n">
        <v>159</v>
      </c>
      <c r="V118" s="39" t="n"/>
      <c r="W118" s="39" t="n"/>
      <c r="X118" s="39" t="n"/>
      <c r="Y118" s="39" t="n"/>
      <c r="Z118" s="39" t="n"/>
      <c r="AA118" s="39" t="n">
        <v>0</v>
      </c>
      <c r="AB118" s="39" t="n">
        <v>0</v>
      </c>
      <c r="AC118" s="6" t="n">
        <v>0</v>
      </c>
      <c r="AD118" s="6" t="n">
        <v>0</v>
      </c>
      <c r="AE118" s="6" t="n">
        <v>0</v>
      </c>
      <c r="AF118" s="380">
        <f>AD118+IF(NOT(ISBLANK(OFFSET(AF118,0,6))),N(OFFSET(AF118,0,6)),N(OFFSET(AF118,0,7)))-AE118</f>
        <v/>
      </c>
      <c r="AH118" s="75" t="n"/>
      <c r="AI118" s="75" t="n"/>
      <c r="AJ118" s="1" t="n"/>
      <c r="AK118" s="15" t="n"/>
      <c r="AL118" s="396" t="n"/>
      <c r="AM118" s="75" t="n"/>
      <c r="AN118" s="75" t="n"/>
      <c r="AO118" s="75" t="n"/>
      <c r="AP118" s="75" t="n"/>
      <c r="AQ118" s="75" t="n"/>
      <c r="AR118" s="75" t="n"/>
      <c r="AS118" s="75" t="n"/>
      <c r="AT118" s="75" t="n"/>
      <c r="AU118" s="75" t="n"/>
      <c r="AV118" s="75" t="n"/>
      <c r="AW118" s="75" t="n"/>
      <c r="AX118" s="75" t="n"/>
      <c r="AY118" s="75" t="n"/>
      <c r="AZ118" s="75" t="n"/>
      <c r="BA118" s="75" t="n"/>
      <c r="BB118" s="75" t="n"/>
      <c r="BC118" s="75" t="n"/>
      <c r="BD118" s="75" t="n"/>
      <c r="BE118" s="75" t="n"/>
      <c r="BF118" s="75" t="n"/>
      <c r="BG118" s="75" t="n"/>
      <c r="BH118" s="75" t="n"/>
      <c r="BI118" s="75" t="n"/>
      <c r="BJ118" s="75" t="n"/>
      <c r="BK118" s="75" t="n"/>
      <c r="BL118" s="75" t="n"/>
      <c r="BM118" s="75" t="n"/>
      <c r="BN118" s="75" t="n"/>
    </row>
    <row r="119">
      <c r="A119" s="25" t="inlineStr">
        <is>
          <t>KIT TAG 10 C/ 20</t>
        </is>
      </c>
      <c r="B119" s="6" t="n">
        <v>200</v>
      </c>
      <c r="C119" s="632" t="n"/>
      <c r="D119" s="240" t="n"/>
      <c r="F119" s="2" t="n"/>
      <c r="G119" s="2" t="n"/>
      <c r="H119" s="2" t="n"/>
      <c r="I119" s="2" t="n"/>
      <c r="J119" s="2" t="n"/>
      <c r="K119" s="2" t="n"/>
      <c r="L119" s="2" t="n"/>
      <c r="M119" s="2" t="n"/>
      <c r="N119" s="39" t="n">
        <v>0</v>
      </c>
      <c r="O119" s="39" t="n">
        <v>0</v>
      </c>
      <c r="P119" s="39" t="n">
        <v>0</v>
      </c>
      <c r="Q119" s="39" t="n">
        <v>0</v>
      </c>
      <c r="R119" s="211" t="n">
        <v>3</v>
      </c>
      <c r="S119" s="39" t="n">
        <v>3</v>
      </c>
      <c r="T119" s="39" t="n">
        <v>3</v>
      </c>
      <c r="U119" s="39" t="n">
        <v>8</v>
      </c>
      <c r="V119" s="39" t="n"/>
      <c r="W119" s="39" t="n"/>
      <c r="X119" s="39" t="n"/>
      <c r="Y119" s="39" t="n"/>
      <c r="Z119" s="39" t="n"/>
      <c r="AA119" s="39" t="n">
        <v>8</v>
      </c>
      <c r="AB119" s="39" t="n">
        <v>8</v>
      </c>
      <c r="AC119" s="6" t="n">
        <v>8</v>
      </c>
      <c r="AD119" s="6" t="n">
        <v>8</v>
      </c>
      <c r="AE119" s="6" t="n">
        <v>8</v>
      </c>
      <c r="AF119" s="380">
        <f>AD119+IF(NOT(ISBLANK(OFFSET(AF119,0,6))),N(OFFSET(AF119,0,6)),N(OFFSET(AF119,0,7)))-AE119</f>
        <v/>
      </c>
      <c r="AH119" s="75" t="n"/>
      <c r="AI119" s="75" t="n"/>
      <c r="AJ119" s="1" t="n"/>
      <c r="AK119" s="15" t="n"/>
      <c r="AL119" s="396" t="n"/>
      <c r="AM119" s="75" t="n"/>
      <c r="AN119" s="75" t="n"/>
      <c r="AO119" s="75" t="n"/>
      <c r="AP119" s="75" t="n"/>
      <c r="AQ119" s="75" t="n"/>
      <c r="AR119" s="75" t="n"/>
      <c r="AS119" s="75" t="n"/>
      <c r="AT119" s="75" t="n"/>
      <c r="AU119" s="75" t="n"/>
      <c r="AV119" s="75" t="n"/>
      <c r="AW119" s="75" t="n"/>
      <c r="AX119" s="75" t="n"/>
      <c r="AY119" s="75" t="n"/>
      <c r="AZ119" s="75" t="n"/>
      <c r="BA119" s="75" t="n"/>
      <c r="BB119" s="75" t="n"/>
      <c r="BC119" s="75" t="n"/>
      <c r="BD119" s="75" t="n"/>
      <c r="BE119" s="75" t="n"/>
      <c r="BF119" s="75" t="n"/>
      <c r="BG119" s="75" t="n"/>
      <c r="BH119" s="75" t="n"/>
      <c r="BI119" s="75" t="n"/>
      <c r="BJ119" s="75" t="n"/>
      <c r="BK119" s="75" t="n"/>
      <c r="BL119" s="75" t="n"/>
      <c r="BM119" s="75" t="n"/>
      <c r="BN119" s="75" t="n"/>
    </row>
    <row r="120">
      <c r="A120" s="157" t="inlineStr">
        <is>
          <t>CAIXA M</t>
        </is>
      </c>
      <c r="B120" s="72" t="n">
        <v>100</v>
      </c>
      <c r="C120" s="639" t="n"/>
      <c r="D120" s="72" t="n"/>
      <c r="F120" s="2" t="n"/>
      <c r="G120" s="2" t="n"/>
      <c r="H120" s="2" t="n"/>
      <c r="I120" s="2" t="n"/>
      <c r="J120" s="2" t="n"/>
      <c r="K120" s="2" t="n"/>
      <c r="L120" s="2" t="n"/>
      <c r="M120" s="2" t="n"/>
      <c r="N120" s="39" t="n">
        <v>0</v>
      </c>
      <c r="O120" s="39" t="n">
        <v>0</v>
      </c>
      <c r="P120" s="39" t="n">
        <v>0</v>
      </c>
      <c r="Q120" s="39">
        <f>AT38</f>
        <v/>
      </c>
      <c r="R120" s="211" t="n">
        <v>50</v>
      </c>
      <c r="S120" s="39" t="n">
        <v>50</v>
      </c>
      <c r="T120" s="39" t="n">
        <v>48</v>
      </c>
      <c r="U120" s="39" t="n">
        <v>48</v>
      </c>
      <c r="V120" s="39" t="n"/>
      <c r="W120" s="39" t="n"/>
      <c r="X120" s="39" t="n"/>
      <c r="Y120" s="39" t="n"/>
      <c r="Z120" s="39" t="n"/>
      <c r="AA120" s="39" t="n">
        <v>40</v>
      </c>
      <c r="AB120" s="39" t="n">
        <v>40</v>
      </c>
      <c r="AC120" s="6" t="n">
        <v>40</v>
      </c>
      <c r="AD120" s="6" t="n">
        <v>40</v>
      </c>
      <c r="AE120" s="6" t="n">
        <v>40</v>
      </c>
      <c r="AF120" s="380">
        <f>AD120+IF(NOT(ISBLANK(OFFSET(AF120,0,6))),N(OFFSET(AF120,0,6)),N(OFFSET(AF120,0,7)))-AE120</f>
        <v/>
      </c>
      <c r="AH120" s="75" t="n"/>
      <c r="AI120" s="75" t="n"/>
      <c r="AJ120" s="1" t="n"/>
      <c r="AK120" s="15" t="n"/>
      <c r="AL120" s="396" t="n"/>
      <c r="AM120" s="75" t="n"/>
      <c r="AN120" s="75" t="n"/>
      <c r="AO120" s="75" t="n"/>
      <c r="AP120" s="75" t="n"/>
      <c r="AQ120" s="75" t="n"/>
      <c r="AR120" s="75" t="n"/>
      <c r="AS120" s="75" t="n"/>
      <c r="AT120" s="75" t="n"/>
      <c r="AU120" s="75" t="n"/>
      <c r="AV120" s="75" t="n"/>
      <c r="AW120" s="75" t="n"/>
      <c r="AX120" s="75" t="n"/>
      <c r="AY120" s="75" t="n"/>
      <c r="AZ120" s="75" t="n"/>
      <c r="BA120" s="75" t="n"/>
      <c r="BB120" s="75" t="n"/>
      <c r="BC120" s="75" t="n"/>
      <c r="BD120" s="75" t="n"/>
      <c r="BE120" s="75" t="n"/>
      <c r="BF120" s="75" t="n"/>
      <c r="BG120" s="75" t="n"/>
      <c r="BH120" s="75" t="n"/>
      <c r="BI120" s="75" t="n"/>
      <c r="BJ120" s="75" t="n"/>
      <c r="BK120" s="75" t="n"/>
      <c r="BL120" s="75" t="n"/>
      <c r="BM120" s="75" t="n"/>
      <c r="BN120" s="75" t="n"/>
    </row>
    <row r="121">
      <c r="A121" s="157" t="inlineStr">
        <is>
          <t>CARTUCHO P</t>
        </is>
      </c>
      <c r="B121" s="72" t="n">
        <v>200</v>
      </c>
      <c r="C121" s="639" t="n"/>
      <c r="D121" s="72" t="n"/>
      <c r="F121" s="2" t="n"/>
      <c r="G121" s="2" t="n"/>
      <c r="H121" s="2" t="n"/>
      <c r="I121" s="2" t="n"/>
      <c r="J121" s="2" t="n"/>
      <c r="K121" s="2" t="n"/>
      <c r="L121" s="2" t="n"/>
      <c r="M121" s="2" t="n"/>
      <c r="N121" s="39" t="n">
        <v>0</v>
      </c>
      <c r="O121" s="39" t="n">
        <v>0</v>
      </c>
      <c r="P121" s="39" t="n">
        <v>0</v>
      </c>
      <c r="Q121" s="39">
        <f>AT42</f>
        <v/>
      </c>
      <c r="R121" s="211" t="n">
        <v>100</v>
      </c>
      <c r="S121" s="39" t="n">
        <v>95</v>
      </c>
      <c r="T121" s="39" t="n">
        <v>86</v>
      </c>
      <c r="U121" s="39" t="n">
        <v>86</v>
      </c>
      <c r="V121" s="39" t="n"/>
      <c r="W121" s="39" t="n"/>
      <c r="X121" s="39" t="n"/>
      <c r="Y121" s="39" t="n"/>
      <c r="Z121" s="39" t="n"/>
      <c r="AA121" s="39" t="n">
        <v>66</v>
      </c>
      <c r="AB121" s="39" t="n">
        <v>65</v>
      </c>
      <c r="AC121" s="6" t="n">
        <v>65</v>
      </c>
      <c r="AD121" s="6" t="n">
        <v>65</v>
      </c>
      <c r="AE121" s="6" t="n">
        <v>65</v>
      </c>
      <c r="AF121" s="380">
        <f>AD121+IF(NOT(ISBLANK(OFFSET(AF121,0,6))),N(OFFSET(AF121,0,6)),N(OFFSET(AF121,0,7)))-AE121</f>
        <v/>
      </c>
      <c r="AH121" s="75" t="n"/>
      <c r="AI121" s="75" t="n"/>
      <c r="AJ121" s="1" t="n"/>
      <c r="AK121" s="15" t="n"/>
      <c r="AL121" s="396" t="n"/>
      <c r="AM121" s="75" t="n"/>
      <c r="AN121" s="75" t="n"/>
      <c r="AO121" s="75" t="n"/>
      <c r="AP121" s="75" t="n"/>
      <c r="AQ121" s="75" t="n"/>
      <c r="AR121" s="75" t="n"/>
      <c r="AS121" s="75" t="n"/>
      <c r="AT121" s="75" t="n"/>
      <c r="AU121" s="75" t="n"/>
      <c r="AV121" s="75" t="n"/>
      <c r="AW121" s="75" t="n"/>
      <c r="AX121" s="75" t="n"/>
      <c r="AY121" s="75" t="n"/>
      <c r="AZ121" s="75" t="n"/>
      <c r="BA121" s="75" t="n"/>
      <c r="BB121" s="75" t="n"/>
      <c r="BC121" s="75" t="n"/>
      <c r="BD121" s="75" t="n"/>
      <c r="BE121" s="75" t="n"/>
      <c r="BF121" s="75" t="n"/>
      <c r="BG121" s="75" t="n"/>
      <c r="BH121" s="75" t="n"/>
      <c r="BI121" s="75" t="n"/>
      <c r="BJ121" s="75" t="n"/>
      <c r="BK121" s="75" t="n"/>
      <c r="BL121" s="75" t="n"/>
      <c r="BM121" s="75" t="n"/>
      <c r="BN121" s="75" t="n"/>
    </row>
    <row r="122">
      <c r="F122" s="2" t="n"/>
      <c r="G122" s="2" t="n"/>
      <c r="H122" s="2" t="n"/>
      <c r="I122" s="2" t="n"/>
      <c r="J122" s="2" t="n"/>
      <c r="K122" s="2" t="n"/>
      <c r="L122" s="2" t="n"/>
      <c r="M122" s="2" t="n"/>
      <c r="AH122" s="75" t="n"/>
      <c r="AI122" s="75" t="n"/>
      <c r="AJ122" s="1" t="n"/>
      <c r="AK122" s="15" t="n"/>
      <c r="AL122" s="396" t="n"/>
      <c r="AM122" s="75" t="n"/>
      <c r="AN122" s="75" t="n"/>
      <c r="AO122" s="75" t="n"/>
      <c r="AP122" s="75" t="n"/>
      <c r="AQ122" s="75" t="n"/>
      <c r="AR122" s="75" t="n"/>
      <c r="AS122" s="75" t="n"/>
      <c r="AT122" s="75" t="n"/>
      <c r="AU122" s="75" t="n"/>
      <c r="AV122" s="75" t="n"/>
      <c r="AW122" s="75" t="n"/>
      <c r="AX122" s="75" t="n"/>
      <c r="AY122" s="75" t="n"/>
      <c r="AZ122" s="75" t="n"/>
      <c r="BA122" s="75" t="n"/>
      <c r="BB122" s="75" t="n"/>
      <c r="BC122" s="75" t="n"/>
      <c r="BD122" s="75" t="n"/>
      <c r="BE122" s="75" t="n"/>
      <c r="BF122" s="75" t="n"/>
      <c r="BG122" s="75" t="n"/>
      <c r="BH122" s="75" t="n"/>
      <c r="BI122" s="75" t="n"/>
      <c r="BJ122" s="75" t="n"/>
      <c r="BK122" s="75" t="n"/>
      <c r="BL122" s="75" t="n"/>
      <c r="BM122" s="75" t="n"/>
      <c r="BN122" s="75" t="n"/>
    </row>
    <row r="123">
      <c r="A123" s="280" t="inlineStr">
        <is>
          <t>BOTICÁRIO MÃES/26</t>
        </is>
      </c>
      <c r="B123" s="255" t="inlineStr">
        <is>
          <t>PC</t>
        </is>
      </c>
      <c r="C123" s="255" t="inlineStr">
        <is>
          <t>R$</t>
        </is>
      </c>
      <c r="D123" s="255" t="n"/>
      <c r="F123" s="2" t="n"/>
      <c r="G123" s="2" t="n"/>
      <c r="H123" s="2" t="n"/>
      <c r="I123" s="2" t="n"/>
      <c r="J123" s="2" t="n"/>
      <c r="K123" s="2" t="n"/>
      <c r="L123" s="2" t="n"/>
      <c r="M123" s="2" t="n"/>
      <c r="N123" s="619" t="n">
        <v>46062</v>
      </c>
      <c r="O123" s="619" t="n">
        <v>46069</v>
      </c>
      <c r="P123" s="619" t="n">
        <v>46076</v>
      </c>
      <c r="Q123" s="619" t="n">
        <v>46083</v>
      </c>
      <c r="R123" s="619" t="n">
        <v>46090</v>
      </c>
      <c r="S123" s="619" t="n">
        <v>46097</v>
      </c>
      <c r="T123" s="619" t="n">
        <v>46104</v>
      </c>
      <c r="U123" s="619" t="n">
        <v>46111</v>
      </c>
      <c r="V123" s="619" t="n">
        <v>46118</v>
      </c>
      <c r="W123" s="619" t="n">
        <v>46125</v>
      </c>
      <c r="X123" s="619" t="n">
        <v>46132</v>
      </c>
      <c r="Y123" s="619" t="n">
        <v>46139</v>
      </c>
      <c r="Z123" s="619" t="n">
        <v>46146</v>
      </c>
      <c r="AA123" s="619" t="n">
        <v>46154</v>
      </c>
      <c r="AB123" s="619" t="n">
        <v>46160</v>
      </c>
      <c r="AC123" s="620" t="n">
        <v>46161.48013503472</v>
      </c>
      <c r="AD123" s="620" t="n">
        <v>46161.48080876157</v>
      </c>
      <c r="AE123" s="620" t="n">
        <v>46161.48296567835</v>
      </c>
      <c r="AF123" s="621" t="inlineStr">
        <is>
          <t>USOU</t>
        </is>
      </c>
      <c r="AH123" s="75" t="n"/>
      <c r="AI123" s="75" t="n"/>
      <c r="AJ123" s="1" t="n"/>
      <c r="AK123" s="15" t="n"/>
      <c r="AL123" s="396" t="n"/>
      <c r="AM123" s="75" t="n"/>
      <c r="AN123" s="75" t="n"/>
      <c r="AO123" s="75" t="n"/>
      <c r="AP123" s="75" t="n"/>
      <c r="AQ123" s="75" t="n"/>
      <c r="AR123" s="75" t="n"/>
      <c r="AS123" s="75" t="n"/>
      <c r="AT123" s="75" t="n"/>
      <c r="AU123" s="75" t="n"/>
      <c r="AV123" s="75" t="n"/>
      <c r="AW123" s="75" t="n"/>
      <c r="AX123" s="75" t="n"/>
      <c r="AY123" s="75" t="n"/>
      <c r="AZ123" s="75" t="n"/>
      <c r="BA123" s="75" t="n"/>
      <c r="BB123" s="75" t="n"/>
      <c r="BC123" s="75" t="n"/>
      <c r="BD123" s="75" t="n"/>
      <c r="BE123" s="75" t="n"/>
      <c r="BF123" s="75" t="n"/>
      <c r="BG123" s="75" t="n"/>
      <c r="BH123" s="75" t="n"/>
      <c r="BI123" s="75" t="n"/>
      <c r="BJ123" s="75" t="n"/>
      <c r="BK123" s="75" t="n"/>
      <c r="BL123" s="75" t="n"/>
      <c r="BM123" s="75" t="n"/>
      <c r="BN123" s="75" t="n"/>
    </row>
    <row r="124">
      <c r="A124" s="25" t="inlineStr">
        <is>
          <t>SACOLA P</t>
        </is>
      </c>
      <c r="B124" s="6" t="n">
        <v>200</v>
      </c>
      <c r="C124" s="632" t="n"/>
      <c r="D124" s="240" t="n"/>
      <c r="F124" s="2" t="n"/>
      <c r="G124" s="2" t="n"/>
      <c r="H124" s="2" t="n"/>
      <c r="I124" s="2" t="n"/>
      <c r="J124" s="2" t="n"/>
      <c r="K124" s="2" t="n"/>
      <c r="L124" s="2" t="n"/>
      <c r="M124" s="2" t="n"/>
      <c r="N124" s="39" t="n">
        <v>0</v>
      </c>
      <c r="O124" s="39" t="n">
        <v>0</v>
      </c>
      <c r="P124" s="39" t="n">
        <v>0</v>
      </c>
      <c r="Q124" s="39" t="n">
        <v>0</v>
      </c>
      <c r="R124" s="39" t="n">
        <v>0</v>
      </c>
      <c r="S124" s="39" t="n">
        <v>0</v>
      </c>
      <c r="T124" s="39">
        <f>AP9</f>
        <v/>
      </c>
      <c r="U124" s="39" t="n">
        <v>3000</v>
      </c>
      <c r="V124" s="39" t="n">
        <v>3000</v>
      </c>
      <c r="W124" s="39" t="n">
        <v>2400</v>
      </c>
      <c r="X124" s="39" t="n">
        <v>2400</v>
      </c>
      <c r="Y124" s="39" t="n">
        <v>1000</v>
      </c>
      <c r="Z124" s="39" t="n">
        <v>400</v>
      </c>
      <c r="AA124" s="211" t="n">
        <v>0</v>
      </c>
      <c r="AB124" s="211" t="n"/>
      <c r="AC124" s="381" t="n"/>
      <c r="AD124" s="381" t="n"/>
      <c r="AE124" s="381" t="n"/>
      <c r="AF124" s="380">
        <f>AD124+IF(NOT(ISBLANK(OFFSET(AF124,0,6))),N(OFFSET(AF124,0,6)),N(OFFSET(AF124,0,7)))-AE124</f>
        <v/>
      </c>
      <c r="AH124" s="75" t="n"/>
      <c r="AI124" s="75" t="n"/>
      <c r="AJ124" s="1" t="n"/>
      <c r="AK124" s="15" t="n"/>
      <c r="AL124" s="396" t="n"/>
      <c r="AM124" s="75" t="n"/>
      <c r="AN124" s="75" t="n"/>
      <c r="AO124" s="75" t="n"/>
      <c r="AP124" s="75" t="n"/>
      <c r="AQ124" s="75" t="n"/>
      <c r="AR124" s="75" t="n"/>
      <c r="AS124" s="75" t="n"/>
      <c r="AT124" s="75" t="n"/>
      <c r="AU124" s="75" t="n"/>
      <c r="AV124" s="75" t="n"/>
      <c r="AW124" s="75" t="n"/>
      <c r="AX124" s="75" t="n"/>
      <c r="AY124" s="75" t="n"/>
      <c r="AZ124" s="75" t="n"/>
      <c r="BA124" s="75" t="n"/>
      <c r="BB124" s="75" t="n"/>
      <c r="BC124" s="75" t="n"/>
      <c r="BD124" s="75" t="n"/>
      <c r="BE124" s="75" t="n"/>
      <c r="BF124" s="75" t="n"/>
      <c r="BG124" s="75" t="n"/>
      <c r="BH124" s="75" t="n"/>
      <c r="BI124" s="75" t="n"/>
      <c r="BJ124" s="75" t="n"/>
      <c r="BK124" s="75" t="n"/>
      <c r="BL124" s="75" t="n"/>
      <c r="BM124" s="75" t="n"/>
      <c r="BN124" s="75" t="n"/>
    </row>
    <row r="125">
      <c r="A125" s="25" t="inlineStr">
        <is>
          <t>SACOLA M</t>
        </is>
      </c>
      <c r="B125" s="6" t="n">
        <v>200</v>
      </c>
      <c r="C125" s="632" t="n"/>
      <c r="D125" s="240" t="n"/>
      <c r="F125" s="2" t="n"/>
      <c r="G125" s="2" t="n"/>
      <c r="H125" s="2" t="n"/>
      <c r="I125" s="2" t="n"/>
      <c r="J125" s="2" t="n"/>
      <c r="K125" s="2" t="n"/>
      <c r="L125" s="2" t="n"/>
      <c r="M125" s="2" t="n"/>
      <c r="N125" s="39" t="n">
        <v>0</v>
      </c>
      <c r="O125" s="39" t="n">
        <v>0</v>
      </c>
      <c r="P125" s="39" t="n">
        <v>0</v>
      </c>
      <c r="Q125" s="39" t="n">
        <v>0</v>
      </c>
      <c r="R125" s="39" t="n">
        <v>0</v>
      </c>
      <c r="S125" s="39" t="n">
        <v>0</v>
      </c>
      <c r="T125" s="39">
        <f>AP10</f>
        <v/>
      </c>
      <c r="U125" s="39" t="n">
        <v>1400</v>
      </c>
      <c r="V125" s="39" t="n">
        <v>1400</v>
      </c>
      <c r="W125" s="39" t="n">
        <v>1200</v>
      </c>
      <c r="X125" s="39" t="n">
        <v>1200</v>
      </c>
      <c r="Y125" s="39" t="n">
        <v>600</v>
      </c>
      <c r="Z125" s="39" t="n">
        <v>400</v>
      </c>
      <c r="AA125" s="211" t="n">
        <v>1200</v>
      </c>
      <c r="AB125" s="211" t="n"/>
      <c r="AC125" s="381" t="n"/>
      <c r="AD125" s="381" t="n"/>
      <c r="AE125" s="381" t="n"/>
      <c r="AF125" s="380">
        <f>AD125+IF(NOT(ISBLANK(OFFSET(AF125,0,6))),N(OFFSET(AF125,0,6)),N(OFFSET(AF125,0,7)))-AE125</f>
        <v/>
      </c>
      <c r="AH125" s="75" t="n"/>
      <c r="AI125" s="75" t="n"/>
      <c r="AJ125" s="1" t="n"/>
      <c r="AK125" s="15" t="n"/>
      <c r="AL125" s="396" t="n"/>
      <c r="AM125" s="75" t="n"/>
      <c r="AN125" s="75" t="n"/>
      <c r="AO125" s="75" t="n"/>
      <c r="AP125" s="75" t="n"/>
      <c r="AQ125" s="75" t="n"/>
      <c r="AR125" s="75" t="n"/>
      <c r="AS125" s="75" t="n"/>
      <c r="AT125" s="75" t="n"/>
      <c r="AU125" s="75" t="n"/>
      <c r="AV125" s="75" t="n"/>
      <c r="AW125" s="75" t="n"/>
      <c r="AX125" s="75" t="n"/>
      <c r="AY125" s="75" t="n"/>
      <c r="AZ125" s="75" t="n"/>
      <c r="BA125" s="75" t="n"/>
      <c r="BB125" s="75" t="n"/>
      <c r="BC125" s="75" t="n"/>
      <c r="BD125" s="75" t="n"/>
      <c r="BE125" s="75" t="n"/>
      <c r="BF125" s="75" t="n"/>
      <c r="BG125" s="75" t="n"/>
      <c r="BH125" s="75" t="n"/>
      <c r="BI125" s="75" t="n"/>
      <c r="BJ125" s="75" t="n"/>
      <c r="BK125" s="75" t="n"/>
      <c r="BL125" s="75" t="n"/>
      <c r="BM125" s="75" t="n"/>
      <c r="BN125" s="75" t="n"/>
    </row>
    <row r="126">
      <c r="A126" s="25" t="inlineStr">
        <is>
          <t>SACOLA G</t>
        </is>
      </c>
      <c r="B126" s="6" t="n">
        <v>100</v>
      </c>
      <c r="C126" s="632" t="n"/>
      <c r="D126" s="240" t="n"/>
      <c r="N126" s="39" t="n">
        <v>0</v>
      </c>
      <c r="O126" s="39" t="n">
        <v>0</v>
      </c>
      <c r="P126" s="39" t="n">
        <v>0</v>
      </c>
      <c r="Q126" s="39" t="n">
        <v>0</v>
      </c>
      <c r="R126" s="39" t="n">
        <v>0</v>
      </c>
      <c r="S126" s="39" t="n">
        <v>0</v>
      </c>
      <c r="T126" s="39">
        <f>AP11</f>
        <v/>
      </c>
      <c r="U126" s="39" t="n">
        <v>500</v>
      </c>
      <c r="V126" s="39" t="n">
        <v>500</v>
      </c>
      <c r="W126" s="39" t="n">
        <v>500</v>
      </c>
      <c r="X126" s="39" t="n">
        <v>500</v>
      </c>
      <c r="Y126" s="39" t="n">
        <v>400</v>
      </c>
      <c r="Z126" s="39" t="n">
        <v>200</v>
      </c>
      <c r="AA126" s="211" t="n">
        <v>100</v>
      </c>
      <c r="AB126" s="211" t="n"/>
      <c r="AC126" s="381" t="n"/>
      <c r="AD126" s="381" t="n"/>
      <c r="AE126" s="381" t="n"/>
      <c r="AF126" s="380">
        <f>AD126+IF(NOT(ISBLANK(OFFSET(AF126,0,6))),N(OFFSET(AF126,0,6)),N(OFFSET(AF126,0,7)))-AE126</f>
        <v/>
      </c>
    </row>
    <row r="127">
      <c r="A127" s="25" t="inlineStr">
        <is>
          <t>SACOLA P VENDA</t>
        </is>
      </c>
      <c r="B127" s="6" t="n">
        <v>200</v>
      </c>
      <c r="C127" s="632" t="n"/>
      <c r="D127" s="240" t="n"/>
      <c r="N127" s="39" t="n">
        <v>0</v>
      </c>
      <c r="O127" s="39" t="n">
        <v>0</v>
      </c>
      <c r="P127" s="39" t="n">
        <v>0</v>
      </c>
      <c r="Q127" s="39">
        <f>AS28</f>
        <v/>
      </c>
      <c r="R127" s="39" t="n">
        <v>400</v>
      </c>
      <c r="S127" s="39" t="n">
        <v>400</v>
      </c>
      <c r="T127" s="39" t="n">
        <v>387</v>
      </c>
      <c r="U127" s="39" t="n">
        <v>252</v>
      </c>
      <c r="V127" s="39" t="n"/>
      <c r="W127" s="39" t="n"/>
      <c r="X127" s="39" t="n"/>
      <c r="Y127" s="39" t="n"/>
      <c r="Z127" s="39" t="n"/>
      <c r="AA127" s="39" t="n">
        <v>134</v>
      </c>
      <c r="AB127" s="39" t="n">
        <v>119</v>
      </c>
      <c r="AC127" s="6" t="n">
        <v>119</v>
      </c>
      <c r="AD127" s="6" t="n">
        <v>119</v>
      </c>
      <c r="AE127" s="6" t="n">
        <v>119</v>
      </c>
      <c r="AF127" s="380">
        <f>AD127+IF(NOT(ISBLANK(OFFSET(AF127,0,6))),N(OFFSET(AF127,0,6)),N(OFFSET(AF127,0,7)))-AE127</f>
        <v/>
      </c>
    </row>
    <row r="128">
      <c r="A128" s="25" t="inlineStr">
        <is>
          <t>SACOLA M VENDA</t>
        </is>
      </c>
      <c r="B128" s="6" t="n">
        <v>200</v>
      </c>
      <c r="C128" s="632" t="n"/>
      <c r="D128" s="240" t="n"/>
      <c r="F128" s="2" t="n"/>
      <c r="G128" s="2" t="n"/>
      <c r="H128" s="2" t="n"/>
      <c r="I128" s="2" t="n"/>
      <c r="J128" s="2" t="n"/>
      <c r="K128" s="2" t="n"/>
      <c r="L128" s="2" t="n"/>
      <c r="M128" s="2" t="n"/>
      <c r="N128" s="39" t="n">
        <v>0</v>
      </c>
      <c r="O128" s="39" t="n">
        <v>0</v>
      </c>
      <c r="P128" s="39" t="n">
        <v>0</v>
      </c>
      <c r="Q128" s="39">
        <f>AS29</f>
        <v/>
      </c>
      <c r="R128" s="39" t="n">
        <v>200</v>
      </c>
      <c r="S128" s="39" t="n">
        <v>200</v>
      </c>
      <c r="T128" s="39" t="n">
        <v>180</v>
      </c>
      <c r="U128" s="39" t="n">
        <v>51</v>
      </c>
      <c r="V128" s="39" t="n"/>
      <c r="W128" s="39" t="n"/>
      <c r="X128" s="39" t="n"/>
      <c r="Y128" s="39" t="n"/>
      <c r="Z128" s="39" t="n"/>
      <c r="AA128" s="39" t="n">
        <v>0</v>
      </c>
      <c r="AB128" s="39" t="n">
        <v>0</v>
      </c>
      <c r="AC128" s="6" t="n">
        <v>0</v>
      </c>
      <c r="AD128" s="6" t="n">
        <v>0</v>
      </c>
      <c r="AE128" s="6" t="n">
        <v>0</v>
      </c>
      <c r="AF128" s="380">
        <f>AD128+IF(NOT(ISBLANK(OFFSET(AF128,0,6))),N(OFFSET(AF128,0,6)),N(OFFSET(AF128,0,7)))-AE128</f>
        <v/>
      </c>
      <c r="AG128" s="11" t="n"/>
      <c r="AH128" s="75" t="n"/>
      <c r="AI128" s="75" t="n"/>
      <c r="AJ128" s="1" t="n"/>
      <c r="AK128" s="15" t="n"/>
      <c r="AL128" s="396" t="n"/>
      <c r="AM128" s="75" t="n"/>
      <c r="AN128" s="75" t="n"/>
      <c r="AO128" s="75" t="n"/>
      <c r="AP128" s="75" t="n"/>
      <c r="AQ128" s="75" t="n"/>
      <c r="AR128" s="75" t="n"/>
      <c r="AS128" s="75" t="n"/>
      <c r="AT128" s="75" t="n"/>
      <c r="AU128" s="75" t="n"/>
      <c r="AV128" s="75" t="n"/>
      <c r="AW128" s="75" t="n"/>
      <c r="AX128" s="75" t="n"/>
      <c r="AY128" s="75" t="n"/>
      <c r="AZ128" s="75" t="n"/>
      <c r="BA128" s="75" t="n"/>
      <c r="BB128" s="75" t="n"/>
      <c r="BC128" s="75" t="n"/>
      <c r="BD128" s="75" t="n"/>
      <c r="BE128" s="75" t="n"/>
      <c r="BF128" s="75" t="n"/>
      <c r="BG128" s="75" t="n"/>
      <c r="BH128" s="75" t="n"/>
      <c r="BI128" s="75" t="n"/>
      <c r="BJ128" s="75" t="n"/>
      <c r="BK128" s="75" t="n"/>
      <c r="BL128" s="75" t="n"/>
      <c r="BM128" s="75" t="n"/>
      <c r="BN128" s="75" t="n"/>
    </row>
    <row r="129">
      <c r="A129" s="157" t="inlineStr">
        <is>
          <t>KIT PAPEL DE SEDA 10 C/ 20</t>
        </is>
      </c>
      <c r="B129" s="72" t="n">
        <v>200</v>
      </c>
      <c r="C129" s="639" t="n"/>
      <c r="D129" s="72" t="n"/>
      <c r="N129" s="39" t="n">
        <v>0</v>
      </c>
      <c r="O129" s="39" t="n">
        <v>0</v>
      </c>
      <c r="P129" s="39" t="n">
        <v>0</v>
      </c>
      <c r="Q129" s="39" t="n">
        <v>0</v>
      </c>
      <c r="R129" s="39" t="n">
        <v>0</v>
      </c>
      <c r="S129" s="39" t="n">
        <v>0</v>
      </c>
      <c r="T129" s="39" t="n">
        <v>0</v>
      </c>
      <c r="U129" s="211" t="n">
        <v>3</v>
      </c>
      <c r="V129" s="39" t="n"/>
      <c r="W129" s="39" t="n"/>
      <c r="X129" s="39" t="n"/>
      <c r="Y129" s="39" t="n"/>
      <c r="Z129" s="39" t="n"/>
      <c r="AA129" s="39" t="n">
        <v>0</v>
      </c>
      <c r="AB129" s="39" t="n">
        <v>0</v>
      </c>
      <c r="AC129" s="6" t="n">
        <v>0</v>
      </c>
      <c r="AD129" s="6" t="n">
        <v>0</v>
      </c>
      <c r="AE129" s="6" t="n">
        <v>0</v>
      </c>
      <c r="AF129" s="380">
        <f>AD129+IF(NOT(ISBLANK(OFFSET(AF129,0,6))),N(OFFSET(AF129,0,6)),N(OFFSET(AF129,0,7)))-AE129</f>
        <v/>
      </c>
    </row>
    <row r="130">
      <c r="A130" s="157" t="inlineStr">
        <is>
          <t>CAIXA P</t>
        </is>
      </c>
      <c r="B130" s="72" t="n">
        <v>150</v>
      </c>
      <c r="C130" s="639" t="n"/>
      <c r="D130" s="72" t="n"/>
      <c r="N130" s="39" t="n">
        <v>0</v>
      </c>
      <c r="O130" s="39" t="n">
        <v>0</v>
      </c>
      <c r="P130" s="39" t="n">
        <v>0</v>
      </c>
      <c r="Q130" s="39" t="n">
        <v>0</v>
      </c>
      <c r="R130" s="39" t="n">
        <v>0</v>
      </c>
      <c r="S130" s="39" t="n">
        <v>0</v>
      </c>
      <c r="T130" s="39" t="n">
        <v>0</v>
      </c>
      <c r="U130" s="39" t="n">
        <v>48</v>
      </c>
      <c r="V130" s="39" t="n"/>
      <c r="W130" s="39" t="n"/>
      <c r="X130" s="39" t="n"/>
      <c r="Y130" s="39" t="n"/>
      <c r="Z130" s="39" t="n"/>
      <c r="AA130" s="39" t="n">
        <v>77</v>
      </c>
      <c r="AB130" s="39" t="n">
        <v>77</v>
      </c>
      <c r="AC130" s="6" t="n">
        <v>77</v>
      </c>
      <c r="AD130" s="6" t="n">
        <v>77</v>
      </c>
      <c r="AE130" s="6" t="n">
        <v>77</v>
      </c>
      <c r="AF130" s="380">
        <f>AD130+IF(NOT(ISBLANK(OFFSET(AF130,0,6))),N(OFFSET(AF130,0,6)),N(OFFSET(AF130,0,7)))-AE130</f>
        <v/>
      </c>
    </row>
    <row r="131">
      <c r="A131" s="157" t="inlineStr">
        <is>
          <t>CAIXA M</t>
        </is>
      </c>
      <c r="B131" s="72" t="n">
        <v>100</v>
      </c>
      <c r="C131" s="639" t="n"/>
      <c r="D131" s="72" t="n"/>
      <c r="N131" s="39" t="n">
        <v>0</v>
      </c>
      <c r="O131" s="39" t="n">
        <v>0</v>
      </c>
      <c r="P131" s="39" t="n">
        <v>0</v>
      </c>
      <c r="Q131" s="39" t="n">
        <v>0</v>
      </c>
      <c r="R131" s="39" t="n">
        <v>0</v>
      </c>
      <c r="S131" s="39" t="n">
        <v>0</v>
      </c>
      <c r="T131" s="39" t="n">
        <v>0</v>
      </c>
      <c r="U131" s="39" t="n">
        <v>78</v>
      </c>
      <c r="V131" s="39" t="n"/>
      <c r="W131" s="39" t="n"/>
      <c r="X131" s="39" t="n"/>
      <c r="Y131" s="39" t="n"/>
      <c r="Z131" s="39" t="n"/>
      <c r="AA131" s="39" t="n">
        <v>82</v>
      </c>
      <c r="AB131" s="39" t="n">
        <v>82</v>
      </c>
      <c r="AC131" s="6" t="n">
        <v>82</v>
      </c>
      <c r="AD131" s="6" t="n">
        <v>82</v>
      </c>
      <c r="AE131" s="6" t="n">
        <v>82</v>
      </c>
      <c r="AF131" s="380">
        <f>AD131+IF(NOT(ISBLANK(OFFSET(AF131,0,6))),N(OFFSET(AF131,0,6)),N(OFFSET(AF131,0,7)))-AE131</f>
        <v/>
      </c>
    </row>
    <row r="132">
      <c r="A132" s="157" t="inlineStr">
        <is>
          <t>CARTUCHO M</t>
        </is>
      </c>
      <c r="B132" s="72" t="n">
        <v>150</v>
      </c>
      <c r="C132" s="639" t="n"/>
      <c r="D132" s="72" t="n"/>
      <c r="N132" s="39" t="n">
        <v>0</v>
      </c>
      <c r="O132" s="39" t="n">
        <v>0</v>
      </c>
      <c r="P132" s="39" t="n">
        <v>0</v>
      </c>
      <c r="Q132" s="39">
        <f>AS43</f>
        <v/>
      </c>
      <c r="R132" s="39" t="n">
        <v>150</v>
      </c>
      <c r="S132" s="39" t="n">
        <v>150</v>
      </c>
      <c r="T132" s="39" t="n">
        <v>146</v>
      </c>
      <c r="U132" s="39" t="n">
        <v>87</v>
      </c>
      <c r="V132" s="39" t="n"/>
      <c r="W132" s="39" t="n"/>
      <c r="X132" s="39" t="n"/>
      <c r="Y132" s="39" t="n"/>
      <c r="Z132" s="39" t="n"/>
      <c r="AA132" s="39" t="n">
        <v>43</v>
      </c>
      <c r="AB132" s="39" t="n">
        <v>34</v>
      </c>
      <c r="AC132" s="6" t="n">
        <v>34</v>
      </c>
      <c r="AD132" s="6" t="n">
        <v>34</v>
      </c>
      <c r="AE132" s="6" t="n">
        <v>34</v>
      </c>
      <c r="AF132" s="380">
        <f>AD132+IF(NOT(ISBLANK(OFFSET(AF132,0,6))),N(OFFSET(AF132,0,6)),N(OFFSET(AF132,0,7)))-AE132</f>
        <v/>
      </c>
    </row>
    <row r="133">
      <c r="B133" s="41" t="n"/>
      <c r="C133" s="684" t="n"/>
      <c r="D133" s="684" t="n"/>
    </row>
  </sheetData>
  <mergeCells count="9">
    <mergeCell ref="A5:A6"/>
    <mergeCell ref="B3:D3"/>
    <mergeCell ref="A1:AC1"/>
    <mergeCell ref="A112:AB112"/>
    <mergeCell ref="C5:C6"/>
    <mergeCell ref="F5:AB5"/>
    <mergeCell ref="B5:B6"/>
    <mergeCell ref="B2:D2"/>
    <mergeCell ref="D5:D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48" horizontalDpi="4294967295" verticalDpi="4294967295"/>
  <legacyDrawing xmlns:r="http://schemas.openxmlformats.org/officeDocument/2006/relationships" r:id="anysvml"/>
</worksheet>
</file>

<file path=xl/worksheets/sheet30.xml><?xml version="1.0" encoding="utf-8"?>
<worksheet xmlns="http://schemas.openxmlformats.org/spreadsheetml/2006/main">
  <sheetPr codeName="Planilha65">
    <tabColor theme="8"/>
    <outlinePr summaryBelow="1" summaryRight="1"/>
    <pageSetUpPr fitToPage="1"/>
  </sheetPr>
  <dimension ref="A1:BJ133"/>
  <sheetViews>
    <sheetView showGridLines="0" topLeftCell="A58" zoomScale="80" zoomScaleNormal="80" zoomScaleSheetLayoutView="50" workbookViewId="0">
      <selection activeCell="AB72" sqref="AB72:AB77"/>
    </sheetView>
  </sheetViews>
  <sheetFormatPr baseColWidth="8" defaultColWidth="9.140625" defaultRowHeight="18.75"/>
  <cols>
    <col width="38.42578125" customWidth="1" style="62" min="1" max="1"/>
    <col width="8.140625" customWidth="1" style="11" min="2" max="2"/>
    <col width="15.85546875" customWidth="1" style="11" min="3" max="3"/>
    <col width="16.85546875" customWidth="1" style="11" min="4" max="4"/>
    <col width="2" customWidth="1" style="11" min="5" max="5"/>
    <col hidden="1" width="8.28515625" customWidth="1" style="11" min="6" max="25"/>
    <col width="8.28515625" customWidth="1" style="11" min="26" max="27"/>
    <col width="9.5703125" bestFit="1" customWidth="1" style="11" min="28" max="28"/>
    <col width="1.42578125" customWidth="1" style="11" min="29" max="29"/>
    <col width="16" bestFit="1" customWidth="1" style="71" min="30" max="30"/>
    <col width="14.28515625" bestFit="1" customWidth="1" style="71" min="31" max="31"/>
    <col width="1.7109375" customWidth="1" style="11" min="32" max="32"/>
    <col width="15.85546875" bestFit="1" customWidth="1" style="34" min="33" max="33"/>
    <col width="1.28515625" customWidth="1" style="11" min="34" max="34"/>
    <col width="9.140625" customWidth="1" style="34" min="35" max="35"/>
    <col width="12.140625" bestFit="1" customWidth="1" style="34" min="36" max="36"/>
    <col width="9.140625" customWidth="1" style="34" min="37" max="46"/>
    <col hidden="1" width="9.140625" customWidth="1" style="34" min="47" max="62"/>
    <col width="9.140625" customWidth="1" style="11" min="63" max="16384"/>
  </cols>
  <sheetData>
    <row r="1" ht="23.25" customHeight="1">
      <c r="A1" s="477" t="inlineStr">
        <is>
          <t>Controle de Contagem Semanal - Antilhas</t>
        </is>
      </c>
      <c r="AF1" s="34" t="n"/>
      <c r="AG1" s="11" t="n"/>
      <c r="AH1" s="34" t="n"/>
    </row>
    <row r="2">
      <c r="A2" s="63" t="inlineStr">
        <is>
          <t>LOJA:</t>
        </is>
      </c>
      <c r="B2" s="604" t="inlineStr">
        <is>
          <t>ER JAÚ</t>
        </is>
      </c>
      <c r="C2" s="605" t="n"/>
      <c r="D2" s="606" t="n"/>
      <c r="AF2" s="34" t="n"/>
      <c r="AG2" s="11" t="n"/>
      <c r="AH2" s="34" t="n"/>
    </row>
    <row r="3">
      <c r="A3" s="63" t="inlineStr">
        <is>
          <t>Responsável:</t>
        </is>
      </c>
      <c r="B3" s="607" t="inlineStr">
        <is>
          <t>MARCELA</t>
        </is>
      </c>
      <c r="C3" s="605" t="n"/>
      <c r="D3" s="606" t="n"/>
      <c r="E3" s="608" t="n"/>
      <c r="F3" s="608" t="n"/>
      <c r="G3" s="608" t="n"/>
      <c r="H3" s="608" t="n"/>
      <c r="I3" s="608" t="n"/>
      <c r="J3" s="608" t="n"/>
      <c r="K3" s="608" t="n"/>
      <c r="L3" s="608" t="n"/>
      <c r="M3" s="608" t="n"/>
      <c r="N3" s="608" t="n"/>
      <c r="O3" s="608" t="n"/>
      <c r="P3" s="608" t="n"/>
      <c r="Q3" s="608" t="n"/>
      <c r="R3" s="608" t="n"/>
      <c r="S3" s="608" t="n"/>
      <c r="T3" s="608" t="n"/>
      <c r="U3" s="608" t="n"/>
      <c r="V3" s="608" t="n"/>
      <c r="W3" s="608" t="n"/>
      <c r="X3" s="608" t="n"/>
      <c r="Y3" s="608" t="n"/>
      <c r="Z3" s="608" t="n"/>
      <c r="AA3" s="608" t="n"/>
      <c r="AB3" s="608" t="n"/>
      <c r="AC3" s="608" t="n"/>
      <c r="AF3" s="34" t="n"/>
    </row>
    <row r="4">
      <c r="AD4" s="41" t="n"/>
      <c r="AE4" s="41" t="n"/>
      <c r="AG4" s="11" t="n"/>
      <c r="AI4" s="11" t="n"/>
      <c r="AJ4" s="11" t="n"/>
      <c r="AK4" s="11" t="n"/>
      <c r="AL4" s="11" t="n"/>
      <c r="AM4" s="11" t="n"/>
      <c r="AN4" s="11" t="n"/>
      <c r="AO4" s="11" t="n"/>
      <c r="AP4" s="11" t="n"/>
      <c r="AQ4" s="11" t="n"/>
      <c r="AR4" s="11" t="n"/>
      <c r="AS4" s="11" t="n"/>
      <c r="AT4" s="11" t="n"/>
      <c r="AU4" s="11" t="n"/>
      <c r="AV4" s="11" t="n"/>
      <c r="AW4" s="11" t="n"/>
      <c r="AX4" s="11" t="n"/>
      <c r="AY4" s="11" t="n"/>
      <c r="AZ4" s="11" t="n"/>
      <c r="BA4" s="11" t="n"/>
      <c r="BB4" s="11" t="n"/>
      <c r="BC4" s="11" t="n"/>
      <c r="BD4" s="11" t="n"/>
      <c r="BE4" s="11" t="n"/>
      <c r="BF4" s="11" t="n"/>
      <c r="BG4" s="11" t="n"/>
      <c r="BH4" s="11" t="n"/>
      <c r="BI4" s="11" t="n"/>
      <c r="BJ4" s="11" t="n"/>
    </row>
    <row r="5" ht="24.75" customHeight="1">
      <c r="A5" s="610" t="inlineStr">
        <is>
          <t>Descrição</t>
        </is>
      </c>
      <c r="B5" s="611" t="inlineStr">
        <is>
          <t>PCT</t>
        </is>
      </c>
      <c r="C5" s="611" t="inlineStr">
        <is>
          <t xml:space="preserve">R$ </t>
        </is>
      </c>
      <c r="D5" s="612" t="inlineStr">
        <is>
          <t>Estoque Ideal</t>
        </is>
      </c>
      <c r="F5" s="647" t="n"/>
      <c r="G5" s="625" t="n"/>
      <c r="H5" s="625" t="n"/>
      <c r="I5" s="625" t="n"/>
      <c r="J5" s="625" t="n"/>
      <c r="K5" s="625" t="n"/>
      <c r="L5" s="625" t="n"/>
      <c r="M5" s="625" t="n"/>
      <c r="N5" s="625" t="n"/>
      <c r="O5" s="625" t="n"/>
      <c r="P5" s="625" t="n"/>
      <c r="Q5" s="625" t="n"/>
      <c r="R5" s="625" t="n"/>
      <c r="S5" s="625" t="n"/>
      <c r="T5" s="625" t="n"/>
      <c r="U5" s="625" t="n"/>
      <c r="V5" s="625" t="n"/>
      <c r="W5" s="625" t="n"/>
      <c r="X5" s="625" t="n"/>
      <c r="Y5" s="625" t="n"/>
      <c r="Z5" s="625" t="n"/>
      <c r="AA5" s="625" t="n"/>
      <c r="AB5" s="641" t="n"/>
      <c r="AD5" s="29" t="inlineStr">
        <is>
          <t>Pendências</t>
        </is>
      </c>
      <c r="AE5" s="29" t="inlineStr">
        <is>
          <t>Pendências</t>
        </is>
      </c>
      <c r="AG5" s="9" t="inlineStr">
        <is>
          <t>Novo Pedido</t>
        </is>
      </c>
      <c r="AI5" s="674" t="n">
        <v>46149</v>
      </c>
      <c r="AJ5" s="615" t="inlineStr">
        <is>
          <t>TRANSF.</t>
        </is>
      </c>
      <c r="AK5" s="674" t="n">
        <v>46142</v>
      </c>
      <c r="AL5" s="674" t="n">
        <v>46114</v>
      </c>
      <c r="AM5" s="674" t="n">
        <v>46107</v>
      </c>
      <c r="AN5" s="674" t="n">
        <v>46099</v>
      </c>
      <c r="AO5" s="675" t="n">
        <v>46065</v>
      </c>
      <c r="AP5" s="674" t="n">
        <v>46092</v>
      </c>
      <c r="AQ5" s="674" t="n">
        <v>46084</v>
      </c>
      <c r="AR5" s="675" t="n">
        <v>46065</v>
      </c>
      <c r="AS5" s="676" t="n">
        <v>46045</v>
      </c>
      <c r="AT5" s="674" t="n">
        <v>46077</v>
      </c>
      <c r="AU5" s="674" t="n">
        <v>46071</v>
      </c>
      <c r="AV5" s="674" t="n">
        <v>46056</v>
      </c>
      <c r="AW5" s="674" t="n">
        <v>46048</v>
      </c>
      <c r="AX5" s="674" t="n">
        <v>46043</v>
      </c>
      <c r="AY5" s="674" t="n">
        <v>46035</v>
      </c>
      <c r="AZ5" s="674" t="n">
        <v>46029</v>
      </c>
      <c r="BA5" s="674" t="n">
        <v>46035</v>
      </c>
      <c r="BB5" s="674" t="n">
        <v>46029</v>
      </c>
      <c r="BC5" s="674" t="n">
        <v>46024</v>
      </c>
      <c r="BD5" s="674" t="n">
        <v>46007</v>
      </c>
      <c r="BE5" s="674" t="n">
        <v>46001</v>
      </c>
      <c r="BF5" s="674" t="n">
        <v>46001</v>
      </c>
      <c r="BG5" s="674" t="n">
        <v>45994</v>
      </c>
      <c r="BH5" s="674" t="n">
        <v>45986</v>
      </c>
      <c r="BI5" s="674" t="n">
        <v>45986</v>
      </c>
      <c r="BJ5" s="674" t="n">
        <v>45980</v>
      </c>
    </row>
    <row r="6" customFormat="1" s="3">
      <c r="A6" s="618" t="n"/>
      <c r="B6" s="618" t="n"/>
      <c r="C6" s="618" t="n"/>
      <c r="D6" s="618" t="n"/>
      <c r="E6" s="30" t="n"/>
      <c r="F6" s="619" t="n">
        <v>46006</v>
      </c>
      <c r="G6" s="619" t="n">
        <v>46013</v>
      </c>
      <c r="H6" s="619" t="n">
        <v>46020</v>
      </c>
      <c r="I6" s="619" t="n">
        <v>46027</v>
      </c>
      <c r="J6" s="619" t="n">
        <v>46034</v>
      </c>
      <c r="K6" s="619" t="n">
        <v>46041</v>
      </c>
      <c r="L6" s="619" t="n">
        <v>46048</v>
      </c>
      <c r="M6" s="619" t="n">
        <v>46055</v>
      </c>
      <c r="N6" s="619" t="n">
        <v>46062</v>
      </c>
      <c r="O6" s="619" t="n">
        <v>46069</v>
      </c>
      <c r="P6" s="619" t="n">
        <v>46076</v>
      </c>
      <c r="Q6" s="619" t="n">
        <v>46083</v>
      </c>
      <c r="R6" s="619" t="n">
        <v>46090</v>
      </c>
      <c r="S6" s="619" t="n">
        <v>46097</v>
      </c>
      <c r="T6" s="619" t="n">
        <v>46104</v>
      </c>
      <c r="U6" s="619" t="n">
        <v>46111</v>
      </c>
      <c r="V6" s="619" t="n">
        <v>46118</v>
      </c>
      <c r="W6" s="619" t="n">
        <v>46125</v>
      </c>
      <c r="X6" s="619" t="n">
        <v>46132</v>
      </c>
      <c r="Y6" s="619" t="n">
        <v>46139</v>
      </c>
      <c r="Z6" s="619" t="n">
        <v>46146</v>
      </c>
      <c r="AA6" s="619" t="n">
        <v>46154</v>
      </c>
      <c r="AB6" s="678" t="inlineStr">
        <is>
          <t>USOU</t>
        </is>
      </c>
      <c r="AC6" s="30" t="n"/>
      <c r="AD6" s="699" t="inlineStr">
        <is>
          <t>TRANSF.</t>
        </is>
      </c>
      <c r="AE6" s="664" t="n">
        <v>46149</v>
      </c>
      <c r="AF6" s="623" t="n"/>
      <c r="AG6" s="624" t="n">
        <v>46155</v>
      </c>
      <c r="AH6" s="623" t="n"/>
      <c r="AI6" s="674" t="n">
        <v>46155</v>
      </c>
      <c r="AJ6" s="615" t="n">
        <v>46150</v>
      </c>
      <c r="AK6" s="674" t="n">
        <v>46149</v>
      </c>
      <c r="AL6" s="674" t="n">
        <v>46125</v>
      </c>
      <c r="AM6" s="674" t="n">
        <v>46112</v>
      </c>
      <c r="AN6" s="674" t="n">
        <v>46106</v>
      </c>
      <c r="AO6" s="675" t="n">
        <v>46104</v>
      </c>
      <c r="AP6" s="674" t="n">
        <v>46099</v>
      </c>
      <c r="AQ6" s="674" t="n">
        <v>46090</v>
      </c>
      <c r="AR6" s="675" t="n">
        <v>46087</v>
      </c>
      <c r="AS6" s="676" t="n">
        <v>46087</v>
      </c>
      <c r="AT6" s="674" t="n">
        <v>46084</v>
      </c>
      <c r="AU6" s="674" t="n">
        <v>46078</v>
      </c>
      <c r="AV6" s="674" t="n">
        <v>46063</v>
      </c>
      <c r="AW6" s="674" t="n">
        <v>46056</v>
      </c>
      <c r="AX6" s="674" t="n">
        <v>46049</v>
      </c>
      <c r="AY6" s="674" t="n">
        <v>46049</v>
      </c>
      <c r="AZ6" s="674" t="n">
        <v>46044</v>
      </c>
      <c r="BA6" s="674" t="n">
        <v>46041</v>
      </c>
      <c r="BB6" s="674" t="n">
        <v>46041</v>
      </c>
      <c r="BC6" s="674" t="n">
        <v>46041</v>
      </c>
      <c r="BD6" s="674" t="n">
        <v>46014</v>
      </c>
      <c r="BE6" s="674" t="n">
        <v>46010</v>
      </c>
      <c r="BF6" s="674" t="n">
        <v>46009</v>
      </c>
      <c r="BG6" s="674" t="n">
        <v>46001</v>
      </c>
      <c r="BH6" s="674" t="n">
        <v>46000</v>
      </c>
      <c r="BI6" s="674" t="n">
        <v>45993</v>
      </c>
      <c r="BJ6" s="674" t="n">
        <v>45992</v>
      </c>
    </row>
    <row r="7" ht="21.75" customFormat="1" customHeight="1" s="3">
      <c r="A7" s="20" t="inlineStr">
        <is>
          <t>SACOLAS BOTICÁRIO</t>
        </is>
      </c>
      <c r="B7" s="4" t="n"/>
      <c r="C7" s="5" t="n"/>
      <c r="D7" s="239" t="n"/>
      <c r="E7" s="11" t="n"/>
      <c r="F7" s="12" t="n"/>
      <c r="G7" s="12" t="n"/>
      <c r="H7" s="12" t="n"/>
      <c r="I7" s="12" t="n"/>
      <c r="J7" s="12" t="n"/>
      <c r="K7" s="12" t="n"/>
      <c r="L7" s="12" t="n"/>
      <c r="M7" s="12" t="n"/>
      <c r="N7" s="12" t="n"/>
      <c r="O7" s="12" t="n"/>
      <c r="P7" s="12" t="n"/>
      <c r="Q7" s="12" t="n"/>
      <c r="R7" s="12" t="n"/>
      <c r="S7" s="12" t="n"/>
      <c r="T7" s="12" t="n"/>
      <c r="U7" s="12" t="n"/>
      <c r="V7" s="12" t="n"/>
      <c r="W7" s="12" t="n"/>
      <c r="X7" s="12" t="n"/>
      <c r="Y7" s="12" t="n"/>
      <c r="Z7" s="12" t="n"/>
      <c r="AA7" s="12" t="n"/>
      <c r="AB7" s="12" t="n"/>
      <c r="AC7" s="11" t="n"/>
      <c r="AD7" s="85" t="n"/>
      <c r="AE7" s="85" t="n"/>
      <c r="AF7" s="11" t="n"/>
      <c r="AG7" s="113" t="n"/>
      <c r="AH7" s="11" t="n"/>
      <c r="AI7" s="116" t="n"/>
      <c r="AJ7" s="116" t="n"/>
      <c r="AK7" s="116" t="n"/>
      <c r="AL7" s="116" t="n"/>
      <c r="AM7" s="116" t="n"/>
      <c r="AN7" s="116" t="n"/>
      <c r="AO7" s="116" t="inlineStr">
        <is>
          <t>MÃES</t>
        </is>
      </c>
      <c r="AP7" s="116" t="n"/>
      <c r="AQ7" s="116" t="n"/>
      <c r="AR7" s="116" t="inlineStr">
        <is>
          <t>MÃES</t>
        </is>
      </c>
      <c r="AS7" s="116" t="inlineStr">
        <is>
          <t>MÃES</t>
        </is>
      </c>
      <c r="AT7" s="116" t="n"/>
      <c r="AU7" s="116" t="n"/>
      <c r="AV7" s="116" t="n"/>
      <c r="AW7" s="116" t="n"/>
      <c r="AX7" s="116" t="n"/>
      <c r="AY7" s="116" t="n"/>
      <c r="AZ7" s="116" t="n"/>
      <c r="BA7" s="116" t="n"/>
      <c r="BB7" s="116" t="n"/>
      <c r="BC7" s="116" t="n"/>
      <c r="BD7" s="116" t="n"/>
      <c r="BE7" s="116" t="n"/>
      <c r="BF7" s="116" t="n"/>
      <c r="BG7" s="116" t="n"/>
      <c r="BH7" s="116" t="n"/>
      <c r="BI7" s="116" t="n"/>
      <c r="BJ7" s="116" t="n"/>
    </row>
    <row r="8" customFormat="1" s="3">
      <c r="A8" s="21" t="inlineStr">
        <is>
          <t>SACOLA PP VERDE</t>
        </is>
      </c>
      <c r="B8" s="6" t="n">
        <v>300</v>
      </c>
      <c r="C8" s="627" t="n">
        <v>178.21</v>
      </c>
      <c r="D8" s="240" t="n">
        <v>1800</v>
      </c>
      <c r="E8" s="11" t="n"/>
      <c r="F8" s="39">
        <f>1200+BD8</f>
        <v/>
      </c>
      <c r="G8" s="39">
        <f>900+BD8</f>
        <v/>
      </c>
      <c r="H8" s="39" t="n">
        <v>900</v>
      </c>
      <c r="I8" s="39" t="n">
        <v>600</v>
      </c>
      <c r="J8" s="39" t="n">
        <v>300</v>
      </c>
      <c r="K8" s="39">
        <f>0+BC8</f>
        <v/>
      </c>
      <c r="L8" s="39">
        <f>600+AX8</f>
        <v/>
      </c>
      <c r="M8" s="39">
        <f>600+AW8</f>
        <v/>
      </c>
      <c r="N8" s="39">
        <f>600+AV8</f>
        <v/>
      </c>
      <c r="O8" s="39" t="n">
        <v>1200</v>
      </c>
      <c r="P8" s="39" t="n">
        <v>1200</v>
      </c>
      <c r="Q8" s="39" t="n">
        <v>600</v>
      </c>
      <c r="R8" s="39">
        <f>0+AQ8</f>
        <v/>
      </c>
      <c r="S8" s="39" t="n">
        <v>900</v>
      </c>
      <c r="T8" s="39">
        <f>600+AN8</f>
        <v/>
      </c>
      <c r="U8" s="39">
        <f>600+AM8</f>
        <v/>
      </c>
      <c r="V8" s="39" t="n">
        <v>600</v>
      </c>
      <c r="W8" s="39" t="n">
        <v>900</v>
      </c>
      <c r="X8" s="39" t="n">
        <v>900</v>
      </c>
      <c r="Y8" s="39" t="n">
        <v>0</v>
      </c>
      <c r="Z8" s="39">
        <f>0+AK8</f>
        <v/>
      </c>
      <c r="AA8" s="39" t="n">
        <v>600</v>
      </c>
      <c r="AB8" s="380">
        <f>Z8+IF(NOT(ISBLANK(OFFSET(AB8,0,6))),N(OFFSET(AB8,0,6)),N(OFFSET(AB8,0,7)))-AA8</f>
        <v/>
      </c>
      <c r="AC8" s="11" t="n"/>
      <c r="AD8" s="78" t="n"/>
      <c r="AE8" s="78" t="n"/>
      <c r="AF8" s="11" t="n"/>
      <c r="AG8" s="32" t="n">
        <v>600</v>
      </c>
      <c r="AH8" s="11" t="n"/>
      <c r="AI8" s="19" t="n">
        <v>0</v>
      </c>
      <c r="AJ8" s="19" t="n"/>
      <c r="AK8" s="19" t="n">
        <v>1200</v>
      </c>
      <c r="AL8" s="19" t="n">
        <v>600</v>
      </c>
      <c r="AM8" s="19" t="n">
        <v>600</v>
      </c>
      <c r="AN8" s="19" t="n">
        <v>300</v>
      </c>
      <c r="AO8" s="19" t="n"/>
      <c r="AP8" s="19" t="n"/>
      <c r="AQ8" s="19" t="n">
        <v>1200</v>
      </c>
      <c r="AR8" s="19" t="n"/>
      <c r="AS8" s="19" t="n"/>
      <c r="AT8" s="19" t="n"/>
      <c r="AU8" s="19" t="n"/>
      <c r="AV8" s="19" t="n">
        <v>900</v>
      </c>
      <c r="AW8" s="19" t="n">
        <v>600</v>
      </c>
      <c r="AX8" s="19" t="n">
        <v>600</v>
      </c>
      <c r="AY8" s="19" t="n"/>
      <c r="AZ8" s="19" t="n"/>
      <c r="BA8" s="19" t="n"/>
      <c r="BB8" s="19" t="n"/>
      <c r="BC8" s="19" t="n">
        <v>1200</v>
      </c>
      <c r="BD8" s="19" t="n">
        <v>900</v>
      </c>
      <c r="BE8" s="19" t="n"/>
      <c r="BF8" s="19" t="n">
        <v>600</v>
      </c>
      <c r="BG8" s="19" t="n"/>
      <c r="BH8" s="19" t="n"/>
      <c r="BI8" s="19" t="n">
        <v>1500</v>
      </c>
      <c r="BJ8" s="19" t="n">
        <v>1200</v>
      </c>
    </row>
    <row r="9" customFormat="1" s="3">
      <c r="A9" s="21" t="inlineStr">
        <is>
          <t xml:space="preserve">SACOLA P VERDE </t>
        </is>
      </c>
      <c r="B9" s="6" t="n">
        <v>200</v>
      </c>
      <c r="C9" s="627" t="n">
        <v>183.89</v>
      </c>
      <c r="D9" s="240" t="n">
        <v>2600</v>
      </c>
      <c r="E9" s="11" t="n"/>
      <c r="F9" s="125">
        <f>3200+BD9</f>
        <v/>
      </c>
      <c r="G9" s="125">
        <f>2200+BD9</f>
        <v/>
      </c>
      <c r="H9" s="125" t="n">
        <v>2600</v>
      </c>
      <c r="I9" s="125" t="n">
        <v>2400</v>
      </c>
      <c r="J9" s="125" t="n">
        <v>1000</v>
      </c>
      <c r="K9" s="125">
        <f>0+BA9+BC9</f>
        <v/>
      </c>
      <c r="L9" s="125">
        <f>2600+AX9</f>
        <v/>
      </c>
      <c r="M9" s="125">
        <f>3200+AW9</f>
        <v/>
      </c>
      <c r="N9" s="125" t="n">
        <v>3000</v>
      </c>
      <c r="O9" s="125" t="n">
        <v>2000</v>
      </c>
      <c r="P9" s="125" t="n">
        <v>1600</v>
      </c>
      <c r="Q9" s="125">
        <f>1400+AT9</f>
        <v/>
      </c>
      <c r="R9" s="125">
        <f>2000+AQ9</f>
        <v/>
      </c>
      <c r="S9" s="125">
        <f>2000+AP9</f>
        <v/>
      </c>
      <c r="T9" s="125" t="n">
        <v>2200</v>
      </c>
      <c r="U9" s="125">
        <f>1200+AM9</f>
        <v/>
      </c>
      <c r="V9" s="125" t="n">
        <v>3200</v>
      </c>
      <c r="W9" s="125" t="n">
        <v>3200</v>
      </c>
      <c r="X9" s="125" t="n">
        <v>3000</v>
      </c>
      <c r="Y9" s="125" t="n">
        <v>2800</v>
      </c>
      <c r="Z9" s="125" t="n">
        <v>2400</v>
      </c>
      <c r="AA9" s="125" t="n">
        <v>1000</v>
      </c>
      <c r="AB9" s="380">
        <f>Z9+IF(NOT(ISBLANK(OFFSET(AB9,0,6))),N(OFFSET(AB9,0,6)),N(OFFSET(AB9,0,7)))-AA9</f>
        <v/>
      </c>
      <c r="AC9" s="11" t="n"/>
      <c r="AD9" s="78" t="n"/>
      <c r="AE9" s="78" t="n"/>
      <c r="AF9" s="11" t="n"/>
      <c r="AG9" s="32" t="n">
        <v>1000</v>
      </c>
      <c r="AH9" s="11" t="n"/>
      <c r="AI9" s="19" t="n">
        <v>0</v>
      </c>
      <c r="AJ9" s="19" t="n"/>
      <c r="AK9" s="19" t="n">
        <v>0</v>
      </c>
      <c r="AL9" s="19" t="n">
        <v>1200</v>
      </c>
      <c r="AM9" s="19" t="n">
        <v>2600</v>
      </c>
      <c r="AN9" s="19" t="n"/>
      <c r="AO9" s="251" t="n">
        <v>3000</v>
      </c>
      <c r="AP9" s="19" t="n">
        <v>1000</v>
      </c>
      <c r="AQ9" s="19" t="n">
        <v>1000</v>
      </c>
      <c r="AR9" s="19" t="n"/>
      <c r="AS9" s="19" t="n"/>
      <c r="AT9" s="19" t="n">
        <v>1600</v>
      </c>
      <c r="AU9" s="19" t="n">
        <v>1000</v>
      </c>
      <c r="AV9" s="19" t="n"/>
      <c r="AW9" s="19" t="n">
        <v>1000</v>
      </c>
      <c r="AX9" s="19" t="n">
        <v>1600</v>
      </c>
      <c r="AY9" s="19" t="n"/>
      <c r="AZ9" s="19" t="n"/>
      <c r="BA9" s="19" t="n">
        <v>2600</v>
      </c>
      <c r="BB9" s="19" t="n"/>
      <c r="BC9" s="19" t="n">
        <v>1000</v>
      </c>
      <c r="BD9" s="19" t="n">
        <v>1000</v>
      </c>
      <c r="BE9" s="19" t="n"/>
      <c r="BF9" s="19" t="n">
        <v>600</v>
      </c>
      <c r="BG9" s="19" t="n">
        <v>1000</v>
      </c>
      <c r="BH9" s="19" t="n"/>
      <c r="BI9" s="19" t="n">
        <v>1000</v>
      </c>
      <c r="BJ9" s="19" t="n">
        <v>2000</v>
      </c>
    </row>
    <row r="10" customFormat="1" s="3">
      <c r="A10" s="21" t="inlineStr">
        <is>
          <t>SACOLA M VERDE</t>
        </is>
      </c>
      <c r="B10" s="6" t="n">
        <v>200</v>
      </c>
      <c r="C10" s="627" t="n">
        <v>241.74</v>
      </c>
      <c r="D10" s="240" t="n">
        <v>800</v>
      </c>
      <c r="E10" s="11" t="n"/>
      <c r="F10" s="125">
        <f>1400+BD10</f>
        <v/>
      </c>
      <c r="G10" s="125">
        <f>1000+BD10</f>
        <v/>
      </c>
      <c r="H10" s="125" t="n">
        <v>1400</v>
      </c>
      <c r="I10" s="125" t="n">
        <v>1200</v>
      </c>
      <c r="J10" s="125" t="n">
        <v>800</v>
      </c>
      <c r="K10" s="125">
        <f>800+BA10</f>
        <v/>
      </c>
      <c r="L10" s="125" t="n">
        <v>1200</v>
      </c>
      <c r="M10" s="125" t="n">
        <v>800</v>
      </c>
      <c r="N10" s="125">
        <f>400+AV10</f>
        <v/>
      </c>
      <c r="O10" s="125" t="n">
        <v>600</v>
      </c>
      <c r="P10" s="125" t="n">
        <v>400</v>
      </c>
      <c r="Q10" s="125">
        <f>400+AT10</f>
        <v/>
      </c>
      <c r="R10" s="125">
        <f>200+AQ10</f>
        <v/>
      </c>
      <c r="S10" s="125">
        <f>200+AP10</f>
        <v/>
      </c>
      <c r="T10" s="125">
        <f>200+AN10</f>
        <v/>
      </c>
      <c r="U10" s="125">
        <f>400+AM10</f>
        <v/>
      </c>
      <c r="V10" s="125" t="n">
        <v>800</v>
      </c>
      <c r="W10" s="125" t="n">
        <v>600</v>
      </c>
      <c r="X10" s="125" t="n">
        <v>600</v>
      </c>
      <c r="Y10" s="125" t="n">
        <v>600</v>
      </c>
      <c r="Z10" s="125" t="n">
        <v>600</v>
      </c>
      <c r="AA10" s="125" t="n">
        <v>200</v>
      </c>
      <c r="AB10" s="380">
        <f>Z10+IF(NOT(ISBLANK(OFFSET(AB10,0,6))),N(OFFSET(AB10,0,6)),N(OFFSET(AB10,0,7)))-AA10</f>
        <v/>
      </c>
      <c r="AC10" s="11" t="n"/>
      <c r="AD10" s="78" t="n"/>
      <c r="AE10" s="78" t="n"/>
      <c r="AF10" s="11" t="n"/>
      <c r="AG10" s="32" t="n"/>
      <c r="AH10" s="11" t="n"/>
      <c r="AI10" s="19" t="n">
        <v>0</v>
      </c>
      <c r="AJ10" s="19" t="n"/>
      <c r="AK10" s="19" t="n">
        <v>0</v>
      </c>
      <c r="AL10" s="19" t="n">
        <v>200</v>
      </c>
      <c r="AM10" s="19" t="n">
        <v>400</v>
      </c>
      <c r="AN10" s="19" t="n">
        <v>400</v>
      </c>
      <c r="AO10" s="251" t="n">
        <v>1400</v>
      </c>
      <c r="AP10" s="19" t="n">
        <v>400</v>
      </c>
      <c r="AQ10" s="19" t="n">
        <v>200</v>
      </c>
      <c r="AR10" s="19" t="n"/>
      <c r="AS10" s="301" t="n">
        <v>1200</v>
      </c>
      <c r="AT10" s="19" t="n">
        <v>200</v>
      </c>
      <c r="AU10" s="19" t="n">
        <v>200</v>
      </c>
      <c r="AV10" s="19" t="n">
        <v>400</v>
      </c>
      <c r="AW10" s="19" t="n"/>
      <c r="AX10" s="19" t="n"/>
      <c r="AY10" s="19" t="n"/>
      <c r="AZ10" s="19" t="n"/>
      <c r="BA10" s="19" t="n">
        <v>400</v>
      </c>
      <c r="BB10" s="19" t="n"/>
      <c r="BC10" s="19" t="n"/>
      <c r="BD10" s="19" t="n">
        <v>400</v>
      </c>
      <c r="BE10" s="19" t="n"/>
      <c r="BF10" s="19" t="n">
        <v>400</v>
      </c>
      <c r="BG10" s="19" t="n">
        <v>800</v>
      </c>
      <c r="BH10" s="19" t="n"/>
      <c r="BI10" s="19" t="n"/>
      <c r="BJ10" s="19" t="n">
        <v>800</v>
      </c>
    </row>
    <row r="11" ht="19.5" customFormat="1" customHeight="1" s="3">
      <c r="A11" s="22" t="inlineStr">
        <is>
          <t xml:space="preserve">SACOLA G VERDE </t>
        </is>
      </c>
      <c r="B11" s="6" t="n">
        <v>100</v>
      </c>
      <c r="C11" s="627" t="n">
        <v>175.78</v>
      </c>
      <c r="D11" s="240" t="n">
        <v>1000</v>
      </c>
      <c r="E11" s="11" t="n"/>
      <c r="F11" s="39" t="n">
        <v>800</v>
      </c>
      <c r="G11" s="39">
        <f>100+BD11</f>
        <v/>
      </c>
      <c r="H11" s="39" t="n">
        <v>700</v>
      </c>
      <c r="I11" s="39" t="n">
        <v>500</v>
      </c>
      <c r="J11" s="39" t="n">
        <v>500</v>
      </c>
      <c r="K11" s="39">
        <f>400+BB11</f>
        <v/>
      </c>
      <c r="L11" s="39" t="n">
        <v>800</v>
      </c>
      <c r="M11" s="39" t="n">
        <v>700</v>
      </c>
      <c r="N11" s="39">
        <f>700+AV11</f>
        <v/>
      </c>
      <c r="O11" s="39" t="n">
        <v>900</v>
      </c>
      <c r="P11" s="39" t="n">
        <v>700</v>
      </c>
      <c r="Q11" s="39">
        <f>600+AT11</f>
        <v/>
      </c>
      <c r="R11" s="39" t="n">
        <v>1000</v>
      </c>
      <c r="S11" s="39" t="n">
        <v>700</v>
      </c>
      <c r="T11" s="39" t="n">
        <v>600</v>
      </c>
      <c r="U11" s="39" t="n">
        <v>500</v>
      </c>
      <c r="V11" s="39" t="n">
        <v>400</v>
      </c>
      <c r="W11" s="39" t="n">
        <v>300</v>
      </c>
      <c r="X11" s="39" t="n">
        <v>200</v>
      </c>
      <c r="Y11" s="39" t="n">
        <v>100</v>
      </c>
      <c r="Z11" s="39" t="n">
        <v>100</v>
      </c>
      <c r="AA11" s="39" t="n">
        <v>0</v>
      </c>
      <c r="AB11" s="380">
        <f>Z11+IF(NOT(ISBLANK(OFFSET(AB11,0,6))),N(OFFSET(AB11,0,6)),N(OFFSET(AB11,0,7)))-AA11</f>
        <v/>
      </c>
      <c r="AC11" s="11" t="n"/>
      <c r="AD11" s="78" t="n"/>
      <c r="AE11" s="78" t="n"/>
      <c r="AF11" s="11" t="n"/>
      <c r="AG11" s="32" t="n">
        <v>300</v>
      </c>
      <c r="AH11" s="11" t="n"/>
      <c r="AI11" s="19" t="n">
        <v>0</v>
      </c>
      <c r="AJ11" s="19" t="n"/>
      <c r="AK11" s="19" t="n">
        <v>0</v>
      </c>
      <c r="AL11" s="19" t="n">
        <v>200</v>
      </c>
      <c r="AM11" s="19" t="n"/>
      <c r="AN11" s="19" t="n"/>
      <c r="AO11" s="251" t="n">
        <v>500</v>
      </c>
      <c r="AP11" s="19" t="n"/>
      <c r="AQ11" s="19" t="n"/>
      <c r="AR11" s="19" t="n"/>
      <c r="AS11" s="19" t="n"/>
      <c r="AT11" s="19" t="n">
        <v>500</v>
      </c>
      <c r="AU11" s="19" t="n"/>
      <c r="AV11" s="19" t="n">
        <v>300</v>
      </c>
      <c r="AW11" s="19" t="n"/>
      <c r="AX11" s="19" t="n"/>
      <c r="AY11" s="19" t="n"/>
      <c r="AZ11" s="19" t="n"/>
      <c r="BA11" s="19" t="n"/>
      <c r="BB11" s="19" t="n">
        <v>500</v>
      </c>
      <c r="BC11" s="19" t="n"/>
      <c r="BD11" s="19" t="n">
        <v>600</v>
      </c>
      <c r="BE11" s="19" t="n"/>
      <c r="BF11" s="19" t="n"/>
      <c r="BG11" s="19" t="n">
        <v>1000</v>
      </c>
      <c r="BH11" s="19" t="n"/>
      <c r="BI11" s="19" t="n">
        <v>300</v>
      </c>
      <c r="BJ11" s="19" t="n"/>
    </row>
    <row r="12" ht="19.5" customFormat="1" customHeight="1" s="3">
      <c r="A12" s="144" t="inlineStr">
        <is>
          <t>SACOLA KRAFT M PARDA</t>
        </is>
      </c>
      <c r="B12" s="145" t="n">
        <v>200</v>
      </c>
      <c r="C12" s="694" t="n">
        <v>144.12</v>
      </c>
      <c r="D12" s="240" t="n">
        <v>0</v>
      </c>
      <c r="E12" s="11" t="n"/>
      <c r="F12" s="39" t="n">
        <v>200</v>
      </c>
      <c r="G12" s="39" t="n">
        <v>200</v>
      </c>
      <c r="H12" s="39" t="n">
        <v>0</v>
      </c>
      <c r="I12" s="39" t="n">
        <v>0</v>
      </c>
      <c r="J12" s="39" t="n">
        <v>0</v>
      </c>
      <c r="K12" s="39">
        <f>0+BC12+BB12</f>
        <v/>
      </c>
      <c r="L12" s="39" t="n">
        <v>400</v>
      </c>
      <c r="M12" s="39">
        <f>200+AW12</f>
        <v/>
      </c>
      <c r="N12" s="39">
        <f>600+AV12</f>
        <v/>
      </c>
      <c r="O12" s="39" t="n">
        <v>600</v>
      </c>
      <c r="P12" s="39" t="n">
        <v>600</v>
      </c>
      <c r="Q12" s="39" t="n">
        <v>800</v>
      </c>
      <c r="R12" s="39" t="n">
        <v>600</v>
      </c>
      <c r="S12" s="39" t="n">
        <v>400</v>
      </c>
      <c r="T12" s="39">
        <f>400+AN12</f>
        <v/>
      </c>
      <c r="U12" s="39" t="n">
        <v>600</v>
      </c>
      <c r="V12" s="39" t="n">
        <v>400</v>
      </c>
      <c r="W12" s="39" t="n">
        <v>400</v>
      </c>
      <c r="X12" s="39" t="n">
        <v>400</v>
      </c>
      <c r="Y12" s="39" t="n">
        <v>200</v>
      </c>
      <c r="Z12" s="39">
        <f>0+AK12</f>
        <v/>
      </c>
      <c r="AA12" s="39" t="n">
        <v>200</v>
      </c>
      <c r="AB12" s="380">
        <f>Z12+IF(NOT(ISBLANK(OFFSET(AB12,0,6))),N(OFFSET(AB12,0,6)),N(OFFSET(AB12,0,7)))-AA12</f>
        <v/>
      </c>
      <c r="AC12" s="11" t="n"/>
      <c r="AD12" s="78" t="n"/>
      <c r="AE12" s="367" t="n">
        <v>200</v>
      </c>
      <c r="AF12" s="11" t="n"/>
      <c r="AG12" s="32" t="n"/>
      <c r="AH12" s="11" t="n"/>
      <c r="AI12" s="19" t="n">
        <v>0</v>
      </c>
      <c r="AJ12" s="19" t="n"/>
      <c r="AK12" s="19" t="n">
        <v>200</v>
      </c>
      <c r="AL12" s="19" t="n">
        <v>0</v>
      </c>
      <c r="AM12" s="19" t="n"/>
      <c r="AN12" s="19" t="n">
        <v>200</v>
      </c>
      <c r="AO12" s="19" t="n"/>
      <c r="AP12" s="19" t="n"/>
      <c r="AQ12" s="19" t="n"/>
      <c r="AR12" s="19" t="n"/>
      <c r="AS12" s="19" t="n"/>
      <c r="AT12" s="19" t="n"/>
      <c r="AU12" s="19" t="n">
        <v>200</v>
      </c>
      <c r="AV12" s="19" t="n">
        <v>200</v>
      </c>
      <c r="AW12" s="19" t="n">
        <v>400</v>
      </c>
      <c r="AX12" s="19" t="n"/>
      <c r="AY12" s="19" t="n"/>
      <c r="AZ12" s="19" t="n"/>
      <c r="BA12" s="19" t="n"/>
      <c r="BB12" s="19" t="n">
        <v>200</v>
      </c>
      <c r="BC12" s="19" t="n">
        <v>400</v>
      </c>
      <c r="BD12" s="19" t="n"/>
      <c r="BE12" s="19" t="n"/>
      <c r="BF12" s="19" t="n"/>
      <c r="BG12" s="19" t="n"/>
      <c r="BH12" s="19" t="n"/>
      <c r="BI12" s="19" t="n"/>
      <c r="BJ12" s="19" t="n">
        <v>200</v>
      </c>
    </row>
    <row r="13" ht="19.5" customFormat="1" customHeight="1" s="3">
      <c r="A13" s="144" t="inlineStr">
        <is>
          <t>SACOLA KRAFT G PARDA</t>
        </is>
      </c>
      <c r="B13" s="145" t="n">
        <v>100</v>
      </c>
      <c r="C13" s="694" t="n">
        <v>115.12</v>
      </c>
      <c r="D13" s="240" t="n">
        <v>0</v>
      </c>
      <c r="E13" s="11" t="n"/>
      <c r="F13" s="39">
        <f>300+BD13</f>
        <v/>
      </c>
      <c r="G13" s="39" t="n">
        <v>400</v>
      </c>
      <c r="H13" s="39" t="n">
        <v>100</v>
      </c>
      <c r="I13" s="39" t="n">
        <v>100</v>
      </c>
      <c r="J13" s="39" t="n">
        <v>100</v>
      </c>
      <c r="K13" s="39">
        <f>100+BC13</f>
        <v/>
      </c>
      <c r="L13" s="39" t="n">
        <v>500</v>
      </c>
      <c r="M13" s="39" t="n">
        <v>400</v>
      </c>
      <c r="N13" s="39" t="n">
        <v>400</v>
      </c>
      <c r="O13" s="39" t="n">
        <v>400</v>
      </c>
      <c r="P13" s="39" t="n">
        <v>300</v>
      </c>
      <c r="Q13" s="39">
        <f>300+AT13</f>
        <v/>
      </c>
      <c r="R13" s="39" t="n">
        <v>500</v>
      </c>
      <c r="S13" s="39" t="n">
        <v>400</v>
      </c>
      <c r="T13" s="39" t="n">
        <v>400</v>
      </c>
      <c r="U13" s="39" t="n">
        <v>400</v>
      </c>
      <c r="V13" s="39" t="n">
        <v>400</v>
      </c>
      <c r="W13" s="39" t="n">
        <v>300</v>
      </c>
      <c r="X13" s="39" t="n">
        <v>300</v>
      </c>
      <c r="Y13" s="39" t="n">
        <v>300</v>
      </c>
      <c r="Z13" s="39" t="n">
        <v>200</v>
      </c>
      <c r="AA13" s="39" t="n">
        <v>200</v>
      </c>
      <c r="AB13" s="380">
        <f>Z13+IF(NOT(ISBLANK(OFFSET(AB13,0,6))),N(OFFSET(AB13,0,6)),N(OFFSET(AB13,0,7)))-AA13</f>
        <v/>
      </c>
      <c r="AC13" s="11" t="n"/>
      <c r="AD13" s="367" t="n"/>
      <c r="AE13" s="367" t="n"/>
      <c r="AF13" s="11" t="n"/>
      <c r="AG13" s="32" t="n"/>
      <c r="AH13" s="11" t="n"/>
      <c r="AI13" s="19" t="n">
        <v>0</v>
      </c>
      <c r="AJ13" s="19" t="n"/>
      <c r="AK13" s="19" t="n">
        <v>0</v>
      </c>
      <c r="AL13" s="19" t="n">
        <v>0</v>
      </c>
      <c r="AM13" s="19" t="n"/>
      <c r="AN13" s="19" t="n"/>
      <c r="AO13" s="19" t="n"/>
      <c r="AP13" s="19" t="n"/>
      <c r="AQ13" s="19" t="n"/>
      <c r="AR13" s="19" t="n"/>
      <c r="AS13" s="19" t="n"/>
      <c r="AT13" s="19" t="n">
        <v>200</v>
      </c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>
        <v>400</v>
      </c>
      <c r="BD13" s="19" t="n"/>
      <c r="BE13" s="19" t="n"/>
      <c r="BF13" s="19" t="n">
        <v>200</v>
      </c>
      <c r="BG13" s="19" t="n"/>
      <c r="BH13" s="19" t="n"/>
      <c r="BI13" s="19" t="n"/>
      <c r="BJ13" s="19" t="n">
        <v>100</v>
      </c>
    </row>
    <row r="14" ht="15" customHeight="1"/>
    <row r="15">
      <c r="A15" s="548" t="inlineStr">
        <is>
          <t>DIVERSOS</t>
        </is>
      </c>
      <c r="B15" s="12" t="n"/>
      <c r="C15" s="631" t="n"/>
      <c r="D15" s="631" t="n"/>
      <c r="F15" s="619" t="n">
        <v>46006</v>
      </c>
      <c r="G15" s="619" t="n">
        <v>46013</v>
      </c>
      <c r="H15" s="619" t="n">
        <v>46020</v>
      </c>
      <c r="I15" s="619" t="n">
        <v>46027</v>
      </c>
      <c r="J15" s="619" t="n">
        <v>46034</v>
      </c>
      <c r="K15" s="619" t="n">
        <v>46041</v>
      </c>
      <c r="L15" s="619" t="n">
        <v>46048</v>
      </c>
      <c r="M15" s="619" t="n">
        <v>46055</v>
      </c>
      <c r="N15" s="619" t="n">
        <v>46062</v>
      </c>
      <c r="O15" s="619" t="n">
        <v>46069</v>
      </c>
      <c r="P15" s="619" t="n">
        <v>46076</v>
      </c>
      <c r="Q15" s="619" t="n">
        <v>46083</v>
      </c>
      <c r="R15" s="619" t="n">
        <v>46090</v>
      </c>
      <c r="S15" s="619" t="n">
        <v>46097</v>
      </c>
      <c r="T15" s="619" t="n">
        <v>46104</v>
      </c>
      <c r="U15" s="619" t="n">
        <v>46111</v>
      </c>
      <c r="V15" s="619" t="n">
        <v>46118</v>
      </c>
      <c r="W15" s="619" t="n">
        <v>46125</v>
      </c>
      <c r="X15" s="619" t="n">
        <v>46132</v>
      </c>
      <c r="Y15" s="619" t="n">
        <v>46139</v>
      </c>
      <c r="Z15" s="619" t="n">
        <v>46146</v>
      </c>
      <c r="AA15" s="619" t="n">
        <v>46154</v>
      </c>
      <c r="AB15" s="678" t="inlineStr">
        <is>
          <t>USOU</t>
        </is>
      </c>
      <c r="AD15" s="29" t="inlineStr">
        <is>
          <t>Pendências</t>
        </is>
      </c>
      <c r="AE15" s="29" t="inlineStr">
        <is>
          <t>Pendências</t>
        </is>
      </c>
      <c r="AF15" s="11" t="n"/>
      <c r="AG15" s="9" t="inlineStr">
        <is>
          <t>Novo Pedido</t>
        </is>
      </c>
      <c r="AI15" s="674" t="n">
        <v>46149</v>
      </c>
      <c r="AJ15" s="615" t="n">
        <v>46150</v>
      </c>
      <c r="AK15" s="674" t="n">
        <v>46142</v>
      </c>
      <c r="AL15" s="674" t="n">
        <v>46114</v>
      </c>
      <c r="AM15" s="674" t="n">
        <v>46107</v>
      </c>
      <c r="AN15" s="674" t="n">
        <v>46099</v>
      </c>
      <c r="AO15" s="675" t="n">
        <v>46065</v>
      </c>
      <c r="AP15" s="674" t="n">
        <v>46092</v>
      </c>
      <c r="AQ15" s="674" t="n">
        <v>46084</v>
      </c>
      <c r="AR15" s="675" t="n">
        <v>46065</v>
      </c>
      <c r="AS15" s="676" t="n">
        <v>46045</v>
      </c>
      <c r="AT15" s="674" t="n">
        <v>46077</v>
      </c>
      <c r="AU15" s="674" t="n">
        <v>46071</v>
      </c>
      <c r="AV15" s="674" t="n">
        <v>46056</v>
      </c>
      <c r="AW15" s="674" t="n">
        <v>46048</v>
      </c>
      <c r="AX15" s="674" t="n">
        <v>46043</v>
      </c>
      <c r="AY15" s="674" t="n">
        <v>46035</v>
      </c>
      <c r="AZ15" s="674" t="n">
        <v>46029</v>
      </c>
      <c r="BA15" s="674" t="n">
        <v>46035</v>
      </c>
      <c r="BB15" s="674" t="n">
        <v>46029</v>
      </c>
      <c r="BC15" s="674" t="n">
        <v>46024</v>
      </c>
      <c r="BD15" s="674" t="n">
        <v>46007</v>
      </c>
      <c r="BE15" s="674" t="n">
        <v>46001</v>
      </c>
      <c r="BF15" s="674" t="n">
        <v>46001</v>
      </c>
      <c r="BG15" s="674" t="n">
        <v>45994</v>
      </c>
      <c r="BH15" s="674" t="n">
        <v>45986</v>
      </c>
      <c r="BI15" s="674" t="n">
        <v>45986</v>
      </c>
      <c r="BJ15" s="674" t="n">
        <v>45980</v>
      </c>
    </row>
    <row r="16">
      <c r="A16" s="25" t="inlineStr">
        <is>
          <t>PAPEL DE SEDA C/ 200 UND</t>
        </is>
      </c>
      <c r="B16" s="6" t="n">
        <v>500</v>
      </c>
      <c r="C16" s="632" t="n">
        <v>95.90000000000001</v>
      </c>
      <c r="D16" s="240" t="n">
        <v>1</v>
      </c>
      <c r="F16" s="6" t="n">
        <v>3</v>
      </c>
      <c r="G16" s="6" t="n">
        <v>3</v>
      </c>
      <c r="H16" s="6" t="n">
        <v>2</v>
      </c>
      <c r="I16" s="6" t="n">
        <v>2</v>
      </c>
      <c r="J16" s="6" t="n">
        <v>2</v>
      </c>
      <c r="K16" s="6">
        <f>2+BC16</f>
        <v/>
      </c>
      <c r="L16" s="6" t="n">
        <v>4</v>
      </c>
      <c r="M16" s="6" t="n">
        <v>4</v>
      </c>
      <c r="N16" s="6" t="n">
        <v>4</v>
      </c>
      <c r="O16" s="6" t="n">
        <v>4</v>
      </c>
      <c r="P16" s="6" t="n">
        <v>4</v>
      </c>
      <c r="Q16" s="6" t="n">
        <v>4</v>
      </c>
      <c r="R16" s="6" t="n">
        <v>4</v>
      </c>
      <c r="S16" s="6" t="n">
        <v>4</v>
      </c>
      <c r="T16" s="6" t="n">
        <v>4</v>
      </c>
      <c r="U16" s="6" t="n">
        <v>3</v>
      </c>
      <c r="V16" s="6" t="n">
        <v>3</v>
      </c>
      <c r="W16" s="6" t="n">
        <v>3</v>
      </c>
      <c r="X16" s="6" t="n">
        <v>3</v>
      </c>
      <c r="Y16" s="6" t="n">
        <v>3</v>
      </c>
      <c r="Z16" s="6">
        <f>0+3</f>
        <v/>
      </c>
      <c r="AA16" s="6">
        <f>1+AI16</f>
        <v/>
      </c>
      <c r="AB16" s="380">
        <f>Z16+IF(NOT(ISBLANK(OFFSET(AB16,0,6))),N(OFFSET(AB16,0,6)),N(OFFSET(AB16,0,7)))-AA16</f>
        <v/>
      </c>
      <c r="AD16" s="138" t="n"/>
      <c r="AE16" s="138" t="n"/>
      <c r="AG16" s="32" t="n"/>
      <c r="AI16" s="19" t="n">
        <v>5</v>
      </c>
      <c r="AJ16" s="260" t="inlineStr">
        <is>
          <t>03 DE JSH</t>
        </is>
      </c>
      <c r="AK16" s="19" t="n">
        <v>0</v>
      </c>
      <c r="AL16" s="19" t="n">
        <v>0</v>
      </c>
      <c r="AM16" s="19" t="n"/>
      <c r="AN16" s="19" t="n"/>
      <c r="AO16" s="19" t="n"/>
      <c r="AP16" s="19" t="n"/>
      <c r="AQ16" s="19" t="n"/>
      <c r="AR16" s="19" t="n"/>
      <c r="AS16" s="301" t="n">
        <v>200</v>
      </c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>
        <v>2</v>
      </c>
      <c r="BD16" s="19" t="n"/>
      <c r="BE16" s="19" t="n"/>
      <c r="BF16" s="19" t="n"/>
      <c r="BG16" s="19" t="n">
        <v>1</v>
      </c>
      <c r="BH16" s="19" t="n"/>
      <c r="BI16" s="19" t="n"/>
      <c r="BJ16" s="19" t="n"/>
    </row>
    <row r="17">
      <c r="A17" s="25" t="inlineStr">
        <is>
          <t>ETIQUETAS</t>
        </is>
      </c>
      <c r="B17" s="6" t="n">
        <v>2000</v>
      </c>
      <c r="C17" s="632" t="n">
        <v>53.49</v>
      </c>
      <c r="D17" s="240" t="n">
        <v>1</v>
      </c>
      <c r="F17" s="6" t="n">
        <v>1</v>
      </c>
      <c r="G17" s="6" t="n">
        <v>1</v>
      </c>
      <c r="H17" s="6" t="n">
        <v>3</v>
      </c>
      <c r="I17" s="6" t="n">
        <v>3</v>
      </c>
      <c r="J17" s="6" t="n">
        <v>3</v>
      </c>
      <c r="K17" s="6" t="n">
        <v>3</v>
      </c>
      <c r="L17" s="6" t="n">
        <v>3</v>
      </c>
      <c r="M17" s="6" t="n">
        <v>3</v>
      </c>
      <c r="N17" s="6" t="n">
        <v>3</v>
      </c>
      <c r="O17" s="6" t="n">
        <v>2</v>
      </c>
      <c r="P17" s="6" t="n">
        <v>2</v>
      </c>
      <c r="Q17" s="6" t="n">
        <v>1</v>
      </c>
      <c r="R17" s="6" t="n">
        <v>0</v>
      </c>
      <c r="S17" s="6" t="n">
        <v>0</v>
      </c>
      <c r="T17" s="6" t="n">
        <v>0</v>
      </c>
      <c r="U17" s="6" t="n">
        <v>0</v>
      </c>
      <c r="V17" s="6" t="n">
        <v>0</v>
      </c>
      <c r="W17" s="6" t="n">
        <v>0</v>
      </c>
      <c r="X17" s="6" t="n">
        <v>0</v>
      </c>
      <c r="Y17" s="6" t="n">
        <v>0</v>
      </c>
      <c r="Z17" s="6">
        <f>0+AK17+3</f>
        <v/>
      </c>
      <c r="AA17" s="6" t="n">
        <v>0</v>
      </c>
      <c r="AB17" s="380">
        <f>Z17+IF(NOT(ISBLANK(OFFSET(AB17,0,6))),N(OFFSET(AB17,0,6)),N(OFFSET(AB17,0,7)))-AA17</f>
        <v/>
      </c>
      <c r="AD17" s="138" t="inlineStr">
        <is>
          <t>03 DE JC</t>
        </is>
      </c>
      <c r="AE17" s="138" t="n"/>
      <c r="AG17" s="32" t="n"/>
      <c r="AI17" s="19" t="n">
        <v>0</v>
      </c>
      <c r="AJ17" s="260" t="inlineStr">
        <is>
          <t>03 DE JSH</t>
        </is>
      </c>
      <c r="AK17" s="19" t="n">
        <v>2</v>
      </c>
      <c r="AL17" s="19" t="n">
        <v>0</v>
      </c>
      <c r="AM17" s="19" t="n"/>
      <c r="AN17" s="19" t="n"/>
      <c r="AO17" s="19" t="n"/>
      <c r="AP17" s="19" t="n"/>
      <c r="AQ17" s="19" t="n"/>
      <c r="AR17" s="19" t="n"/>
      <c r="AS17" s="301" t="n">
        <v>2</v>
      </c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</row>
    <row r="18">
      <c r="A18" s="25" t="inlineStr">
        <is>
          <t xml:space="preserve">TAGS </t>
        </is>
      </c>
      <c r="B18" s="6" t="n">
        <v>200</v>
      </c>
      <c r="C18" s="632" t="n">
        <v>9.93</v>
      </c>
      <c r="D18" s="240" t="n">
        <v>2</v>
      </c>
      <c r="F18" s="6" t="n">
        <v>1</v>
      </c>
      <c r="G18" s="6" t="n">
        <v>1</v>
      </c>
      <c r="H18" s="6" t="n">
        <v>1</v>
      </c>
      <c r="I18" s="6" t="n">
        <v>1</v>
      </c>
      <c r="J18" s="6" t="n">
        <v>1</v>
      </c>
      <c r="K18" s="6" t="n">
        <v>1</v>
      </c>
      <c r="L18" s="6" t="n">
        <v>1</v>
      </c>
      <c r="M18" s="6" t="n">
        <v>1</v>
      </c>
      <c r="N18" s="6" t="n">
        <v>1</v>
      </c>
      <c r="O18" s="6" t="n">
        <v>1</v>
      </c>
      <c r="P18" s="6" t="n">
        <v>1</v>
      </c>
      <c r="Q18" s="6" t="n">
        <v>1</v>
      </c>
      <c r="R18" s="6" t="n">
        <v>1</v>
      </c>
      <c r="S18" s="6" t="n">
        <v>0</v>
      </c>
      <c r="T18" s="6" t="n">
        <v>0</v>
      </c>
      <c r="U18" s="6" t="n">
        <v>0</v>
      </c>
      <c r="V18" s="6" t="n">
        <v>0</v>
      </c>
      <c r="W18" s="6" t="n">
        <v>0</v>
      </c>
      <c r="X18" s="6" t="n">
        <v>0</v>
      </c>
      <c r="Y18" s="6" t="n">
        <v>0</v>
      </c>
      <c r="Z18" s="6">
        <f>0+AK18</f>
        <v/>
      </c>
      <c r="AA18" s="6" t="n">
        <v>1</v>
      </c>
      <c r="AB18" s="380">
        <f>Z18+IF(NOT(ISBLANK(OFFSET(AB18,0,6))),N(OFFSET(AB18,0,6)),N(OFFSET(AB18,0,7)))-AA18</f>
        <v/>
      </c>
      <c r="AD18" s="138" t="inlineStr">
        <is>
          <t>02 DE JSH</t>
        </is>
      </c>
      <c r="AE18" s="138" t="n"/>
      <c r="AG18" s="32" t="n"/>
      <c r="AI18" s="19" t="n">
        <v>0</v>
      </c>
      <c r="AJ18" s="19" t="n"/>
      <c r="AK18" s="19" t="n">
        <v>2</v>
      </c>
      <c r="AL18" s="19" t="n">
        <v>0</v>
      </c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</row>
    <row r="19">
      <c r="A19" s="25" t="inlineStr">
        <is>
          <t>LÂMINA OLFATIVA</t>
        </is>
      </c>
      <c r="B19" s="6" t="n">
        <v>3000</v>
      </c>
      <c r="C19" s="632" t="n">
        <v>69.37</v>
      </c>
      <c r="D19" s="240" t="n">
        <v>1</v>
      </c>
      <c r="F19" s="84" t="n">
        <v>5</v>
      </c>
      <c r="G19" s="84" t="n">
        <v>5</v>
      </c>
      <c r="H19" s="84" t="n">
        <v>5</v>
      </c>
      <c r="I19" s="84" t="n">
        <v>5</v>
      </c>
      <c r="J19" s="84" t="n">
        <v>5</v>
      </c>
      <c r="K19" s="84" t="n">
        <v>4</v>
      </c>
      <c r="L19" s="84" t="n">
        <v>4</v>
      </c>
      <c r="M19" s="84" t="n">
        <v>4</v>
      </c>
      <c r="N19" s="84" t="n">
        <v>4</v>
      </c>
      <c r="O19" s="84" t="n">
        <v>4</v>
      </c>
      <c r="P19" s="84" t="n">
        <v>4</v>
      </c>
      <c r="Q19" s="84" t="n">
        <v>4</v>
      </c>
      <c r="R19" s="84" t="n">
        <v>4</v>
      </c>
      <c r="S19" s="84" t="n">
        <v>4</v>
      </c>
      <c r="T19" s="84" t="n">
        <v>4</v>
      </c>
      <c r="U19" s="84" t="n">
        <v>4</v>
      </c>
      <c r="V19" s="84" t="n">
        <v>4</v>
      </c>
      <c r="W19" s="84" t="n">
        <v>4</v>
      </c>
      <c r="X19" s="84" t="n">
        <v>4</v>
      </c>
      <c r="Y19" s="84" t="n">
        <v>4</v>
      </c>
      <c r="Z19" s="84" t="n">
        <v>4</v>
      </c>
      <c r="AA19" s="84" t="n">
        <v>4</v>
      </c>
      <c r="AB19" s="380">
        <f>Z19+IF(NOT(ISBLANK(OFFSET(AB19,0,6))),N(OFFSET(AB19,0,6)),N(OFFSET(AB19,0,7)))-AA19</f>
        <v/>
      </c>
      <c r="AD19" s="138" t="n"/>
      <c r="AE19" s="138" t="n"/>
      <c r="AG19" s="32" t="n"/>
      <c r="AI19" s="19" t="n">
        <v>0</v>
      </c>
      <c r="AJ19" s="19" t="n"/>
      <c r="AK19" s="19" t="n">
        <v>0</v>
      </c>
      <c r="AL19" s="19" t="n">
        <v>0</v>
      </c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>
        <v>3</v>
      </c>
      <c r="BH19" s="19" t="n"/>
      <c r="BI19" s="19" t="n"/>
      <c r="BJ19" s="19" t="n"/>
    </row>
    <row r="20" ht="19.5" customFormat="1" customHeight="1" s="3">
      <c r="A20" s="132" t="n"/>
      <c r="B20" s="133" t="n"/>
      <c r="C20" s="633" t="n"/>
      <c r="D20" s="633" t="n"/>
      <c r="E20" s="11" t="n"/>
      <c r="F20" s="2" t="n"/>
      <c r="G20" s="2" t="n"/>
      <c r="H20" s="2" t="n"/>
      <c r="I20" s="2" t="n"/>
      <c r="J20" s="2" t="n"/>
      <c r="K20" s="2" t="n"/>
      <c r="L20" s="2" t="n"/>
      <c r="M20" s="2" t="n"/>
      <c r="N20" s="2" t="n"/>
      <c r="O20" s="2" t="n"/>
      <c r="P20" s="2" t="n"/>
      <c r="Q20" s="2" t="n"/>
      <c r="R20" s="2" t="n"/>
      <c r="S20" s="2" t="n"/>
      <c r="T20" s="2" t="n"/>
      <c r="U20" s="2" t="n"/>
      <c r="V20" s="2" t="n"/>
      <c r="W20" s="2" t="n"/>
      <c r="X20" s="2" t="n"/>
      <c r="Y20" s="2" t="n"/>
      <c r="Z20" s="2" t="n"/>
      <c r="AA20" s="2" t="n"/>
      <c r="AB20" s="2" t="n"/>
      <c r="AC20" s="11" t="n"/>
      <c r="AD20" s="10" t="n"/>
      <c r="AE20" s="10" t="n"/>
      <c r="AF20" s="11" t="n"/>
      <c r="AG20" s="33" t="n"/>
      <c r="AH20" s="11" t="n"/>
      <c r="AI20" s="75" t="n"/>
      <c r="AJ20" s="75" t="n"/>
      <c r="AK20" s="75" t="n"/>
      <c r="AL20" s="75" t="n"/>
      <c r="AM20" s="75" t="n"/>
      <c r="AN20" s="75" t="n"/>
      <c r="AO20" s="75" t="n"/>
      <c r="AP20" s="75" t="n"/>
      <c r="AQ20" s="75" t="n"/>
      <c r="AR20" s="75" t="n"/>
      <c r="AS20" s="75" t="n"/>
      <c r="AT20" s="75" t="n"/>
      <c r="AU20" s="75" t="n"/>
      <c r="AV20" s="75" t="n"/>
      <c r="AW20" s="75" t="n"/>
      <c r="AX20" s="75" t="n"/>
      <c r="AY20" s="75" t="n"/>
      <c r="AZ20" s="75" t="n"/>
      <c r="BA20" s="75" t="n"/>
      <c r="BB20" s="75" t="n"/>
      <c r="BC20" s="75" t="n"/>
      <c r="BD20" s="75" t="n"/>
      <c r="BE20" s="75" t="n"/>
      <c r="BF20" s="75" t="n"/>
      <c r="BG20" s="75" t="n"/>
      <c r="BH20" s="75" t="n"/>
      <c r="BI20" s="75" t="n"/>
      <c r="BJ20" s="75" t="n"/>
    </row>
    <row r="21" customFormat="1" s="3">
      <c r="A21" s="548" t="inlineStr">
        <is>
          <t>KIT SACOLAS VENDIDAS BOTICÁRIO</t>
        </is>
      </c>
      <c r="B21" s="12" t="inlineStr">
        <is>
          <t>MÓD</t>
        </is>
      </c>
      <c r="C21" s="12" t="inlineStr">
        <is>
          <t>R$</t>
        </is>
      </c>
      <c r="D21" s="12" t="n"/>
      <c r="E21" s="608" t="n"/>
      <c r="F21" s="619" t="n">
        <v>46006</v>
      </c>
      <c r="G21" s="619" t="n">
        <v>46013</v>
      </c>
      <c r="H21" s="619" t="n">
        <v>46020</v>
      </c>
      <c r="I21" s="619" t="n">
        <v>46027</v>
      </c>
      <c r="J21" s="619" t="n">
        <v>46034</v>
      </c>
      <c r="K21" s="619" t="n">
        <v>46041</v>
      </c>
      <c r="L21" s="619" t="n">
        <v>46048</v>
      </c>
      <c r="M21" s="619" t="n">
        <v>46055</v>
      </c>
      <c r="N21" s="619" t="n">
        <v>46062</v>
      </c>
      <c r="O21" s="619" t="n">
        <v>46069</v>
      </c>
      <c r="P21" s="619" t="n">
        <v>46076</v>
      </c>
      <c r="Q21" s="619" t="n">
        <v>46083</v>
      </c>
      <c r="R21" s="619" t="n">
        <v>46090</v>
      </c>
      <c r="S21" s="619" t="n">
        <v>46097</v>
      </c>
      <c r="T21" s="619" t="n">
        <v>46104</v>
      </c>
      <c r="U21" s="619" t="n">
        <v>46111</v>
      </c>
      <c r="V21" s="619" t="n">
        <v>46118</v>
      </c>
      <c r="W21" s="619" t="n">
        <v>46125</v>
      </c>
      <c r="X21" s="619" t="n">
        <v>46132</v>
      </c>
      <c r="Y21" s="619" t="n">
        <v>46139</v>
      </c>
      <c r="Z21" s="619" t="n">
        <v>46146</v>
      </c>
      <c r="AA21" s="619" t="n">
        <v>46154</v>
      </c>
      <c r="AB21" s="678" t="inlineStr">
        <is>
          <t>USOU</t>
        </is>
      </c>
      <c r="AC21" s="11" t="n"/>
      <c r="AD21" s="29" t="inlineStr">
        <is>
          <t>Pendências</t>
        </is>
      </c>
      <c r="AE21" s="29" t="inlineStr">
        <is>
          <t>Pendências</t>
        </is>
      </c>
      <c r="AG21" s="9" t="inlineStr">
        <is>
          <t>Novo Pedido</t>
        </is>
      </c>
      <c r="AI21" s="674" t="n">
        <v>46149</v>
      </c>
      <c r="AJ21" s="615" t="n">
        <v>46150</v>
      </c>
      <c r="AK21" s="674" t="n">
        <v>46142</v>
      </c>
      <c r="AL21" s="674" t="n">
        <v>46114</v>
      </c>
      <c r="AM21" s="674" t="n">
        <v>46107</v>
      </c>
      <c r="AN21" s="674" t="n">
        <v>46099</v>
      </c>
      <c r="AO21" s="675" t="n">
        <v>46065</v>
      </c>
      <c r="AP21" s="674" t="n">
        <v>46092</v>
      </c>
      <c r="AQ21" s="674" t="n">
        <v>46084</v>
      </c>
      <c r="AR21" s="675" t="n">
        <v>46065</v>
      </c>
      <c r="AS21" s="676" t="n">
        <v>46045</v>
      </c>
      <c r="AT21" s="674" t="n">
        <v>46077</v>
      </c>
      <c r="AU21" s="674" t="n">
        <v>46071</v>
      </c>
      <c r="AV21" s="674" t="n">
        <v>46056</v>
      </c>
      <c r="AW21" s="674" t="n">
        <v>46048</v>
      </c>
      <c r="AX21" s="674" t="n">
        <v>46043</v>
      </c>
      <c r="AY21" s="674" t="n">
        <v>46035</v>
      </c>
      <c r="AZ21" s="674" t="n">
        <v>46029</v>
      </c>
      <c r="BA21" s="674" t="n">
        <v>46035</v>
      </c>
      <c r="BB21" s="674" t="n">
        <v>46029</v>
      </c>
      <c r="BC21" s="674" t="n">
        <v>46024</v>
      </c>
      <c r="BD21" s="674" t="n">
        <v>46007</v>
      </c>
      <c r="BE21" s="674" t="n">
        <v>46001</v>
      </c>
      <c r="BF21" s="674" t="n">
        <v>46001</v>
      </c>
      <c r="BG21" s="674" t="n">
        <v>45994</v>
      </c>
      <c r="BH21" s="674" t="n">
        <v>45986</v>
      </c>
      <c r="BI21" s="674" t="n">
        <v>45986</v>
      </c>
      <c r="BJ21" s="674" t="n">
        <v>45980</v>
      </c>
    </row>
    <row r="22" ht="20.25" customFormat="1" customHeight="1" s="3">
      <c r="A22" s="25" t="inlineStr">
        <is>
          <t>KIT SACOLA PP VERDE (KIT C/ 10)</t>
        </is>
      </c>
      <c r="B22" s="6" t="n">
        <v>280</v>
      </c>
      <c r="C22" s="632" t="n">
        <v>158.6</v>
      </c>
      <c r="D22" s="240" t="n">
        <v>15</v>
      </c>
      <c r="E22" s="695" t="n"/>
      <c r="F22" s="131" t="n">
        <v>0</v>
      </c>
      <c r="G22" s="131" t="n">
        <v>0</v>
      </c>
      <c r="H22" s="131" t="n">
        <v>0</v>
      </c>
      <c r="I22" s="131" t="n">
        <v>0</v>
      </c>
      <c r="J22" s="131" t="n">
        <v>0</v>
      </c>
      <c r="K22" s="131" t="n">
        <v>0</v>
      </c>
      <c r="L22" s="131" t="n">
        <v>0</v>
      </c>
      <c r="M22" s="131" t="n">
        <v>0</v>
      </c>
      <c r="N22" s="131" t="n">
        <v>0</v>
      </c>
      <c r="O22" s="131" t="n">
        <v>0</v>
      </c>
      <c r="P22" s="131" t="n">
        <v>0</v>
      </c>
      <c r="Q22" s="131" t="n">
        <v>0</v>
      </c>
      <c r="R22" s="131" t="n">
        <v>0</v>
      </c>
      <c r="S22" s="131" t="n">
        <v>0</v>
      </c>
      <c r="T22" s="131" t="n">
        <v>0</v>
      </c>
      <c r="U22" s="131" t="n">
        <v>0</v>
      </c>
      <c r="V22" s="131" t="n"/>
      <c r="W22" s="131" t="n"/>
      <c r="X22" s="131" t="n"/>
      <c r="Y22" s="131" t="n"/>
      <c r="Z22" s="131" t="n"/>
      <c r="AA22" s="131" t="n">
        <v>0</v>
      </c>
      <c r="AB22" s="380">
        <f>Z22+IF(NOT(ISBLANK(OFFSET(AB22,0,6))),N(OFFSET(AB22,0,6)),N(OFFSET(AB22,0,7)))-AA22</f>
        <v/>
      </c>
      <c r="AC22" s="128" t="n"/>
      <c r="AD22" s="78" t="n"/>
      <c r="AE22" s="78" t="n"/>
      <c r="AF22" s="129" t="n"/>
      <c r="AG22" s="32" t="n"/>
      <c r="AH22" s="129" t="n"/>
      <c r="AI22" s="19" t="n">
        <v>0</v>
      </c>
      <c r="AJ22" s="19" t="n"/>
      <c r="AK22" s="19" t="n">
        <v>0</v>
      </c>
      <c r="AL22" s="19" t="n">
        <v>0</v>
      </c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</row>
    <row r="23" ht="20.25" customFormat="1" customHeight="1" s="3">
      <c r="A23" s="25" t="inlineStr">
        <is>
          <t>KIT SACOLA P VERDE (KIT C/ 10)</t>
        </is>
      </c>
      <c r="B23" s="6" t="n">
        <v>200</v>
      </c>
      <c r="C23" s="632" t="n">
        <v>175.35</v>
      </c>
      <c r="D23" s="240" t="n">
        <v>15</v>
      </c>
      <c r="E23" s="1" t="n"/>
      <c r="F23" s="39" t="n">
        <v>0</v>
      </c>
      <c r="G23" s="39" t="n">
        <v>0</v>
      </c>
      <c r="H23" s="39" t="n">
        <v>0</v>
      </c>
      <c r="I23" s="39" t="n">
        <v>0</v>
      </c>
      <c r="J23" s="39" t="n">
        <v>0</v>
      </c>
      <c r="K23" s="39" t="n">
        <v>0</v>
      </c>
      <c r="L23" s="39" t="n">
        <v>0</v>
      </c>
      <c r="M23" s="39" t="n">
        <v>0</v>
      </c>
      <c r="N23" s="39" t="n">
        <v>0</v>
      </c>
      <c r="O23" s="39" t="n">
        <v>0</v>
      </c>
      <c r="P23" s="39" t="n">
        <v>0</v>
      </c>
      <c r="Q23" s="39" t="n">
        <v>0</v>
      </c>
      <c r="R23" s="39" t="n">
        <v>0</v>
      </c>
      <c r="S23" s="39" t="n">
        <v>0</v>
      </c>
      <c r="T23" s="39" t="n">
        <v>0</v>
      </c>
      <c r="U23" s="39" t="n">
        <v>0</v>
      </c>
      <c r="V23" s="39" t="n"/>
      <c r="W23" s="39" t="n"/>
      <c r="X23" s="39" t="n"/>
      <c r="Y23" s="39" t="n"/>
      <c r="Z23" s="39" t="n"/>
      <c r="AA23" s="39" t="n">
        <v>0</v>
      </c>
      <c r="AB23" s="380">
        <f>Z23+IF(NOT(ISBLANK(OFFSET(AB23,0,6))),N(OFFSET(AB23,0,6)),N(OFFSET(AB23,0,7)))-AA23</f>
        <v/>
      </c>
      <c r="AC23" s="128" t="n"/>
      <c r="AD23" s="78" t="n"/>
      <c r="AE23" s="78" t="n"/>
      <c r="AF23" s="129" t="n"/>
      <c r="AG23" s="32" t="n"/>
      <c r="AH23" s="129" t="n"/>
      <c r="AI23" s="19" t="n">
        <v>0</v>
      </c>
      <c r="AJ23" s="19" t="n"/>
      <c r="AK23" s="19" t="n">
        <v>0</v>
      </c>
      <c r="AL23" s="19" t="n">
        <v>0</v>
      </c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</row>
    <row r="24" ht="21.75" customFormat="1" customHeight="1" s="3">
      <c r="A24" s="25" t="inlineStr">
        <is>
          <t>KIT SACOLA M VERDE (KIT C/ 10)</t>
        </is>
      </c>
      <c r="B24" s="6" t="n">
        <v>150</v>
      </c>
      <c r="C24" s="632" t="n">
        <v>172.75</v>
      </c>
      <c r="D24" s="240" t="n">
        <v>10</v>
      </c>
      <c r="E24" s="1" t="n"/>
      <c r="F24" s="39" t="n">
        <v>29</v>
      </c>
      <c r="G24" s="39" t="n">
        <v>25</v>
      </c>
      <c r="H24" s="39" t="n">
        <v>25</v>
      </c>
      <c r="I24" s="39" t="n">
        <v>25</v>
      </c>
      <c r="J24" s="39" t="n">
        <v>25</v>
      </c>
      <c r="K24" s="39" t="n">
        <v>25</v>
      </c>
      <c r="L24" s="39" t="n">
        <v>25</v>
      </c>
      <c r="M24" s="39" t="n">
        <v>25</v>
      </c>
      <c r="N24" s="39" t="n">
        <v>25</v>
      </c>
      <c r="O24" s="39" t="n">
        <v>25</v>
      </c>
      <c r="P24" s="39" t="n">
        <v>25</v>
      </c>
      <c r="Q24" s="39" t="n">
        <v>25</v>
      </c>
      <c r="R24" s="39" t="n">
        <v>25</v>
      </c>
      <c r="S24" s="39" t="n">
        <v>24</v>
      </c>
      <c r="T24" s="39" t="n">
        <v>24</v>
      </c>
      <c r="U24" s="39" t="n">
        <v>22</v>
      </c>
      <c r="V24" s="39" t="n"/>
      <c r="W24" s="39" t="n"/>
      <c r="X24" s="39" t="n"/>
      <c r="Y24" s="39" t="n"/>
      <c r="Z24" s="39" t="n"/>
      <c r="AA24" s="39" t="n">
        <v>17</v>
      </c>
      <c r="AB24" s="380">
        <f>Z24+IF(NOT(ISBLANK(OFFSET(AB24,0,6))),N(OFFSET(AB24,0,6)),N(OFFSET(AB24,0,7)))-AA24</f>
        <v/>
      </c>
      <c r="AC24" s="128" t="n"/>
      <c r="AD24" s="78" t="inlineStr">
        <is>
          <t>CONSUMO</t>
        </is>
      </c>
      <c r="AE24" s="78" t="n"/>
      <c r="AF24" s="129" t="n"/>
      <c r="AG24" s="32" t="n"/>
      <c r="AH24" s="129" t="n"/>
      <c r="AI24" s="19" t="n">
        <v>0</v>
      </c>
      <c r="AJ24" s="19" t="n"/>
      <c r="AK24" s="19" t="n">
        <v>0</v>
      </c>
      <c r="AL24" s="19" t="n">
        <v>0</v>
      </c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</row>
    <row r="25" ht="21.75" customFormat="1" customHeight="1" s="3">
      <c r="A25" s="23" t="n"/>
      <c r="B25" s="1" t="n"/>
      <c r="C25" s="630" t="n"/>
      <c r="D25" s="277" t="n"/>
      <c r="E25" s="1" t="n"/>
      <c r="F25" s="2" t="n"/>
      <c r="G25" s="2" t="n"/>
      <c r="H25" s="2" t="n"/>
      <c r="I25" s="2" t="n"/>
      <c r="J25" s="2" t="n"/>
      <c r="K25" s="2" t="n"/>
      <c r="L25" s="2" t="n"/>
      <c r="M25" s="2" t="n"/>
      <c r="N25" s="2" t="n"/>
      <c r="O25" s="2" t="n"/>
      <c r="P25" s="2" t="n"/>
      <c r="Q25" s="2" t="n"/>
      <c r="R25" s="2" t="n"/>
      <c r="S25" s="2" t="n"/>
      <c r="T25" s="2" t="n"/>
      <c r="U25" s="2" t="n"/>
      <c r="V25" s="2" t="n"/>
      <c r="W25" s="2" t="n"/>
      <c r="X25" s="2" t="n"/>
      <c r="Y25" s="2" t="n"/>
      <c r="Z25" s="2" t="n"/>
      <c r="AA25" s="2" t="n"/>
      <c r="AC25" s="128" t="n"/>
      <c r="AD25" s="10" t="n"/>
      <c r="AE25" s="10" t="n"/>
      <c r="AF25" s="129" t="n"/>
      <c r="AG25" s="33" t="n"/>
      <c r="AH25" s="129" t="n"/>
      <c r="AI25" s="75" t="n"/>
      <c r="AJ25" s="75" t="n"/>
      <c r="AK25" s="75" t="n"/>
      <c r="AL25" s="75" t="n"/>
      <c r="AM25" s="75" t="n"/>
      <c r="AN25" s="75" t="n"/>
      <c r="AO25" s="75" t="n"/>
      <c r="AP25" s="75" t="n"/>
      <c r="AQ25" s="75" t="n"/>
      <c r="AR25" s="75" t="n"/>
      <c r="AS25" s="75" t="n"/>
      <c r="AT25" s="75" t="n"/>
      <c r="AU25" s="75" t="n"/>
      <c r="AV25" s="75" t="n"/>
      <c r="AW25" s="75" t="n"/>
      <c r="AX25" s="75" t="n"/>
      <c r="AY25" s="75" t="n"/>
      <c r="AZ25" s="75" t="n"/>
      <c r="BA25" s="75" t="n"/>
      <c r="BB25" s="75" t="n"/>
      <c r="BC25" s="75" t="n"/>
      <c r="BD25" s="75" t="n"/>
      <c r="BE25" s="75" t="n"/>
      <c r="BF25" s="75" t="n"/>
      <c r="BG25" s="75" t="n"/>
      <c r="BH25" s="75" t="n"/>
      <c r="BI25" s="75" t="n"/>
      <c r="BJ25" s="75" t="n"/>
    </row>
    <row r="26" ht="21.75" customFormat="1" customHeight="1" s="3">
      <c r="A26" s="548" t="inlineStr">
        <is>
          <t>SACOLAS P/ VENDA EM UND</t>
        </is>
      </c>
      <c r="B26" s="12" t="inlineStr">
        <is>
          <t>PC</t>
        </is>
      </c>
      <c r="C26" s="631" t="inlineStr">
        <is>
          <t>R$</t>
        </is>
      </c>
      <c r="D26" s="12" t="inlineStr">
        <is>
          <t>Estoque Ideal</t>
        </is>
      </c>
      <c r="E26" s="1" t="n"/>
      <c r="F26" s="619" t="n">
        <v>46006</v>
      </c>
      <c r="G26" s="619" t="n">
        <v>46013</v>
      </c>
      <c r="H26" s="619" t="n">
        <v>46020</v>
      </c>
      <c r="I26" s="619" t="n">
        <v>46027</v>
      </c>
      <c r="J26" s="619" t="n">
        <v>46034</v>
      </c>
      <c r="K26" s="619" t="n">
        <v>46041</v>
      </c>
      <c r="L26" s="619" t="n">
        <v>46048</v>
      </c>
      <c r="M26" s="619" t="n">
        <v>46055</v>
      </c>
      <c r="N26" s="619" t="n">
        <v>46062</v>
      </c>
      <c r="O26" s="619" t="n">
        <v>46069</v>
      </c>
      <c r="P26" s="619" t="n">
        <v>46076</v>
      </c>
      <c r="Q26" s="619" t="n">
        <v>46083</v>
      </c>
      <c r="R26" s="619" t="n">
        <v>46090</v>
      </c>
      <c r="S26" s="619" t="n">
        <v>46097</v>
      </c>
      <c r="T26" s="619" t="n">
        <v>46104</v>
      </c>
      <c r="U26" s="619" t="n">
        <v>46111</v>
      </c>
      <c r="V26" s="619" t="n">
        <v>46118</v>
      </c>
      <c r="W26" s="619" t="n">
        <v>46125</v>
      </c>
      <c r="X26" s="619" t="n">
        <v>46132</v>
      </c>
      <c r="Y26" s="619" t="n">
        <v>46139</v>
      </c>
      <c r="Z26" s="619" t="n">
        <v>46146</v>
      </c>
      <c r="AA26" s="619" t="n">
        <v>46154</v>
      </c>
      <c r="AB26" s="678" t="inlineStr">
        <is>
          <t>USOU</t>
        </is>
      </c>
      <c r="AC26" s="128" t="n"/>
      <c r="AD26" s="29" t="inlineStr">
        <is>
          <t>Pendências</t>
        </is>
      </c>
      <c r="AE26" s="29" t="inlineStr">
        <is>
          <t>Pendências</t>
        </is>
      </c>
      <c r="AF26" s="129" t="n"/>
      <c r="AG26" s="9" t="inlineStr">
        <is>
          <t>Novo Pedido</t>
        </is>
      </c>
      <c r="AH26" s="129" t="n"/>
      <c r="AI26" s="674" t="n">
        <v>46149</v>
      </c>
      <c r="AJ26" s="615" t="n">
        <v>46150</v>
      </c>
      <c r="AK26" s="674" t="n">
        <v>46142</v>
      </c>
      <c r="AL26" s="674" t="n">
        <v>46114</v>
      </c>
      <c r="AM26" s="674" t="n">
        <v>46107</v>
      </c>
      <c r="AN26" s="674" t="n">
        <v>46099</v>
      </c>
      <c r="AO26" s="675" t="n">
        <v>46065</v>
      </c>
      <c r="AP26" s="674" t="n">
        <v>46092</v>
      </c>
      <c r="AQ26" s="674" t="n">
        <v>46084</v>
      </c>
      <c r="AR26" s="675" t="n">
        <v>46065</v>
      </c>
      <c r="AS26" s="676" t="n">
        <v>46045</v>
      </c>
      <c r="AT26" s="674" t="n">
        <v>46077</v>
      </c>
      <c r="AU26" s="674" t="n">
        <v>46071</v>
      </c>
      <c r="AV26" s="674" t="n">
        <v>46056</v>
      </c>
      <c r="AW26" s="674" t="n">
        <v>46048</v>
      </c>
      <c r="AX26" s="674" t="n">
        <v>46043</v>
      </c>
      <c r="AY26" s="674" t="n">
        <v>46035</v>
      </c>
      <c r="AZ26" s="674" t="n">
        <v>46029</v>
      </c>
      <c r="BA26" s="674" t="n">
        <v>46035</v>
      </c>
      <c r="BB26" s="674" t="n">
        <v>46029</v>
      </c>
      <c r="BC26" s="674" t="n">
        <v>46024</v>
      </c>
      <c r="BD26" s="674" t="n">
        <v>46007</v>
      </c>
      <c r="BE26" s="674" t="n">
        <v>46001</v>
      </c>
      <c r="BF26" s="674" t="n">
        <v>46001</v>
      </c>
      <c r="BG26" s="674" t="n">
        <v>45994</v>
      </c>
      <c r="BH26" s="674" t="n">
        <v>45986</v>
      </c>
      <c r="BI26" s="674" t="n">
        <v>45986</v>
      </c>
      <c r="BJ26" s="674" t="n">
        <v>45980</v>
      </c>
    </row>
    <row r="27" ht="21.75" customFormat="1" customHeight="1" s="3">
      <c r="A27" s="25" t="inlineStr">
        <is>
          <t>SACOLA PP 2025</t>
        </is>
      </c>
      <c r="B27" s="6" t="n">
        <v>300</v>
      </c>
      <c r="C27" s="632" t="n">
        <v>216</v>
      </c>
      <c r="D27" s="240" t="n"/>
      <c r="E27" s="1" t="n"/>
      <c r="F27" s="131" t="n">
        <v>322</v>
      </c>
      <c r="G27" s="131" t="n">
        <v>265</v>
      </c>
      <c r="H27" s="131" t="n">
        <v>265</v>
      </c>
      <c r="I27" s="131" t="n">
        <v>265</v>
      </c>
      <c r="J27" s="131" t="n">
        <v>265</v>
      </c>
      <c r="K27" s="131" t="n">
        <v>288</v>
      </c>
      <c r="L27" s="131" t="n">
        <v>288</v>
      </c>
      <c r="M27" s="131" t="n">
        <v>288</v>
      </c>
      <c r="N27" s="131" t="n">
        <v>276</v>
      </c>
      <c r="O27" s="131" t="n">
        <v>272</v>
      </c>
      <c r="P27" s="131" t="n">
        <v>271</v>
      </c>
      <c r="Q27" s="131" t="n">
        <v>271</v>
      </c>
      <c r="R27" s="131" t="n">
        <v>256</v>
      </c>
      <c r="S27" s="131" t="n">
        <v>256</v>
      </c>
      <c r="T27" s="131" t="n">
        <v>250</v>
      </c>
      <c r="U27" s="131" t="n">
        <v>250</v>
      </c>
      <c r="V27" s="131" t="n"/>
      <c r="W27" s="131" t="n"/>
      <c r="X27" s="131" t="n"/>
      <c r="Y27" s="131" t="n"/>
      <c r="Z27" s="131" t="n"/>
      <c r="AA27" s="131" t="n">
        <v>153</v>
      </c>
      <c r="AB27" s="380">
        <f>Z27+IF(NOT(ISBLANK(OFFSET(AB27,0,6))),N(OFFSET(AB27,0,6)),N(OFFSET(AB27,0,7)))-AA27</f>
        <v/>
      </c>
      <c r="AC27" s="128" t="n"/>
      <c r="AD27" s="138" t="n"/>
      <c r="AE27" s="138" t="n"/>
      <c r="AF27" s="129" t="n"/>
      <c r="AG27" s="32" t="n">
        <v>300</v>
      </c>
      <c r="AH27" s="129" t="n"/>
      <c r="AI27" s="19" t="n">
        <v>0</v>
      </c>
      <c r="AJ27" s="19" t="n"/>
      <c r="AK27" s="19" t="n">
        <v>0</v>
      </c>
      <c r="AL27" s="19" t="n">
        <v>0</v>
      </c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>
        <v>300</v>
      </c>
      <c r="BH27" s="19" t="n"/>
      <c r="BI27" s="19" t="n"/>
      <c r="BJ27" s="19" t="n"/>
    </row>
    <row r="28" ht="21.75" customFormat="1" customHeight="1" s="3">
      <c r="A28" s="25" t="inlineStr">
        <is>
          <t>SACOLA P 2025</t>
        </is>
      </c>
      <c r="B28" s="6" t="n">
        <v>200</v>
      </c>
      <c r="C28" s="632" t="n">
        <v>246.28</v>
      </c>
      <c r="D28" s="240" t="n"/>
      <c r="E28" s="1" t="n"/>
      <c r="F28" s="39" t="n">
        <v>400</v>
      </c>
      <c r="G28" s="39" t="n">
        <v>374</v>
      </c>
      <c r="H28" s="39" t="n">
        <v>374</v>
      </c>
      <c r="I28" s="39" t="n">
        <v>374</v>
      </c>
      <c r="J28" s="39" t="n">
        <v>362</v>
      </c>
      <c r="K28" s="39" t="n">
        <v>361</v>
      </c>
      <c r="L28" s="39" t="n">
        <v>361</v>
      </c>
      <c r="M28" s="39" t="n">
        <v>351</v>
      </c>
      <c r="N28" s="39" t="n">
        <v>317</v>
      </c>
      <c r="O28" s="39" t="n">
        <v>316</v>
      </c>
      <c r="P28" s="39" t="n">
        <v>313</v>
      </c>
      <c r="Q28" s="39" t="n">
        <v>313</v>
      </c>
      <c r="R28" s="39" t="n">
        <v>312</v>
      </c>
      <c r="S28" s="39" t="n">
        <v>309</v>
      </c>
      <c r="T28" s="39" t="n">
        <v>309</v>
      </c>
      <c r="U28" s="39" t="n">
        <v>309</v>
      </c>
      <c r="V28" s="39" t="n"/>
      <c r="W28" s="39" t="n"/>
      <c r="X28" s="39" t="n"/>
      <c r="Y28" s="39" t="n"/>
      <c r="Z28" s="39" t="n"/>
      <c r="AA28" s="39" t="n">
        <v>252</v>
      </c>
      <c r="AB28" s="380">
        <f>Z28+IF(NOT(ISBLANK(OFFSET(AB28,0,6))),N(OFFSET(AB28,0,6)),N(OFFSET(AB28,0,7)))-AA28</f>
        <v/>
      </c>
      <c r="AC28" s="128" t="n"/>
      <c r="AD28" s="78" t="inlineStr">
        <is>
          <t>100 P/ ER SM</t>
        </is>
      </c>
      <c r="AE28" s="78" t="n"/>
      <c r="AF28" s="129" t="n"/>
      <c r="AG28" s="32" t="n"/>
      <c r="AH28" s="129" t="n"/>
      <c r="AI28" s="19" t="n">
        <v>0</v>
      </c>
      <c r="AJ28" s="19" t="n"/>
      <c r="AK28" s="19" t="n">
        <v>0</v>
      </c>
      <c r="AL28" s="19" t="n">
        <v>0</v>
      </c>
      <c r="AM28" s="19" t="n"/>
      <c r="AN28" s="19" t="n"/>
      <c r="AO28" s="19" t="n"/>
      <c r="AP28" s="19" t="n"/>
      <c r="AQ28" s="19" t="n"/>
      <c r="AR28" s="251" t="n">
        <v>400</v>
      </c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</row>
    <row r="29" ht="21.75" customFormat="1" customHeight="1" s="3">
      <c r="A29" s="25" t="inlineStr">
        <is>
          <t>SACOLA M 2025</t>
        </is>
      </c>
      <c r="B29" s="6" t="n">
        <v>200</v>
      </c>
      <c r="C29" s="632" t="n">
        <v>316.91</v>
      </c>
      <c r="D29" s="240" t="n"/>
      <c r="E29" s="1" t="n"/>
      <c r="F29" s="39" t="n">
        <v>400</v>
      </c>
      <c r="G29" s="39" t="n">
        <v>390</v>
      </c>
      <c r="H29" s="39" t="n">
        <v>390</v>
      </c>
      <c r="I29" s="39" t="n">
        <v>390</v>
      </c>
      <c r="J29" s="39" t="n">
        <v>390</v>
      </c>
      <c r="K29" s="39" t="n">
        <v>390</v>
      </c>
      <c r="L29" s="39" t="n">
        <v>390</v>
      </c>
      <c r="M29" s="39" t="n">
        <v>390</v>
      </c>
      <c r="N29" s="39" t="n">
        <v>390</v>
      </c>
      <c r="O29" s="39" t="n">
        <v>390</v>
      </c>
      <c r="P29" s="39" t="n">
        <v>390</v>
      </c>
      <c r="Q29" s="39" t="n">
        <v>390</v>
      </c>
      <c r="R29" s="39" t="n">
        <v>390</v>
      </c>
      <c r="S29" s="39" t="n">
        <v>380</v>
      </c>
      <c r="T29" s="39" t="n">
        <v>380</v>
      </c>
      <c r="U29" s="39" t="n">
        <v>370</v>
      </c>
      <c r="V29" s="39" t="n"/>
      <c r="W29" s="39" t="n"/>
      <c r="X29" s="39" t="n"/>
      <c r="Y29" s="39" t="n"/>
      <c r="Z29" s="39" t="n"/>
      <c r="AA29" s="39" t="n">
        <v>395</v>
      </c>
      <c r="AB29" s="380">
        <f>Z29+IF(NOT(ISBLANK(OFFSET(AB29,0,6))),N(OFFSET(AB29,0,6)),N(OFFSET(AB29,0,7)))-AA29</f>
        <v/>
      </c>
      <c r="AC29" s="128" t="n"/>
      <c r="AD29" s="78" t="inlineStr">
        <is>
          <t>100 P/ ER SM</t>
        </is>
      </c>
      <c r="AE29" s="78" t="n"/>
      <c r="AF29" s="129" t="n"/>
      <c r="AG29" s="32" t="n"/>
      <c r="AH29" s="129" t="n"/>
      <c r="AI29" s="19" t="n">
        <v>0</v>
      </c>
      <c r="AJ29" s="19" t="n"/>
      <c r="AK29" s="19" t="n">
        <v>0</v>
      </c>
      <c r="AL29" s="19" t="n">
        <v>0</v>
      </c>
      <c r="AM29" s="19" t="n"/>
      <c r="AN29" s="19" t="n"/>
      <c r="AO29" s="19" t="n"/>
      <c r="AP29" s="19" t="n"/>
      <c r="AQ29" s="19" t="n"/>
      <c r="AR29" s="251" t="n">
        <v>200</v>
      </c>
      <c r="AS29" s="301" t="n">
        <v>600</v>
      </c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</row>
    <row r="30" ht="16.5" customFormat="1" customHeight="1" s="3">
      <c r="A30" s="23" t="n"/>
      <c r="B30" s="1" t="n"/>
      <c r="C30" s="630" t="n"/>
      <c r="D30" s="630" t="n"/>
      <c r="E30" s="11" t="n"/>
      <c r="F30" s="2" t="n"/>
      <c r="G30" s="2" t="n"/>
      <c r="H30" s="2" t="n"/>
      <c r="I30" s="2" t="n"/>
      <c r="J30" s="2" t="n"/>
      <c r="K30" s="2" t="n"/>
      <c r="L30" s="2" t="n"/>
      <c r="M30" s="2" t="n"/>
      <c r="N30" s="2" t="n"/>
      <c r="O30" s="2" t="n"/>
      <c r="P30" s="2" t="n"/>
      <c r="Q30" s="2" t="n"/>
      <c r="R30" s="2" t="n"/>
      <c r="S30" s="2" t="n"/>
      <c r="T30" s="2" t="n"/>
      <c r="U30" s="2" t="n"/>
      <c r="V30" s="2" t="n"/>
      <c r="W30" s="2" t="n"/>
      <c r="X30" s="2" t="n"/>
      <c r="Y30" s="2" t="n"/>
      <c r="Z30" s="2" t="n"/>
      <c r="AA30" s="2" t="n"/>
      <c r="AB30" s="2" t="n"/>
      <c r="AC30" s="11" t="n"/>
      <c r="AD30" s="10" t="n"/>
      <c r="AE30" s="10" t="n"/>
      <c r="AF30" s="11" t="n"/>
      <c r="AG30" s="33" t="n"/>
      <c r="AH30" s="11" t="n"/>
      <c r="AI30" s="15" t="n"/>
      <c r="AJ30" s="15" t="n"/>
      <c r="AK30" s="15" t="n"/>
      <c r="AL30" s="15" t="n"/>
      <c r="AM30" s="15" t="n"/>
      <c r="AN30" s="15" t="n"/>
      <c r="AO30" s="15" t="n"/>
      <c r="AP30" s="15" t="n"/>
      <c r="AQ30" s="15" t="n"/>
      <c r="AR30" s="15" t="n"/>
      <c r="AS30" s="15" t="n"/>
      <c r="AT30" s="15" t="n"/>
      <c r="AU30" s="15" t="n"/>
      <c r="AV30" s="15" t="n"/>
      <c r="AW30" s="15" t="n"/>
      <c r="AX30" s="15" t="n"/>
      <c r="AY30" s="15" t="n"/>
      <c r="AZ30" s="15" t="n"/>
      <c r="BA30" s="15" t="n"/>
      <c r="BB30" s="15" t="n"/>
      <c r="BC30" s="15" t="n"/>
      <c r="BD30" s="15" t="n"/>
      <c r="BE30" s="15" t="n"/>
      <c r="BF30" s="15" t="n"/>
      <c r="BG30" s="15" t="n"/>
      <c r="BH30" s="15" t="n"/>
      <c r="BI30" s="15" t="n"/>
      <c r="BJ30" s="15" t="n"/>
    </row>
    <row r="31" customFormat="1" s="3">
      <c r="A31" s="548" t="inlineStr">
        <is>
          <t>DIVERSOS BOTICÁRIO</t>
        </is>
      </c>
      <c r="B31" s="12" t="n"/>
      <c r="C31" s="631" t="n"/>
      <c r="D31" s="631" t="n"/>
      <c r="E31" s="608" t="n"/>
      <c r="F31" s="619" t="n">
        <v>46006</v>
      </c>
      <c r="G31" s="619" t="n">
        <v>46013</v>
      </c>
      <c r="H31" s="619" t="n">
        <v>46020</v>
      </c>
      <c r="I31" s="619" t="n">
        <v>46027</v>
      </c>
      <c r="J31" s="619" t="n">
        <v>46034</v>
      </c>
      <c r="K31" s="619" t="n">
        <v>46041</v>
      </c>
      <c r="L31" s="619" t="n">
        <v>46048</v>
      </c>
      <c r="M31" s="619" t="n">
        <v>46055</v>
      </c>
      <c r="N31" s="619" t="n">
        <v>46062</v>
      </c>
      <c r="O31" s="619" t="n">
        <v>46069</v>
      </c>
      <c r="P31" s="619" t="n">
        <v>46076</v>
      </c>
      <c r="Q31" s="619" t="n">
        <v>46083</v>
      </c>
      <c r="R31" s="619" t="n">
        <v>46090</v>
      </c>
      <c r="S31" s="619" t="n">
        <v>46097</v>
      </c>
      <c r="T31" s="619" t="n">
        <v>46104</v>
      </c>
      <c r="U31" s="619" t="n">
        <v>46111</v>
      </c>
      <c r="V31" s="619" t="n">
        <v>46118</v>
      </c>
      <c r="W31" s="619" t="n">
        <v>46125</v>
      </c>
      <c r="X31" s="619" t="n">
        <v>46132</v>
      </c>
      <c r="Y31" s="619" t="n">
        <v>46139</v>
      </c>
      <c r="Z31" s="619" t="n">
        <v>46146</v>
      </c>
      <c r="AA31" s="619" t="n">
        <v>46154</v>
      </c>
      <c r="AB31" s="621" t="inlineStr">
        <is>
          <t>USOU</t>
        </is>
      </c>
      <c r="AC31" s="608" t="n"/>
      <c r="AD31" s="29" t="inlineStr">
        <is>
          <t>Pendências</t>
        </is>
      </c>
      <c r="AE31" s="29" t="inlineStr">
        <is>
          <t>Pendências</t>
        </is>
      </c>
      <c r="AF31" s="11" t="n"/>
      <c r="AG31" s="9" t="inlineStr">
        <is>
          <t>Novo Pedido</t>
        </is>
      </c>
      <c r="AH31" s="608" t="n"/>
      <c r="AI31" s="674" t="n">
        <v>46149</v>
      </c>
      <c r="AJ31" s="615" t="n">
        <v>46150</v>
      </c>
      <c r="AK31" s="674" t="n">
        <v>46142</v>
      </c>
      <c r="AL31" s="674" t="n">
        <v>46114</v>
      </c>
      <c r="AM31" s="674" t="n">
        <v>46107</v>
      </c>
      <c r="AN31" s="674" t="n">
        <v>46099</v>
      </c>
      <c r="AO31" s="675" t="n">
        <v>46065</v>
      </c>
      <c r="AP31" s="674" t="n">
        <v>46092</v>
      </c>
      <c r="AQ31" s="674" t="n">
        <v>46084</v>
      </c>
      <c r="AR31" s="675" t="n">
        <v>46065</v>
      </c>
      <c r="AS31" s="676" t="n">
        <v>46045</v>
      </c>
      <c r="AT31" s="674" t="n">
        <v>46077</v>
      </c>
      <c r="AU31" s="674" t="n">
        <v>46071</v>
      </c>
      <c r="AV31" s="674" t="n">
        <v>46056</v>
      </c>
      <c r="AW31" s="674" t="n">
        <v>46048</v>
      </c>
      <c r="AX31" s="674" t="n">
        <v>46043</v>
      </c>
      <c r="AY31" s="674" t="n">
        <v>46035</v>
      </c>
      <c r="AZ31" s="674" t="n">
        <v>46029</v>
      </c>
      <c r="BA31" s="674" t="n">
        <v>46035</v>
      </c>
      <c r="BB31" s="674" t="n">
        <v>46029</v>
      </c>
      <c r="BC31" s="674" t="n">
        <v>46024</v>
      </c>
      <c r="BD31" s="674" t="n">
        <v>46007</v>
      </c>
      <c r="BE31" s="674" t="n">
        <v>46001</v>
      </c>
      <c r="BF31" s="674" t="n">
        <v>46001</v>
      </c>
      <c r="BG31" s="674" t="n">
        <v>45994</v>
      </c>
      <c r="BH31" s="674" t="n">
        <v>45986</v>
      </c>
      <c r="BI31" s="674" t="n">
        <v>45986</v>
      </c>
      <c r="BJ31" s="674" t="n">
        <v>45980</v>
      </c>
    </row>
    <row r="32" customFormat="1" s="3">
      <c r="A32" s="25" t="inlineStr">
        <is>
          <t>PAPEL DE SEDA 2025</t>
        </is>
      </c>
      <c r="B32" s="6" t="n">
        <v>200</v>
      </c>
      <c r="C32" s="632" t="n">
        <v>38</v>
      </c>
      <c r="D32" s="240" t="n">
        <v>10</v>
      </c>
      <c r="E32" s="608" t="n"/>
      <c r="F32" s="39" t="n">
        <v>200</v>
      </c>
      <c r="G32" s="39" t="n">
        <v>11</v>
      </c>
      <c r="H32" s="39" t="n">
        <v>0</v>
      </c>
      <c r="I32" s="39" t="n">
        <v>0</v>
      </c>
      <c r="J32" s="39" t="n">
        <v>0</v>
      </c>
      <c r="K32" s="39" t="n">
        <v>0</v>
      </c>
      <c r="L32" s="39" t="n">
        <v>0</v>
      </c>
      <c r="M32" s="39" t="n">
        <v>0</v>
      </c>
      <c r="N32" s="39" t="n">
        <v>0</v>
      </c>
      <c r="O32" s="39" t="n">
        <v>0</v>
      </c>
      <c r="P32" s="39" t="n">
        <v>0</v>
      </c>
      <c r="Q32" s="39">
        <f>0+AT32</f>
        <v/>
      </c>
      <c r="R32" s="39" t="n">
        <v>143</v>
      </c>
      <c r="S32" s="39" t="n">
        <v>11</v>
      </c>
      <c r="T32" s="39" t="n">
        <v>0</v>
      </c>
      <c r="U32" s="39" t="n">
        <v>0</v>
      </c>
      <c r="V32" s="39" t="n"/>
      <c r="W32" s="39" t="n"/>
      <c r="X32" s="39" t="n"/>
      <c r="Y32" s="39" t="n"/>
      <c r="Z32" s="39" t="n"/>
      <c r="AA32" s="39" t="n">
        <v>0</v>
      </c>
      <c r="AB32" s="380">
        <f>Z32+IF(NOT(ISBLANK(OFFSET(AB32,0,6))),N(OFFSET(AB32,0,6)),N(OFFSET(AB32,0,7)))-AA32</f>
        <v/>
      </c>
      <c r="AC32" s="608" t="n"/>
      <c r="AD32" s="78" t="n"/>
      <c r="AE32" s="78" t="n"/>
      <c r="AF32" s="608" t="n"/>
      <c r="AG32" s="76" t="n">
        <v>200</v>
      </c>
      <c r="AH32" s="608" t="n"/>
      <c r="AI32" s="19" t="n">
        <v>0</v>
      </c>
      <c r="AJ32" s="19" t="n"/>
      <c r="AK32" s="19" t="n">
        <v>0</v>
      </c>
      <c r="AL32" s="19" t="n">
        <v>0</v>
      </c>
      <c r="AM32" s="19" t="n"/>
      <c r="AN32" s="19" t="n"/>
      <c r="AO32" s="19" t="n"/>
      <c r="AP32" s="19" t="n"/>
      <c r="AQ32" s="19" t="n"/>
      <c r="AR32" s="19" t="n"/>
      <c r="AS32" s="19" t="n"/>
      <c r="AT32" s="19" t="n">
        <v>200</v>
      </c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>
        <v>200</v>
      </c>
      <c r="BH32" s="19" t="n"/>
      <c r="BI32" s="19" t="n"/>
      <c r="BJ32" s="19" t="n"/>
    </row>
    <row r="33" customFormat="1" s="3">
      <c r="A33" s="25" t="inlineStr">
        <is>
          <t>KIT ETIQUETAS (50 c/ 50 un)</t>
        </is>
      </c>
      <c r="B33" s="6" t="n">
        <v>2500</v>
      </c>
      <c r="C33" s="632" t="n">
        <v>66.87</v>
      </c>
      <c r="D33" s="240" t="n">
        <v>10</v>
      </c>
      <c r="E33" s="608" t="n"/>
      <c r="F33" s="39" t="n">
        <v>11</v>
      </c>
      <c r="G33" s="39" t="n">
        <v>2</v>
      </c>
      <c r="H33" s="39" t="n">
        <v>2</v>
      </c>
      <c r="I33" s="39" t="n">
        <v>2</v>
      </c>
      <c r="J33" s="39" t="n">
        <v>0</v>
      </c>
      <c r="K33" s="39" t="n">
        <v>0</v>
      </c>
      <c r="L33" s="39" t="n">
        <v>0</v>
      </c>
      <c r="M33" s="39" t="n">
        <v>0</v>
      </c>
      <c r="N33" s="39" t="n">
        <v>0</v>
      </c>
      <c r="O33" s="39" t="n">
        <v>0</v>
      </c>
      <c r="P33" s="39" t="n">
        <v>0</v>
      </c>
      <c r="Q33" s="39" t="n">
        <v>0</v>
      </c>
      <c r="R33" s="39" t="n">
        <v>0</v>
      </c>
      <c r="S33" s="39" t="n">
        <v>0</v>
      </c>
      <c r="T33" s="39" t="n">
        <v>0</v>
      </c>
      <c r="U33" s="39" t="n">
        <v>0</v>
      </c>
      <c r="V33" s="39" t="n"/>
      <c r="W33" s="39" t="n"/>
      <c r="X33" s="39" t="n"/>
      <c r="Y33" s="39" t="n"/>
      <c r="Z33" s="39" t="n"/>
      <c r="AA33" s="39" t="n">
        <v>0</v>
      </c>
      <c r="AB33" s="380">
        <f>Z33+IF(NOT(ISBLANK(OFFSET(AB33,0,6))),N(OFFSET(AB33,0,6)),N(OFFSET(AB33,0,7)))-AA33</f>
        <v/>
      </c>
      <c r="AC33" s="608" t="n"/>
      <c r="AD33" s="78" t="n"/>
      <c r="AE33" s="78" t="n"/>
      <c r="AF33" s="608" t="n"/>
      <c r="AG33" s="76" t="n">
        <v>1</v>
      </c>
      <c r="AH33" s="608" t="n"/>
      <c r="AI33" s="19" t="n">
        <v>0</v>
      </c>
      <c r="AJ33" s="19" t="n"/>
      <c r="AK33" s="19" t="n">
        <v>0</v>
      </c>
      <c r="AL33" s="19" t="n">
        <v>0</v>
      </c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</row>
    <row r="34" customFormat="1" s="3">
      <c r="A34" s="25" t="inlineStr">
        <is>
          <t>KIT TAGS  (21 c/ 50 un)</t>
        </is>
      </c>
      <c r="B34" s="6" t="n">
        <v>1050</v>
      </c>
      <c r="C34" s="632" t="n">
        <v>52.14</v>
      </c>
      <c r="D34" s="240" t="n">
        <v>10</v>
      </c>
      <c r="E34" s="1" t="n"/>
      <c r="F34" s="39" t="n">
        <v>7</v>
      </c>
      <c r="G34" s="39" t="n">
        <v>7</v>
      </c>
      <c r="H34" s="39" t="n">
        <v>7</v>
      </c>
      <c r="I34" s="39" t="n">
        <v>7</v>
      </c>
      <c r="J34" s="39" t="n">
        <v>7</v>
      </c>
      <c r="K34" s="39" t="n">
        <v>7</v>
      </c>
      <c r="L34" s="39" t="n">
        <v>7</v>
      </c>
      <c r="M34" s="39" t="n">
        <v>7</v>
      </c>
      <c r="N34" s="39" t="n">
        <v>6</v>
      </c>
      <c r="O34" s="39" t="n">
        <v>6</v>
      </c>
      <c r="P34" s="39" t="n">
        <v>6</v>
      </c>
      <c r="Q34" s="39" t="n">
        <v>6</v>
      </c>
      <c r="R34" s="39" t="n">
        <v>6</v>
      </c>
      <c r="S34" s="39" t="n">
        <v>4</v>
      </c>
      <c r="T34" s="39" t="n">
        <v>2</v>
      </c>
      <c r="U34" s="39" t="n">
        <v>2</v>
      </c>
      <c r="V34" s="39" t="n"/>
      <c r="W34" s="39" t="n"/>
      <c r="X34" s="39" t="n"/>
      <c r="Y34" s="39" t="n"/>
      <c r="Z34" s="39" t="n"/>
      <c r="AA34" s="39" t="n">
        <v>1</v>
      </c>
      <c r="AB34" s="380">
        <f>Z34+IF(NOT(ISBLANK(OFFSET(AB34,0,6))),N(OFFSET(AB34,0,6)),N(OFFSET(AB34,0,7)))-AA34</f>
        <v/>
      </c>
      <c r="AC34" s="1" t="n"/>
      <c r="AD34" s="78" t="n"/>
      <c r="AE34" s="78" t="n"/>
      <c r="AF34" s="1" t="n"/>
      <c r="AG34" s="76" t="n">
        <v>1</v>
      </c>
      <c r="AH34" s="1" t="n"/>
      <c r="AI34" s="19" t="n">
        <v>0</v>
      </c>
      <c r="AJ34" s="19" t="n"/>
      <c r="AK34" s="19" t="n">
        <v>0</v>
      </c>
      <c r="AL34" s="19" t="n">
        <v>0</v>
      </c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</row>
    <row r="35" ht="17.25" customFormat="1" customHeight="1" s="3">
      <c r="A35" s="23" t="n"/>
      <c r="B35" s="1" t="n"/>
      <c r="C35" s="630" t="n"/>
      <c r="D35" s="630" t="n"/>
      <c r="E35" s="1" t="n"/>
      <c r="F35" s="2" t="n"/>
      <c r="G35" s="2" t="n"/>
      <c r="H35" s="2" t="n"/>
      <c r="I35" s="2" t="n"/>
      <c r="J35" s="2" t="n"/>
      <c r="K35" s="2" t="n"/>
      <c r="L35" s="2" t="n"/>
      <c r="M35" s="2" t="n"/>
      <c r="N35" s="2" t="n"/>
      <c r="O35" s="2" t="n"/>
      <c r="P35" s="2" t="n"/>
      <c r="Q35" s="2" t="n"/>
      <c r="R35" s="2" t="n"/>
      <c r="S35" s="2" t="n"/>
      <c r="T35" s="2" t="n"/>
      <c r="U35" s="2" t="n"/>
      <c r="V35" s="2" t="n"/>
      <c r="W35" s="2" t="n"/>
      <c r="X35" s="2" t="n"/>
      <c r="Y35" s="2" t="n"/>
      <c r="Z35" s="2" t="n"/>
      <c r="AA35" s="2" t="n"/>
      <c r="AC35" s="1" t="n"/>
      <c r="AD35" s="10" t="n"/>
      <c r="AE35" s="10" t="n"/>
      <c r="AF35" s="1" t="n"/>
      <c r="AG35" s="210" t="n"/>
      <c r="AH35" s="1" t="n"/>
      <c r="AI35" s="75" t="n"/>
      <c r="AJ35" s="75" t="n"/>
      <c r="AK35" s="75" t="n"/>
      <c r="AL35" s="75" t="n"/>
      <c r="AM35" s="75" t="n"/>
      <c r="AN35" s="75" t="n"/>
      <c r="AO35" s="75" t="n"/>
      <c r="AP35" s="75" t="n"/>
      <c r="AQ35" s="75" t="n"/>
      <c r="AR35" s="75" t="n"/>
      <c r="AS35" s="75" t="n"/>
      <c r="AT35" s="75" t="n"/>
      <c r="AU35" s="75" t="n"/>
      <c r="AV35" s="75" t="n"/>
      <c r="AW35" s="75" t="n"/>
      <c r="AX35" s="75" t="n"/>
      <c r="AY35" s="75" t="n"/>
      <c r="AZ35" s="75" t="n"/>
      <c r="BA35" s="75" t="n"/>
      <c r="BB35" s="75" t="n"/>
      <c r="BC35" s="75" t="n"/>
      <c r="BD35" s="75" t="n"/>
      <c r="BE35" s="75" t="n"/>
      <c r="BF35" s="75" t="n"/>
      <c r="BG35" s="75" t="n"/>
      <c r="BH35" s="75" t="n"/>
      <c r="BI35" s="75" t="n"/>
      <c r="BJ35" s="75" t="n"/>
    </row>
    <row r="36" customFormat="1" s="3">
      <c r="A36" s="548" t="inlineStr">
        <is>
          <t>CAIXAS BOTICÁRIO</t>
        </is>
      </c>
      <c r="B36" s="12" t="n"/>
      <c r="C36" s="631" t="n"/>
      <c r="D36" s="631" t="n"/>
      <c r="E36" s="1" t="n"/>
      <c r="F36" s="619" t="n">
        <v>46006</v>
      </c>
      <c r="G36" s="619" t="n">
        <v>46013</v>
      </c>
      <c r="H36" s="619" t="n">
        <v>46020</v>
      </c>
      <c r="I36" s="619" t="n">
        <v>46027</v>
      </c>
      <c r="J36" s="619" t="n">
        <v>46034</v>
      </c>
      <c r="K36" s="619" t="n">
        <v>46041</v>
      </c>
      <c r="L36" s="619" t="n">
        <v>46048</v>
      </c>
      <c r="M36" s="619" t="n">
        <v>46055</v>
      </c>
      <c r="N36" s="619" t="n">
        <v>46062</v>
      </c>
      <c r="O36" s="619" t="n">
        <v>46069</v>
      </c>
      <c r="P36" s="619" t="n">
        <v>46076</v>
      </c>
      <c r="Q36" s="619" t="n">
        <v>46083</v>
      </c>
      <c r="R36" s="619" t="n">
        <v>46090</v>
      </c>
      <c r="S36" s="619" t="n">
        <v>46097</v>
      </c>
      <c r="T36" s="619" t="n">
        <v>46104</v>
      </c>
      <c r="U36" s="619" t="n">
        <v>46111</v>
      </c>
      <c r="V36" s="619" t="n">
        <v>46118</v>
      </c>
      <c r="W36" s="619" t="n">
        <v>46125</v>
      </c>
      <c r="X36" s="619" t="n">
        <v>46132</v>
      </c>
      <c r="Y36" s="619" t="n">
        <v>46139</v>
      </c>
      <c r="Z36" s="619" t="n">
        <v>46146</v>
      </c>
      <c r="AA36" s="619" t="n">
        <v>46154</v>
      </c>
      <c r="AB36" s="621" t="inlineStr">
        <is>
          <t>USOU</t>
        </is>
      </c>
      <c r="AC36" s="11" t="n"/>
      <c r="AD36" s="29" t="inlineStr">
        <is>
          <t>Pendências</t>
        </is>
      </c>
      <c r="AE36" s="29" t="inlineStr">
        <is>
          <t>Pendências</t>
        </is>
      </c>
      <c r="AF36" s="11" t="n"/>
      <c r="AG36" s="9" t="inlineStr">
        <is>
          <t>Novo Pedido</t>
        </is>
      </c>
      <c r="AH36" s="1" t="n"/>
      <c r="AI36" s="674" t="n">
        <v>46149</v>
      </c>
      <c r="AJ36" s="615" t="n">
        <v>46150</v>
      </c>
      <c r="AK36" s="674" t="n">
        <v>46142</v>
      </c>
      <c r="AL36" s="674" t="n">
        <v>46114</v>
      </c>
      <c r="AM36" s="674" t="n">
        <v>46107</v>
      </c>
      <c r="AN36" s="674" t="n">
        <v>46099</v>
      </c>
      <c r="AO36" s="675" t="n">
        <v>46065</v>
      </c>
      <c r="AP36" s="674" t="n">
        <v>46092</v>
      </c>
      <c r="AQ36" s="674" t="n">
        <v>46084</v>
      </c>
      <c r="AR36" s="675" t="n">
        <v>46065</v>
      </c>
      <c r="AS36" s="676" t="n">
        <v>46045</v>
      </c>
      <c r="AT36" s="674" t="n">
        <v>46077</v>
      </c>
      <c r="AU36" s="674" t="n">
        <v>46071</v>
      </c>
      <c r="AV36" s="674" t="n">
        <v>46056</v>
      </c>
      <c r="AW36" s="674" t="n">
        <v>46048</v>
      </c>
      <c r="AX36" s="674" t="n">
        <v>46043</v>
      </c>
      <c r="AY36" s="674" t="n">
        <v>46035</v>
      </c>
      <c r="AZ36" s="674" t="n">
        <v>46029</v>
      </c>
      <c r="BA36" s="674" t="n">
        <v>46035</v>
      </c>
      <c r="BB36" s="674" t="n">
        <v>46029</v>
      </c>
      <c r="BC36" s="674" t="n">
        <v>46024</v>
      </c>
      <c r="BD36" s="674" t="n">
        <v>46007</v>
      </c>
      <c r="BE36" s="674" t="n">
        <v>46001</v>
      </c>
      <c r="BF36" s="674" t="n">
        <v>46001</v>
      </c>
      <c r="BG36" s="674" t="n">
        <v>45994</v>
      </c>
      <c r="BH36" s="674" t="n">
        <v>45986</v>
      </c>
      <c r="BI36" s="674" t="n">
        <v>45986</v>
      </c>
      <c r="BJ36" s="674" t="n">
        <v>45980</v>
      </c>
    </row>
    <row r="37" customFormat="1" s="3">
      <c r="A37" s="25" t="inlineStr">
        <is>
          <t>KIT CAIXA P VERDE</t>
        </is>
      </c>
      <c r="B37" s="139" t="n">
        <v>75</v>
      </c>
      <c r="C37" s="634" t="n">
        <v>225.67</v>
      </c>
      <c r="D37" s="240" t="n">
        <v>15</v>
      </c>
      <c r="E37" s="1" t="n"/>
      <c r="F37" s="39" t="n">
        <v>10</v>
      </c>
      <c r="G37" s="39" t="n">
        <v>8</v>
      </c>
      <c r="H37" s="39" t="n">
        <v>8</v>
      </c>
      <c r="I37" s="39" t="n">
        <v>8</v>
      </c>
      <c r="J37" s="39" t="n">
        <v>8</v>
      </c>
      <c r="K37" s="39" t="n">
        <v>8</v>
      </c>
      <c r="L37" s="39" t="n">
        <v>7</v>
      </c>
      <c r="M37" s="39" t="n">
        <v>5</v>
      </c>
      <c r="N37" s="39" t="n">
        <v>3</v>
      </c>
      <c r="O37" s="39" t="n">
        <v>3</v>
      </c>
      <c r="P37" s="39" t="n">
        <v>0</v>
      </c>
      <c r="Q37" s="39" t="n">
        <v>0</v>
      </c>
      <c r="R37" s="39" t="n">
        <v>0</v>
      </c>
      <c r="S37" s="39" t="n">
        <v>0</v>
      </c>
      <c r="T37" s="39" t="n">
        <v>0</v>
      </c>
      <c r="U37" s="39" t="n">
        <v>0</v>
      </c>
      <c r="V37" s="39" t="n"/>
      <c r="W37" s="39" t="n"/>
      <c r="X37" s="39" t="n"/>
      <c r="Y37" s="39" t="n"/>
      <c r="Z37" s="39" t="n"/>
      <c r="AA37" s="39" t="n">
        <v>0</v>
      </c>
      <c r="AB37" s="380">
        <f>Z37+IF(NOT(ISBLANK(OFFSET(AB37,0,6))),N(OFFSET(AB37,0,6)),N(OFFSET(AB37,0,7)))-AA37</f>
        <v/>
      </c>
      <c r="AC37" s="11" t="n"/>
      <c r="AD37" s="78" t="inlineStr">
        <is>
          <t>40 DE CDJ</t>
        </is>
      </c>
      <c r="AE37" s="78" t="n"/>
      <c r="AF37" s="1" t="n"/>
      <c r="AG37" s="32" t="n"/>
      <c r="AH37" s="1" t="n"/>
      <c r="AI37" s="19" t="n">
        <v>0</v>
      </c>
      <c r="AJ37" s="19" t="n"/>
      <c r="AK37" s="19" t="n">
        <v>0</v>
      </c>
      <c r="AL37" s="19" t="n">
        <v>0</v>
      </c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</row>
    <row r="38" ht="19.5" customFormat="1" customHeight="1" s="3">
      <c r="A38" s="25" t="inlineStr">
        <is>
          <t>KIT CAIXA M VERDE</t>
        </is>
      </c>
      <c r="B38" s="139" t="n">
        <v>75</v>
      </c>
      <c r="C38" s="632" t="n">
        <v>294.59</v>
      </c>
      <c r="D38" s="240" t="n">
        <v>20</v>
      </c>
      <c r="E38" s="1" t="n"/>
      <c r="F38" s="39" t="n">
        <v>0</v>
      </c>
      <c r="G38" s="39" t="n">
        <v>0</v>
      </c>
      <c r="H38" s="39" t="n">
        <v>0</v>
      </c>
      <c r="I38" s="39" t="n">
        <v>0</v>
      </c>
      <c r="J38" s="39" t="n">
        <v>0</v>
      </c>
      <c r="K38" s="39" t="n">
        <v>0</v>
      </c>
      <c r="L38" s="39" t="n">
        <v>0</v>
      </c>
      <c r="M38" s="39" t="n">
        <v>0</v>
      </c>
      <c r="N38" s="39" t="n">
        <v>0</v>
      </c>
      <c r="O38" s="39" t="n">
        <v>0</v>
      </c>
      <c r="P38" s="39" t="n">
        <v>0</v>
      </c>
      <c r="Q38" s="39">
        <f>0+AT38</f>
        <v/>
      </c>
      <c r="R38" s="39" t="n">
        <v>93</v>
      </c>
      <c r="S38" s="39" t="n">
        <v>90</v>
      </c>
      <c r="T38" s="39" t="n">
        <v>85</v>
      </c>
      <c r="U38" s="39" t="n">
        <v>82</v>
      </c>
      <c r="V38" s="39" t="n"/>
      <c r="W38" s="39" t="n"/>
      <c r="X38" s="39" t="n"/>
      <c r="Y38" s="39" t="n"/>
      <c r="Z38" s="39" t="n"/>
      <c r="AA38" s="39" t="n">
        <v>76</v>
      </c>
      <c r="AB38" s="380">
        <f>Z38+IF(NOT(ISBLANK(OFFSET(AB38,0,6))),N(OFFSET(AB38,0,6)),N(OFFSET(AB38,0,7)))-AA38</f>
        <v/>
      </c>
      <c r="AC38" s="11" t="n"/>
      <c r="AD38" s="78" t="n"/>
      <c r="AE38" s="78" t="n"/>
      <c r="AG38" s="32" t="n"/>
      <c r="AI38" s="19" t="n">
        <v>0</v>
      </c>
      <c r="AJ38" s="19" t="n"/>
      <c r="AK38" s="19" t="n">
        <v>0</v>
      </c>
      <c r="AL38" s="19" t="n">
        <v>0</v>
      </c>
      <c r="AM38" s="19" t="n"/>
      <c r="AN38" s="19" t="n"/>
      <c r="AO38" s="19" t="n"/>
      <c r="AP38" s="19" t="n"/>
      <c r="AQ38" s="19" t="n"/>
      <c r="AR38" s="19" t="n"/>
      <c r="AS38" s="301" t="n">
        <v>100</v>
      </c>
      <c r="AT38" s="19" t="n">
        <v>100</v>
      </c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</row>
    <row r="39" ht="18.75" customHeight="1">
      <c r="A39" s="25" t="inlineStr">
        <is>
          <t>KIT CAIXA G VERDE</t>
        </is>
      </c>
      <c r="B39" s="139" t="n">
        <v>50</v>
      </c>
      <c r="C39" s="632" t="n">
        <v>346.84</v>
      </c>
      <c r="D39" s="240" t="n">
        <v>10</v>
      </c>
      <c r="F39" s="39" t="n">
        <v>1</v>
      </c>
      <c r="G39" s="39" t="n">
        <v>1</v>
      </c>
      <c r="H39" s="39" t="n">
        <v>1</v>
      </c>
      <c r="I39" s="39" t="n">
        <v>1</v>
      </c>
      <c r="J39" s="39" t="n">
        <v>1</v>
      </c>
      <c r="K39" s="39" t="n">
        <v>0</v>
      </c>
      <c r="L39" s="39" t="n">
        <v>0</v>
      </c>
      <c r="M39" s="39" t="n">
        <v>0</v>
      </c>
      <c r="N39" s="39" t="n">
        <v>0</v>
      </c>
      <c r="O39" s="39" t="n">
        <v>0</v>
      </c>
      <c r="P39" s="39" t="n">
        <v>0</v>
      </c>
      <c r="Q39" s="39" t="n">
        <v>0</v>
      </c>
      <c r="R39" s="39" t="n">
        <v>0</v>
      </c>
      <c r="S39" s="39" t="n">
        <v>0</v>
      </c>
      <c r="T39" s="39" t="n">
        <v>0</v>
      </c>
      <c r="U39" s="39" t="n">
        <v>0</v>
      </c>
      <c r="V39" s="39" t="n"/>
      <c r="W39" s="39" t="n"/>
      <c r="X39" s="39" t="n"/>
      <c r="Y39" s="39" t="n"/>
      <c r="Z39" s="39" t="n"/>
      <c r="AA39" s="39" t="n">
        <v>0</v>
      </c>
      <c r="AB39" s="380">
        <f>Z39+IF(NOT(ISBLANK(OFFSET(AB39,0,6))),N(OFFSET(AB39,0,6)),N(OFFSET(AB39,0,7)))-AA39</f>
        <v/>
      </c>
      <c r="AD39" s="78" t="n"/>
      <c r="AE39" s="78" t="n"/>
      <c r="AF39" s="1" t="n"/>
      <c r="AG39" s="32" t="n"/>
      <c r="AH39" s="1" t="n"/>
      <c r="AI39" s="19" t="n">
        <v>0</v>
      </c>
      <c r="AJ39" s="19" t="n"/>
      <c r="AK39" s="19" t="n">
        <v>0</v>
      </c>
      <c r="AL39" s="19" t="n">
        <v>0</v>
      </c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</row>
    <row r="40">
      <c r="A40" s="23" t="n"/>
      <c r="B40" s="1" t="n"/>
      <c r="C40" s="630" t="n"/>
      <c r="D40" s="630" t="n"/>
      <c r="F40" s="2" t="n"/>
      <c r="G40" s="2" t="n"/>
      <c r="H40" s="2" t="n"/>
      <c r="I40" s="2" t="n"/>
      <c r="J40" s="2" t="n"/>
      <c r="K40" s="2" t="n"/>
      <c r="L40" s="2" t="n"/>
      <c r="M40" s="2" t="n"/>
      <c r="N40" s="2" t="n"/>
      <c r="O40" s="2" t="n"/>
      <c r="P40" s="2" t="n"/>
      <c r="Q40" s="2" t="n"/>
      <c r="R40" s="2" t="n"/>
      <c r="S40" s="2" t="n"/>
      <c r="T40" s="2" t="n"/>
      <c r="U40" s="2" t="n"/>
      <c r="V40" s="2" t="n"/>
      <c r="W40" s="2" t="n"/>
      <c r="X40" s="2" t="n"/>
      <c r="Y40" s="2" t="n"/>
      <c r="Z40" s="2" t="n"/>
      <c r="AA40" s="2" t="n"/>
      <c r="AF40" s="1" t="n"/>
      <c r="AG40" s="33" t="n"/>
      <c r="AH40" s="1" t="n"/>
      <c r="AI40" s="75" t="n"/>
      <c r="AJ40" s="75" t="n"/>
      <c r="AK40" s="75" t="n"/>
      <c r="AL40" s="75" t="n"/>
      <c r="AM40" s="75" t="n"/>
      <c r="AN40" s="75" t="n"/>
      <c r="AO40" s="75" t="n"/>
      <c r="AP40" s="75" t="n"/>
      <c r="AQ40" s="75" t="n"/>
      <c r="AR40" s="75" t="n"/>
      <c r="AS40" s="75" t="n"/>
      <c r="AT40" s="75" t="n"/>
      <c r="AU40" s="75" t="n"/>
      <c r="AV40" s="75" t="n"/>
      <c r="AW40" s="75" t="n"/>
      <c r="AX40" s="75" t="n"/>
      <c r="AY40" s="75" t="n"/>
      <c r="AZ40" s="75" t="n"/>
      <c r="BA40" s="75" t="n"/>
      <c r="BB40" s="75" t="n"/>
      <c r="BC40" s="75" t="n"/>
      <c r="BD40" s="75" t="n"/>
      <c r="BE40" s="75" t="n"/>
      <c r="BF40" s="75" t="n"/>
      <c r="BG40" s="75" t="n"/>
      <c r="BH40" s="75" t="n"/>
      <c r="BI40" s="75" t="n"/>
      <c r="BJ40" s="75" t="n"/>
    </row>
    <row r="41">
      <c r="A41" s="548" t="inlineStr">
        <is>
          <t xml:space="preserve">SACOLAS OMNI </t>
        </is>
      </c>
      <c r="B41" s="12" t="inlineStr">
        <is>
          <t>PC</t>
        </is>
      </c>
      <c r="C41" s="12" t="n"/>
      <c r="D41" s="12" t="inlineStr">
        <is>
          <t>Estoque Ideal</t>
        </is>
      </c>
      <c r="F41" s="619" t="n">
        <v>46006</v>
      </c>
      <c r="G41" s="619" t="n">
        <v>46013</v>
      </c>
      <c r="H41" s="619" t="n">
        <v>46020</v>
      </c>
      <c r="I41" s="619" t="n">
        <v>46027</v>
      </c>
      <c r="J41" s="619" t="n">
        <v>46034</v>
      </c>
      <c r="K41" s="619" t="n">
        <v>46041</v>
      </c>
      <c r="L41" s="619" t="n">
        <v>46048</v>
      </c>
      <c r="M41" s="619" t="n">
        <v>46055</v>
      </c>
      <c r="N41" s="619" t="n">
        <v>46062</v>
      </c>
      <c r="O41" s="619" t="n">
        <v>46069</v>
      </c>
      <c r="P41" s="619" t="n">
        <v>46076</v>
      </c>
      <c r="Q41" s="619" t="n">
        <v>46083</v>
      </c>
      <c r="R41" s="619" t="n">
        <v>46090</v>
      </c>
      <c r="S41" s="619" t="n">
        <v>46097</v>
      </c>
      <c r="T41" s="619" t="n">
        <v>46104</v>
      </c>
      <c r="U41" s="619" t="n">
        <v>46111</v>
      </c>
      <c r="V41" s="619" t="n">
        <v>46118</v>
      </c>
      <c r="W41" s="619" t="n">
        <v>46125</v>
      </c>
      <c r="X41" s="619" t="n">
        <v>46132</v>
      </c>
      <c r="Y41" s="619" t="n">
        <v>46139</v>
      </c>
      <c r="Z41" s="619" t="n">
        <v>46146</v>
      </c>
      <c r="AA41" s="619" t="n">
        <v>46154</v>
      </c>
      <c r="AB41" s="621" t="inlineStr">
        <is>
          <t>USOU</t>
        </is>
      </c>
      <c r="AD41" s="29" t="inlineStr">
        <is>
          <t>Pendências</t>
        </is>
      </c>
      <c r="AE41" s="29" t="inlineStr">
        <is>
          <t>Pendências</t>
        </is>
      </c>
      <c r="AF41" s="1" t="n"/>
      <c r="AG41" s="9" t="inlineStr">
        <is>
          <t>Novo Pedido</t>
        </is>
      </c>
      <c r="AH41" s="1" t="n"/>
      <c r="AI41" s="674" t="n">
        <v>46149</v>
      </c>
      <c r="AJ41" s="615" t="n">
        <v>46150</v>
      </c>
      <c r="AK41" s="674" t="n">
        <v>46142</v>
      </c>
      <c r="AL41" s="674" t="n">
        <v>46114</v>
      </c>
      <c r="AM41" s="674" t="n">
        <v>46107</v>
      </c>
      <c r="AN41" s="674" t="n">
        <v>46099</v>
      </c>
      <c r="AO41" s="675" t="n">
        <v>46065</v>
      </c>
      <c r="AP41" s="674" t="n">
        <v>46092</v>
      </c>
      <c r="AQ41" s="674" t="n">
        <v>46084</v>
      </c>
      <c r="AR41" s="675" t="n">
        <v>46065</v>
      </c>
      <c r="AS41" s="676" t="n">
        <v>46045</v>
      </c>
      <c r="AT41" s="674" t="n">
        <v>46077</v>
      </c>
      <c r="AU41" s="674" t="n">
        <v>46071</v>
      </c>
      <c r="AV41" s="674" t="n">
        <v>46056</v>
      </c>
      <c r="AW41" s="674" t="n">
        <v>46048</v>
      </c>
      <c r="AX41" s="674" t="n">
        <v>46043</v>
      </c>
      <c r="AY41" s="674" t="n">
        <v>46035</v>
      </c>
      <c r="AZ41" s="674" t="n">
        <v>46029</v>
      </c>
      <c r="BA41" s="674" t="n">
        <v>46035</v>
      </c>
      <c r="BB41" s="674" t="n">
        <v>46029</v>
      </c>
      <c r="BC41" s="674" t="n">
        <v>46024</v>
      </c>
      <c r="BD41" s="674" t="n">
        <v>46007</v>
      </c>
      <c r="BE41" s="674" t="n">
        <v>46001</v>
      </c>
      <c r="BF41" s="674" t="n">
        <v>46001</v>
      </c>
      <c r="BG41" s="674" t="n">
        <v>45994</v>
      </c>
      <c r="BH41" s="674" t="n">
        <v>45986</v>
      </c>
      <c r="BI41" s="674" t="n">
        <v>45986</v>
      </c>
      <c r="BJ41" s="674" t="n">
        <v>45980</v>
      </c>
    </row>
    <row r="42">
      <c r="A42" s="25" t="inlineStr">
        <is>
          <t>KIT OVERBAG OMNI P</t>
        </is>
      </c>
      <c r="B42" s="6" t="n">
        <v>25</v>
      </c>
      <c r="C42" s="632" t="n">
        <v>41.75</v>
      </c>
      <c r="D42" s="240" t="n">
        <v>10</v>
      </c>
      <c r="F42" s="72" t="n">
        <v>10</v>
      </c>
      <c r="G42" s="72" t="n">
        <v>6</v>
      </c>
      <c r="H42" s="72" t="n">
        <v>6</v>
      </c>
      <c r="I42" s="72" t="n">
        <v>6</v>
      </c>
      <c r="J42" s="72" t="n">
        <v>4</v>
      </c>
      <c r="K42" s="72" t="n">
        <v>4</v>
      </c>
      <c r="L42" s="72" t="n">
        <v>4</v>
      </c>
      <c r="M42" s="72" t="n">
        <v>4</v>
      </c>
      <c r="N42" s="72" t="n">
        <v>4</v>
      </c>
      <c r="O42" s="72" t="n">
        <v>4</v>
      </c>
      <c r="P42" s="72" t="n">
        <v>4</v>
      </c>
      <c r="Q42" s="72" t="n">
        <v>4</v>
      </c>
      <c r="R42" s="72" t="n">
        <v>4</v>
      </c>
      <c r="S42" s="72" t="n">
        <v>4</v>
      </c>
      <c r="T42" s="72" t="n">
        <v>3</v>
      </c>
      <c r="U42" s="72" t="n">
        <v>3</v>
      </c>
      <c r="V42" s="72" t="n"/>
      <c r="W42" s="72" t="n"/>
      <c r="X42" s="72" t="n"/>
      <c r="Y42" s="72" t="n"/>
      <c r="Z42" s="72" t="n"/>
      <c r="AA42" s="72" t="n">
        <v>0</v>
      </c>
      <c r="AB42" s="380">
        <f>Z42+IF(NOT(ISBLANK(OFFSET(AB42,0,6))),N(OFFSET(AB42,0,6)),N(OFFSET(AB42,0,7)))-AA42</f>
        <v/>
      </c>
      <c r="AD42" s="78" t="n"/>
      <c r="AE42" s="78" t="n"/>
      <c r="AF42" s="1" t="n"/>
      <c r="AG42" s="32" t="n"/>
      <c r="AH42" s="1" t="n"/>
      <c r="AI42" s="19" t="n">
        <v>0</v>
      </c>
      <c r="AJ42" s="19" t="n"/>
      <c r="AK42" s="19" t="n">
        <v>0</v>
      </c>
      <c r="AL42" s="19" t="n">
        <v>0</v>
      </c>
      <c r="AM42" s="19" t="n"/>
      <c r="AN42" s="19" t="n"/>
      <c r="AO42" s="19" t="n"/>
      <c r="AP42" s="19" t="n"/>
      <c r="AQ42" s="19" t="n"/>
      <c r="AR42" s="19" t="n"/>
      <c r="AS42" s="301" t="n">
        <v>200</v>
      </c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</row>
    <row r="43">
      <c r="A43" s="25" t="inlineStr">
        <is>
          <t>KIT OVERBAG OMNI M</t>
        </is>
      </c>
      <c r="B43" s="6" t="n">
        <v>25</v>
      </c>
      <c r="C43" s="632" t="n">
        <v>57</v>
      </c>
      <c r="D43" s="240" t="n">
        <v>10</v>
      </c>
      <c r="F43" s="72" t="n">
        <v>8</v>
      </c>
      <c r="G43" s="72" t="n">
        <v>8</v>
      </c>
      <c r="H43" s="72" t="n">
        <v>8</v>
      </c>
      <c r="I43" s="72" t="n">
        <v>8</v>
      </c>
      <c r="J43" s="72" t="n">
        <v>8</v>
      </c>
      <c r="K43" s="72" t="n">
        <v>8</v>
      </c>
      <c r="L43" s="72" t="n">
        <v>8</v>
      </c>
      <c r="M43" s="72" t="n">
        <v>8</v>
      </c>
      <c r="N43" s="72" t="n">
        <v>8</v>
      </c>
      <c r="O43" s="72" t="n">
        <v>8</v>
      </c>
      <c r="P43" s="72" t="n">
        <v>8</v>
      </c>
      <c r="Q43" s="72" t="n">
        <v>8</v>
      </c>
      <c r="R43" s="72" t="n">
        <v>8</v>
      </c>
      <c r="S43" s="72" t="n">
        <v>8</v>
      </c>
      <c r="T43" s="72" t="n">
        <v>8</v>
      </c>
      <c r="U43" s="72" t="n">
        <v>8</v>
      </c>
      <c r="V43" s="72" t="n"/>
      <c r="W43" s="72" t="n"/>
      <c r="X43" s="72" t="n"/>
      <c r="Y43" s="72" t="n"/>
      <c r="Z43" s="72" t="n"/>
      <c r="AA43" s="72" t="n">
        <v>8</v>
      </c>
      <c r="AB43" s="380">
        <f>Z43+IF(NOT(ISBLANK(OFFSET(AB43,0,6))),N(OFFSET(AB43,0,6)),N(OFFSET(AB43,0,7)))-AA43</f>
        <v/>
      </c>
      <c r="AD43" s="78" t="inlineStr">
        <is>
          <t>08 P/ CD</t>
        </is>
      </c>
      <c r="AE43" s="78" t="n"/>
      <c r="AF43" s="1" t="n"/>
      <c r="AG43" s="32" t="n"/>
      <c r="AH43" s="1" t="n"/>
      <c r="AI43" s="19" t="n">
        <v>0</v>
      </c>
      <c r="AJ43" s="19" t="n"/>
      <c r="AK43" s="19" t="n">
        <v>0</v>
      </c>
      <c r="AL43" s="19" t="n">
        <v>0</v>
      </c>
      <c r="AM43" s="19" t="n"/>
      <c r="AN43" s="19" t="n"/>
      <c r="AO43" s="19" t="n"/>
      <c r="AP43" s="19" t="n"/>
      <c r="AQ43" s="19" t="n"/>
      <c r="AR43" s="251" t="n">
        <v>150</v>
      </c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</row>
    <row r="44">
      <c r="A44" s="23" t="n"/>
      <c r="B44" s="1" t="n"/>
      <c r="C44" s="630" t="n"/>
      <c r="D44" s="630" t="n"/>
      <c r="F44" s="2" t="n"/>
      <c r="G44" s="2" t="n"/>
      <c r="H44" s="2" t="n"/>
      <c r="I44" s="2" t="n"/>
      <c r="J44" s="2" t="n"/>
      <c r="K44" s="2" t="n"/>
      <c r="L44" s="2" t="n"/>
      <c r="M44" s="2" t="n"/>
      <c r="N44" s="2" t="n"/>
      <c r="O44" s="2" t="n"/>
      <c r="P44" s="2" t="n"/>
      <c r="Q44" s="2" t="n"/>
      <c r="R44" s="2" t="n"/>
      <c r="S44" s="2" t="n"/>
      <c r="T44" s="2" t="n"/>
      <c r="U44" s="2" t="n"/>
      <c r="V44" s="2" t="n"/>
      <c r="W44" s="2" t="n"/>
      <c r="X44" s="2" t="n"/>
      <c r="Y44" s="2" t="n"/>
      <c r="Z44" s="2" t="n"/>
      <c r="AA44" s="2" t="n"/>
      <c r="AD44" s="10" t="n"/>
      <c r="AE44" s="10" t="n"/>
      <c r="AF44" s="1" t="n"/>
      <c r="AG44" s="33" t="n"/>
      <c r="AH44" s="1" t="n"/>
      <c r="AI44" s="75" t="n"/>
      <c r="AJ44" s="75" t="n"/>
      <c r="AK44" s="75" t="n"/>
      <c r="AL44" s="75" t="n"/>
      <c r="AM44" s="75" t="n"/>
      <c r="AN44" s="75" t="n"/>
      <c r="AO44" s="75" t="n"/>
      <c r="AP44" s="75" t="n"/>
      <c r="AQ44" s="75" t="n"/>
      <c r="AR44" s="75" t="n"/>
      <c r="AS44" s="75" t="n"/>
      <c r="AT44" s="75" t="n"/>
      <c r="AU44" s="75" t="n"/>
      <c r="AV44" s="75" t="n"/>
      <c r="AW44" s="75" t="n"/>
      <c r="AX44" s="75" t="n"/>
      <c r="AY44" s="75" t="n"/>
      <c r="AZ44" s="75" t="n"/>
      <c r="BA44" s="75" t="n"/>
      <c r="BB44" s="75" t="n"/>
      <c r="BC44" s="75" t="n"/>
      <c r="BD44" s="75" t="n"/>
      <c r="BE44" s="75" t="n"/>
      <c r="BF44" s="75" t="n"/>
      <c r="BG44" s="75" t="n"/>
      <c r="BH44" s="75" t="n"/>
      <c r="BI44" s="75" t="n"/>
      <c r="BJ44" s="75" t="n"/>
    </row>
    <row r="45">
      <c r="A45" s="147" t="inlineStr">
        <is>
          <t>SACOLAS/SACO/DIVERSOS OUI</t>
        </is>
      </c>
      <c r="B45" s="148" t="n"/>
      <c r="C45" s="148" t="n"/>
      <c r="D45" s="148" t="n"/>
      <c r="E45" s="1" t="n"/>
      <c r="F45" s="619" t="n">
        <v>46006</v>
      </c>
      <c r="G45" s="619" t="n">
        <v>46013</v>
      </c>
      <c r="H45" s="619" t="n">
        <v>46020</v>
      </c>
      <c r="I45" s="619" t="n">
        <v>46027</v>
      </c>
      <c r="J45" s="619" t="n">
        <v>46034</v>
      </c>
      <c r="K45" s="619" t="n">
        <v>46041</v>
      </c>
      <c r="L45" s="619" t="n">
        <v>46048</v>
      </c>
      <c r="M45" s="619" t="n">
        <v>46055</v>
      </c>
      <c r="N45" s="619" t="n">
        <v>46062</v>
      </c>
      <c r="O45" s="619" t="n">
        <v>46069</v>
      </c>
      <c r="P45" s="619" t="n">
        <v>46076</v>
      </c>
      <c r="Q45" s="619" t="n">
        <v>46083</v>
      </c>
      <c r="R45" s="619" t="n">
        <v>46090</v>
      </c>
      <c r="S45" s="619" t="n">
        <v>46097</v>
      </c>
      <c r="T45" s="619" t="n">
        <v>46104</v>
      </c>
      <c r="U45" s="619" t="n">
        <v>46111</v>
      </c>
      <c r="V45" s="619" t="n">
        <v>46118</v>
      </c>
      <c r="W45" s="619" t="n">
        <v>46125</v>
      </c>
      <c r="X45" s="619" t="n">
        <v>46132</v>
      </c>
      <c r="Y45" s="619" t="n">
        <v>46139</v>
      </c>
      <c r="Z45" s="619" t="n">
        <v>46146</v>
      </c>
      <c r="AA45" s="619" t="n">
        <v>46154</v>
      </c>
      <c r="AB45" s="621" t="inlineStr">
        <is>
          <t>USOU</t>
        </is>
      </c>
      <c r="AC45" s="41" t="n"/>
      <c r="AD45" s="29" t="inlineStr">
        <is>
          <t>Pendências</t>
        </is>
      </c>
      <c r="AE45" s="29" t="inlineStr">
        <is>
          <t>Pendências</t>
        </is>
      </c>
      <c r="AG45" s="9" t="inlineStr">
        <is>
          <t>Novo Pedido</t>
        </is>
      </c>
      <c r="AH45" s="41" t="n"/>
      <c r="AI45" s="674" t="n">
        <v>46149</v>
      </c>
      <c r="AJ45" s="615" t="n">
        <v>46150</v>
      </c>
      <c r="AK45" s="674" t="n">
        <v>46142</v>
      </c>
      <c r="AL45" s="674" t="n">
        <v>46114</v>
      </c>
      <c r="AM45" s="674" t="n">
        <v>46107</v>
      </c>
      <c r="AN45" s="674" t="n">
        <v>46099</v>
      </c>
      <c r="AO45" s="675" t="n">
        <v>46065</v>
      </c>
      <c r="AP45" s="674" t="n">
        <v>46092</v>
      </c>
      <c r="AQ45" s="674" t="n">
        <v>46084</v>
      </c>
      <c r="AR45" s="675" t="n">
        <v>46065</v>
      </c>
      <c r="AS45" s="676" t="n">
        <v>46045</v>
      </c>
      <c r="AT45" s="674" t="n">
        <v>46077</v>
      </c>
      <c r="AU45" s="674" t="n">
        <v>46071</v>
      </c>
      <c r="AV45" s="674" t="n">
        <v>46056</v>
      </c>
      <c r="AW45" s="674" t="n">
        <v>46048</v>
      </c>
      <c r="AX45" s="674" t="n">
        <v>46043</v>
      </c>
      <c r="AY45" s="674" t="n">
        <v>46035</v>
      </c>
      <c r="AZ45" s="674" t="n">
        <v>46029</v>
      </c>
      <c r="BA45" s="674" t="n">
        <v>46035</v>
      </c>
      <c r="BB45" s="674" t="n">
        <v>46029</v>
      </c>
      <c r="BC45" s="674" t="n">
        <v>46024</v>
      </c>
      <c r="BD45" s="674" t="n">
        <v>46007</v>
      </c>
      <c r="BE45" s="674" t="n">
        <v>46001</v>
      </c>
      <c r="BF45" s="674" t="n">
        <v>46001</v>
      </c>
      <c r="BG45" s="674" t="n">
        <v>45994</v>
      </c>
      <c r="BH45" s="674" t="n">
        <v>45986</v>
      </c>
      <c r="BI45" s="674" t="n">
        <v>45986</v>
      </c>
      <c r="BJ45" s="674" t="n">
        <v>45980</v>
      </c>
    </row>
    <row r="46">
      <c r="A46" s="25" t="inlineStr">
        <is>
          <t>SACOLA P OUI</t>
        </is>
      </c>
      <c r="B46" s="72" t="n">
        <v>150</v>
      </c>
      <c r="C46" s="639" t="n">
        <v>453.38</v>
      </c>
      <c r="D46" s="240" t="n">
        <v>10</v>
      </c>
      <c r="E46" s="41" t="n"/>
      <c r="F46" s="72" t="n">
        <v>0</v>
      </c>
      <c r="G46" s="72" t="n">
        <v>0</v>
      </c>
      <c r="H46" s="72" t="n">
        <v>0</v>
      </c>
      <c r="I46" s="72" t="n">
        <v>0</v>
      </c>
      <c r="J46" s="72" t="n">
        <v>0</v>
      </c>
      <c r="K46" s="72" t="n">
        <v>0</v>
      </c>
      <c r="L46" s="72" t="n">
        <v>0</v>
      </c>
      <c r="M46" s="72" t="n">
        <v>0</v>
      </c>
      <c r="N46" s="72" t="n">
        <v>0</v>
      </c>
      <c r="O46" s="72" t="n">
        <v>0</v>
      </c>
      <c r="P46" s="72" t="n">
        <v>0</v>
      </c>
      <c r="Q46" s="72" t="n">
        <v>0</v>
      </c>
      <c r="R46" s="72" t="n">
        <v>0</v>
      </c>
      <c r="S46" s="72" t="n">
        <v>0</v>
      </c>
      <c r="T46" s="72" t="n">
        <v>0</v>
      </c>
      <c r="U46" s="72" t="n">
        <v>0</v>
      </c>
      <c r="V46" s="72" t="n"/>
      <c r="W46" s="72" t="n"/>
      <c r="X46" s="72" t="n"/>
      <c r="Y46" s="72" t="n"/>
      <c r="Z46" s="72" t="n"/>
      <c r="AA46" s="72" t="n">
        <v>0</v>
      </c>
      <c r="AB46" s="380">
        <f>Z46+IF(NOT(ISBLANK(OFFSET(AB46,0,6))),N(OFFSET(AB46,0,6)),N(OFFSET(AB46,0,7)))-AA46</f>
        <v/>
      </c>
      <c r="AC46" s="41" t="n"/>
      <c r="AD46" s="78" t="inlineStr">
        <is>
          <t>10 DE CD</t>
        </is>
      </c>
      <c r="AE46" s="138" t="n"/>
      <c r="AF46" s="1" t="n"/>
      <c r="AG46" s="32" t="n"/>
      <c r="AH46" s="41" t="n"/>
      <c r="AI46" s="19" t="n">
        <v>0</v>
      </c>
      <c r="AJ46" s="19" t="n"/>
      <c r="AK46" s="19" t="n">
        <v>0</v>
      </c>
      <c r="AL46" s="19" t="n">
        <v>0</v>
      </c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</row>
    <row r="47">
      <c r="A47" s="25" t="inlineStr">
        <is>
          <t>SACOLA M OUI</t>
        </is>
      </c>
      <c r="B47" s="72" t="n">
        <v>100</v>
      </c>
      <c r="C47" s="639" t="n">
        <v>355.78</v>
      </c>
      <c r="D47" s="240" t="n">
        <v>10</v>
      </c>
      <c r="E47" s="41" t="n"/>
      <c r="F47" s="72" t="n">
        <v>3</v>
      </c>
      <c r="G47" s="72" t="n">
        <v>2</v>
      </c>
      <c r="H47" s="72" t="n">
        <v>2</v>
      </c>
      <c r="I47" s="72" t="n">
        <v>2</v>
      </c>
      <c r="J47" s="72" t="n">
        <v>2</v>
      </c>
      <c r="K47" s="72" t="n">
        <v>2</v>
      </c>
      <c r="L47" s="72" t="n">
        <v>2</v>
      </c>
      <c r="M47" s="72" t="n">
        <v>2</v>
      </c>
      <c r="N47" s="72" t="n">
        <v>2</v>
      </c>
      <c r="O47" s="72" t="n">
        <v>2</v>
      </c>
      <c r="P47" s="72" t="n">
        <v>1</v>
      </c>
      <c r="Q47" s="72" t="n">
        <v>0</v>
      </c>
      <c r="R47" s="72" t="n">
        <v>0</v>
      </c>
      <c r="S47" s="72" t="n">
        <v>0</v>
      </c>
      <c r="T47" s="72" t="n">
        <v>0</v>
      </c>
      <c r="U47" s="72" t="n">
        <v>0</v>
      </c>
      <c r="V47" s="72" t="n"/>
      <c r="W47" s="72" t="n"/>
      <c r="X47" s="72" t="n"/>
      <c r="Y47" s="72" t="n"/>
      <c r="Z47" s="72" t="n"/>
      <c r="AA47" s="72" t="n">
        <v>0</v>
      </c>
      <c r="AB47" s="380">
        <f>Z47+IF(NOT(ISBLANK(OFFSET(AB47,0,6))),N(OFFSET(AB47,0,6)),N(OFFSET(AB47,0,7)))-AA47</f>
        <v/>
      </c>
      <c r="AC47" s="41" t="n"/>
      <c r="AD47" s="78" t="n"/>
      <c r="AE47" s="78" t="n"/>
      <c r="AF47" s="1" t="n"/>
      <c r="AG47" s="32" t="n"/>
      <c r="AH47" s="41" t="n"/>
      <c r="AI47" s="19" t="n">
        <v>0</v>
      </c>
      <c r="AJ47" s="19" t="n"/>
      <c r="AK47" s="19" t="n">
        <v>0</v>
      </c>
      <c r="AL47" s="19" t="n">
        <v>0</v>
      </c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</row>
    <row r="48">
      <c r="A48" s="25" t="inlineStr">
        <is>
          <t>SACOLA G OUI</t>
        </is>
      </c>
      <c r="B48" s="72" t="n">
        <v>50</v>
      </c>
      <c r="C48" s="639" t="n">
        <v>249.26</v>
      </c>
      <c r="D48" s="240" t="n">
        <v>10</v>
      </c>
      <c r="E48" s="41" t="n"/>
      <c r="F48" s="72" t="n">
        <v>8</v>
      </c>
      <c r="G48" s="72" t="n">
        <v>8</v>
      </c>
      <c r="H48" s="72" t="n">
        <v>8</v>
      </c>
      <c r="I48" s="72" t="n">
        <v>8</v>
      </c>
      <c r="J48" s="72" t="n">
        <v>7</v>
      </c>
      <c r="K48" s="72" t="n">
        <v>7</v>
      </c>
      <c r="L48" s="72" t="n">
        <v>7</v>
      </c>
      <c r="M48" s="72" t="n">
        <v>7</v>
      </c>
      <c r="N48" s="72" t="n">
        <v>7</v>
      </c>
      <c r="O48" s="72" t="n">
        <v>7</v>
      </c>
      <c r="P48" s="72" t="n">
        <v>7</v>
      </c>
      <c r="Q48" s="72" t="n">
        <v>7</v>
      </c>
      <c r="R48" s="72" t="n">
        <v>7</v>
      </c>
      <c r="S48" s="72" t="n">
        <v>7</v>
      </c>
      <c r="T48" s="72" t="n">
        <v>2</v>
      </c>
      <c r="U48" s="72" t="n">
        <v>2</v>
      </c>
      <c r="V48" s="72" t="n"/>
      <c r="W48" s="72" t="n"/>
      <c r="X48" s="72" t="n"/>
      <c r="Y48" s="72" t="n"/>
      <c r="Z48" s="72" t="n"/>
      <c r="AA48" s="72" t="n">
        <v>0</v>
      </c>
      <c r="AB48" s="380">
        <f>Z48+IF(NOT(ISBLANK(OFFSET(AB48,0,6))),N(OFFSET(AB48,0,6)),N(OFFSET(AB48,0,7)))-AA48</f>
        <v/>
      </c>
      <c r="AC48" s="41" t="n"/>
      <c r="AD48" s="138" t="n"/>
      <c r="AE48" s="138" t="n"/>
      <c r="AF48" s="3" t="n"/>
      <c r="AG48" s="32" t="n"/>
      <c r="AH48" s="41" t="n"/>
      <c r="AI48" s="19" t="n">
        <v>0</v>
      </c>
      <c r="AJ48" s="19" t="n"/>
      <c r="AK48" s="19" t="n">
        <v>0</v>
      </c>
      <c r="AL48" s="19" t="n">
        <v>0</v>
      </c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</row>
    <row r="49">
      <c r="A49" s="25" t="inlineStr">
        <is>
          <t>PAPEL DE SEDA O.U.I.</t>
        </is>
      </c>
      <c r="B49" s="6" t="n">
        <v>500</v>
      </c>
      <c r="C49" s="632" t="n">
        <v>138.53</v>
      </c>
      <c r="D49" s="240" t="n">
        <v>1</v>
      </c>
      <c r="E49" s="1" t="n"/>
      <c r="F49" s="72" t="n">
        <v>2</v>
      </c>
      <c r="G49" s="72" t="n">
        <v>2</v>
      </c>
      <c r="H49" s="72" t="n">
        <v>2</v>
      </c>
      <c r="I49" s="72" t="n">
        <v>2</v>
      </c>
      <c r="J49" s="72" t="n">
        <v>2</v>
      </c>
      <c r="K49" s="72" t="n">
        <v>2</v>
      </c>
      <c r="L49" s="72" t="n">
        <v>2</v>
      </c>
      <c r="M49" s="72" t="n">
        <v>2</v>
      </c>
      <c r="N49" s="72" t="n">
        <v>2</v>
      </c>
      <c r="O49" s="72" t="n">
        <v>2</v>
      </c>
      <c r="P49" s="72" t="n">
        <v>2</v>
      </c>
      <c r="Q49" s="72" t="n">
        <v>2</v>
      </c>
      <c r="R49" s="72" t="n">
        <v>2</v>
      </c>
      <c r="S49" s="72" t="n">
        <v>2</v>
      </c>
      <c r="T49" s="72" t="n">
        <v>2</v>
      </c>
      <c r="U49" s="72" t="n">
        <v>2</v>
      </c>
      <c r="V49" s="72" t="n">
        <v>2</v>
      </c>
      <c r="W49" s="72" t="n">
        <v>2</v>
      </c>
      <c r="X49" s="72" t="n">
        <v>2</v>
      </c>
      <c r="Y49" s="72" t="n">
        <v>2</v>
      </c>
      <c r="Z49" s="72" t="n">
        <v>2</v>
      </c>
      <c r="AA49" s="72" t="n">
        <v>2</v>
      </c>
      <c r="AB49" s="380">
        <f>Z49+IF(NOT(ISBLANK(OFFSET(AB49,0,6))),N(OFFSET(AB49,0,6)),N(OFFSET(AB49,0,7)))-AA49</f>
        <v/>
      </c>
      <c r="AC49" s="41" t="n"/>
      <c r="AD49" s="138" t="n"/>
      <c r="AE49" s="138" t="n"/>
      <c r="AF49" s="608" t="n"/>
      <c r="AG49" s="32" t="n"/>
      <c r="AH49" s="41" t="n"/>
      <c r="AI49" s="19" t="n">
        <v>0</v>
      </c>
      <c r="AJ49" s="19" t="n"/>
      <c r="AK49" s="19" t="n">
        <v>0</v>
      </c>
      <c r="AL49" s="19" t="n">
        <v>0</v>
      </c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</row>
    <row r="50">
      <c r="A50" s="25" t="inlineStr">
        <is>
          <t>ETIQUETA O.U.I.</t>
        </is>
      </c>
      <c r="B50" s="84" t="n">
        <v>1000</v>
      </c>
      <c r="C50" s="632" t="n">
        <v>181.15</v>
      </c>
      <c r="D50" s="240" t="n">
        <v>1</v>
      </c>
      <c r="E50" s="1" t="n"/>
      <c r="F50" s="72" t="n">
        <v>1</v>
      </c>
      <c r="G50" s="72" t="n">
        <v>1</v>
      </c>
      <c r="H50" s="72" t="n">
        <v>1</v>
      </c>
      <c r="I50" s="72" t="n">
        <v>1</v>
      </c>
      <c r="J50" s="72" t="n">
        <v>1</v>
      </c>
      <c r="K50" s="72" t="n">
        <v>1</v>
      </c>
      <c r="L50" s="72" t="n">
        <v>1</v>
      </c>
      <c r="M50" s="72" t="n">
        <v>1</v>
      </c>
      <c r="N50" s="72" t="n">
        <v>1</v>
      </c>
      <c r="O50" s="72" t="n">
        <v>1</v>
      </c>
      <c r="P50" s="72" t="n">
        <v>1</v>
      </c>
      <c r="Q50" s="72" t="n">
        <v>1</v>
      </c>
      <c r="R50" s="72" t="n">
        <v>1</v>
      </c>
      <c r="S50" s="72" t="n">
        <v>1</v>
      </c>
      <c r="T50" s="72" t="n">
        <v>1</v>
      </c>
      <c r="U50" s="72" t="n">
        <v>1</v>
      </c>
      <c r="V50" s="72" t="n">
        <v>1</v>
      </c>
      <c r="W50" s="72" t="n">
        <v>1</v>
      </c>
      <c r="X50" s="72" t="n">
        <v>1</v>
      </c>
      <c r="Y50" s="72" t="n">
        <v>1</v>
      </c>
      <c r="Z50" s="72" t="n">
        <v>1</v>
      </c>
      <c r="AA50" s="72" t="n">
        <v>1</v>
      </c>
      <c r="AB50" s="380">
        <f>Z50+IF(NOT(ISBLANK(OFFSET(AB50,0,6))),N(OFFSET(AB50,0,6)),N(OFFSET(AB50,0,7)))-AA50</f>
        <v/>
      </c>
      <c r="AC50" s="41" t="n"/>
      <c r="AD50" s="78" t="n"/>
      <c r="AE50" s="78" t="n"/>
      <c r="AF50" s="608" t="n"/>
      <c r="AG50" s="32" t="n"/>
      <c r="AH50" s="41" t="n"/>
      <c r="AI50" s="19" t="n">
        <v>0</v>
      </c>
      <c r="AJ50" s="19" t="n"/>
      <c r="AK50" s="19" t="n">
        <v>0</v>
      </c>
      <c r="AL50" s="19" t="n">
        <v>0</v>
      </c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</row>
    <row r="51">
      <c r="A51" s="25" t="inlineStr">
        <is>
          <t>LÂMINA OLFATIVA O.U.I.</t>
        </is>
      </c>
      <c r="B51" s="6" t="n">
        <v>3000</v>
      </c>
      <c r="C51" s="632" t="n">
        <v>223.78</v>
      </c>
      <c r="D51" s="240" t="n">
        <v>1</v>
      </c>
      <c r="E51" s="1" t="n"/>
      <c r="F51" s="72" t="n">
        <v>2</v>
      </c>
      <c r="G51" s="72" t="n">
        <v>2</v>
      </c>
      <c r="H51" s="72" t="n">
        <v>2</v>
      </c>
      <c r="I51" s="72" t="n">
        <v>2</v>
      </c>
      <c r="J51" s="72" t="n">
        <v>2</v>
      </c>
      <c r="K51" s="72" t="n">
        <v>2</v>
      </c>
      <c r="L51" s="72" t="n">
        <v>2</v>
      </c>
      <c r="M51" s="72" t="n">
        <v>2</v>
      </c>
      <c r="N51" s="72" t="n">
        <v>2</v>
      </c>
      <c r="O51" s="72" t="n">
        <v>2</v>
      </c>
      <c r="P51" s="72" t="n">
        <v>2</v>
      </c>
      <c r="Q51" s="72" t="n">
        <v>2</v>
      </c>
      <c r="R51" s="72" t="n">
        <v>2</v>
      </c>
      <c r="S51" s="72" t="n">
        <v>2</v>
      </c>
      <c r="T51" s="72" t="n">
        <v>2</v>
      </c>
      <c r="U51" s="72" t="n">
        <v>2</v>
      </c>
      <c r="V51" s="72" t="n">
        <v>2</v>
      </c>
      <c r="W51" s="72" t="n">
        <v>2</v>
      </c>
      <c r="X51" s="72" t="n">
        <v>2</v>
      </c>
      <c r="Y51" s="72" t="n">
        <v>2</v>
      </c>
      <c r="Z51" s="72" t="n">
        <v>2</v>
      </c>
      <c r="AA51" s="72" t="n">
        <v>2</v>
      </c>
      <c r="AB51" s="380">
        <f>Z51+IF(NOT(ISBLANK(OFFSET(AB51,0,6))),N(OFFSET(AB51,0,6)),N(OFFSET(AB51,0,7)))-AA51</f>
        <v/>
      </c>
      <c r="AC51" s="41" t="n"/>
      <c r="AD51" s="138" t="n"/>
      <c r="AE51" s="138" t="n"/>
      <c r="AF51" s="608" t="n"/>
      <c r="AG51" s="32" t="n"/>
      <c r="AH51" s="41" t="n"/>
      <c r="AI51" s="19" t="n">
        <v>0</v>
      </c>
      <c r="AJ51" s="19" t="n"/>
      <c r="AK51" s="19" t="n">
        <v>0</v>
      </c>
      <c r="AL51" s="19" t="n">
        <v>0</v>
      </c>
      <c r="AM51" s="19" t="n"/>
      <c r="AN51" s="19" t="n"/>
      <c r="AO51" s="19" t="n"/>
      <c r="AP51" s="19" t="n"/>
      <c r="AQ51" s="19" t="n"/>
      <c r="AR51" s="19" t="n"/>
      <c r="AS51" s="19" t="n"/>
      <c r="AT51" s="19" t="n"/>
      <c r="AU51" s="19" t="n"/>
      <c r="AV51" s="19" t="n"/>
      <c r="AW51" s="19" t="n"/>
      <c r="AX51" s="19" t="n"/>
      <c r="AY51" s="19" t="n"/>
      <c r="AZ51" s="19" t="n"/>
      <c r="BA51" s="19" t="n"/>
      <c r="BB51" s="19" t="n"/>
      <c r="BC51" s="19" t="n"/>
      <c r="BD51" s="19" t="n"/>
      <c r="BE51" s="19" t="n"/>
      <c r="BF51" s="19" t="n"/>
      <c r="BG51" s="19" t="n"/>
      <c r="BH51" s="19" t="n"/>
      <c r="BI51" s="19" t="n"/>
      <c r="BJ51" s="19" t="n"/>
    </row>
    <row r="52">
      <c r="A52" s="25" t="inlineStr">
        <is>
          <t>SACO M OUI (BRINDE)</t>
        </is>
      </c>
      <c r="B52" s="6" t="n">
        <v>200</v>
      </c>
      <c r="C52" s="632" t="n">
        <v>249.78</v>
      </c>
      <c r="D52" s="240" t="n">
        <v>50</v>
      </c>
      <c r="E52" s="1" t="n"/>
      <c r="F52" s="72" t="n">
        <v>0</v>
      </c>
      <c r="G52" s="72" t="n">
        <v>400</v>
      </c>
      <c r="H52" s="72" t="n">
        <v>400</v>
      </c>
      <c r="I52" s="72" t="n">
        <v>400</v>
      </c>
      <c r="J52" s="72" t="n">
        <v>400</v>
      </c>
      <c r="K52" s="72" t="n">
        <v>400</v>
      </c>
      <c r="L52" s="72" t="n">
        <v>400</v>
      </c>
      <c r="M52" s="72" t="n">
        <v>400</v>
      </c>
      <c r="N52" s="72" t="n">
        <v>400</v>
      </c>
      <c r="O52" s="72" t="n">
        <v>400</v>
      </c>
      <c r="P52" s="72" t="n">
        <v>400</v>
      </c>
      <c r="Q52" s="72" t="n">
        <v>400</v>
      </c>
      <c r="R52" s="72" t="n">
        <v>200</v>
      </c>
      <c r="S52" s="72" t="n">
        <v>200</v>
      </c>
      <c r="T52" s="72" t="n">
        <v>200</v>
      </c>
      <c r="U52" s="72" t="n">
        <v>200</v>
      </c>
      <c r="V52" s="72" t="n">
        <v>200</v>
      </c>
      <c r="W52" s="72" t="n">
        <v>200</v>
      </c>
      <c r="X52" s="72" t="n">
        <v>200</v>
      </c>
      <c r="Y52" s="72" t="n">
        <v>200</v>
      </c>
      <c r="Z52" s="72" t="n">
        <v>200</v>
      </c>
      <c r="AA52" s="72" t="n">
        <v>200</v>
      </c>
      <c r="AB52" s="380">
        <f>Z52+IF(NOT(ISBLANK(OFFSET(AB52,0,6))),N(OFFSET(AB52,0,6)),N(OFFSET(AB52,0,7)))-AA52</f>
        <v/>
      </c>
      <c r="AC52" s="41" t="n"/>
      <c r="AD52" s="138" t="n"/>
      <c r="AE52" s="138" t="n"/>
      <c r="AF52" s="608" t="n"/>
      <c r="AG52" s="32" t="n"/>
      <c r="AH52" s="41" t="n"/>
      <c r="AI52" s="19" t="n">
        <v>0</v>
      </c>
      <c r="AJ52" s="19" t="n"/>
      <c r="AK52" s="19" t="n">
        <v>0</v>
      </c>
      <c r="AL52" s="19" t="n">
        <v>0</v>
      </c>
      <c r="AM52" s="19" t="n"/>
      <c r="AN52" s="19" t="n"/>
      <c r="AO52" s="19" t="n"/>
      <c r="AP52" s="19" t="n"/>
      <c r="AQ52" s="19" t="n"/>
      <c r="AR52" s="19" t="n"/>
      <c r="AS52" s="19" t="n"/>
      <c r="AT52" s="19" t="n"/>
      <c r="AU52" s="19" t="n"/>
      <c r="AV52" s="19" t="n"/>
      <c r="AW52" s="19" t="n"/>
      <c r="AX52" s="19" t="n"/>
      <c r="AY52" s="19" t="n"/>
      <c r="AZ52" s="19" t="n"/>
      <c r="BA52" s="19" t="n"/>
      <c r="BB52" s="19" t="n"/>
      <c r="BC52" s="19" t="n"/>
      <c r="BD52" s="19" t="n"/>
      <c r="BE52" s="19" t="n">
        <v>400</v>
      </c>
      <c r="BF52" s="19" t="n"/>
      <c r="BG52" s="19" t="n"/>
      <c r="BH52" s="19" t="n"/>
      <c r="BI52" s="19" t="n"/>
      <c r="BJ52" s="19" t="n"/>
    </row>
    <row r="53">
      <c r="B53" s="41" t="n"/>
      <c r="E53" s="41" t="n"/>
      <c r="F53" s="41" t="n"/>
      <c r="G53" s="41" t="n"/>
      <c r="H53" s="41" t="n"/>
      <c r="I53" s="41" t="n"/>
      <c r="J53" s="41" t="n"/>
      <c r="K53" s="41" t="n"/>
      <c r="L53" s="41" t="n"/>
      <c r="M53" s="41" t="n"/>
      <c r="N53" s="41" t="n"/>
      <c r="O53" s="41" t="n"/>
      <c r="P53" s="41" t="n"/>
      <c r="Q53" s="41" t="n"/>
      <c r="R53" s="41" t="n"/>
      <c r="S53" s="41" t="n"/>
      <c r="T53" s="41" t="n"/>
      <c r="U53" s="41" t="n"/>
      <c r="V53" s="41" t="n"/>
      <c r="W53" s="41" t="n"/>
      <c r="X53" s="41" t="n"/>
      <c r="Y53" s="41" t="n"/>
      <c r="Z53" s="41" t="n"/>
      <c r="AA53" s="41" t="n"/>
      <c r="AC53" s="41" t="n"/>
      <c r="AF53" s="41" t="n"/>
      <c r="AH53" s="41" t="n"/>
    </row>
    <row r="54">
      <c r="A54" s="147" t="inlineStr">
        <is>
          <t>CAIXAS OUI</t>
        </is>
      </c>
      <c r="B54" s="148" t="n"/>
      <c r="C54" s="148" t="n"/>
      <c r="D54" s="148" t="n"/>
      <c r="E54" s="1" t="n"/>
      <c r="F54" s="619" t="n">
        <v>46006</v>
      </c>
      <c r="G54" s="619" t="n">
        <v>46013</v>
      </c>
      <c r="H54" s="619" t="n">
        <v>46020</v>
      </c>
      <c r="I54" s="619" t="n">
        <v>46027</v>
      </c>
      <c r="J54" s="619" t="n">
        <v>46034</v>
      </c>
      <c r="K54" s="619" t="n">
        <v>46041</v>
      </c>
      <c r="L54" s="619" t="n">
        <v>46048</v>
      </c>
      <c r="M54" s="619" t="n">
        <v>46055</v>
      </c>
      <c r="N54" s="619" t="n">
        <v>46062</v>
      </c>
      <c r="O54" s="619" t="n">
        <v>46069</v>
      </c>
      <c r="P54" s="619" t="n">
        <v>46076</v>
      </c>
      <c r="Q54" s="619" t="n">
        <v>46083</v>
      </c>
      <c r="R54" s="619" t="n">
        <v>46090</v>
      </c>
      <c r="S54" s="619" t="n">
        <v>46097</v>
      </c>
      <c r="T54" s="619" t="n">
        <v>46104</v>
      </c>
      <c r="U54" s="619" t="n">
        <v>46111</v>
      </c>
      <c r="V54" s="619" t="n">
        <v>46118</v>
      </c>
      <c r="W54" s="619" t="n">
        <v>46125</v>
      </c>
      <c r="X54" s="619" t="n">
        <v>46132</v>
      </c>
      <c r="Y54" s="619" t="n">
        <v>46139</v>
      </c>
      <c r="Z54" s="619" t="n">
        <v>46146</v>
      </c>
      <c r="AA54" s="619" t="n">
        <v>46154</v>
      </c>
      <c r="AB54" s="621" t="inlineStr">
        <is>
          <t>USOU</t>
        </is>
      </c>
      <c r="AC54" s="41" t="n"/>
      <c r="AD54" s="29" t="inlineStr">
        <is>
          <t>Pendências</t>
        </is>
      </c>
      <c r="AE54" s="29" t="inlineStr">
        <is>
          <t>Pendências</t>
        </is>
      </c>
      <c r="AG54" s="9" t="inlineStr">
        <is>
          <t>Novo Pedido</t>
        </is>
      </c>
      <c r="AH54" s="41" t="n"/>
      <c r="AI54" s="674" t="n">
        <v>46149</v>
      </c>
      <c r="AJ54" s="615" t="n">
        <v>46150</v>
      </c>
      <c r="AK54" s="674" t="n">
        <v>46142</v>
      </c>
      <c r="AL54" s="674" t="n">
        <v>46114</v>
      </c>
      <c r="AM54" s="674" t="n">
        <v>46107</v>
      </c>
      <c r="AN54" s="674" t="n">
        <v>46099</v>
      </c>
      <c r="AO54" s="675" t="n">
        <v>46065</v>
      </c>
      <c r="AP54" s="674" t="n">
        <v>46092</v>
      </c>
      <c r="AQ54" s="674" t="n">
        <v>46084</v>
      </c>
      <c r="AR54" s="675" t="n">
        <v>46065</v>
      </c>
      <c r="AS54" s="676" t="n">
        <v>46045</v>
      </c>
      <c r="AT54" s="674" t="n">
        <v>46077</v>
      </c>
      <c r="AU54" s="674" t="n">
        <v>46071</v>
      </c>
      <c r="AV54" s="674" t="n">
        <v>46056</v>
      </c>
      <c r="AW54" s="674" t="n">
        <v>46048</v>
      </c>
      <c r="AX54" s="674" t="n">
        <v>46043</v>
      </c>
      <c r="AY54" s="674" t="n">
        <v>46035</v>
      </c>
      <c r="AZ54" s="674" t="n">
        <v>46029</v>
      </c>
      <c r="BA54" s="674" t="n">
        <v>46035</v>
      </c>
      <c r="BB54" s="674" t="n">
        <v>46029</v>
      </c>
      <c r="BC54" s="674" t="n">
        <v>46024</v>
      </c>
      <c r="BD54" s="674" t="n">
        <v>46007</v>
      </c>
      <c r="BE54" s="674" t="n">
        <v>46001</v>
      </c>
      <c r="BF54" s="674" t="n">
        <v>46001</v>
      </c>
      <c r="BG54" s="674" t="n">
        <v>45994</v>
      </c>
      <c r="BH54" s="674" t="n">
        <v>45986</v>
      </c>
      <c r="BI54" s="674" t="n">
        <v>45986</v>
      </c>
      <c r="BJ54" s="674" t="n">
        <v>45980</v>
      </c>
    </row>
    <row r="55">
      <c r="A55" s="25" t="inlineStr">
        <is>
          <t>KIT CAIXA P OUI</t>
        </is>
      </c>
      <c r="B55" s="72" t="n">
        <v>100</v>
      </c>
      <c r="C55" s="639" t="n">
        <v>539.7</v>
      </c>
      <c r="D55" s="240" t="n">
        <v>15</v>
      </c>
      <c r="E55" s="41" t="n"/>
      <c r="F55" s="72" t="n">
        <v>28</v>
      </c>
      <c r="G55" s="72" t="n">
        <v>28</v>
      </c>
      <c r="H55" s="72" t="n">
        <v>28</v>
      </c>
      <c r="I55" s="72" t="n">
        <v>28</v>
      </c>
      <c r="J55" s="72" t="n">
        <v>28</v>
      </c>
      <c r="K55" s="72" t="n">
        <v>29</v>
      </c>
      <c r="L55" s="72" t="n">
        <v>29</v>
      </c>
      <c r="M55" s="72" t="n">
        <v>29</v>
      </c>
      <c r="N55" s="72" t="n">
        <v>29</v>
      </c>
      <c r="O55" s="72" t="n">
        <v>29</v>
      </c>
      <c r="P55" s="72" t="n">
        <v>29</v>
      </c>
      <c r="Q55" s="72" t="n">
        <v>29</v>
      </c>
      <c r="R55" s="72" t="n">
        <v>29</v>
      </c>
      <c r="S55" s="72" t="n">
        <v>29</v>
      </c>
      <c r="T55" s="72" t="n">
        <v>27</v>
      </c>
      <c r="U55" s="72" t="n">
        <v>26</v>
      </c>
      <c r="V55" s="72" t="n"/>
      <c r="W55" s="72" t="n"/>
      <c r="X55" s="72" t="n"/>
      <c r="Y55" s="72" t="n"/>
      <c r="Z55" s="72" t="n"/>
      <c r="AA55" s="72" t="n">
        <v>21</v>
      </c>
      <c r="AB55" s="380">
        <f>Z55+IF(NOT(ISBLANK(OFFSET(AB55,0,6))),N(OFFSET(AB55,0,6)),N(OFFSET(AB55,0,7)))-AA55</f>
        <v/>
      </c>
      <c r="AC55" s="41" t="n"/>
      <c r="AD55" s="138" t="n"/>
      <c r="AE55" s="138" t="n"/>
      <c r="AF55" s="608" t="n"/>
      <c r="AG55" s="32" t="n"/>
      <c r="AH55" s="41" t="n"/>
      <c r="AI55" s="19" t="n">
        <v>0</v>
      </c>
      <c r="AJ55" s="19" t="n"/>
      <c r="AK55" s="19" t="n">
        <v>0</v>
      </c>
      <c r="AL55" s="19" t="n">
        <v>0</v>
      </c>
      <c r="AM55" s="19" t="n"/>
      <c r="AN55" s="19" t="n"/>
      <c r="AO55" s="19" t="n"/>
      <c r="AP55" s="19" t="n"/>
      <c r="AQ55" s="19" t="n"/>
      <c r="AR55" s="19" t="n"/>
      <c r="AS55" s="19" t="n"/>
      <c r="AT55" s="19" t="n"/>
      <c r="AU55" s="19" t="n"/>
      <c r="AV55" s="19" t="n"/>
      <c r="AW55" s="19" t="n"/>
      <c r="AX55" s="19" t="n"/>
      <c r="AY55" s="19" t="n"/>
      <c r="AZ55" s="19" t="n"/>
      <c r="BA55" s="19" t="n"/>
      <c r="BB55" s="19" t="n"/>
      <c r="BC55" s="19" t="n"/>
      <c r="BD55" s="19" t="n"/>
      <c r="BE55" s="19" t="n"/>
      <c r="BF55" s="19" t="n"/>
      <c r="BG55" s="19" t="n"/>
      <c r="BH55" s="19" t="n"/>
      <c r="BI55" s="19" t="n"/>
      <c r="BJ55" s="19" t="n"/>
    </row>
    <row r="56">
      <c r="A56" s="25" t="inlineStr">
        <is>
          <t>KIT CAIXA M OUI</t>
        </is>
      </c>
      <c r="B56" s="72" t="n">
        <v>100</v>
      </c>
      <c r="C56" s="639" t="n">
        <v>652.05</v>
      </c>
      <c r="D56" s="240" t="n">
        <v>25</v>
      </c>
      <c r="E56" s="41" t="n"/>
      <c r="F56" s="72" t="n">
        <v>0</v>
      </c>
      <c r="G56" s="72" t="n">
        <v>0</v>
      </c>
      <c r="H56" s="72" t="n">
        <v>0</v>
      </c>
      <c r="I56" s="72" t="n">
        <v>0</v>
      </c>
      <c r="J56" s="72" t="n">
        <v>0</v>
      </c>
      <c r="K56" s="72" t="n">
        <v>1</v>
      </c>
      <c r="L56" s="72" t="n">
        <v>1</v>
      </c>
      <c r="M56" s="72" t="n">
        <v>1</v>
      </c>
      <c r="N56" s="72" t="n">
        <v>1</v>
      </c>
      <c r="O56" s="72" t="n">
        <v>1</v>
      </c>
      <c r="P56" s="72" t="n">
        <v>2</v>
      </c>
      <c r="Q56" s="72" t="n">
        <v>2</v>
      </c>
      <c r="R56" s="72" t="n">
        <v>2</v>
      </c>
      <c r="S56" s="72" t="n">
        <v>2</v>
      </c>
      <c r="T56" s="72" t="n">
        <v>1</v>
      </c>
      <c r="U56" s="72" t="n">
        <v>1</v>
      </c>
      <c r="V56" s="72" t="n"/>
      <c r="W56" s="72" t="n"/>
      <c r="X56" s="72" t="n"/>
      <c r="Y56" s="72" t="n"/>
      <c r="Z56" s="72" t="n"/>
      <c r="AA56" s="72" t="n">
        <v>1</v>
      </c>
      <c r="AB56" s="380">
        <f>Z56+IF(NOT(ISBLANK(OFFSET(AB56,0,6))),N(OFFSET(AB56,0,6)),N(OFFSET(AB56,0,7)))-AA56</f>
        <v/>
      </c>
      <c r="AC56" s="41" t="n"/>
      <c r="AD56" s="138" t="n"/>
      <c r="AE56" s="138" t="n"/>
      <c r="AF56" s="1" t="n"/>
      <c r="AG56" s="32" t="n"/>
      <c r="AH56" s="41" t="n"/>
      <c r="AI56" s="19" t="n">
        <v>0</v>
      </c>
      <c r="AJ56" s="19" t="n"/>
      <c r="AK56" s="19" t="n">
        <v>0</v>
      </c>
      <c r="AL56" s="19" t="n">
        <v>0</v>
      </c>
      <c r="AM56" s="19" t="n"/>
      <c r="AN56" s="19" t="n"/>
      <c r="AO56" s="19" t="n"/>
      <c r="AP56" s="19" t="n"/>
      <c r="AQ56" s="19" t="n"/>
      <c r="AR56" s="19" t="n"/>
      <c r="AS56" s="19" t="n"/>
      <c r="AT56" s="19" t="n"/>
      <c r="AU56" s="19" t="n"/>
      <c r="AV56" s="19" t="n"/>
      <c r="AW56" s="19" t="n"/>
      <c r="AX56" s="19" t="n"/>
      <c r="AY56" s="19" t="n"/>
      <c r="AZ56" s="19" t="n"/>
      <c r="BA56" s="19" t="n"/>
      <c r="BB56" s="19" t="n"/>
      <c r="BC56" s="19" t="n"/>
      <c r="BD56" s="19" t="n"/>
      <c r="BE56" s="19" t="n"/>
      <c r="BF56" s="19" t="n"/>
      <c r="BG56" s="19" t="n"/>
      <c r="BH56" s="19" t="n"/>
      <c r="BI56" s="19" t="n"/>
      <c r="BJ56" s="19" t="n"/>
    </row>
    <row r="57">
      <c r="A57" s="25" t="inlineStr">
        <is>
          <t>KIT CAIXA G OUI</t>
        </is>
      </c>
      <c r="B57" s="72" t="n">
        <v>50</v>
      </c>
      <c r="C57" s="639" t="n">
        <v>567.53</v>
      </c>
      <c r="D57" s="240" t="n">
        <v>5</v>
      </c>
      <c r="E57" s="41" t="n"/>
      <c r="F57" s="72" t="n">
        <v>29</v>
      </c>
      <c r="G57" s="72" t="n">
        <v>29</v>
      </c>
      <c r="H57" s="72" t="n">
        <v>29</v>
      </c>
      <c r="I57" s="72" t="n">
        <v>29</v>
      </c>
      <c r="J57" s="72" t="n">
        <v>29</v>
      </c>
      <c r="K57" s="72" t="n">
        <v>28</v>
      </c>
      <c r="L57" s="72" t="n">
        <v>28</v>
      </c>
      <c r="M57" s="72" t="n">
        <v>28</v>
      </c>
      <c r="N57" s="72" t="n">
        <v>28</v>
      </c>
      <c r="O57" s="72" t="n">
        <v>28</v>
      </c>
      <c r="P57" s="72" t="n">
        <v>28</v>
      </c>
      <c r="Q57" s="72" t="n">
        <v>28</v>
      </c>
      <c r="R57" s="72" t="n">
        <v>28</v>
      </c>
      <c r="S57" s="72" t="n">
        <v>28</v>
      </c>
      <c r="T57" s="72" t="n">
        <v>28</v>
      </c>
      <c r="U57" s="72" t="n">
        <v>28</v>
      </c>
      <c r="V57" s="72" t="n"/>
      <c r="W57" s="72" t="n"/>
      <c r="X57" s="72" t="n"/>
      <c r="Y57" s="72" t="n"/>
      <c r="Z57" s="72" t="n"/>
      <c r="AA57" s="72" t="n">
        <v>28</v>
      </c>
      <c r="AB57" s="380">
        <f>Z57+IF(NOT(ISBLANK(OFFSET(AB57,0,6))),N(OFFSET(AB57,0,6)),N(OFFSET(AB57,0,7)))-AA57</f>
        <v/>
      </c>
      <c r="AC57" s="41" t="n"/>
      <c r="AD57" s="138" t="n"/>
      <c r="AE57" s="138" t="n"/>
      <c r="AF57" s="1" t="n"/>
      <c r="AG57" s="32" t="n"/>
      <c r="AH57" s="41" t="n"/>
      <c r="AI57" s="19" t="n">
        <v>0</v>
      </c>
      <c r="AJ57" s="19" t="n"/>
      <c r="AK57" s="19" t="n">
        <v>0</v>
      </c>
      <c r="AL57" s="19" t="n">
        <v>0</v>
      </c>
      <c r="AM57" s="19" t="n"/>
      <c r="AN57" s="19" t="n"/>
      <c r="AO57" s="19" t="n"/>
      <c r="AP57" s="19" t="n"/>
      <c r="AQ57" s="19" t="n"/>
      <c r="AR57" s="19" t="n"/>
      <c r="AS57" s="19" t="n"/>
      <c r="AT57" s="19" t="n"/>
      <c r="AU57" s="19" t="n"/>
      <c r="AV57" s="19" t="n"/>
      <c r="AW57" s="19" t="n"/>
      <c r="AX57" s="19" t="n"/>
      <c r="AY57" s="19" t="n"/>
      <c r="AZ57" s="19" t="n"/>
      <c r="BA57" s="19" t="n"/>
      <c r="BB57" s="19" t="n"/>
      <c r="BC57" s="19" t="n"/>
      <c r="BD57" s="19" t="n"/>
      <c r="BE57" s="19" t="n"/>
      <c r="BF57" s="19" t="n"/>
      <c r="BG57" s="19" t="n"/>
      <c r="BH57" s="19" t="n"/>
      <c r="BI57" s="19" t="n"/>
      <c r="BJ57" s="19" t="n"/>
    </row>
    <row r="58">
      <c r="B58" s="41" t="n"/>
      <c r="C58" s="41" t="n"/>
      <c r="D58" s="41" t="n"/>
      <c r="E58" s="41" t="n"/>
      <c r="F58" s="41" t="n"/>
      <c r="G58" s="41" t="n"/>
      <c r="H58" s="41" t="n"/>
      <c r="I58" s="41" t="n"/>
      <c r="J58" s="41" t="n"/>
      <c r="K58" s="41" t="n"/>
      <c r="L58" s="41" t="n"/>
      <c r="M58" s="41" t="n"/>
      <c r="N58" s="41" t="n"/>
      <c r="O58" s="41" t="n"/>
      <c r="P58" s="41" t="n"/>
      <c r="Q58" s="41" t="n"/>
      <c r="R58" s="41" t="n"/>
      <c r="S58" s="41" t="n"/>
      <c r="T58" s="41" t="n"/>
      <c r="U58" s="41" t="n"/>
      <c r="V58" s="41" t="n"/>
      <c r="W58" s="41" t="n"/>
      <c r="X58" s="41" t="n"/>
      <c r="Y58" s="41" t="n"/>
      <c r="Z58" s="41" t="n"/>
      <c r="AA58" s="41" t="n"/>
      <c r="AB58" s="41" t="n"/>
      <c r="AC58" s="41" t="n"/>
      <c r="AF58" s="41" t="n"/>
      <c r="AH58" s="41" t="n"/>
      <c r="AI58" s="648" t="n"/>
      <c r="AJ58" s="648" t="n"/>
      <c r="AK58" s="648" t="n"/>
      <c r="AL58" s="648" t="n"/>
      <c r="AM58" s="648" t="n"/>
      <c r="AN58" s="648" t="n"/>
      <c r="AO58" s="648" t="n"/>
      <c r="AP58" s="648" t="n"/>
      <c r="AQ58" s="648" t="n"/>
      <c r="AR58" s="648" t="n"/>
      <c r="AS58" s="648" t="n"/>
      <c r="AT58" s="648" t="n"/>
      <c r="AU58" s="648" t="n"/>
      <c r="AV58" s="648" t="n"/>
      <c r="AW58" s="648" t="n"/>
      <c r="AX58" s="648" t="n"/>
      <c r="AY58" s="648" t="n"/>
      <c r="AZ58" s="648" t="n"/>
      <c r="BA58" s="648" t="n"/>
      <c r="BB58" s="648" t="n"/>
      <c r="BC58" s="648" t="n"/>
      <c r="BD58" s="648" t="n"/>
      <c r="BE58" s="648" t="n"/>
      <c r="BF58" s="648" t="n"/>
      <c r="BG58" s="648" t="n"/>
      <c r="BH58" s="648" t="n"/>
      <c r="BI58" s="648" t="n"/>
      <c r="BJ58" s="648" t="n"/>
    </row>
    <row r="59">
      <c r="A59" s="149" t="inlineStr">
        <is>
          <t>SACOLAS E CAIXAS QDB</t>
        </is>
      </c>
      <c r="B59" s="150" t="n"/>
      <c r="C59" s="150" t="n"/>
      <c r="D59" s="150" t="n"/>
      <c r="E59" s="1" t="n"/>
      <c r="F59" s="619" t="n">
        <v>46006</v>
      </c>
      <c r="G59" s="619" t="n">
        <v>46013</v>
      </c>
      <c r="H59" s="619" t="n">
        <v>46020</v>
      </c>
      <c r="I59" s="619" t="n">
        <v>46027</v>
      </c>
      <c r="J59" s="619" t="n">
        <v>46034</v>
      </c>
      <c r="K59" s="619" t="n">
        <v>46041</v>
      </c>
      <c r="L59" s="619" t="n">
        <v>46048</v>
      </c>
      <c r="M59" s="619" t="n">
        <v>46055</v>
      </c>
      <c r="N59" s="619" t="n">
        <v>46062</v>
      </c>
      <c r="O59" s="619" t="n">
        <v>46069</v>
      </c>
      <c r="P59" s="619" t="n">
        <v>46076</v>
      </c>
      <c r="Q59" s="619" t="n">
        <v>46083</v>
      </c>
      <c r="R59" s="619" t="n">
        <v>46090</v>
      </c>
      <c r="S59" s="619" t="n">
        <v>46097</v>
      </c>
      <c r="T59" s="619" t="n">
        <v>46104</v>
      </c>
      <c r="U59" s="619" t="n">
        <v>46111</v>
      </c>
      <c r="V59" s="619" t="n">
        <v>46118</v>
      </c>
      <c r="W59" s="619" t="n">
        <v>46125</v>
      </c>
      <c r="X59" s="619" t="n">
        <v>46132</v>
      </c>
      <c r="Y59" s="619" t="n">
        <v>46139</v>
      </c>
      <c r="Z59" s="619" t="n">
        <v>46146</v>
      </c>
      <c r="AA59" s="619" t="n">
        <v>46154</v>
      </c>
      <c r="AB59" s="621" t="inlineStr">
        <is>
          <t>USOU</t>
        </is>
      </c>
      <c r="AC59" s="41" t="n"/>
      <c r="AD59" s="29" t="inlineStr">
        <is>
          <t>Pendências</t>
        </is>
      </c>
      <c r="AE59" s="29" t="inlineStr">
        <is>
          <t>Pendências</t>
        </is>
      </c>
      <c r="AG59" s="9" t="inlineStr">
        <is>
          <t>Novo Pedido</t>
        </is>
      </c>
      <c r="AH59" s="41" t="n"/>
      <c r="AI59" s="674" t="n">
        <v>46149</v>
      </c>
      <c r="AJ59" s="615" t="n">
        <v>46150</v>
      </c>
      <c r="AK59" s="674" t="n">
        <v>46142</v>
      </c>
      <c r="AL59" s="674" t="n">
        <v>46114</v>
      </c>
      <c r="AM59" s="674" t="n">
        <v>46107</v>
      </c>
      <c r="AN59" s="674" t="n">
        <v>46099</v>
      </c>
      <c r="AO59" s="675" t="n">
        <v>46065</v>
      </c>
      <c r="AP59" s="674" t="n">
        <v>46092</v>
      </c>
      <c r="AQ59" s="674" t="n">
        <v>46084</v>
      </c>
      <c r="AR59" s="675" t="n">
        <v>46065</v>
      </c>
      <c r="AS59" s="676" t="n">
        <v>46045</v>
      </c>
      <c r="AT59" s="674" t="n">
        <v>46077</v>
      </c>
      <c r="AU59" s="674" t="n">
        <v>46071</v>
      </c>
      <c r="AV59" s="674" t="n">
        <v>46056</v>
      </c>
      <c r="AW59" s="674" t="n">
        <v>46048</v>
      </c>
      <c r="AX59" s="674" t="n">
        <v>46043</v>
      </c>
      <c r="AY59" s="674" t="n">
        <v>46035</v>
      </c>
      <c r="AZ59" s="674" t="n">
        <v>46029</v>
      </c>
      <c r="BA59" s="674" t="n">
        <v>46035</v>
      </c>
      <c r="BB59" s="674" t="n">
        <v>46029</v>
      </c>
      <c r="BC59" s="674" t="n">
        <v>46024</v>
      </c>
      <c r="BD59" s="674" t="n">
        <v>46007</v>
      </c>
      <c r="BE59" s="674" t="n">
        <v>46001</v>
      </c>
      <c r="BF59" s="674" t="n">
        <v>46001</v>
      </c>
      <c r="BG59" s="674" t="n">
        <v>45994</v>
      </c>
      <c r="BH59" s="674" t="n">
        <v>45986</v>
      </c>
      <c r="BI59" s="674" t="n">
        <v>45986</v>
      </c>
      <c r="BJ59" s="674" t="n">
        <v>45980</v>
      </c>
    </row>
    <row r="60">
      <c r="A60" s="25" t="inlineStr">
        <is>
          <t>SACOLA P - QDB</t>
        </is>
      </c>
      <c r="B60" s="6" t="n">
        <v>300</v>
      </c>
      <c r="C60" s="632" t="n">
        <v>169.8</v>
      </c>
      <c r="D60" s="240" t="n">
        <v>50</v>
      </c>
      <c r="E60" s="1" t="n"/>
      <c r="F60" s="39" t="n">
        <v>0</v>
      </c>
      <c r="G60" s="39" t="n">
        <v>0</v>
      </c>
      <c r="H60" s="39" t="n">
        <v>0</v>
      </c>
      <c r="I60" s="39" t="n">
        <v>0</v>
      </c>
      <c r="J60" s="39" t="n">
        <v>0</v>
      </c>
      <c r="K60" s="39" t="n">
        <v>0</v>
      </c>
      <c r="L60" s="39" t="n">
        <v>0</v>
      </c>
      <c r="M60" s="39" t="n">
        <v>0</v>
      </c>
      <c r="N60" s="39" t="n">
        <v>0</v>
      </c>
      <c r="O60" s="39" t="n">
        <v>0</v>
      </c>
      <c r="P60" s="39" t="n">
        <v>0</v>
      </c>
      <c r="Q60" s="39" t="n">
        <v>0</v>
      </c>
      <c r="R60" s="39" t="n">
        <v>0</v>
      </c>
      <c r="S60" s="39" t="n">
        <v>0</v>
      </c>
      <c r="T60" s="39" t="n">
        <v>0</v>
      </c>
      <c r="U60" s="39" t="n">
        <v>0</v>
      </c>
      <c r="V60" s="39" t="n">
        <v>0</v>
      </c>
      <c r="W60" s="39" t="n">
        <v>0</v>
      </c>
      <c r="X60" s="39" t="n">
        <v>0</v>
      </c>
      <c r="Y60" s="39" t="n">
        <v>0</v>
      </c>
      <c r="Z60" s="39" t="n">
        <v>0</v>
      </c>
      <c r="AA60" s="39" t="n">
        <v>0</v>
      </c>
      <c r="AB60" s="380">
        <f>Z60+IF(NOT(ISBLANK(OFFSET(AB60,0,6))),N(OFFSET(AB60,0,6)),N(OFFSET(AB60,0,7)))-AA60</f>
        <v/>
      </c>
      <c r="AC60" s="41" t="n"/>
      <c r="AD60" s="138" t="n"/>
      <c r="AE60" s="138" t="n"/>
      <c r="AG60" s="76" t="n"/>
      <c r="AH60" s="41" t="n"/>
      <c r="AI60" s="19" t="n">
        <v>0</v>
      </c>
      <c r="AJ60" s="19" t="n"/>
      <c r="AK60" s="19" t="n">
        <v>0</v>
      </c>
      <c r="AL60" s="19" t="n">
        <v>0</v>
      </c>
      <c r="AM60" s="19" t="n"/>
      <c r="AN60" s="19" t="n"/>
      <c r="AO60" s="19" t="n"/>
      <c r="AP60" s="19" t="n"/>
      <c r="AQ60" s="19" t="n"/>
      <c r="AR60" s="19" t="n"/>
      <c r="AS60" s="19" t="n"/>
      <c r="AT60" s="19" t="n"/>
      <c r="AU60" s="19" t="n"/>
      <c r="AV60" s="19" t="n"/>
      <c r="AW60" s="19" t="n"/>
      <c r="AX60" s="19" t="n"/>
      <c r="AY60" s="19" t="n"/>
      <c r="AZ60" s="19" t="n"/>
      <c r="BA60" s="19" t="n"/>
      <c r="BB60" s="19" t="n"/>
      <c r="BC60" s="19" t="n"/>
      <c r="BD60" s="19" t="n"/>
      <c r="BE60" s="19" t="n"/>
      <c r="BF60" s="19" t="n"/>
      <c r="BG60" s="19" t="n"/>
      <c r="BH60" s="19" t="n"/>
      <c r="BI60" s="19" t="n"/>
      <c r="BJ60" s="19" t="n"/>
    </row>
    <row r="61">
      <c r="A61" s="25" t="inlineStr">
        <is>
          <t>SACOLA M - QDB</t>
        </is>
      </c>
      <c r="B61" s="6" t="n">
        <v>200</v>
      </c>
      <c r="C61" s="632" t="n">
        <v>175.22</v>
      </c>
      <c r="D61" s="240" t="n">
        <v>50</v>
      </c>
      <c r="E61" s="1" t="n"/>
      <c r="F61" s="39" t="n">
        <v>0</v>
      </c>
      <c r="G61" s="39" t="n">
        <v>0</v>
      </c>
      <c r="H61" s="39" t="n">
        <v>0</v>
      </c>
      <c r="I61" s="39" t="n">
        <v>0</v>
      </c>
      <c r="J61" s="39" t="n">
        <v>0</v>
      </c>
      <c r="K61" s="39" t="n">
        <v>0</v>
      </c>
      <c r="L61" s="39" t="n">
        <v>0</v>
      </c>
      <c r="M61" s="39" t="n">
        <v>0</v>
      </c>
      <c r="N61" s="39" t="n">
        <v>0</v>
      </c>
      <c r="O61" s="39" t="n">
        <v>0</v>
      </c>
      <c r="P61" s="39" t="n">
        <v>0</v>
      </c>
      <c r="Q61" s="39" t="n">
        <v>0</v>
      </c>
      <c r="R61" s="39" t="n">
        <v>0</v>
      </c>
      <c r="S61" s="39" t="n">
        <v>0</v>
      </c>
      <c r="T61" s="39" t="n">
        <v>0</v>
      </c>
      <c r="U61" s="39" t="n">
        <v>0</v>
      </c>
      <c r="V61" s="39" t="n">
        <v>0</v>
      </c>
      <c r="W61" s="39" t="n">
        <v>0</v>
      </c>
      <c r="X61" s="39" t="n">
        <v>0</v>
      </c>
      <c r="Y61" s="39" t="n">
        <v>0</v>
      </c>
      <c r="Z61" s="39" t="n">
        <v>0</v>
      </c>
      <c r="AA61" s="39" t="n">
        <v>0</v>
      </c>
      <c r="AB61" s="380">
        <f>Z61+IF(NOT(ISBLANK(OFFSET(AB61,0,6))),N(OFFSET(AB61,0,6)),N(OFFSET(AB61,0,7)))-AA61</f>
        <v/>
      </c>
      <c r="AC61" s="41" t="n"/>
      <c r="AD61" s="138" t="n"/>
      <c r="AE61" s="138" t="n"/>
      <c r="AG61" s="76" t="n"/>
      <c r="AH61" s="41" t="n"/>
      <c r="AI61" s="19" t="n">
        <v>0</v>
      </c>
      <c r="AJ61" s="19" t="n"/>
      <c r="AK61" s="19" t="n">
        <v>0</v>
      </c>
      <c r="AL61" s="19" t="n">
        <v>0</v>
      </c>
      <c r="AM61" s="19" t="n"/>
      <c r="AN61" s="19" t="n"/>
      <c r="AO61" s="19" t="n"/>
      <c r="AP61" s="19" t="n"/>
      <c r="AQ61" s="19" t="n"/>
      <c r="AR61" s="19" t="n"/>
      <c r="AS61" s="19" t="n"/>
      <c r="AT61" s="19" t="n"/>
      <c r="AU61" s="19" t="n"/>
      <c r="AV61" s="19" t="n"/>
      <c r="AW61" s="19" t="n"/>
      <c r="AX61" s="19" t="n"/>
      <c r="AY61" s="19" t="n"/>
      <c r="AZ61" s="19" t="n"/>
      <c r="BA61" s="19" t="n"/>
      <c r="BB61" s="19" t="n"/>
      <c r="BC61" s="19" t="n"/>
      <c r="BD61" s="19" t="n"/>
      <c r="BE61" s="19" t="n"/>
      <c r="BF61" s="19" t="n"/>
      <c r="BG61" s="19" t="n"/>
      <c r="BH61" s="19" t="n"/>
      <c r="BI61" s="19" t="n"/>
      <c r="BJ61" s="19" t="n"/>
    </row>
    <row r="62">
      <c r="A62" s="25" t="inlineStr">
        <is>
          <t>SACOLA G - QDB</t>
        </is>
      </c>
      <c r="B62" s="6" t="n">
        <v>200</v>
      </c>
      <c r="C62" s="632" t="n">
        <v>230.34</v>
      </c>
      <c r="D62" s="240" t="n">
        <v>15</v>
      </c>
      <c r="E62" s="1" t="n"/>
      <c r="F62" s="39" t="n">
        <v>0</v>
      </c>
      <c r="G62" s="39" t="n">
        <v>0</v>
      </c>
      <c r="H62" s="39" t="n">
        <v>0</v>
      </c>
      <c r="I62" s="39" t="n">
        <v>0</v>
      </c>
      <c r="J62" s="39" t="n">
        <v>0</v>
      </c>
      <c r="K62" s="39" t="n">
        <v>0</v>
      </c>
      <c r="L62" s="39" t="n">
        <v>0</v>
      </c>
      <c r="M62" s="39" t="n">
        <v>0</v>
      </c>
      <c r="N62" s="39" t="n">
        <v>0</v>
      </c>
      <c r="O62" s="39" t="n">
        <v>0</v>
      </c>
      <c r="P62" s="39" t="n">
        <v>0</v>
      </c>
      <c r="Q62" s="39" t="n">
        <v>0</v>
      </c>
      <c r="R62" s="39" t="n">
        <v>0</v>
      </c>
      <c r="S62" s="39" t="n">
        <v>0</v>
      </c>
      <c r="T62" s="39" t="n">
        <v>0</v>
      </c>
      <c r="U62" s="39" t="n">
        <v>0</v>
      </c>
      <c r="V62" s="39" t="n">
        <v>0</v>
      </c>
      <c r="W62" s="39" t="n">
        <v>0</v>
      </c>
      <c r="X62" s="39" t="n">
        <v>0</v>
      </c>
      <c r="Y62" s="39" t="n">
        <v>0</v>
      </c>
      <c r="Z62" s="39" t="n">
        <v>0</v>
      </c>
      <c r="AA62" s="39" t="n">
        <v>0</v>
      </c>
      <c r="AB62" s="380">
        <f>Z62+IF(NOT(ISBLANK(OFFSET(AB62,0,6))),N(OFFSET(AB62,0,6)),N(OFFSET(AB62,0,7)))-AA62</f>
        <v/>
      </c>
      <c r="AC62" s="41" t="n"/>
      <c r="AD62" s="138" t="n"/>
      <c r="AE62" s="138" t="n"/>
      <c r="AG62" s="76" t="n"/>
      <c r="AH62" s="41" t="n"/>
      <c r="AI62" s="19" t="n">
        <v>0</v>
      </c>
      <c r="AJ62" s="19" t="n"/>
      <c r="AK62" s="19" t="n">
        <v>0</v>
      </c>
      <c r="AL62" s="19" t="n">
        <v>0</v>
      </c>
      <c r="AM62" s="19" t="n"/>
      <c r="AN62" s="19" t="n"/>
      <c r="AO62" s="19" t="n"/>
      <c r="AP62" s="19" t="n"/>
      <c r="AQ62" s="19" t="n"/>
      <c r="AR62" s="19" t="n"/>
      <c r="AS62" s="19" t="n"/>
      <c r="AT62" s="19" t="n"/>
      <c r="AU62" s="19" t="n"/>
      <c r="AV62" s="19" t="n"/>
      <c r="AW62" s="19" t="n"/>
      <c r="AX62" s="19" t="n"/>
      <c r="AY62" s="19" t="n"/>
      <c r="AZ62" s="19" t="n"/>
      <c r="BA62" s="19" t="n"/>
      <c r="BB62" s="19" t="n"/>
      <c r="BC62" s="19" t="n"/>
      <c r="BD62" s="19" t="n"/>
      <c r="BE62" s="19" t="n"/>
      <c r="BF62" s="19" t="n"/>
      <c r="BG62" s="19" t="n"/>
      <c r="BH62" s="19" t="n"/>
      <c r="BI62" s="19" t="n"/>
      <c r="BJ62" s="19" t="n"/>
    </row>
    <row r="63">
      <c r="A63" s="538" t="inlineStr">
        <is>
          <t>PAPEL DE SEDA QDB</t>
        </is>
      </c>
      <c r="B63" s="72" t="n">
        <v>100</v>
      </c>
      <c r="C63" s="639" t="n">
        <v>22.98</v>
      </c>
      <c r="D63" s="240" t="n">
        <v>1</v>
      </c>
      <c r="F63" s="39" t="n">
        <v>3</v>
      </c>
      <c r="G63" s="39" t="n">
        <v>3</v>
      </c>
      <c r="H63" s="39" t="n">
        <v>3</v>
      </c>
      <c r="I63" s="39" t="n">
        <v>3</v>
      </c>
      <c r="J63" s="39" t="n">
        <v>3</v>
      </c>
      <c r="K63" s="39" t="n">
        <v>3</v>
      </c>
      <c r="L63" s="39" t="n">
        <v>3</v>
      </c>
      <c r="M63" s="39" t="n">
        <v>3</v>
      </c>
      <c r="N63" s="39" t="n">
        <v>3</v>
      </c>
      <c r="O63" s="39" t="n">
        <v>3</v>
      </c>
      <c r="P63" s="39" t="n">
        <v>3</v>
      </c>
      <c r="Q63" s="39" t="n">
        <v>3</v>
      </c>
      <c r="R63" s="39" t="n">
        <v>3</v>
      </c>
      <c r="S63" s="39" t="n">
        <v>3</v>
      </c>
      <c r="T63" s="39" t="n">
        <v>3</v>
      </c>
      <c r="U63" s="39" t="n">
        <v>3</v>
      </c>
      <c r="V63" s="39" t="n">
        <v>3</v>
      </c>
      <c r="W63" s="39" t="n">
        <v>3</v>
      </c>
      <c r="X63" s="39" t="n">
        <v>3</v>
      </c>
      <c r="Y63" s="39" t="n">
        <v>3</v>
      </c>
      <c r="Z63" s="39" t="n">
        <v>3</v>
      </c>
      <c r="AA63" s="39" t="n">
        <v>3</v>
      </c>
      <c r="AB63" s="380">
        <f>Z63+IF(NOT(ISBLANK(OFFSET(AB63,0,6))),N(OFFSET(AB63,0,6)),N(OFFSET(AB63,0,7)))-AA63</f>
        <v/>
      </c>
      <c r="AD63" s="138" t="n"/>
      <c r="AE63" s="138" t="n"/>
      <c r="AF63" s="1" t="n"/>
      <c r="AG63" s="32" t="n"/>
      <c r="AH63" s="41" t="n"/>
      <c r="AI63" s="19" t="n">
        <v>0</v>
      </c>
      <c r="AJ63" s="19" t="n"/>
      <c r="AK63" s="19" t="n">
        <v>0</v>
      </c>
      <c r="AL63" s="19" t="n">
        <v>0</v>
      </c>
      <c r="AM63" s="19" t="n"/>
      <c r="AN63" s="19" t="n"/>
      <c r="AO63" s="19" t="n"/>
      <c r="AP63" s="19" t="n"/>
      <c r="AQ63" s="19" t="n"/>
      <c r="AR63" s="19" t="n"/>
      <c r="AS63" s="19" t="n"/>
      <c r="AT63" s="19" t="n"/>
      <c r="AU63" s="19" t="n"/>
      <c r="AV63" s="19" t="n"/>
      <c r="AW63" s="19" t="n"/>
      <c r="AX63" s="19" t="n"/>
      <c r="AY63" s="19" t="n"/>
      <c r="AZ63" s="19" t="n"/>
      <c r="BA63" s="19" t="n"/>
      <c r="BB63" s="19" t="n"/>
      <c r="BC63" s="19" t="n"/>
      <c r="BD63" s="19" t="n"/>
      <c r="BE63" s="19" t="n"/>
      <c r="BF63" s="19" t="n"/>
      <c r="BG63" s="19" t="n"/>
      <c r="BH63" s="19" t="n"/>
      <c r="BI63" s="19" t="n"/>
      <c r="BJ63" s="19" t="n"/>
    </row>
    <row r="64">
      <c r="A64" s="25" t="inlineStr">
        <is>
          <t>ETIQUETA QDB</t>
        </is>
      </c>
      <c r="B64" s="6" t="n">
        <v>1000</v>
      </c>
      <c r="C64" s="632" t="n">
        <v>7.75</v>
      </c>
      <c r="D64" s="240" t="n">
        <v>1</v>
      </c>
      <c r="E64" s="1" t="n"/>
      <c r="F64" s="39" t="n">
        <v>1</v>
      </c>
      <c r="G64" s="39" t="n">
        <v>1</v>
      </c>
      <c r="H64" s="39" t="n">
        <v>1</v>
      </c>
      <c r="I64" s="39" t="n">
        <v>1</v>
      </c>
      <c r="J64" s="39" t="n">
        <v>1</v>
      </c>
      <c r="K64" s="39" t="n">
        <v>1</v>
      </c>
      <c r="L64" s="39" t="n">
        <v>1</v>
      </c>
      <c r="M64" s="39" t="n">
        <v>1</v>
      </c>
      <c r="N64" s="39" t="n">
        <v>1</v>
      </c>
      <c r="O64" s="39" t="n">
        <v>1</v>
      </c>
      <c r="P64" s="39" t="n">
        <v>1</v>
      </c>
      <c r="Q64" s="39" t="n">
        <v>1</v>
      </c>
      <c r="R64" s="39" t="n">
        <v>1</v>
      </c>
      <c r="S64" s="39" t="n">
        <v>1</v>
      </c>
      <c r="T64" s="39" t="n">
        <v>1</v>
      </c>
      <c r="U64" s="39" t="n">
        <v>1</v>
      </c>
      <c r="V64" s="39" t="n">
        <v>1</v>
      </c>
      <c r="W64" s="39" t="n">
        <v>1</v>
      </c>
      <c r="X64" s="39" t="n">
        <v>1</v>
      </c>
      <c r="Y64" s="39" t="n">
        <v>1</v>
      </c>
      <c r="Z64" s="39" t="n">
        <v>1</v>
      </c>
      <c r="AA64" s="39" t="n">
        <v>1</v>
      </c>
      <c r="AB64" s="380">
        <f>Z64+IF(NOT(ISBLANK(OFFSET(AB64,0,6))),N(OFFSET(AB64,0,6)),N(OFFSET(AB64,0,7)))-AA64</f>
        <v/>
      </c>
      <c r="AC64" s="41" t="n"/>
      <c r="AD64" s="138" t="n"/>
      <c r="AE64" s="138" t="n"/>
      <c r="AG64" s="76" t="n"/>
      <c r="AH64" s="41" t="n"/>
      <c r="AI64" s="19" t="n">
        <v>0</v>
      </c>
      <c r="AJ64" s="19" t="n"/>
      <c r="AK64" s="19" t="n">
        <v>0</v>
      </c>
      <c r="AL64" s="19" t="n">
        <v>0</v>
      </c>
      <c r="AM64" s="19" t="n"/>
      <c r="AN64" s="19" t="n"/>
      <c r="AO64" s="19" t="n"/>
      <c r="AP64" s="19" t="n"/>
      <c r="AQ64" s="19" t="n"/>
      <c r="AR64" s="19" t="n"/>
      <c r="AS64" s="19" t="n"/>
      <c r="AT64" s="19" t="n"/>
      <c r="AU64" s="19" t="n"/>
      <c r="AV64" s="19" t="n"/>
      <c r="AW64" s="19" t="n"/>
      <c r="AX64" s="19" t="n"/>
      <c r="AY64" s="19" t="n"/>
      <c r="AZ64" s="19" t="n"/>
      <c r="BA64" s="19" t="n"/>
      <c r="BB64" s="19" t="n"/>
      <c r="BC64" s="19" t="n"/>
      <c r="BD64" s="19" t="n"/>
      <c r="BE64" s="19" t="n"/>
      <c r="BF64" s="19" t="n"/>
      <c r="BG64" s="19" t="n"/>
      <c r="BH64" s="19" t="n"/>
      <c r="BI64" s="19" t="n"/>
      <c r="BJ64" s="19" t="n"/>
    </row>
    <row r="65">
      <c r="A65" s="25" t="inlineStr">
        <is>
          <t>TAG QDB</t>
        </is>
      </c>
      <c r="B65" s="6" t="n">
        <v>300</v>
      </c>
      <c r="C65" s="632" t="n">
        <v>53.97</v>
      </c>
      <c r="D65" s="240" t="n">
        <v>1</v>
      </c>
      <c r="E65" s="1" t="n"/>
      <c r="F65" s="39" t="n">
        <v>3</v>
      </c>
      <c r="G65" s="39" t="n">
        <v>3</v>
      </c>
      <c r="H65" s="39" t="n">
        <v>3</v>
      </c>
      <c r="I65" s="39" t="n">
        <v>3</v>
      </c>
      <c r="J65" s="39" t="n">
        <v>3</v>
      </c>
      <c r="K65" s="39" t="n">
        <v>3</v>
      </c>
      <c r="L65" s="39" t="n">
        <v>3</v>
      </c>
      <c r="M65" s="39" t="n">
        <v>3</v>
      </c>
      <c r="N65" s="39" t="n">
        <v>3</v>
      </c>
      <c r="O65" s="39" t="n">
        <v>3</v>
      </c>
      <c r="P65" s="39" t="n">
        <v>3</v>
      </c>
      <c r="Q65" s="39" t="n">
        <v>3</v>
      </c>
      <c r="R65" s="39" t="n">
        <v>3</v>
      </c>
      <c r="S65" s="39" t="n">
        <v>3</v>
      </c>
      <c r="T65" s="39" t="n">
        <v>3</v>
      </c>
      <c r="U65" s="39" t="n">
        <v>3</v>
      </c>
      <c r="V65" s="39" t="n">
        <v>3</v>
      </c>
      <c r="W65" s="39" t="n">
        <v>3</v>
      </c>
      <c r="X65" s="39" t="n">
        <v>3</v>
      </c>
      <c r="Y65" s="39" t="n">
        <v>3</v>
      </c>
      <c r="Z65" s="39" t="n">
        <v>3</v>
      </c>
      <c r="AA65" s="39" t="n">
        <v>3</v>
      </c>
      <c r="AB65" s="380">
        <f>Z65+IF(NOT(ISBLANK(OFFSET(AB65,0,6))),N(OFFSET(AB65,0,6)),N(OFFSET(AB65,0,7)))-AA65</f>
        <v/>
      </c>
      <c r="AC65" s="41" t="n"/>
      <c r="AD65" s="138" t="n"/>
      <c r="AE65" s="138" t="n"/>
      <c r="AG65" s="76" t="n"/>
      <c r="AH65" s="41" t="n"/>
      <c r="AI65" s="19" t="n">
        <v>0</v>
      </c>
      <c r="AJ65" s="19" t="n"/>
      <c r="AK65" s="19" t="n">
        <v>0</v>
      </c>
      <c r="AL65" s="19" t="n">
        <v>0</v>
      </c>
      <c r="AM65" s="19" t="n"/>
      <c r="AN65" s="19" t="n"/>
      <c r="AO65" s="19" t="n"/>
      <c r="AP65" s="19" t="n"/>
      <c r="AQ65" s="19" t="n"/>
      <c r="AR65" s="19" t="n"/>
      <c r="AS65" s="19" t="n"/>
      <c r="AT65" s="19" t="n"/>
      <c r="AU65" s="19" t="n"/>
      <c r="AV65" s="19" t="n"/>
      <c r="AW65" s="19" t="n"/>
      <c r="AX65" s="19" t="n"/>
      <c r="AY65" s="19" t="n"/>
      <c r="AZ65" s="19" t="n"/>
      <c r="BA65" s="19" t="n"/>
      <c r="BB65" s="19" t="n"/>
      <c r="BC65" s="19" t="n"/>
      <c r="BD65" s="19" t="n"/>
      <c r="BE65" s="19" t="n"/>
      <c r="BF65" s="19" t="n"/>
      <c r="BG65" s="19" t="n"/>
      <c r="BH65" s="19" t="n"/>
      <c r="BI65" s="19" t="n"/>
      <c r="BJ65" s="19" t="n"/>
    </row>
    <row r="66">
      <c r="A66" s="25" t="inlineStr">
        <is>
          <t>LÂMINA OLFATIVA QDB</t>
        </is>
      </c>
      <c r="B66" s="6" t="n">
        <v>3000</v>
      </c>
      <c r="C66" s="632" t="n">
        <v>213</v>
      </c>
      <c r="D66" s="240" t="n">
        <v>0</v>
      </c>
      <c r="E66" s="1" t="n"/>
      <c r="F66" s="39" t="n">
        <v>0</v>
      </c>
      <c r="G66" s="39" t="n">
        <v>0</v>
      </c>
      <c r="H66" s="39" t="n">
        <v>0</v>
      </c>
      <c r="I66" s="39" t="n">
        <v>0</v>
      </c>
      <c r="J66" s="39" t="n">
        <v>0</v>
      </c>
      <c r="K66" s="39" t="n">
        <v>0</v>
      </c>
      <c r="L66" s="39" t="n">
        <v>0</v>
      </c>
      <c r="M66" s="39" t="n">
        <v>0</v>
      </c>
      <c r="N66" s="39" t="n">
        <v>0</v>
      </c>
      <c r="O66" s="39" t="n">
        <v>0</v>
      </c>
      <c r="P66" s="39" t="n">
        <v>0</v>
      </c>
      <c r="Q66" s="39" t="n">
        <v>0</v>
      </c>
      <c r="R66" s="39" t="n">
        <v>0</v>
      </c>
      <c r="S66" s="39" t="n">
        <v>0</v>
      </c>
      <c r="T66" s="39" t="n">
        <v>0</v>
      </c>
      <c r="U66" s="39" t="n">
        <v>0</v>
      </c>
      <c r="V66" s="39" t="n">
        <v>0</v>
      </c>
      <c r="W66" s="39" t="n">
        <v>0</v>
      </c>
      <c r="X66" s="39" t="n">
        <v>0</v>
      </c>
      <c r="Y66" s="39" t="n">
        <v>0</v>
      </c>
      <c r="Z66" s="39" t="n">
        <v>0</v>
      </c>
      <c r="AA66" s="39" t="n">
        <v>0</v>
      </c>
      <c r="AB66" s="380">
        <f>Z66+IF(NOT(ISBLANK(OFFSET(AB66,0,6))),N(OFFSET(AB66,0,6)),N(OFFSET(AB66,0,7)))-AA66</f>
        <v/>
      </c>
      <c r="AC66" s="41" t="n"/>
      <c r="AD66" s="138" t="n"/>
      <c r="AE66" s="138" t="n"/>
      <c r="AG66" s="76" t="n"/>
      <c r="AH66" s="41" t="n"/>
      <c r="AI66" s="19" t="n">
        <v>0</v>
      </c>
      <c r="AJ66" s="19" t="n"/>
      <c r="AK66" s="19" t="n">
        <v>0</v>
      </c>
      <c r="AL66" s="19" t="n">
        <v>0</v>
      </c>
      <c r="AM66" s="19" t="n"/>
      <c r="AN66" s="19" t="n"/>
      <c r="AO66" s="19" t="n"/>
      <c r="AP66" s="19" t="n"/>
      <c r="AQ66" s="19" t="n"/>
      <c r="AR66" s="19" t="n"/>
      <c r="AS66" s="19" t="n"/>
      <c r="AT66" s="19" t="n"/>
      <c r="AU66" s="19" t="n"/>
      <c r="AV66" s="19" t="n"/>
      <c r="AW66" s="19" t="n"/>
      <c r="AX66" s="19" t="n"/>
      <c r="AY66" s="19" t="n"/>
      <c r="AZ66" s="19" t="n"/>
      <c r="BA66" s="19" t="n"/>
      <c r="BB66" s="19" t="n"/>
      <c r="BC66" s="19" t="n"/>
      <c r="BD66" s="19" t="n"/>
      <c r="BE66" s="19" t="n"/>
      <c r="BF66" s="19" t="n"/>
      <c r="BG66" s="19" t="n"/>
      <c r="BH66" s="19" t="n"/>
      <c r="BI66" s="19" t="n"/>
      <c r="BJ66" s="19" t="n"/>
    </row>
    <row r="67">
      <c r="A67" s="25" t="inlineStr">
        <is>
          <t>CAIXA P QDB</t>
        </is>
      </c>
      <c r="B67" s="6" t="n">
        <v>150</v>
      </c>
      <c r="C67" s="632" t="n">
        <v>306</v>
      </c>
      <c r="D67" s="240" t="n">
        <v>10</v>
      </c>
      <c r="E67" s="1" t="n"/>
      <c r="F67" s="39" t="n">
        <v>12</v>
      </c>
      <c r="G67" s="39" t="n">
        <v>12</v>
      </c>
      <c r="H67" s="39" t="n">
        <v>12</v>
      </c>
      <c r="I67" s="39" t="n">
        <v>12</v>
      </c>
      <c r="J67" s="39" t="n">
        <v>12</v>
      </c>
      <c r="K67" s="39" t="n">
        <v>12</v>
      </c>
      <c r="L67" s="39" t="n">
        <v>12</v>
      </c>
      <c r="M67" s="39" t="n">
        <v>12</v>
      </c>
      <c r="N67" s="39" t="n">
        <v>12</v>
      </c>
      <c r="O67" s="39" t="n">
        <v>12</v>
      </c>
      <c r="P67" s="39" t="n">
        <v>11</v>
      </c>
      <c r="Q67" s="39" t="n">
        <v>11</v>
      </c>
      <c r="R67" s="39" t="n">
        <v>11</v>
      </c>
      <c r="S67" s="39" t="n">
        <v>11</v>
      </c>
      <c r="T67" s="39" t="n">
        <v>11</v>
      </c>
      <c r="U67" s="39" t="n">
        <v>11</v>
      </c>
      <c r="V67" s="39" t="n"/>
      <c r="W67" s="39" t="n"/>
      <c r="X67" s="39" t="n"/>
      <c r="Y67" s="39" t="n"/>
      <c r="Z67" s="39" t="n"/>
      <c r="AA67" s="39" t="n">
        <v>11</v>
      </c>
      <c r="AB67" s="380">
        <f>Z67+IF(NOT(ISBLANK(OFFSET(AB67,0,6))),N(OFFSET(AB67,0,6)),N(OFFSET(AB67,0,7)))-AA67</f>
        <v/>
      </c>
      <c r="AC67" s="41" t="n"/>
      <c r="AD67" s="138" t="n"/>
      <c r="AE67" s="138" t="n"/>
      <c r="AG67" s="76" t="n"/>
      <c r="AH67" s="41" t="n"/>
      <c r="AI67" s="19" t="n">
        <v>0</v>
      </c>
      <c r="AJ67" s="19" t="n"/>
      <c r="AK67" s="19" t="n">
        <v>0</v>
      </c>
      <c r="AL67" s="19" t="n">
        <v>0</v>
      </c>
      <c r="AM67" s="163" t="n"/>
      <c r="AN67" s="163" t="n"/>
      <c r="AO67" s="163" t="n"/>
      <c r="AP67" s="163" t="n"/>
      <c r="AQ67" s="163" t="n"/>
      <c r="AR67" s="163" t="n"/>
      <c r="AS67" s="163" t="n"/>
      <c r="AT67" s="163" t="n"/>
      <c r="AU67" s="163" t="n"/>
      <c r="AV67" s="163" t="n"/>
      <c r="AW67" s="163" t="n"/>
      <c r="AX67" s="163" t="n"/>
      <c r="AY67" s="163" t="n"/>
      <c r="AZ67" s="163" t="n"/>
      <c r="BA67" s="163" t="n"/>
      <c r="BB67" s="163" t="n"/>
      <c r="BC67" s="163" t="n"/>
      <c r="BD67" s="163" t="n"/>
      <c r="BE67" s="163" t="n"/>
      <c r="BF67" s="163" t="n"/>
      <c r="BG67" s="163" t="n"/>
      <c r="BH67" s="163" t="n"/>
      <c r="BI67" s="163" t="n"/>
      <c r="BJ67" s="163" t="n"/>
    </row>
    <row r="68">
      <c r="A68" s="25" t="inlineStr">
        <is>
          <t>CAIXA M QDB</t>
        </is>
      </c>
      <c r="B68" s="6" t="n">
        <v>75</v>
      </c>
      <c r="C68" s="632" t="n">
        <v>216.38</v>
      </c>
      <c r="D68" s="240" t="n">
        <v>10</v>
      </c>
      <c r="E68" s="1" t="n"/>
      <c r="F68" s="39" t="n">
        <v>0</v>
      </c>
      <c r="G68" s="39" t="n">
        <v>0</v>
      </c>
      <c r="H68" s="39" t="n">
        <v>0</v>
      </c>
      <c r="I68" s="39" t="n">
        <v>0</v>
      </c>
      <c r="J68" s="39" t="n">
        <v>0</v>
      </c>
      <c r="K68" s="39" t="n">
        <v>0</v>
      </c>
      <c r="L68" s="39" t="n">
        <v>0</v>
      </c>
      <c r="M68" s="39" t="n">
        <v>0</v>
      </c>
      <c r="N68" s="39" t="n">
        <v>0</v>
      </c>
      <c r="O68" s="39" t="n">
        <v>0</v>
      </c>
      <c r="P68" s="39" t="n">
        <v>0</v>
      </c>
      <c r="Q68" s="39" t="n">
        <v>0</v>
      </c>
      <c r="R68" s="39" t="n">
        <v>0</v>
      </c>
      <c r="S68" s="39" t="n">
        <v>0</v>
      </c>
      <c r="T68" s="39" t="n">
        <v>0</v>
      </c>
      <c r="U68" s="39" t="n">
        <v>0</v>
      </c>
      <c r="V68" s="39" t="n"/>
      <c r="W68" s="39" t="n"/>
      <c r="X68" s="39" t="n"/>
      <c r="Y68" s="39" t="n"/>
      <c r="Z68" s="39" t="n"/>
      <c r="AA68" s="39" t="n">
        <v>0</v>
      </c>
      <c r="AB68" s="380">
        <f>Z68+IF(NOT(ISBLANK(OFFSET(AB68,0,6))),N(OFFSET(AB68,0,6)),N(OFFSET(AB68,0,7)))-AA68</f>
        <v/>
      </c>
      <c r="AC68" s="41" t="n"/>
      <c r="AD68" s="138" t="n"/>
      <c r="AE68" s="138" t="n"/>
      <c r="AG68" s="76" t="n"/>
      <c r="AH68" s="41" t="n"/>
      <c r="AI68" s="19" t="n">
        <v>0</v>
      </c>
      <c r="AJ68" s="19" t="n"/>
      <c r="AK68" s="19" t="n">
        <v>0</v>
      </c>
      <c r="AL68" s="19" t="n">
        <v>0</v>
      </c>
      <c r="AM68" s="19" t="n"/>
      <c r="AN68" s="19" t="n"/>
      <c r="AO68" s="19" t="n"/>
      <c r="AP68" s="19" t="n"/>
      <c r="AQ68" s="19" t="n"/>
      <c r="AR68" s="19" t="n"/>
      <c r="AS68" s="19" t="n"/>
      <c r="AT68" s="19" t="n"/>
      <c r="AU68" s="19" t="n"/>
      <c r="AV68" s="19" t="n"/>
      <c r="AW68" s="19" t="n"/>
      <c r="AX68" s="19" t="n"/>
      <c r="AY68" s="19" t="n"/>
      <c r="AZ68" s="19" t="n"/>
      <c r="BA68" s="19" t="n"/>
      <c r="BB68" s="19" t="n"/>
      <c r="BC68" s="19" t="n"/>
      <c r="BD68" s="19" t="n"/>
      <c r="BE68" s="19" t="n"/>
      <c r="BF68" s="19" t="n"/>
      <c r="BG68" s="19" t="n"/>
      <c r="BH68" s="19" t="n"/>
      <c r="BI68" s="19" t="n"/>
      <c r="BJ68" s="19" t="n"/>
    </row>
    <row r="69">
      <c r="A69" s="25" t="inlineStr">
        <is>
          <t>CAIXA G QDB</t>
        </is>
      </c>
      <c r="B69" s="6" t="n">
        <v>100</v>
      </c>
      <c r="C69" s="632" t="n">
        <v>306</v>
      </c>
      <c r="D69" s="240" t="n">
        <v>5</v>
      </c>
      <c r="E69" s="1" t="n"/>
      <c r="F69" s="39" t="n">
        <v>23</v>
      </c>
      <c r="G69" s="39" t="n">
        <v>22</v>
      </c>
      <c r="H69" s="39" t="n">
        <v>22</v>
      </c>
      <c r="I69" s="39" t="n">
        <v>22</v>
      </c>
      <c r="J69" s="39" t="n">
        <v>22</v>
      </c>
      <c r="K69" s="39" t="n">
        <v>21</v>
      </c>
      <c r="L69" s="39" t="n">
        <v>21</v>
      </c>
      <c r="M69" s="39" t="n">
        <v>21</v>
      </c>
      <c r="N69" s="39" t="n">
        <v>21</v>
      </c>
      <c r="O69" s="39" t="n">
        <v>21</v>
      </c>
      <c r="P69" s="39" t="n">
        <v>21</v>
      </c>
      <c r="Q69" s="39" t="n">
        <v>21</v>
      </c>
      <c r="R69" s="39" t="n">
        <v>21</v>
      </c>
      <c r="S69" s="39" t="n">
        <v>21</v>
      </c>
      <c r="T69" s="39" t="n">
        <v>21</v>
      </c>
      <c r="U69" s="39" t="n">
        <v>21</v>
      </c>
      <c r="V69" s="39" t="n"/>
      <c r="W69" s="39" t="n"/>
      <c r="X69" s="39" t="n"/>
      <c r="Y69" s="39" t="n"/>
      <c r="Z69" s="39" t="n"/>
      <c r="AA69" s="39" t="n">
        <v>20</v>
      </c>
      <c r="AB69" s="380">
        <f>Z69+IF(NOT(ISBLANK(OFFSET(AB69,0,6))),N(OFFSET(AB69,0,6)),N(OFFSET(AB69,0,7)))-AA69</f>
        <v/>
      </c>
      <c r="AC69" s="41" t="n"/>
      <c r="AD69" s="138" t="n"/>
      <c r="AE69" s="138" t="n"/>
      <c r="AG69" s="76" t="n"/>
      <c r="AH69" s="41" t="n"/>
      <c r="AI69" s="19" t="n">
        <v>0</v>
      </c>
      <c r="AJ69" s="19" t="n"/>
      <c r="AK69" s="19" t="n">
        <v>0</v>
      </c>
      <c r="AL69" s="19" t="n">
        <v>0</v>
      </c>
      <c r="AM69" s="163" t="n"/>
      <c r="AN69" s="163" t="n"/>
      <c r="AO69" s="163" t="n"/>
      <c r="AP69" s="163" t="n"/>
      <c r="AQ69" s="163" t="n"/>
      <c r="AR69" s="163" t="n"/>
      <c r="AS69" s="163" t="n"/>
      <c r="AT69" s="163" t="n"/>
      <c r="AU69" s="163" t="n"/>
      <c r="AV69" s="163" t="n"/>
      <c r="AW69" s="163" t="n"/>
      <c r="AX69" s="163" t="n"/>
      <c r="AY69" s="163" t="n"/>
      <c r="AZ69" s="163" t="n"/>
      <c r="BA69" s="163" t="n"/>
      <c r="BB69" s="163" t="n"/>
      <c r="BC69" s="163" t="n"/>
      <c r="BD69" s="163" t="n"/>
      <c r="BE69" s="163" t="n"/>
      <c r="BF69" s="163" t="n"/>
      <c r="BG69" s="163" t="n"/>
      <c r="BH69" s="163" t="n"/>
      <c r="BI69" s="163" t="n"/>
      <c r="BJ69" s="163" t="n"/>
    </row>
    <row r="70">
      <c r="B70" s="41" t="n"/>
      <c r="C70" s="684" t="n"/>
      <c r="D70" s="684" t="n"/>
      <c r="F70" s="2" t="n"/>
      <c r="G70" s="2" t="n"/>
      <c r="H70" s="2" t="n"/>
      <c r="I70" s="2" t="n"/>
      <c r="J70" s="2" t="n"/>
      <c r="K70" s="2" t="n"/>
      <c r="L70" s="2" t="n"/>
      <c r="M70" s="2" t="n"/>
      <c r="N70" s="2" t="n"/>
      <c r="O70" s="2" t="n"/>
      <c r="P70" s="2" t="n"/>
      <c r="Q70" s="2" t="n"/>
      <c r="R70" s="2" t="n"/>
      <c r="S70" s="2" t="n"/>
      <c r="T70" s="2" t="n"/>
      <c r="U70" s="2" t="n"/>
      <c r="V70" s="2" t="n"/>
      <c r="W70" s="2" t="n"/>
      <c r="X70" s="2" t="n"/>
      <c r="Y70" s="2" t="n"/>
      <c r="Z70" s="2" t="n"/>
      <c r="AA70" s="2" t="n"/>
      <c r="AB70" s="2" t="n"/>
      <c r="AD70" s="75" t="n"/>
      <c r="AE70" s="75" t="n"/>
      <c r="AF70" s="1" t="n"/>
      <c r="AG70" s="15" t="n"/>
      <c r="AH70" s="41" t="n"/>
      <c r="AI70" s="75" t="n"/>
      <c r="AJ70" s="75" t="n"/>
      <c r="AK70" s="75" t="n"/>
      <c r="AL70" s="75" t="n"/>
      <c r="AM70" s="75" t="n"/>
      <c r="AN70" s="75" t="n"/>
      <c r="AO70" s="75" t="n"/>
      <c r="AP70" s="75" t="n"/>
      <c r="AQ70" s="75" t="n"/>
      <c r="AR70" s="75" t="n"/>
      <c r="AS70" s="75" t="n"/>
      <c r="AT70" s="75" t="n"/>
      <c r="AU70" s="75" t="n"/>
      <c r="AV70" s="75" t="n"/>
      <c r="AW70" s="75" t="n"/>
      <c r="AX70" s="75" t="n"/>
      <c r="AY70" s="75" t="n"/>
      <c r="AZ70" s="75" t="n"/>
      <c r="BA70" s="75" t="n"/>
      <c r="BB70" s="75" t="n"/>
      <c r="BC70" s="75" t="n"/>
      <c r="BD70" s="75" t="n"/>
      <c r="BE70" s="75" t="n"/>
      <c r="BF70" s="75" t="n"/>
      <c r="BG70" s="75" t="n"/>
      <c r="BH70" s="75" t="n"/>
      <c r="BI70" s="75" t="n"/>
      <c r="BJ70" s="75" t="n"/>
    </row>
    <row r="71">
      <c r="A71" s="220" t="inlineStr">
        <is>
          <t>SACOLAS E CAIXAS EUDORA</t>
        </is>
      </c>
      <c r="B71" s="221" t="n"/>
      <c r="C71" s="221" t="n"/>
      <c r="D71" s="221" t="n"/>
      <c r="F71" s="619" t="n">
        <v>46006</v>
      </c>
      <c r="G71" s="619" t="n">
        <v>46013</v>
      </c>
      <c r="H71" s="619" t="n">
        <v>46020</v>
      </c>
      <c r="I71" s="619" t="n">
        <v>46027</v>
      </c>
      <c r="J71" s="619" t="n">
        <v>46034</v>
      </c>
      <c r="K71" s="619" t="n">
        <v>46041</v>
      </c>
      <c r="L71" s="619" t="n">
        <v>46048</v>
      </c>
      <c r="M71" s="619" t="n">
        <v>46055</v>
      </c>
      <c r="N71" s="619" t="n">
        <v>46062</v>
      </c>
      <c r="O71" s="619" t="n">
        <v>46069</v>
      </c>
      <c r="P71" s="619" t="n">
        <v>46076</v>
      </c>
      <c r="Q71" s="619" t="n">
        <v>46083</v>
      </c>
      <c r="R71" s="619" t="n">
        <v>46090</v>
      </c>
      <c r="S71" s="619" t="n">
        <v>46097</v>
      </c>
      <c r="T71" s="619" t="n">
        <v>46104</v>
      </c>
      <c r="U71" s="619" t="n">
        <v>46111</v>
      </c>
      <c r="V71" s="619" t="n">
        <v>46118</v>
      </c>
      <c r="W71" s="619" t="n">
        <v>46125</v>
      </c>
      <c r="X71" s="619" t="n">
        <v>46132</v>
      </c>
      <c r="Y71" s="619" t="n">
        <v>46139</v>
      </c>
      <c r="Z71" s="619" t="n">
        <v>46146</v>
      </c>
      <c r="AA71" s="619" t="n">
        <v>46154</v>
      </c>
      <c r="AB71" s="621" t="inlineStr">
        <is>
          <t>USOU</t>
        </is>
      </c>
      <c r="AD71" s="29" t="inlineStr">
        <is>
          <t>Pendências</t>
        </is>
      </c>
      <c r="AE71" s="29" t="inlineStr">
        <is>
          <t>Pendências</t>
        </is>
      </c>
      <c r="AF71" s="1" t="n"/>
      <c r="AG71" s="9" t="inlineStr">
        <is>
          <t>Novo Pedido</t>
        </is>
      </c>
      <c r="AH71" s="41" t="n"/>
      <c r="AI71" s="674" t="n">
        <v>46149</v>
      </c>
      <c r="AJ71" s="615" t="n">
        <v>46150</v>
      </c>
      <c r="AK71" s="674" t="n">
        <v>46142</v>
      </c>
      <c r="AL71" s="674" t="n">
        <v>46114</v>
      </c>
      <c r="AM71" s="674" t="n">
        <v>46107</v>
      </c>
      <c r="AN71" s="674" t="n">
        <v>46099</v>
      </c>
      <c r="AO71" s="675" t="n">
        <v>46065</v>
      </c>
      <c r="AP71" s="674" t="n">
        <v>46092</v>
      </c>
      <c r="AQ71" s="674" t="n">
        <v>46084</v>
      </c>
      <c r="AR71" s="675" t="n">
        <v>46065</v>
      </c>
      <c r="AS71" s="676" t="n">
        <v>46045</v>
      </c>
      <c r="AT71" s="674" t="n">
        <v>46077</v>
      </c>
      <c r="AU71" s="674" t="n">
        <v>46071</v>
      </c>
      <c r="AV71" s="674" t="n">
        <v>46056</v>
      </c>
      <c r="AW71" s="674" t="n">
        <v>46048</v>
      </c>
      <c r="AX71" s="674" t="n">
        <v>46043</v>
      </c>
      <c r="AY71" s="674" t="n">
        <v>46035</v>
      </c>
      <c r="AZ71" s="674" t="n">
        <v>46029</v>
      </c>
      <c r="BA71" s="674" t="n">
        <v>46035</v>
      </c>
      <c r="BB71" s="674" t="n">
        <v>46029</v>
      </c>
      <c r="BC71" s="674" t="n">
        <v>46024</v>
      </c>
      <c r="BD71" s="674" t="n">
        <v>46007</v>
      </c>
      <c r="BE71" s="674" t="n">
        <v>46001</v>
      </c>
      <c r="BF71" s="674" t="n">
        <v>46001</v>
      </c>
      <c r="BG71" s="674" t="n">
        <v>45994</v>
      </c>
      <c r="BH71" s="674" t="n">
        <v>45986</v>
      </c>
      <c r="BI71" s="674" t="n">
        <v>45986</v>
      </c>
      <c r="BJ71" s="674" t="n">
        <v>45980</v>
      </c>
    </row>
    <row r="72">
      <c r="A72" s="25" t="inlineStr">
        <is>
          <t>SACOLA P EUDORA</t>
        </is>
      </c>
      <c r="B72" s="6" t="n">
        <v>200</v>
      </c>
      <c r="C72" s="632" t="n">
        <v>183.24</v>
      </c>
      <c r="D72" s="240" t="inlineStr">
        <is>
          <t>?</t>
        </is>
      </c>
      <c r="F72" s="39" t="n">
        <v>1000</v>
      </c>
      <c r="G72" s="39">
        <f>800+BD72</f>
        <v/>
      </c>
      <c r="H72" s="39" t="n">
        <v>1000</v>
      </c>
      <c r="I72" s="39" t="n">
        <v>800</v>
      </c>
      <c r="J72" s="39" t="n">
        <v>400</v>
      </c>
      <c r="K72" s="39" t="n">
        <v>0</v>
      </c>
      <c r="L72" s="39">
        <f>400+AY72</f>
        <v/>
      </c>
      <c r="M72" s="39" t="n">
        <v>400</v>
      </c>
      <c r="N72" s="39">
        <f>0+AV72</f>
        <v/>
      </c>
      <c r="O72" s="39" t="n">
        <v>600</v>
      </c>
      <c r="P72" s="39" t="n">
        <v>400</v>
      </c>
      <c r="Q72" s="39" t="n">
        <v>200</v>
      </c>
      <c r="R72" s="39" t="n">
        <v>600</v>
      </c>
      <c r="S72" s="39" t="n">
        <v>0</v>
      </c>
      <c r="T72" s="39">
        <f>0+AN72</f>
        <v/>
      </c>
      <c r="U72" s="39" t="n">
        <v>600</v>
      </c>
      <c r="V72" s="39" t="n">
        <v>200</v>
      </c>
      <c r="W72" s="39" t="n">
        <v>200</v>
      </c>
      <c r="X72" s="39" t="n">
        <v>200</v>
      </c>
      <c r="Y72" s="39" t="n">
        <v>200</v>
      </c>
      <c r="Z72" s="39" t="n">
        <v>0</v>
      </c>
      <c r="AA72" s="39">
        <f>0+AI72</f>
        <v/>
      </c>
      <c r="AB72" s="380">
        <f>Z72+IF(NOT(ISBLANK(OFFSET(AB72,0,6))),N(OFFSET(AB72,0,6)),N(OFFSET(AB72,0,7)))-AA72</f>
        <v/>
      </c>
      <c r="AD72" s="138" t="n"/>
      <c r="AE72" s="138" t="n"/>
      <c r="AF72" s="1" t="n"/>
      <c r="AG72" s="76" t="n"/>
      <c r="AH72" s="41" t="n"/>
      <c r="AI72" s="19" t="n">
        <v>600</v>
      </c>
      <c r="AJ72" s="19" t="n"/>
      <c r="AK72" s="19" t="n">
        <v>0</v>
      </c>
      <c r="AL72" s="19" t="n">
        <v>200</v>
      </c>
      <c r="AM72" s="19" t="n"/>
      <c r="AN72" s="19" t="n">
        <v>800</v>
      </c>
      <c r="AO72" s="19" t="n"/>
      <c r="AP72" s="19" t="n"/>
      <c r="AQ72" s="19" t="n">
        <v>600</v>
      </c>
      <c r="AR72" s="19" t="n"/>
      <c r="AS72" s="19" t="n"/>
      <c r="AT72" s="19" t="n"/>
      <c r="AU72" s="19" t="n"/>
      <c r="AV72" s="19" t="n">
        <v>1000</v>
      </c>
      <c r="AW72" s="19" t="n"/>
      <c r="AX72" s="19" t="n"/>
      <c r="AY72" s="19" t="n">
        <v>800</v>
      </c>
      <c r="AZ72" s="19" t="n">
        <v>400</v>
      </c>
      <c r="BA72" s="19" t="n"/>
      <c r="BB72" s="19" t="n"/>
      <c r="BC72" s="19" t="n"/>
      <c r="BD72" s="19" t="n">
        <v>400</v>
      </c>
      <c r="BE72" s="19" t="n">
        <v>600</v>
      </c>
      <c r="BF72" s="19" t="n"/>
      <c r="BG72" s="19" t="n">
        <v>400</v>
      </c>
      <c r="BH72" s="19" t="n">
        <v>800</v>
      </c>
      <c r="BI72" s="19" t="n"/>
      <c r="BJ72" s="19" t="n">
        <v>600</v>
      </c>
    </row>
    <row r="73">
      <c r="A73" s="25" t="inlineStr">
        <is>
          <t>SACOLA M EUDORA</t>
        </is>
      </c>
      <c r="B73" s="6" t="n">
        <v>200</v>
      </c>
      <c r="C73" s="632" t="n">
        <v>240.83</v>
      </c>
      <c r="D73" s="240" t="inlineStr">
        <is>
          <t>?</t>
        </is>
      </c>
      <c r="F73" s="39" t="n">
        <v>600</v>
      </c>
      <c r="G73" s="39">
        <f>600+BD73</f>
        <v/>
      </c>
      <c r="H73" s="39" t="n">
        <v>800</v>
      </c>
      <c r="I73" s="39" t="n">
        <v>800</v>
      </c>
      <c r="J73" s="39" t="n">
        <v>600</v>
      </c>
      <c r="K73" s="39" t="n">
        <v>600</v>
      </c>
      <c r="L73" s="39" t="n">
        <v>400</v>
      </c>
      <c r="M73" s="39" t="n">
        <v>400</v>
      </c>
      <c r="N73" s="39" t="n">
        <v>200</v>
      </c>
      <c r="O73" s="39" t="n">
        <v>200</v>
      </c>
      <c r="P73" s="39" t="n">
        <v>0</v>
      </c>
      <c r="Q73" s="39">
        <f>400+AT73</f>
        <v/>
      </c>
      <c r="R73" s="39" t="n">
        <v>600</v>
      </c>
      <c r="S73" s="39" t="n">
        <v>600</v>
      </c>
      <c r="T73" s="39" t="n">
        <v>600</v>
      </c>
      <c r="U73" s="39" t="n">
        <v>600</v>
      </c>
      <c r="V73" s="39" t="n">
        <v>600</v>
      </c>
      <c r="W73" s="39" t="n">
        <v>600</v>
      </c>
      <c r="X73" s="39" t="n">
        <v>600</v>
      </c>
      <c r="Y73" s="39" t="n">
        <v>400</v>
      </c>
      <c r="Z73" s="39" t="n">
        <v>200</v>
      </c>
      <c r="AA73" s="39" t="n">
        <v>0</v>
      </c>
      <c r="AB73" s="380">
        <f>Z73+IF(NOT(ISBLANK(OFFSET(AB73,0,6))),N(OFFSET(AB73,0,6)),N(OFFSET(AB73,0,7)))-AA73</f>
        <v/>
      </c>
      <c r="AD73" s="138" t="n"/>
      <c r="AE73" s="138" t="n"/>
      <c r="AF73" s="1" t="n"/>
      <c r="AG73" s="76" t="n"/>
      <c r="AH73" s="41" t="n"/>
      <c r="AI73" s="19" t="n">
        <v>0</v>
      </c>
      <c r="AJ73" s="19" t="n"/>
      <c r="AK73" s="19" t="n">
        <v>0</v>
      </c>
      <c r="AL73" s="19" t="n">
        <v>0</v>
      </c>
      <c r="AM73" s="19" t="n"/>
      <c r="AN73" s="19" t="n"/>
      <c r="AO73" s="19" t="n"/>
      <c r="AP73" s="19" t="n"/>
      <c r="AQ73" s="19" t="n"/>
      <c r="AR73" s="19" t="n"/>
      <c r="AS73" s="19" t="n"/>
      <c r="AT73" s="19" t="n">
        <v>400</v>
      </c>
      <c r="AU73" s="19" t="n">
        <v>600</v>
      </c>
      <c r="AV73" s="19" t="n"/>
      <c r="AW73" s="19" t="n"/>
      <c r="AX73" s="19" t="n"/>
      <c r="AY73" s="19" t="n"/>
      <c r="AZ73" s="19" t="n"/>
      <c r="BA73" s="19" t="n"/>
      <c r="BB73" s="19" t="n"/>
      <c r="BC73" s="19" t="n"/>
      <c r="BD73" s="19" t="n">
        <v>200</v>
      </c>
      <c r="BE73" s="19" t="n"/>
      <c r="BF73" s="19" t="n"/>
      <c r="BG73" s="19" t="n">
        <v>200</v>
      </c>
      <c r="BH73" s="19" t="n">
        <v>400</v>
      </c>
      <c r="BI73" s="19" t="n"/>
      <c r="BJ73" s="19" t="n"/>
    </row>
    <row r="74">
      <c r="A74" s="25" t="inlineStr">
        <is>
          <t>SACOLA G EUDORA</t>
        </is>
      </c>
      <c r="B74" s="6" t="n">
        <v>100</v>
      </c>
      <c r="C74" s="632" t="n">
        <v>175.13</v>
      </c>
      <c r="D74" s="240" t="inlineStr">
        <is>
          <t>?</t>
        </is>
      </c>
      <c r="F74" s="39" t="n">
        <v>300</v>
      </c>
      <c r="G74" s="39">
        <f>300+BE74</f>
        <v/>
      </c>
      <c r="H74" s="39" t="n">
        <v>800</v>
      </c>
      <c r="I74" s="39" t="n">
        <v>700</v>
      </c>
      <c r="J74" s="39" t="n">
        <v>600</v>
      </c>
      <c r="K74" s="39" t="n">
        <v>600</v>
      </c>
      <c r="L74" s="39" t="n">
        <v>600</v>
      </c>
      <c r="M74" s="39" t="n">
        <v>500</v>
      </c>
      <c r="N74" s="39" t="n">
        <v>500</v>
      </c>
      <c r="O74" s="39" t="n">
        <v>500</v>
      </c>
      <c r="P74" s="39" t="n">
        <v>500</v>
      </c>
      <c r="Q74" s="39" t="n">
        <v>400</v>
      </c>
      <c r="R74" s="39" t="n">
        <v>300</v>
      </c>
      <c r="S74" s="39" t="n">
        <v>300</v>
      </c>
      <c r="T74" s="39" t="n">
        <v>300</v>
      </c>
      <c r="U74" s="39" t="n">
        <v>200</v>
      </c>
      <c r="V74" s="39" t="n">
        <v>200</v>
      </c>
      <c r="W74" s="39" t="n">
        <v>300</v>
      </c>
      <c r="X74" s="39" t="n">
        <v>300</v>
      </c>
      <c r="Y74" s="39" t="n">
        <v>300</v>
      </c>
      <c r="Z74" s="39" t="n">
        <v>300</v>
      </c>
      <c r="AA74" s="39" t="n">
        <v>200</v>
      </c>
      <c r="AB74" s="380">
        <f>Z74+IF(NOT(ISBLANK(OFFSET(AB74,0,6))),N(OFFSET(AB74,0,6)),N(OFFSET(AB74,0,7)))-AA74</f>
        <v/>
      </c>
      <c r="AD74" s="138" t="n"/>
      <c r="AE74" s="138" t="n"/>
      <c r="AF74" s="1" t="n"/>
      <c r="AG74" s="76" t="n"/>
      <c r="AH74" s="41" t="n"/>
      <c r="AI74" s="19" t="n">
        <v>0</v>
      </c>
      <c r="AJ74" s="19" t="n"/>
      <c r="AK74" s="19" t="n">
        <v>0</v>
      </c>
      <c r="AL74" s="19" t="n">
        <v>100</v>
      </c>
      <c r="AM74" s="19" t="n"/>
      <c r="AN74" s="19" t="n"/>
      <c r="AO74" s="19" t="n"/>
      <c r="AP74" s="19" t="n"/>
      <c r="AQ74" s="19" t="n"/>
      <c r="AR74" s="19" t="n"/>
      <c r="AS74" s="19" t="n"/>
      <c r="AT74" s="19" t="n"/>
      <c r="AU74" s="19" t="n"/>
      <c r="AV74" s="19" t="n"/>
      <c r="AW74" s="19" t="n"/>
      <c r="AX74" s="19" t="n"/>
      <c r="AY74" s="19" t="n"/>
      <c r="AZ74" s="19" t="n"/>
      <c r="BA74" s="19" t="n"/>
      <c r="BB74" s="19" t="n"/>
      <c r="BC74" s="19" t="n"/>
      <c r="BD74" s="19" t="n"/>
      <c r="BE74" s="19" t="n">
        <v>500</v>
      </c>
      <c r="BF74" s="19" t="n"/>
      <c r="BG74" s="19" t="n"/>
      <c r="BH74" s="19" t="n"/>
      <c r="BI74" s="19" t="n">
        <v>200</v>
      </c>
      <c r="BJ74" s="19" t="n"/>
    </row>
    <row r="75">
      <c r="A75" s="538" t="inlineStr">
        <is>
          <t>PAPEL DE SEDA EUDORA</t>
        </is>
      </c>
      <c r="B75" s="223" t="n">
        <v>200</v>
      </c>
      <c r="C75" s="683" t="n">
        <v>29.77</v>
      </c>
      <c r="D75" s="240" t="inlineStr">
        <is>
          <t>?</t>
        </is>
      </c>
      <c r="F75" s="39" t="n">
        <v>2</v>
      </c>
      <c r="G75" s="39" t="n">
        <v>2</v>
      </c>
      <c r="H75" s="39" t="n">
        <v>2</v>
      </c>
      <c r="I75" s="39" t="n">
        <v>2</v>
      </c>
      <c r="J75" s="39" t="n">
        <v>2</v>
      </c>
      <c r="K75" s="39" t="n">
        <v>2</v>
      </c>
      <c r="L75" s="39" t="n">
        <v>2</v>
      </c>
      <c r="M75" s="39" t="n">
        <v>2</v>
      </c>
      <c r="N75" s="39" t="n">
        <v>2</v>
      </c>
      <c r="O75" s="39" t="n">
        <v>2</v>
      </c>
      <c r="P75" s="39" t="n">
        <v>2</v>
      </c>
      <c r="Q75" s="39" t="n">
        <v>2</v>
      </c>
      <c r="R75" s="39" t="n">
        <v>2</v>
      </c>
      <c r="S75" s="39" t="n">
        <v>2</v>
      </c>
      <c r="T75" s="39" t="n">
        <v>2</v>
      </c>
      <c r="U75" s="39" t="n">
        <v>2</v>
      </c>
      <c r="V75" s="39" t="n">
        <v>2</v>
      </c>
      <c r="W75" s="39" t="n">
        <v>2</v>
      </c>
      <c r="X75" s="39" t="n">
        <v>2</v>
      </c>
      <c r="Y75" s="39" t="n">
        <v>2</v>
      </c>
      <c r="Z75" s="39" t="n">
        <v>2</v>
      </c>
      <c r="AA75" s="39" t="n">
        <v>2</v>
      </c>
      <c r="AB75" s="380">
        <f>Z75+IF(NOT(ISBLANK(OFFSET(AB75,0,6))),N(OFFSET(AB75,0,6)),N(OFFSET(AB75,0,7)))-AA75</f>
        <v/>
      </c>
      <c r="AD75" s="138" t="n"/>
      <c r="AE75" s="138" t="n"/>
      <c r="AF75" s="1" t="n"/>
      <c r="AG75" s="32" t="n"/>
      <c r="AH75" s="41" t="n"/>
      <c r="AI75" s="19" t="n">
        <v>0</v>
      </c>
      <c r="AJ75" s="19" t="n"/>
      <c r="AK75" s="19" t="n">
        <v>0</v>
      </c>
      <c r="AL75" s="19" t="n">
        <v>0</v>
      </c>
      <c r="AM75" s="19" t="n"/>
      <c r="AN75" s="19" t="n"/>
      <c r="AO75" s="19" t="n"/>
      <c r="AP75" s="19" t="n"/>
      <c r="AQ75" s="19" t="n"/>
      <c r="AR75" s="19" t="n"/>
      <c r="AS75" s="19" t="n"/>
      <c r="AT75" s="19" t="n"/>
      <c r="AU75" s="19" t="n"/>
      <c r="AV75" s="19" t="n"/>
      <c r="AW75" s="19" t="n"/>
      <c r="AX75" s="19" t="n"/>
      <c r="AY75" s="19" t="n"/>
      <c r="AZ75" s="19" t="n"/>
      <c r="BA75" s="19" t="n"/>
      <c r="BB75" s="19" t="n"/>
      <c r="BC75" s="19" t="n"/>
      <c r="BD75" s="19" t="n"/>
      <c r="BE75" s="19" t="n"/>
      <c r="BF75" s="19" t="n"/>
      <c r="BG75" s="19" t="n"/>
      <c r="BH75" s="19" t="n"/>
      <c r="BI75" s="19" t="n"/>
      <c r="BJ75" s="19" t="n"/>
    </row>
    <row r="76">
      <c r="A76" s="538" t="inlineStr">
        <is>
          <t>ADESIVOS EUDORA</t>
        </is>
      </c>
      <c r="B76" s="223" t="n">
        <v>1000</v>
      </c>
      <c r="C76" s="683" t="n">
        <v>70</v>
      </c>
      <c r="D76" s="240" t="inlineStr">
        <is>
          <t>?</t>
        </is>
      </c>
      <c r="F76" s="39" t="n">
        <v>2</v>
      </c>
      <c r="G76" s="39" t="n">
        <v>2</v>
      </c>
      <c r="H76" s="39" t="n">
        <v>2</v>
      </c>
      <c r="I76" s="39" t="n">
        <v>2</v>
      </c>
      <c r="J76" s="39" t="n">
        <v>2</v>
      </c>
      <c r="K76" s="39" t="n">
        <v>2</v>
      </c>
      <c r="L76" s="39" t="n">
        <v>2</v>
      </c>
      <c r="M76" s="39" t="n">
        <v>2</v>
      </c>
      <c r="N76" s="39" t="n">
        <v>2</v>
      </c>
      <c r="O76" s="39" t="n">
        <v>2</v>
      </c>
      <c r="P76" s="39" t="n">
        <v>2</v>
      </c>
      <c r="Q76" s="39" t="n">
        <v>2</v>
      </c>
      <c r="R76" s="39" t="n">
        <v>2</v>
      </c>
      <c r="S76" s="39" t="n">
        <v>2</v>
      </c>
      <c r="T76" s="39" t="n">
        <v>2</v>
      </c>
      <c r="U76" s="39" t="n">
        <v>2</v>
      </c>
      <c r="V76" s="39" t="n">
        <v>1</v>
      </c>
      <c r="W76" s="39" t="n">
        <v>1</v>
      </c>
      <c r="X76" s="39" t="n">
        <v>1</v>
      </c>
      <c r="Y76" s="39" t="n">
        <v>1</v>
      </c>
      <c r="Z76" s="39" t="n">
        <v>1</v>
      </c>
      <c r="AA76" s="39" t="n">
        <v>1</v>
      </c>
      <c r="AB76" s="380">
        <f>Z76+IF(NOT(ISBLANK(OFFSET(AB76,0,6))),N(OFFSET(AB76,0,6)),N(OFFSET(AB76,0,7)))-AA76</f>
        <v/>
      </c>
      <c r="AD76" s="138" t="n"/>
      <c r="AE76" s="138" t="n"/>
      <c r="AF76" s="1" t="n"/>
      <c r="AG76" s="76" t="n"/>
      <c r="AH76" s="41" t="n"/>
      <c r="AI76" s="19" t="n">
        <v>0</v>
      </c>
      <c r="AJ76" s="19" t="n"/>
      <c r="AK76" s="19" t="n">
        <v>0</v>
      </c>
      <c r="AL76" s="19" t="n">
        <v>0</v>
      </c>
      <c r="AM76" s="19" t="n"/>
      <c r="AN76" s="19" t="n"/>
      <c r="AO76" s="19" t="n"/>
      <c r="AP76" s="19" t="n"/>
      <c r="AQ76" s="19" t="n"/>
      <c r="AR76" s="19" t="n"/>
      <c r="AS76" s="19" t="n"/>
      <c r="AT76" s="19" t="n"/>
      <c r="AU76" s="19" t="n"/>
      <c r="AV76" s="19" t="n"/>
      <c r="AW76" s="19" t="n"/>
      <c r="AX76" s="19" t="n"/>
      <c r="AY76" s="19" t="n"/>
      <c r="AZ76" s="19" t="n"/>
      <c r="BA76" s="19" t="n"/>
      <c r="BB76" s="19" t="n"/>
      <c r="BC76" s="19" t="n"/>
      <c r="BD76" s="19" t="n"/>
      <c r="BE76" s="19" t="n"/>
      <c r="BF76" s="19" t="n"/>
      <c r="BG76" s="19" t="n"/>
      <c r="BH76" s="19" t="n"/>
      <c r="BI76" s="19" t="n"/>
      <c r="BJ76" s="19" t="n"/>
    </row>
    <row r="77">
      <c r="A77" s="538" t="inlineStr">
        <is>
          <t>LÂMINA OLFATIVA EUDORA</t>
        </is>
      </c>
      <c r="B77" s="225" t="n">
        <v>2000</v>
      </c>
      <c r="C77" s="683" t="n">
        <v>71</v>
      </c>
      <c r="D77" s="240" t="n">
        <v>0</v>
      </c>
      <c r="F77" s="39" t="n">
        <v>0</v>
      </c>
      <c r="G77" s="39" t="n">
        <v>0</v>
      </c>
      <c r="H77" s="39" t="n">
        <v>0</v>
      </c>
      <c r="I77" s="39" t="n">
        <v>0</v>
      </c>
      <c r="J77" s="39" t="n">
        <v>0</v>
      </c>
      <c r="K77" s="39" t="n">
        <v>0</v>
      </c>
      <c r="L77" s="39" t="n">
        <v>0</v>
      </c>
      <c r="M77" s="39" t="n">
        <v>0</v>
      </c>
      <c r="N77" s="39" t="n">
        <v>0</v>
      </c>
      <c r="O77" s="39" t="n">
        <v>0</v>
      </c>
      <c r="P77" s="39" t="n">
        <v>0</v>
      </c>
      <c r="Q77" s="39" t="n">
        <v>0</v>
      </c>
      <c r="R77" s="39" t="n">
        <v>0</v>
      </c>
      <c r="S77" s="39" t="n">
        <v>0</v>
      </c>
      <c r="T77" s="39" t="n">
        <v>0</v>
      </c>
      <c r="U77" s="39" t="n">
        <v>0</v>
      </c>
      <c r="V77" s="39" t="n">
        <v>0</v>
      </c>
      <c r="W77" s="39" t="n">
        <v>0</v>
      </c>
      <c r="X77" s="39" t="n">
        <v>0</v>
      </c>
      <c r="Y77" s="39" t="n">
        <v>0</v>
      </c>
      <c r="Z77" s="39" t="n">
        <v>0</v>
      </c>
      <c r="AA77" s="39" t="n">
        <v>0</v>
      </c>
      <c r="AB77" s="380">
        <f>Z77+IF(NOT(ISBLANK(OFFSET(AB77,0,6))),N(OFFSET(AB77,0,6)),N(OFFSET(AB77,0,7)))-AA77</f>
        <v/>
      </c>
      <c r="AD77" s="138" t="n"/>
      <c r="AE77" s="138" t="n"/>
      <c r="AF77" s="1" t="n"/>
      <c r="AG77" s="76" t="n"/>
      <c r="AH77" s="41" t="n"/>
      <c r="AI77" s="19" t="n">
        <v>0</v>
      </c>
      <c r="AJ77" s="19" t="n"/>
      <c r="AK77" s="19" t="n">
        <v>0</v>
      </c>
      <c r="AL77" s="19" t="n">
        <v>0</v>
      </c>
      <c r="AM77" s="19" t="n"/>
      <c r="AN77" s="19" t="n"/>
      <c r="AO77" s="19" t="n"/>
      <c r="AP77" s="19" t="n"/>
      <c r="AQ77" s="19" t="n"/>
      <c r="AR77" s="19" t="n"/>
      <c r="AS77" s="19" t="n"/>
      <c r="AT77" s="19" t="n"/>
      <c r="AU77" s="19" t="n"/>
      <c r="AV77" s="19" t="n"/>
      <c r="AW77" s="19" t="n"/>
      <c r="AX77" s="19" t="n"/>
      <c r="AY77" s="19" t="n"/>
      <c r="AZ77" s="19" t="n"/>
      <c r="BA77" s="19" t="n"/>
      <c r="BB77" s="19" t="n"/>
      <c r="BC77" s="19" t="n"/>
      <c r="BD77" s="19" t="n"/>
      <c r="BE77" s="19" t="n"/>
      <c r="BF77" s="19" t="n"/>
      <c r="BG77" s="19" t="n"/>
      <c r="BH77" s="19" t="n"/>
      <c r="BI77" s="19" t="n"/>
      <c r="BJ77" s="19" t="n"/>
    </row>
    <row r="78">
      <c r="A78" s="538" t="inlineStr">
        <is>
          <t>KIT SACOLA P EUDORA (C/ 10)</t>
        </is>
      </c>
      <c r="B78" s="223" t="n">
        <v>200</v>
      </c>
      <c r="C78" s="683" t="n">
        <v>184.13</v>
      </c>
      <c r="D78" s="240" t="n">
        <v>15</v>
      </c>
      <c r="F78" s="39" t="n">
        <v>2</v>
      </c>
      <c r="G78" s="39" t="n">
        <v>0</v>
      </c>
      <c r="H78" s="39" t="n">
        <v>0</v>
      </c>
      <c r="I78" s="39" t="n">
        <v>0</v>
      </c>
      <c r="J78" s="39" t="n">
        <v>0</v>
      </c>
      <c r="K78" s="39" t="n">
        <v>0</v>
      </c>
      <c r="L78" s="39">
        <f>0+AX78</f>
        <v/>
      </c>
      <c r="M78" s="39" t="n">
        <v>40</v>
      </c>
      <c r="N78" s="39" t="n">
        <v>39</v>
      </c>
      <c r="O78" s="39" t="n">
        <v>39</v>
      </c>
      <c r="P78" s="39" t="n">
        <v>40</v>
      </c>
      <c r="Q78" s="39" t="n">
        <v>40</v>
      </c>
      <c r="R78" s="39" t="n">
        <v>40</v>
      </c>
      <c r="S78" s="39" t="n">
        <v>40</v>
      </c>
      <c r="T78" s="39" t="n">
        <v>38</v>
      </c>
      <c r="U78" s="39" t="n">
        <v>38</v>
      </c>
      <c r="V78" s="39" t="n"/>
      <c r="W78" s="39" t="n"/>
      <c r="X78" s="39" t="n"/>
      <c r="Y78" s="39" t="n"/>
      <c r="Z78" s="39" t="n"/>
      <c r="AA78" s="39" t="n">
        <v>36</v>
      </c>
      <c r="AB78" s="380">
        <f>Z78+IF(NOT(ISBLANK(OFFSET(AB78,0,6))),N(OFFSET(AB78,0,6)),N(OFFSET(AB78,0,7)))-AA78</f>
        <v/>
      </c>
      <c r="AD78" s="138" t="n"/>
      <c r="AE78" s="138" t="n"/>
      <c r="AF78" s="1" t="n"/>
      <c r="AG78" s="76" t="n"/>
      <c r="AH78" s="41" t="n"/>
      <c r="AI78" s="19" t="n">
        <v>0</v>
      </c>
      <c r="AJ78" s="19" t="n"/>
      <c r="AK78" s="19" t="n">
        <v>0</v>
      </c>
      <c r="AL78" s="19" t="n">
        <v>0</v>
      </c>
      <c r="AM78" s="19" t="n"/>
      <c r="AN78" s="19" t="n"/>
      <c r="AO78" s="19" t="n"/>
      <c r="AP78" s="19" t="n"/>
      <c r="AQ78" s="19" t="n"/>
      <c r="AR78" s="19" t="n"/>
      <c r="AS78" s="19" t="n"/>
      <c r="AT78" s="19" t="n"/>
      <c r="AU78" s="19" t="n"/>
      <c r="AV78" s="19" t="n"/>
      <c r="AW78" s="19" t="n"/>
      <c r="AX78" s="19" t="n">
        <v>40</v>
      </c>
      <c r="AY78" s="19" t="n"/>
      <c r="AZ78" s="19" t="n"/>
      <c r="BA78" s="19" t="n"/>
      <c r="BB78" s="19" t="n"/>
      <c r="BC78" s="19" t="n"/>
      <c r="BD78" s="19" t="n"/>
      <c r="BE78" s="19" t="n"/>
      <c r="BF78" s="19" t="n"/>
      <c r="BG78" s="19" t="n"/>
      <c r="BH78" s="19" t="n"/>
      <c r="BI78" s="19" t="n"/>
      <c r="BJ78" s="19" t="n"/>
    </row>
    <row r="79">
      <c r="A79" s="538" t="inlineStr">
        <is>
          <t>KIT SACOLA M EUDORA (C/ 10)</t>
        </is>
      </c>
      <c r="B79" s="223" t="n">
        <v>150</v>
      </c>
      <c r="C79" s="683" t="n">
        <v>181.4</v>
      </c>
      <c r="D79" s="240" t="n">
        <v>15</v>
      </c>
      <c r="F79" s="39" t="n">
        <v>17</v>
      </c>
      <c r="G79" s="39" t="n">
        <v>16</v>
      </c>
      <c r="H79" s="39" t="n">
        <v>16</v>
      </c>
      <c r="I79" s="39" t="n">
        <v>16</v>
      </c>
      <c r="J79" s="39" t="n">
        <v>16</v>
      </c>
      <c r="K79" s="39" t="n">
        <v>16</v>
      </c>
      <c r="L79" s="39" t="n">
        <v>16</v>
      </c>
      <c r="M79" s="39" t="n">
        <v>16</v>
      </c>
      <c r="N79" s="39" t="n">
        <v>16</v>
      </c>
      <c r="O79" s="39" t="n">
        <v>16</v>
      </c>
      <c r="P79" s="39" t="n">
        <v>16</v>
      </c>
      <c r="Q79" s="39" t="n">
        <v>16</v>
      </c>
      <c r="R79" s="39" t="n">
        <v>16</v>
      </c>
      <c r="S79" s="39" t="n">
        <v>16</v>
      </c>
      <c r="T79" s="39" t="n">
        <v>18</v>
      </c>
      <c r="U79" s="39" t="n">
        <v>17</v>
      </c>
      <c r="V79" s="39" t="n"/>
      <c r="W79" s="39" t="n"/>
      <c r="X79" s="39" t="n"/>
      <c r="Y79" s="39" t="n"/>
      <c r="Z79" s="39" t="n"/>
      <c r="AA79" s="39" t="n">
        <v>15</v>
      </c>
      <c r="AB79" s="380">
        <f>Z79+IF(NOT(ISBLANK(OFFSET(AB79,0,6))),N(OFFSET(AB79,0,6)),N(OFFSET(AB79,0,7)))-AA79</f>
        <v/>
      </c>
      <c r="AD79" s="138" t="n"/>
      <c r="AE79" s="138" t="n"/>
      <c r="AF79" s="1" t="n"/>
      <c r="AG79" s="76" t="n"/>
      <c r="AH79" s="41" t="n"/>
      <c r="AI79" s="19" t="n">
        <v>0</v>
      </c>
      <c r="AJ79" s="19" t="n"/>
      <c r="AK79" s="19" t="n">
        <v>0</v>
      </c>
      <c r="AL79" s="19" t="n">
        <v>0</v>
      </c>
      <c r="AM79" s="19" t="n"/>
      <c r="AN79" s="19" t="n"/>
      <c r="AO79" s="19" t="n"/>
      <c r="AP79" s="19" t="n"/>
      <c r="AQ79" s="19" t="n"/>
      <c r="AR79" s="19" t="n"/>
      <c r="AS79" s="19" t="n"/>
      <c r="AT79" s="19" t="n"/>
      <c r="AU79" s="19" t="n"/>
      <c r="AV79" s="19" t="n"/>
      <c r="AW79" s="19" t="n"/>
      <c r="AX79" s="19" t="n"/>
      <c r="AY79" s="19" t="n"/>
      <c r="AZ79" s="19" t="n"/>
      <c r="BA79" s="19" t="n"/>
      <c r="BB79" s="19" t="n"/>
      <c r="BC79" s="19" t="n"/>
      <c r="BD79" s="19" t="n"/>
      <c r="BE79" s="19" t="n"/>
      <c r="BF79" s="19" t="n"/>
      <c r="BG79" s="19" t="n"/>
      <c r="BH79" s="19" t="n"/>
      <c r="BI79" s="19" t="n"/>
      <c r="BJ79" s="19" t="n"/>
    </row>
    <row r="80">
      <c r="A80" s="538" t="inlineStr">
        <is>
          <t>KIT SACOLA G EUDORA (C/ 10)</t>
        </is>
      </c>
      <c r="B80" s="223" t="inlineStr">
        <is>
          <t>-</t>
        </is>
      </c>
      <c r="C80" s="683" t="inlineStr">
        <is>
          <t>-</t>
        </is>
      </c>
      <c r="D80" s="240" t="n">
        <v>10</v>
      </c>
      <c r="F80" s="39" t="n">
        <v>0</v>
      </c>
      <c r="G80" s="39" t="n">
        <v>0</v>
      </c>
      <c r="H80" s="39" t="n">
        <v>0</v>
      </c>
      <c r="I80" s="39" t="n">
        <v>0</v>
      </c>
      <c r="J80" s="39" t="n">
        <v>0</v>
      </c>
      <c r="K80" s="39" t="n">
        <v>0</v>
      </c>
      <c r="L80" s="39" t="n">
        <v>0</v>
      </c>
      <c r="M80" s="39" t="n">
        <v>0</v>
      </c>
      <c r="N80" s="39" t="n">
        <v>0</v>
      </c>
      <c r="O80" s="39" t="n">
        <v>0</v>
      </c>
      <c r="P80" s="39" t="n">
        <v>0</v>
      </c>
      <c r="Q80" s="39" t="n">
        <v>0</v>
      </c>
      <c r="R80" s="39" t="n">
        <v>0</v>
      </c>
      <c r="S80" s="39" t="n">
        <v>0</v>
      </c>
      <c r="T80" s="39" t="n">
        <v>0</v>
      </c>
      <c r="U80" s="39" t="n">
        <v>0</v>
      </c>
      <c r="V80" s="39" t="n"/>
      <c r="W80" s="39" t="n"/>
      <c r="X80" s="39" t="n"/>
      <c r="Y80" s="39" t="n"/>
      <c r="Z80" s="39" t="n"/>
      <c r="AA80" s="39" t="n">
        <v>0</v>
      </c>
      <c r="AB80" s="380">
        <f>Z80+IF(NOT(ISBLANK(OFFSET(AB80,0,6))),N(OFFSET(AB80,0,6)),N(OFFSET(AB80,0,7)))-AA80</f>
        <v/>
      </c>
      <c r="AD80" s="138" t="n"/>
      <c r="AE80" s="138" t="n"/>
      <c r="AF80" s="1" t="n"/>
      <c r="AG80" s="76" t="n"/>
      <c r="AH80" s="41" t="n"/>
      <c r="AI80" s="19" t="n">
        <v>0</v>
      </c>
      <c r="AJ80" s="19" t="n"/>
      <c r="AK80" s="19" t="n">
        <v>0</v>
      </c>
      <c r="AL80" s="19" t="n">
        <v>0</v>
      </c>
      <c r="AM80" s="19" t="n"/>
      <c r="AN80" s="19" t="n"/>
      <c r="AO80" s="19" t="n"/>
      <c r="AP80" s="19" t="n"/>
      <c r="AQ80" s="19" t="n"/>
      <c r="AR80" s="19" t="n"/>
      <c r="AS80" s="19" t="n"/>
      <c r="AT80" s="19" t="n"/>
      <c r="AU80" s="19" t="n"/>
      <c r="AV80" s="19" t="n"/>
      <c r="AW80" s="19" t="n"/>
      <c r="AX80" s="19" t="n"/>
      <c r="AY80" s="19" t="n"/>
      <c r="AZ80" s="19" t="n"/>
      <c r="BA80" s="19" t="n"/>
      <c r="BB80" s="19" t="n"/>
      <c r="BC80" s="19" t="n"/>
      <c r="BD80" s="19" t="n"/>
      <c r="BE80" s="19" t="n"/>
      <c r="BF80" s="19" t="n"/>
      <c r="BG80" s="19" t="n"/>
      <c r="BH80" s="19" t="n"/>
      <c r="BI80" s="19" t="n"/>
      <c r="BJ80" s="19" t="n"/>
    </row>
    <row r="81">
      <c r="A81" s="538" t="inlineStr">
        <is>
          <t>CAIXA P EUDORA</t>
        </is>
      </c>
      <c r="B81" s="223" t="n">
        <v>150</v>
      </c>
      <c r="C81" s="683" t="n">
        <v>400.5</v>
      </c>
      <c r="D81" s="240" t="n">
        <v>15</v>
      </c>
      <c r="F81" s="39" t="n">
        <v>1</v>
      </c>
      <c r="G81" s="39" t="n">
        <v>51</v>
      </c>
      <c r="H81" s="39" t="n">
        <v>9</v>
      </c>
      <c r="I81" s="39" t="n">
        <v>9</v>
      </c>
      <c r="J81" s="39" t="n">
        <v>8</v>
      </c>
      <c r="K81" s="39" t="n">
        <v>17</v>
      </c>
      <c r="L81" s="39" t="n">
        <v>17</v>
      </c>
      <c r="M81" s="39" t="n">
        <v>16</v>
      </c>
      <c r="N81" s="39" t="n">
        <v>16</v>
      </c>
      <c r="O81" s="39" t="n">
        <v>16</v>
      </c>
      <c r="P81" s="39" t="n">
        <v>16</v>
      </c>
      <c r="Q81" s="39" t="n">
        <v>16</v>
      </c>
      <c r="R81" s="39" t="n">
        <v>16</v>
      </c>
      <c r="S81" s="39" t="n">
        <v>15</v>
      </c>
      <c r="T81" s="39" t="n">
        <v>15</v>
      </c>
      <c r="U81" s="39" t="n">
        <v>15</v>
      </c>
      <c r="V81" s="39" t="n"/>
      <c r="W81" s="39" t="n"/>
      <c r="X81" s="39" t="n"/>
      <c r="Y81" s="39" t="n"/>
      <c r="Z81" s="39" t="n"/>
      <c r="AA81" s="39" t="n">
        <v>8</v>
      </c>
      <c r="AB81" s="380">
        <f>Z81+IF(NOT(ISBLANK(OFFSET(AB81,0,6))),N(OFFSET(AB81,0,6)),N(OFFSET(AB81,0,7)))-AA81</f>
        <v/>
      </c>
      <c r="AD81" s="138" t="n"/>
      <c r="AE81" s="138" t="n"/>
      <c r="AF81" s="1" t="n"/>
      <c r="AG81" s="76" t="n"/>
      <c r="AH81" s="41" t="n"/>
      <c r="AI81" s="19" t="n">
        <v>0</v>
      </c>
      <c r="AJ81" s="19" t="n"/>
      <c r="AK81" s="19" t="n">
        <v>0</v>
      </c>
      <c r="AL81" s="19" t="n">
        <v>0</v>
      </c>
      <c r="AM81" s="19" t="n"/>
      <c r="AN81" s="19" t="n"/>
      <c r="AO81" s="19" t="n"/>
      <c r="AP81" s="19" t="n"/>
      <c r="AQ81" s="19" t="n"/>
      <c r="AR81" s="19" t="n"/>
      <c r="AS81" s="19" t="n"/>
      <c r="AT81" s="19" t="n"/>
      <c r="AU81" s="19" t="n"/>
      <c r="AV81" s="19" t="n"/>
      <c r="AW81" s="19" t="n"/>
      <c r="AX81" s="19" t="n"/>
      <c r="AY81" s="19" t="n"/>
      <c r="AZ81" s="19" t="n"/>
      <c r="BA81" s="19" t="n"/>
      <c r="BB81" s="19" t="n"/>
      <c r="BC81" s="19" t="n"/>
      <c r="BD81" s="19" t="n"/>
      <c r="BE81" s="19" t="n"/>
      <c r="BF81" s="19" t="n"/>
      <c r="BG81" s="19" t="n"/>
      <c r="BH81" s="19" t="n"/>
      <c r="BI81" s="19" t="n"/>
      <c r="BJ81" s="19" t="n"/>
    </row>
    <row r="82">
      <c r="A82" s="538" t="inlineStr">
        <is>
          <t>CAIXA M EUDORA</t>
        </is>
      </c>
      <c r="B82" s="223" t="n">
        <v>100</v>
      </c>
      <c r="C82" s="683" t="n">
        <v>365</v>
      </c>
      <c r="D82" s="240" t="n">
        <v>15</v>
      </c>
      <c r="F82" s="39" t="n">
        <v>27</v>
      </c>
      <c r="G82" s="39" t="n">
        <v>24</v>
      </c>
      <c r="H82" s="39" t="n">
        <v>24</v>
      </c>
      <c r="I82" s="39" t="n">
        <v>24</v>
      </c>
      <c r="J82" s="39" t="n">
        <v>23</v>
      </c>
      <c r="K82" s="39" t="n">
        <v>22</v>
      </c>
      <c r="L82" s="39" t="n">
        <v>22</v>
      </c>
      <c r="M82" s="39" t="n">
        <v>22</v>
      </c>
      <c r="N82" s="39" t="n">
        <v>21</v>
      </c>
      <c r="O82" s="39" t="n">
        <v>21</v>
      </c>
      <c r="P82" s="39" t="n">
        <v>21</v>
      </c>
      <c r="Q82" s="39" t="n">
        <v>21</v>
      </c>
      <c r="R82" s="39" t="n">
        <v>21</v>
      </c>
      <c r="S82" s="39" t="n">
        <v>21</v>
      </c>
      <c r="T82" s="39" t="n">
        <v>20</v>
      </c>
      <c r="U82" s="39" t="n">
        <v>20</v>
      </c>
      <c r="V82" s="39" t="n"/>
      <c r="W82" s="39" t="n"/>
      <c r="X82" s="39" t="n"/>
      <c r="Y82" s="39" t="n"/>
      <c r="Z82" s="39" t="n"/>
      <c r="AA82" s="39" t="n">
        <v>16</v>
      </c>
      <c r="AB82" s="380">
        <f>Z82+IF(NOT(ISBLANK(OFFSET(AB82,0,6))),N(OFFSET(AB82,0,6)),N(OFFSET(AB82,0,7)))-AA82</f>
        <v/>
      </c>
      <c r="AD82" s="138" t="inlineStr">
        <is>
          <t>10 P/ CD</t>
        </is>
      </c>
      <c r="AE82" s="138" t="n"/>
      <c r="AF82" s="1" t="n"/>
      <c r="AG82" s="76" t="n"/>
      <c r="AH82" s="41" t="n"/>
      <c r="AI82" s="19" t="n">
        <v>0</v>
      </c>
      <c r="AJ82" s="19" t="n"/>
      <c r="AK82" s="19" t="n">
        <v>0</v>
      </c>
      <c r="AL82" s="19" t="n">
        <v>0</v>
      </c>
      <c r="AM82" s="19" t="n"/>
      <c r="AN82" s="19" t="n"/>
      <c r="AO82" s="19" t="n"/>
      <c r="AP82" s="19" t="n"/>
      <c r="AQ82" s="19" t="n"/>
      <c r="AR82" s="19" t="n"/>
      <c r="AS82" s="19" t="n"/>
      <c r="AT82" s="19" t="n"/>
      <c r="AU82" s="19" t="n"/>
      <c r="AV82" s="19" t="n"/>
      <c r="AW82" s="19" t="n"/>
      <c r="AX82" s="19" t="n"/>
      <c r="AY82" s="19" t="n"/>
      <c r="AZ82" s="19" t="n"/>
      <c r="BA82" s="19" t="n"/>
      <c r="BB82" s="19" t="n"/>
      <c r="BC82" s="19" t="n"/>
      <c r="BD82" s="19" t="n"/>
      <c r="BE82" s="19" t="n"/>
      <c r="BF82" s="19" t="n"/>
      <c r="BG82" s="19" t="n"/>
      <c r="BH82" s="19" t="n"/>
      <c r="BI82" s="19" t="n"/>
      <c r="BJ82" s="19" t="n"/>
    </row>
    <row r="83">
      <c r="A83" s="538" t="inlineStr">
        <is>
          <t>CAIXA G EUDORA</t>
        </is>
      </c>
      <c r="B83" s="223" t="n">
        <v>75</v>
      </c>
      <c r="C83" s="683" t="n">
        <v>438.75</v>
      </c>
      <c r="D83" s="240" t="n">
        <v>10</v>
      </c>
      <c r="F83" s="39" t="n">
        <v>21</v>
      </c>
      <c r="G83" s="39" t="n">
        <v>21</v>
      </c>
      <c r="H83" s="39" t="n">
        <v>20</v>
      </c>
      <c r="I83" s="39" t="n">
        <v>20</v>
      </c>
      <c r="J83" s="39" t="n">
        <v>20</v>
      </c>
      <c r="K83" s="39" t="n">
        <v>20</v>
      </c>
      <c r="L83" s="39" t="n">
        <v>20</v>
      </c>
      <c r="M83" s="39" t="n">
        <v>19</v>
      </c>
      <c r="N83" s="39" t="n">
        <v>19</v>
      </c>
      <c r="O83" s="39" t="n">
        <v>19</v>
      </c>
      <c r="P83" s="39" t="n">
        <v>19</v>
      </c>
      <c r="Q83" s="39" t="n">
        <v>19</v>
      </c>
      <c r="R83" s="39" t="n">
        <v>19</v>
      </c>
      <c r="S83" s="39" t="n">
        <v>18</v>
      </c>
      <c r="T83" s="39" t="n">
        <v>18</v>
      </c>
      <c r="U83" s="39" t="n">
        <v>18</v>
      </c>
      <c r="V83" s="39" t="n"/>
      <c r="W83" s="39" t="n"/>
      <c r="X83" s="39" t="n"/>
      <c r="Y83" s="39" t="n"/>
      <c r="Z83" s="39" t="n"/>
      <c r="AA83" s="39" t="n">
        <v>17</v>
      </c>
      <c r="AB83" s="380">
        <f>Z83+IF(NOT(ISBLANK(OFFSET(AB83,0,6))),N(OFFSET(AB83,0,6)),N(OFFSET(AB83,0,7)))-AA83</f>
        <v/>
      </c>
      <c r="AD83" s="138" t="n"/>
      <c r="AE83" s="138" t="n"/>
      <c r="AF83" s="1" t="n"/>
      <c r="AG83" s="76" t="n"/>
      <c r="AH83" s="41" t="n"/>
      <c r="AI83" s="19" t="n">
        <v>0</v>
      </c>
      <c r="AJ83" s="19" t="n"/>
      <c r="AK83" s="19" t="n">
        <v>0</v>
      </c>
      <c r="AL83" s="19" t="n">
        <v>0</v>
      </c>
      <c r="AM83" s="19" t="n"/>
      <c r="AN83" s="19" t="n"/>
      <c r="AO83" s="19" t="n"/>
      <c r="AP83" s="19" t="n"/>
      <c r="AQ83" s="19" t="n"/>
      <c r="AR83" s="19" t="n"/>
      <c r="AS83" s="19" t="n"/>
      <c r="AT83" s="19" t="n"/>
      <c r="AU83" s="19" t="n"/>
      <c r="AV83" s="19" t="n"/>
      <c r="AW83" s="19" t="n"/>
      <c r="AX83" s="19" t="n"/>
      <c r="AY83" s="19" t="n"/>
      <c r="AZ83" s="19" t="n"/>
      <c r="BA83" s="19" t="n"/>
      <c r="BB83" s="19" t="n"/>
      <c r="BC83" s="19" t="n"/>
      <c r="BD83" s="19" t="n"/>
      <c r="BE83" s="19" t="n"/>
      <c r="BF83" s="19" t="n"/>
      <c r="BG83" s="19" t="n"/>
      <c r="BH83" s="19" t="n"/>
      <c r="BI83" s="19" t="n"/>
      <c r="BJ83" s="19" t="n"/>
    </row>
    <row r="84">
      <c r="B84" s="41" t="n"/>
      <c r="C84" s="684" t="n"/>
      <c r="D84" s="684" t="n"/>
      <c r="F84" s="2" t="n"/>
      <c r="G84" s="2" t="n"/>
      <c r="H84" s="2" t="n"/>
      <c r="I84" s="2" t="n"/>
      <c r="J84" s="2" t="n"/>
      <c r="K84" s="2" t="n"/>
      <c r="L84" s="2" t="n"/>
      <c r="M84" s="2" t="n"/>
      <c r="N84" s="2" t="n"/>
      <c r="O84" s="2" t="n"/>
      <c r="P84" s="2" t="n"/>
      <c r="Q84" s="2" t="n"/>
      <c r="R84" s="2" t="n"/>
      <c r="S84" s="2" t="n"/>
      <c r="T84" s="2" t="n"/>
      <c r="U84" s="2" t="n"/>
      <c r="V84" s="2" t="n"/>
      <c r="W84" s="2" t="n"/>
      <c r="X84" s="2" t="n"/>
      <c r="Y84" s="2" t="n"/>
      <c r="Z84" s="2" t="n"/>
      <c r="AA84" s="2" t="n"/>
      <c r="AB84" s="2" t="n"/>
      <c r="AD84" s="75" t="n"/>
      <c r="AE84" s="75" t="n"/>
      <c r="AF84" s="1" t="n"/>
      <c r="AG84" s="15" t="n"/>
      <c r="AH84" s="41" t="n"/>
      <c r="AI84" s="75" t="n"/>
      <c r="AJ84" s="75" t="n"/>
      <c r="AK84" s="75" t="n"/>
      <c r="AL84" s="75" t="n"/>
      <c r="AM84" s="75" t="n"/>
      <c r="AN84" s="75" t="n"/>
      <c r="AO84" s="75" t="n"/>
      <c r="AP84" s="75" t="n"/>
      <c r="AQ84" s="75" t="n"/>
      <c r="AR84" s="75" t="n"/>
      <c r="AS84" s="75" t="n"/>
      <c r="AT84" s="75" t="n"/>
      <c r="AU84" s="75" t="n"/>
      <c r="AV84" s="75" t="n"/>
      <c r="AW84" s="75" t="n"/>
      <c r="AX84" s="75" t="n"/>
      <c r="AY84" s="75" t="n"/>
      <c r="AZ84" s="75" t="n"/>
      <c r="BA84" s="75" t="n"/>
      <c r="BB84" s="75" t="n"/>
      <c r="BC84" s="75" t="n"/>
      <c r="BD84" s="75" t="n"/>
      <c r="BE84" s="75" t="n"/>
      <c r="BF84" s="75" t="n"/>
      <c r="BG84" s="75" t="n"/>
      <c r="BH84" s="75" t="n"/>
      <c r="BI84" s="75" t="n"/>
      <c r="BJ84" s="75" t="n"/>
    </row>
    <row r="85">
      <c r="A85" s="263" t="inlineStr">
        <is>
          <t>HARRY POTTER/25</t>
        </is>
      </c>
      <c r="B85" s="264" t="inlineStr">
        <is>
          <t>PC</t>
        </is>
      </c>
      <c r="C85" s="264" t="inlineStr">
        <is>
          <t>R$</t>
        </is>
      </c>
      <c r="D85" s="264" t="n"/>
      <c r="F85" s="619" t="n">
        <v>46006</v>
      </c>
      <c r="G85" s="619" t="n">
        <v>46013</v>
      </c>
      <c r="H85" s="619" t="n">
        <v>46020</v>
      </c>
      <c r="I85" s="619" t="n">
        <v>46027</v>
      </c>
      <c r="J85" s="619" t="n">
        <v>46034</v>
      </c>
      <c r="K85" s="619" t="n">
        <v>46041</v>
      </c>
      <c r="L85" s="619" t="n">
        <v>46048</v>
      </c>
      <c r="M85" s="619" t="n">
        <v>46055</v>
      </c>
      <c r="N85" s="619" t="n">
        <v>46062</v>
      </c>
      <c r="O85" s="619" t="n">
        <v>46069</v>
      </c>
      <c r="P85" s="619" t="n">
        <v>46076</v>
      </c>
      <c r="Q85" s="619" t="n">
        <v>46083</v>
      </c>
      <c r="R85" s="619" t="n">
        <v>46090</v>
      </c>
      <c r="S85" s="619" t="n">
        <v>46097</v>
      </c>
      <c r="T85" s="619" t="n">
        <v>46104</v>
      </c>
      <c r="U85" s="619" t="n">
        <v>46111</v>
      </c>
      <c r="V85" s="619" t="n">
        <v>46118</v>
      </c>
      <c r="W85" s="619" t="n">
        <v>46125</v>
      </c>
      <c r="X85" s="619" t="n">
        <v>46132</v>
      </c>
      <c r="Y85" s="619" t="n">
        <v>46139</v>
      </c>
      <c r="Z85" s="619" t="n">
        <v>46146</v>
      </c>
      <c r="AA85" s="619" t="n">
        <v>46154</v>
      </c>
      <c r="AB85" s="621" t="inlineStr">
        <is>
          <t>USOU</t>
        </is>
      </c>
      <c r="AD85" s="75" t="n"/>
      <c r="AE85" s="75" t="n"/>
      <c r="AF85" s="1" t="n"/>
      <c r="AG85" s="15" t="n"/>
      <c r="AH85" s="41" t="n"/>
      <c r="AI85" s="75" t="n"/>
      <c r="AJ85" s="75" t="n"/>
      <c r="AK85" s="75" t="n"/>
      <c r="AL85" s="75" t="n"/>
      <c r="AM85" s="75" t="n"/>
      <c r="AN85" s="75" t="n"/>
      <c r="AO85" s="75" t="n"/>
      <c r="AP85" s="75" t="n"/>
      <c r="AQ85" s="75" t="n"/>
      <c r="AR85" s="75" t="n"/>
      <c r="AS85" s="75" t="n"/>
      <c r="AT85" s="75" t="n"/>
      <c r="AU85" s="75" t="n"/>
      <c r="AV85" s="75" t="n"/>
      <c r="AW85" s="75" t="n"/>
      <c r="AX85" s="75" t="n"/>
      <c r="AY85" s="75" t="n"/>
      <c r="AZ85" s="75" t="n"/>
      <c r="BA85" s="75" t="n"/>
      <c r="BB85" s="75" t="n"/>
      <c r="BC85" s="75" t="n"/>
      <c r="BD85" s="75" t="n"/>
      <c r="BE85" s="75" t="n"/>
      <c r="BF85" s="75" t="n"/>
      <c r="BG85" s="75" t="n"/>
      <c r="BH85" s="75" t="n"/>
      <c r="BI85" s="75" t="n"/>
      <c r="BJ85" s="75" t="n"/>
    </row>
    <row r="86" hidden="1">
      <c r="A86" s="25" t="inlineStr">
        <is>
          <t>SACOLA G HP/25</t>
        </is>
      </c>
      <c r="B86" s="6" t="n">
        <v>100</v>
      </c>
      <c r="C86" s="632" t="n">
        <v>316</v>
      </c>
      <c r="D86" s="240" t="n"/>
      <c r="F86" s="39" t="n">
        <v>0</v>
      </c>
      <c r="G86" s="39" t="n">
        <v>0</v>
      </c>
      <c r="H86" s="39" t="n">
        <v>0</v>
      </c>
      <c r="I86" s="39" t="n">
        <v>0</v>
      </c>
      <c r="J86" s="39" t="n">
        <v>0</v>
      </c>
      <c r="K86" s="39" t="n">
        <v>0</v>
      </c>
      <c r="L86" s="39" t="n">
        <v>0</v>
      </c>
      <c r="M86" s="39" t="n"/>
      <c r="N86" s="39" t="n"/>
      <c r="O86" s="39" t="n"/>
      <c r="P86" s="39" t="n"/>
      <c r="Q86" s="39" t="n"/>
      <c r="R86" s="39" t="n"/>
      <c r="S86" s="39" t="n"/>
      <c r="T86" s="39" t="n"/>
      <c r="U86" s="39" t="n"/>
      <c r="V86" s="39" t="n"/>
      <c r="W86" s="39" t="n"/>
      <c r="X86" s="39" t="n"/>
      <c r="Y86" s="39" t="n"/>
      <c r="Z86" s="39" t="n"/>
      <c r="AA86" s="39" t="n"/>
      <c r="AB86" s="26">
        <f>Z86+IF(NOT(ISBLANK(OFFSET(AB86,0,6))),N(OFFSET(AB86,0,6)),N(OFFSET(AB86,0,7)))-#REF!</f>
        <v/>
      </c>
      <c r="AD86" s="75" t="n"/>
      <c r="AE86" s="75" t="n"/>
      <c r="AF86" s="1" t="n"/>
      <c r="AG86" s="15" t="n"/>
      <c r="AH86" s="41" t="n"/>
      <c r="AI86" s="75" t="n"/>
      <c r="AJ86" s="75" t="n"/>
      <c r="AK86" s="75" t="n"/>
      <c r="AL86" s="75" t="n"/>
      <c r="AM86" s="75" t="n"/>
      <c r="AN86" s="75" t="n"/>
      <c r="AO86" s="75" t="n"/>
      <c r="AP86" s="75" t="n"/>
      <c r="AQ86" s="75" t="n"/>
      <c r="AR86" s="75" t="n"/>
      <c r="AS86" s="75" t="n"/>
      <c r="AT86" s="75" t="n"/>
      <c r="AU86" s="75" t="n"/>
      <c r="AV86" s="75" t="n"/>
      <c r="AW86" s="75" t="n"/>
      <c r="AX86" s="75" t="n"/>
      <c r="AY86" s="75" t="n"/>
      <c r="AZ86" s="75" t="n"/>
      <c r="BA86" s="75" t="n"/>
      <c r="BB86" s="75" t="n"/>
      <c r="BC86" s="75" t="n"/>
      <c r="BD86" s="75" t="n"/>
      <c r="BE86" s="75" t="n"/>
      <c r="BF86" s="75" t="n"/>
      <c r="BG86" s="75" t="n"/>
      <c r="BH86" s="75" t="n"/>
      <c r="BI86" s="75" t="n"/>
      <c r="BJ86" s="75" t="n"/>
    </row>
    <row r="87" hidden="1">
      <c r="A87" s="25" t="inlineStr">
        <is>
          <t>TAG HP/25</t>
        </is>
      </c>
      <c r="B87" s="6" t="n">
        <v>100</v>
      </c>
      <c r="C87" s="632" t="n">
        <v>41</v>
      </c>
      <c r="D87" s="240" t="n"/>
      <c r="F87" s="39" t="n">
        <v>0</v>
      </c>
      <c r="G87" s="39" t="n">
        <v>0</v>
      </c>
      <c r="H87" s="39" t="n">
        <v>0</v>
      </c>
      <c r="I87" s="39" t="n">
        <v>0</v>
      </c>
      <c r="J87" s="39" t="n">
        <v>0</v>
      </c>
      <c r="K87" s="39" t="n">
        <v>0</v>
      </c>
      <c r="L87" s="39" t="n">
        <v>0</v>
      </c>
      <c r="M87" s="39" t="n"/>
      <c r="N87" s="39" t="n"/>
      <c r="O87" s="39" t="n"/>
      <c r="P87" s="39" t="n"/>
      <c r="Q87" s="39" t="n"/>
      <c r="R87" s="39" t="n"/>
      <c r="S87" s="39" t="n"/>
      <c r="T87" s="39" t="n"/>
      <c r="U87" s="39" t="n"/>
      <c r="V87" s="39" t="n"/>
      <c r="W87" s="39" t="n"/>
      <c r="X87" s="39" t="n"/>
      <c r="Y87" s="39" t="n"/>
      <c r="Z87" s="39" t="n"/>
      <c r="AA87" s="39" t="n"/>
      <c r="AB87" s="26">
        <f>Z87+IF(NOT(ISBLANK(OFFSET(AB87,0,6))),N(OFFSET(AB87,0,6)),N(OFFSET(AB87,0,7)))-#REF!</f>
        <v/>
      </c>
      <c r="AD87" s="75" t="n"/>
      <c r="AE87" s="75" t="n"/>
      <c r="AF87" s="1" t="n"/>
      <c r="AG87" s="15" t="n"/>
      <c r="AH87" s="41" t="n"/>
      <c r="AI87" s="75" t="n"/>
      <c r="AJ87" s="75" t="n"/>
      <c r="AK87" s="75" t="n"/>
      <c r="AL87" s="75" t="n"/>
      <c r="AM87" s="75" t="n"/>
      <c r="AN87" s="75" t="n"/>
      <c r="AO87" s="75" t="n"/>
      <c r="AP87" s="75" t="n"/>
      <c r="AQ87" s="75" t="n"/>
      <c r="AR87" s="75" t="n"/>
      <c r="AS87" s="75" t="n"/>
      <c r="AT87" s="75" t="n"/>
      <c r="AU87" s="75" t="n"/>
      <c r="AV87" s="75" t="n"/>
      <c r="AW87" s="75" t="n"/>
      <c r="AX87" s="75" t="n"/>
      <c r="AY87" s="75" t="n"/>
      <c r="AZ87" s="75" t="n"/>
      <c r="BA87" s="75" t="n"/>
      <c r="BB87" s="75" t="n"/>
      <c r="BC87" s="75" t="n"/>
      <c r="BD87" s="75" t="n"/>
      <c r="BE87" s="75" t="n"/>
      <c r="BF87" s="75" t="n"/>
      <c r="BG87" s="75" t="n"/>
      <c r="BH87" s="75" t="n"/>
      <c r="BI87" s="75" t="n"/>
      <c r="BJ87" s="75" t="n"/>
    </row>
    <row r="88">
      <c r="A88" s="25" t="inlineStr">
        <is>
          <t>CARTUCHO P HP/25</t>
        </is>
      </c>
      <c r="B88" s="6" t="n">
        <v>150</v>
      </c>
      <c r="C88" s="632" t="n">
        <v>478.5</v>
      </c>
      <c r="D88" s="240" t="n"/>
      <c r="F88" s="39" t="n">
        <v>45</v>
      </c>
      <c r="G88" s="39" t="n">
        <v>45</v>
      </c>
      <c r="H88" s="39" t="n">
        <v>45</v>
      </c>
      <c r="I88" s="39" t="n">
        <v>45</v>
      </c>
      <c r="J88" s="39" t="n">
        <v>45</v>
      </c>
      <c r="K88" s="39" t="n">
        <v>46</v>
      </c>
      <c r="L88" s="39" t="n">
        <v>46</v>
      </c>
      <c r="M88" s="39" t="n">
        <v>46</v>
      </c>
      <c r="N88" s="211" t="n">
        <v>100</v>
      </c>
      <c r="O88" s="39" t="n">
        <v>60</v>
      </c>
      <c r="P88" s="39" t="n">
        <v>60</v>
      </c>
      <c r="Q88" s="39" t="n">
        <v>60</v>
      </c>
      <c r="R88" s="39" t="n">
        <v>56</v>
      </c>
      <c r="S88" s="39" t="n">
        <v>56</v>
      </c>
      <c r="T88" s="39" t="n">
        <v>56</v>
      </c>
      <c r="U88" s="39" t="n">
        <v>56</v>
      </c>
      <c r="V88" s="39" t="n"/>
      <c r="W88" s="39" t="n"/>
      <c r="X88" s="39" t="n"/>
      <c r="Y88" s="39" t="n"/>
      <c r="Z88" s="39" t="n"/>
      <c r="AA88" s="39" t="n">
        <v>49</v>
      </c>
      <c r="AB88" s="380">
        <f>Z88+IF(NOT(ISBLANK(OFFSET(AB88,0,6))),N(OFFSET(AB88,0,6)),N(OFFSET(AB88,0,7)))-AA88</f>
        <v/>
      </c>
      <c r="AD88" s="75" t="n"/>
      <c r="AE88" s="75" t="n"/>
      <c r="AF88" s="1" t="n"/>
      <c r="AG88" s="15" t="n"/>
      <c r="AH88" s="41" t="n"/>
      <c r="AI88" s="75" t="n"/>
      <c r="AJ88" s="75" t="n"/>
      <c r="AK88" s="75" t="n"/>
      <c r="AL88" s="75" t="n"/>
      <c r="AM88" s="75" t="n"/>
      <c r="AN88" s="75" t="n"/>
      <c r="AO88" s="75" t="n"/>
      <c r="AP88" s="75" t="n"/>
      <c r="AQ88" s="75" t="n"/>
      <c r="AR88" s="75" t="n"/>
      <c r="AS88" s="75" t="n"/>
      <c r="AT88" s="75" t="n"/>
      <c r="AU88" s="75" t="n"/>
      <c r="AV88" s="75" t="n"/>
      <c r="AW88" s="75" t="n"/>
      <c r="AX88" s="75" t="n"/>
      <c r="AY88" s="75" t="n"/>
      <c r="AZ88" s="75" t="n"/>
      <c r="BA88" s="75" t="n"/>
      <c r="BB88" s="75" t="n"/>
      <c r="BC88" s="75" t="n"/>
      <c r="BD88" s="75" t="n"/>
      <c r="BE88" s="75" t="n"/>
      <c r="BF88" s="75" t="n"/>
      <c r="BG88" s="75" t="n"/>
      <c r="BH88" s="75" t="n"/>
      <c r="BI88" s="75" t="n"/>
      <c r="BJ88" s="75" t="n"/>
    </row>
    <row r="89">
      <c r="B89" s="41" t="n"/>
      <c r="C89" s="684" t="n"/>
      <c r="D89" s="684" t="n"/>
      <c r="F89" s="2" t="n"/>
      <c r="G89" s="2" t="n"/>
      <c r="H89" s="2" t="n"/>
      <c r="I89" s="2" t="n"/>
      <c r="J89" s="2" t="n"/>
      <c r="K89" s="2" t="n"/>
      <c r="L89" s="2" t="n"/>
      <c r="M89" s="2" t="n"/>
      <c r="N89" s="2" t="n"/>
      <c r="O89" s="2" t="n"/>
      <c r="P89" s="2" t="n"/>
      <c r="Q89" s="2" t="n"/>
      <c r="R89" s="2" t="n"/>
      <c r="S89" s="2" t="n"/>
      <c r="T89" s="2" t="n"/>
      <c r="U89" s="2" t="n"/>
      <c r="V89" s="2" t="n"/>
      <c r="W89" s="2" t="n"/>
      <c r="X89" s="2" t="n"/>
      <c r="Y89" s="2" t="n"/>
      <c r="Z89" s="2" t="n"/>
      <c r="AA89" s="2" t="n"/>
      <c r="AB89" s="2" t="n"/>
      <c r="AD89" s="75" t="n"/>
      <c r="AE89" s="75" t="n"/>
      <c r="AF89" s="1" t="n"/>
      <c r="AG89" s="15" t="n"/>
      <c r="AH89" s="41" t="n"/>
      <c r="AI89" s="75" t="n"/>
      <c r="AJ89" s="75" t="n"/>
      <c r="AK89" s="75" t="n"/>
      <c r="AL89" s="75" t="n"/>
      <c r="AM89" s="75" t="n"/>
      <c r="AN89" s="75" t="n"/>
      <c r="AO89" s="75" t="n"/>
      <c r="AP89" s="75" t="n"/>
      <c r="AQ89" s="75" t="n"/>
      <c r="AR89" s="75" t="n"/>
      <c r="AS89" s="75" t="n"/>
      <c r="AT89" s="75" t="n"/>
      <c r="AU89" s="75" t="n"/>
      <c r="AV89" s="75" t="n"/>
      <c r="AW89" s="75" t="n"/>
      <c r="AX89" s="75" t="n"/>
      <c r="AY89" s="75" t="n"/>
      <c r="AZ89" s="75" t="n"/>
      <c r="BA89" s="75" t="n"/>
      <c r="BB89" s="75" t="n"/>
      <c r="BC89" s="75" t="n"/>
      <c r="BD89" s="75" t="n"/>
      <c r="BE89" s="75" t="n"/>
      <c r="BF89" s="75" t="n"/>
      <c r="BG89" s="75" t="n"/>
      <c r="BH89" s="75" t="n"/>
      <c r="BI89" s="75" t="n"/>
      <c r="BJ89" s="75" t="n"/>
    </row>
    <row r="90">
      <c r="A90" s="415" t="inlineStr">
        <is>
          <t>HOMEM ARANHA/25</t>
        </is>
      </c>
      <c r="B90" s="416" t="inlineStr">
        <is>
          <t>PC</t>
        </is>
      </c>
      <c r="C90" s="416" t="inlineStr">
        <is>
          <t>R$</t>
        </is>
      </c>
      <c r="D90" s="416" t="n"/>
      <c r="F90" s="619" t="n">
        <v>46006</v>
      </c>
      <c r="G90" s="619" t="n">
        <v>46013</v>
      </c>
      <c r="H90" s="619" t="n">
        <v>46020</v>
      </c>
      <c r="I90" s="619" t="n">
        <v>46027</v>
      </c>
      <c r="J90" s="619" t="n">
        <v>46034</v>
      </c>
      <c r="K90" s="619" t="n">
        <v>46041</v>
      </c>
      <c r="L90" s="619" t="n">
        <v>46048</v>
      </c>
      <c r="M90" s="619" t="n">
        <v>46055</v>
      </c>
      <c r="N90" s="619" t="n">
        <v>46062</v>
      </c>
      <c r="O90" s="619" t="n">
        <v>46069</v>
      </c>
      <c r="P90" s="619" t="n">
        <v>46076</v>
      </c>
      <c r="Q90" s="619" t="n">
        <v>46083</v>
      </c>
      <c r="R90" s="619" t="n">
        <v>46090</v>
      </c>
      <c r="S90" s="619" t="n">
        <v>46097</v>
      </c>
      <c r="T90" s="619" t="n">
        <v>46104</v>
      </c>
      <c r="U90" s="619" t="n">
        <v>46111</v>
      </c>
      <c r="V90" s="619" t="n">
        <v>46118</v>
      </c>
      <c r="W90" s="619" t="n">
        <v>46125</v>
      </c>
      <c r="X90" s="619" t="n">
        <v>46132</v>
      </c>
      <c r="Y90" s="619" t="n">
        <v>46139</v>
      </c>
      <c r="Z90" s="619" t="n">
        <v>46146</v>
      </c>
      <c r="AA90" s="619" t="n">
        <v>46154</v>
      </c>
      <c r="AB90" s="621" t="inlineStr">
        <is>
          <t>USOU</t>
        </is>
      </c>
    </row>
    <row r="91" hidden="1">
      <c r="A91" s="25" t="inlineStr">
        <is>
          <t>SACOLA M</t>
        </is>
      </c>
      <c r="B91" s="6" t="n">
        <v>200</v>
      </c>
      <c r="C91" s="632" t="n">
        <v>479.2</v>
      </c>
      <c r="D91" s="240" t="n"/>
      <c r="F91" s="39" t="n">
        <v>0</v>
      </c>
      <c r="G91" s="39" t="n">
        <v>0</v>
      </c>
      <c r="H91" s="39" t="n">
        <v>0</v>
      </c>
      <c r="I91" s="39" t="n">
        <v>0</v>
      </c>
      <c r="J91" s="39" t="n">
        <v>0</v>
      </c>
      <c r="K91" s="39" t="n">
        <v>0</v>
      </c>
      <c r="L91" s="39" t="n">
        <v>0</v>
      </c>
      <c r="M91" s="39" t="n">
        <v>0</v>
      </c>
      <c r="N91" s="39" t="n"/>
      <c r="O91" s="39" t="n"/>
      <c r="P91" s="39" t="n"/>
      <c r="Q91" s="39" t="n"/>
      <c r="R91" s="39" t="n"/>
      <c r="S91" s="39" t="n"/>
      <c r="T91" s="39" t="n"/>
      <c r="U91" s="39" t="n"/>
      <c r="V91" s="39" t="n"/>
      <c r="W91" s="39" t="n"/>
      <c r="X91" s="39" t="n"/>
      <c r="Y91" s="39" t="n"/>
      <c r="Z91" s="39" t="n"/>
      <c r="AA91" s="39" t="n"/>
      <c r="AB91" s="26">
        <f>Z91+IF(NOT(ISBLANK(OFFSET(AB91,0,6))),N(OFFSET(AB91,0,6)),N(OFFSET(AB91,0,7)))-#REF!</f>
        <v/>
      </c>
    </row>
    <row r="92">
      <c r="A92" s="25" t="inlineStr">
        <is>
          <t>PAPEL DE SEDA</t>
        </is>
      </c>
      <c r="B92" s="6" t="n">
        <v>200</v>
      </c>
      <c r="C92" s="632" t="n">
        <v>45.47</v>
      </c>
      <c r="D92" s="240" t="n"/>
      <c r="F92" s="39" t="n">
        <v>17</v>
      </c>
      <c r="G92" s="39" t="n">
        <v>15</v>
      </c>
      <c r="H92" s="39" t="n">
        <v>15</v>
      </c>
      <c r="I92" s="39" t="n">
        <v>15</v>
      </c>
      <c r="J92" s="39" t="n">
        <v>7</v>
      </c>
      <c r="K92" s="39" t="n">
        <v>10</v>
      </c>
      <c r="L92" s="39" t="n">
        <v>10</v>
      </c>
      <c r="M92" s="39" t="n">
        <v>10</v>
      </c>
      <c r="N92" s="39" t="n">
        <v>10</v>
      </c>
      <c r="O92" s="39" t="n">
        <v>10</v>
      </c>
      <c r="P92" s="39" t="n">
        <v>10</v>
      </c>
      <c r="Q92" s="39" t="n">
        <v>2</v>
      </c>
      <c r="R92" s="39" t="n">
        <v>2</v>
      </c>
      <c r="S92" s="39" t="n">
        <v>2</v>
      </c>
      <c r="T92" s="39" t="n">
        <v>2</v>
      </c>
      <c r="U92" s="39" t="n">
        <v>2</v>
      </c>
      <c r="V92" s="39" t="n"/>
      <c r="W92" s="39" t="n"/>
      <c r="X92" s="39" t="n"/>
      <c r="Y92" s="39" t="n"/>
      <c r="Z92" s="39" t="n"/>
      <c r="AA92" s="39" t="n">
        <v>0</v>
      </c>
      <c r="AB92" s="380">
        <f>Z92+IF(NOT(ISBLANK(OFFSET(AB92,0,6))),N(OFFSET(AB92,0,6)),N(OFFSET(AB92,0,7)))-AA92</f>
        <v/>
      </c>
    </row>
    <row r="93">
      <c r="A93" s="25" t="inlineStr">
        <is>
          <t>CAIXA M</t>
        </is>
      </c>
      <c r="B93" s="6" t="n">
        <v>100</v>
      </c>
      <c r="C93" s="632" t="n">
        <v>1490</v>
      </c>
      <c r="D93" s="240" t="n"/>
      <c r="F93" s="39" t="n">
        <v>37</v>
      </c>
      <c r="G93" s="39" t="n">
        <v>32</v>
      </c>
      <c r="H93" s="39" t="n">
        <v>31</v>
      </c>
      <c r="I93" s="39" t="n">
        <v>31</v>
      </c>
      <c r="J93" s="39" t="n">
        <v>31</v>
      </c>
      <c r="K93" s="39" t="n">
        <v>29</v>
      </c>
      <c r="L93" s="39" t="n">
        <v>29</v>
      </c>
      <c r="M93" s="39" t="n">
        <v>29</v>
      </c>
      <c r="N93" s="39" t="n">
        <v>29</v>
      </c>
      <c r="O93" s="39" t="n">
        <v>29</v>
      </c>
      <c r="P93" s="39" t="n">
        <v>29</v>
      </c>
      <c r="Q93" s="39" t="n">
        <v>29</v>
      </c>
      <c r="R93" s="39" t="n">
        <v>29</v>
      </c>
      <c r="S93" s="39" t="n">
        <v>29</v>
      </c>
      <c r="T93" s="39" t="n">
        <v>29</v>
      </c>
      <c r="U93" s="39" t="n">
        <v>29</v>
      </c>
      <c r="V93" s="39" t="n"/>
      <c r="W93" s="39" t="n"/>
      <c r="X93" s="39" t="n"/>
      <c r="Y93" s="39" t="n"/>
      <c r="Z93" s="39" t="n"/>
      <c r="AA93" s="39" t="n">
        <v>29</v>
      </c>
      <c r="AB93" s="380">
        <f>Z93+IF(NOT(ISBLANK(OFFSET(AB93,0,6))),N(OFFSET(AB93,0,6)),N(OFFSET(AB93,0,7)))-AA93</f>
        <v/>
      </c>
    </row>
    <row r="94">
      <c r="B94" s="41" t="n"/>
      <c r="C94" s="684" t="n"/>
      <c r="D94" s="684" t="n"/>
      <c r="F94" s="2" t="n"/>
      <c r="G94" s="2" t="n"/>
      <c r="H94" s="2" t="n"/>
      <c r="I94" s="2" t="n"/>
      <c r="J94" s="2" t="n"/>
      <c r="K94" s="2" t="n"/>
      <c r="L94" s="2" t="n"/>
      <c r="M94" s="2" t="n"/>
      <c r="N94" s="2" t="n"/>
      <c r="O94" s="2" t="n"/>
      <c r="P94" s="2" t="n"/>
      <c r="Q94" s="2" t="n"/>
      <c r="R94" s="2" t="n"/>
      <c r="S94" s="2" t="n"/>
      <c r="T94" s="2" t="n"/>
      <c r="U94" s="2" t="n"/>
      <c r="V94" s="2" t="n"/>
      <c r="W94" s="2" t="n"/>
      <c r="X94" s="2" t="n"/>
      <c r="Y94" s="2" t="n"/>
      <c r="Z94" s="2" t="n"/>
      <c r="AA94" s="2" t="n"/>
      <c r="AB94" s="2" t="n"/>
      <c r="AD94" s="75" t="n"/>
      <c r="AE94" s="75" t="n"/>
      <c r="AF94" s="1" t="n"/>
      <c r="AG94" s="15" t="n"/>
      <c r="AH94" s="41" t="n"/>
      <c r="AI94" s="75" t="n"/>
      <c r="AJ94" s="75" t="n"/>
      <c r="AK94" s="75" t="n"/>
      <c r="AL94" s="75" t="n"/>
      <c r="AM94" s="75" t="n"/>
      <c r="AN94" s="75" t="n"/>
      <c r="AO94" s="75" t="n"/>
      <c r="AP94" s="75" t="n"/>
      <c r="AQ94" s="75" t="n"/>
      <c r="AR94" s="75" t="n"/>
      <c r="AS94" s="75" t="n"/>
      <c r="AT94" s="75" t="n"/>
      <c r="AU94" s="75" t="n"/>
      <c r="AV94" s="75" t="n"/>
      <c r="AW94" s="75" t="n"/>
      <c r="AX94" s="75" t="n"/>
      <c r="AY94" s="75" t="n"/>
      <c r="AZ94" s="75" t="n"/>
      <c r="BA94" s="75" t="n"/>
      <c r="BB94" s="75" t="n"/>
      <c r="BC94" s="75" t="n"/>
      <c r="BD94" s="75" t="n"/>
      <c r="BE94" s="75" t="n"/>
      <c r="BF94" s="75" t="n"/>
      <c r="BG94" s="75" t="n"/>
      <c r="BH94" s="75" t="n"/>
      <c r="BI94" s="75" t="n"/>
      <c r="BJ94" s="75" t="n"/>
    </row>
    <row r="95">
      <c r="A95" s="278" t="inlineStr">
        <is>
          <t>EUDORA NATAL/25</t>
        </is>
      </c>
      <c r="B95" s="279" t="inlineStr">
        <is>
          <t>PC</t>
        </is>
      </c>
      <c r="C95" s="279" t="inlineStr">
        <is>
          <t>R$</t>
        </is>
      </c>
      <c r="D95" s="279" t="n"/>
      <c r="F95" s="619" t="n">
        <v>46006</v>
      </c>
      <c r="G95" s="619" t="n">
        <v>46013</v>
      </c>
      <c r="H95" s="619" t="n">
        <v>46020</v>
      </c>
      <c r="I95" s="619" t="n">
        <v>46027</v>
      </c>
      <c r="J95" s="619" t="n">
        <v>46034</v>
      </c>
      <c r="K95" s="619" t="n">
        <v>46041</v>
      </c>
      <c r="L95" s="619" t="n">
        <v>46048</v>
      </c>
      <c r="M95" s="619" t="n">
        <v>46055</v>
      </c>
      <c r="N95" s="619" t="n">
        <v>46062</v>
      </c>
      <c r="O95" s="619" t="n">
        <v>46069</v>
      </c>
      <c r="P95" s="619" t="n">
        <v>46076</v>
      </c>
      <c r="Q95" s="619" t="n">
        <v>46083</v>
      </c>
      <c r="R95" s="619" t="n">
        <v>46090</v>
      </c>
      <c r="S95" s="619" t="n">
        <v>46097</v>
      </c>
      <c r="T95" s="619" t="n">
        <v>46104</v>
      </c>
      <c r="U95" s="619" t="n">
        <v>46111</v>
      </c>
      <c r="V95" s="619" t="n">
        <v>46118</v>
      </c>
      <c r="W95" s="619" t="n">
        <v>46125</v>
      </c>
      <c r="X95" s="619" t="n">
        <v>46132</v>
      </c>
      <c r="Y95" s="619" t="n">
        <v>46139</v>
      </c>
      <c r="Z95" s="619" t="n">
        <v>46146</v>
      </c>
      <c r="AA95" s="619" t="n">
        <v>46154</v>
      </c>
      <c r="AB95" s="621" t="inlineStr">
        <is>
          <t>USOU</t>
        </is>
      </c>
      <c r="AD95" s="75" t="n"/>
      <c r="AE95" s="75" t="n"/>
      <c r="AF95" s="1" t="n"/>
      <c r="AG95" s="15" t="n"/>
      <c r="AH95" s="41" t="n"/>
      <c r="AI95" s="75" t="n"/>
      <c r="AJ95" s="75" t="n"/>
      <c r="AK95" s="75" t="n"/>
      <c r="AL95" s="75" t="n"/>
      <c r="AM95" s="75" t="n"/>
      <c r="AN95" s="75" t="n"/>
      <c r="AO95" s="75" t="n"/>
      <c r="AP95" s="75" t="n"/>
      <c r="AQ95" s="75" t="n"/>
      <c r="AR95" s="75" t="n"/>
      <c r="AS95" s="75" t="n"/>
      <c r="AT95" s="75" t="n"/>
      <c r="AU95" s="75" t="n"/>
      <c r="AV95" s="75" t="n"/>
      <c r="AW95" s="75" t="n"/>
      <c r="AX95" s="75" t="n"/>
      <c r="AY95" s="75" t="n"/>
      <c r="AZ95" s="75" t="n"/>
      <c r="BA95" s="75" t="n"/>
      <c r="BB95" s="75" t="n"/>
      <c r="BC95" s="75" t="n"/>
      <c r="BD95" s="75" t="n"/>
      <c r="BE95" s="75" t="n"/>
      <c r="BF95" s="75" t="n"/>
      <c r="BG95" s="75" t="n"/>
      <c r="BH95" s="75" t="n"/>
      <c r="BI95" s="75" t="n"/>
      <c r="BJ95" s="75" t="n"/>
    </row>
    <row r="96">
      <c r="A96" s="25" t="inlineStr">
        <is>
          <t xml:space="preserve">SACOLA M </t>
        </is>
      </c>
      <c r="B96" s="6" t="n">
        <v>200</v>
      </c>
      <c r="C96" s="632" t="n">
        <v>336</v>
      </c>
      <c r="D96" s="240" t="n"/>
      <c r="F96" s="39" t="n">
        <v>89</v>
      </c>
      <c r="G96" s="39" t="n">
        <v>21</v>
      </c>
      <c r="H96" s="39" t="n">
        <v>4</v>
      </c>
      <c r="I96" s="39" t="n">
        <v>4</v>
      </c>
      <c r="J96" s="39" t="n">
        <v>4</v>
      </c>
      <c r="K96" s="39" t="n">
        <v>55</v>
      </c>
      <c r="L96" s="39" t="n">
        <v>55</v>
      </c>
      <c r="M96" s="39" t="n">
        <v>55</v>
      </c>
      <c r="N96" s="39" t="n">
        <v>55</v>
      </c>
      <c r="O96" s="39" t="n">
        <v>55</v>
      </c>
      <c r="P96" s="39" t="n">
        <v>54</v>
      </c>
      <c r="Q96" s="39" t="n">
        <v>40</v>
      </c>
      <c r="R96" s="39" t="n">
        <v>13</v>
      </c>
      <c r="S96" s="39" t="n">
        <v>12</v>
      </c>
      <c r="T96" s="39" t="n">
        <v>0</v>
      </c>
      <c r="U96" s="39" t="n">
        <v>0</v>
      </c>
      <c r="V96" s="39" t="n"/>
      <c r="W96" s="39" t="n"/>
      <c r="X96" s="39" t="n"/>
      <c r="Y96" s="39" t="n"/>
      <c r="Z96" s="39" t="n"/>
      <c r="AA96" s="39" t="n">
        <v>0</v>
      </c>
      <c r="AB96" s="380">
        <f>Z96+IF(NOT(ISBLANK(OFFSET(AB96,0,6))),N(OFFSET(AB96,0,6)),N(OFFSET(AB96,0,7)))-AA96</f>
        <v/>
      </c>
      <c r="AD96" s="75" t="n"/>
      <c r="AE96" s="75" t="n"/>
      <c r="AF96" s="1" t="n"/>
      <c r="AG96" s="15" t="n"/>
      <c r="AH96" s="41" t="n"/>
      <c r="AI96" s="75" t="n"/>
      <c r="AJ96" s="75" t="n"/>
      <c r="AK96" s="75" t="n"/>
      <c r="AL96" s="75" t="n"/>
      <c r="AM96" s="75" t="n"/>
      <c r="AN96" s="75" t="n"/>
      <c r="AO96" s="75" t="n"/>
      <c r="AP96" s="75" t="n"/>
      <c r="AQ96" s="75" t="n"/>
      <c r="AR96" s="75" t="n"/>
      <c r="AS96" s="75" t="n"/>
      <c r="AT96" s="75" t="n"/>
      <c r="AU96" s="75" t="n"/>
      <c r="AV96" s="75" t="n"/>
      <c r="AW96" s="75" t="n"/>
      <c r="AX96" s="75" t="n"/>
      <c r="AY96" s="75" t="n"/>
      <c r="AZ96" s="75" t="n"/>
      <c r="BA96" s="75" t="n"/>
      <c r="BB96" s="75" t="n"/>
      <c r="BC96" s="75" t="n"/>
      <c r="BD96" s="75" t="n"/>
      <c r="BE96" s="75" t="n"/>
      <c r="BF96" s="75" t="n"/>
      <c r="BG96" s="75" t="n"/>
      <c r="BH96" s="75" t="n"/>
      <c r="BI96" s="75" t="n"/>
      <c r="BJ96" s="75" t="n"/>
    </row>
    <row r="97">
      <c r="A97" s="25" t="inlineStr">
        <is>
          <t>PAPEL DE SEDA</t>
        </is>
      </c>
      <c r="B97" s="6" t="n">
        <v>200</v>
      </c>
      <c r="C97" s="632" t="n">
        <v>54</v>
      </c>
      <c r="D97" s="240" t="n"/>
      <c r="F97" s="39" t="n">
        <v>246</v>
      </c>
      <c r="G97" s="39" t="n">
        <v>217</v>
      </c>
      <c r="H97" s="39" t="n">
        <v>209</v>
      </c>
      <c r="I97" s="39" t="n">
        <v>209</v>
      </c>
      <c r="J97" s="39" t="n">
        <v>207</v>
      </c>
      <c r="K97" s="39" t="n">
        <v>196</v>
      </c>
      <c r="L97" s="39" t="n">
        <v>196</v>
      </c>
      <c r="M97" s="39" t="n">
        <v>196</v>
      </c>
      <c r="N97" s="39" t="n">
        <v>196</v>
      </c>
      <c r="O97" s="39" t="n">
        <v>196</v>
      </c>
      <c r="P97" s="39" t="n">
        <v>157</v>
      </c>
      <c r="Q97" s="39" t="n">
        <v>157</v>
      </c>
      <c r="R97" s="39" t="n">
        <v>157</v>
      </c>
      <c r="S97" s="39" t="n">
        <v>157</v>
      </c>
      <c r="T97" s="39" t="n">
        <v>157</v>
      </c>
      <c r="U97" s="39" t="n">
        <v>157</v>
      </c>
      <c r="V97" s="39" t="n"/>
      <c r="W97" s="39" t="n"/>
      <c r="X97" s="39" t="n"/>
      <c r="Y97" s="39" t="n"/>
      <c r="Z97" s="39" t="n"/>
      <c r="AA97" s="39" t="n">
        <v>146</v>
      </c>
      <c r="AB97" s="380">
        <f>Z97+IF(NOT(ISBLANK(OFFSET(AB97,0,6))),N(OFFSET(AB97,0,6)),N(OFFSET(AB97,0,7)))-AA97</f>
        <v/>
      </c>
      <c r="AD97" s="75" t="n"/>
      <c r="AE97" s="75" t="n"/>
      <c r="AF97" s="1" t="n"/>
      <c r="AG97" s="15" t="n"/>
      <c r="AH97" s="41" t="n"/>
      <c r="AI97" s="75" t="n"/>
      <c r="AJ97" s="75" t="n"/>
      <c r="AK97" s="75" t="n"/>
      <c r="AL97" s="75" t="n"/>
      <c r="AM97" s="75" t="n"/>
      <c r="AN97" s="75" t="n"/>
      <c r="AO97" s="75" t="n"/>
      <c r="AP97" s="75" t="n"/>
      <c r="AQ97" s="75" t="n"/>
      <c r="AR97" s="75" t="n"/>
      <c r="AS97" s="75" t="n"/>
      <c r="AT97" s="75" t="n"/>
      <c r="AU97" s="75" t="n"/>
      <c r="AV97" s="75" t="n"/>
      <c r="AW97" s="75" t="n"/>
      <c r="AX97" s="75" t="n"/>
      <c r="AY97" s="75" t="n"/>
      <c r="AZ97" s="75" t="n"/>
      <c r="BA97" s="75" t="n"/>
      <c r="BB97" s="75" t="n"/>
      <c r="BC97" s="75" t="n"/>
      <c r="BD97" s="75" t="n"/>
      <c r="BE97" s="75" t="n"/>
      <c r="BF97" s="75" t="n"/>
      <c r="BG97" s="75" t="n"/>
      <c r="BH97" s="75" t="n"/>
      <c r="BI97" s="75" t="n"/>
      <c r="BJ97" s="75" t="n"/>
    </row>
    <row r="98">
      <c r="A98" s="25" t="inlineStr">
        <is>
          <t>KIT TAG 10 C/ 20</t>
        </is>
      </c>
      <c r="B98" s="6" t="n">
        <v>200</v>
      </c>
      <c r="C98" s="632" t="n">
        <v>40</v>
      </c>
      <c r="D98" s="240" t="n"/>
      <c r="F98" s="39" t="n">
        <v>0</v>
      </c>
      <c r="G98" s="39" t="n">
        <v>0</v>
      </c>
      <c r="H98" s="39" t="n">
        <v>0</v>
      </c>
      <c r="I98" s="39" t="n">
        <v>0</v>
      </c>
      <c r="J98" s="39" t="n">
        <v>0</v>
      </c>
      <c r="K98" s="39" t="n">
        <v>0</v>
      </c>
      <c r="L98" s="39" t="n">
        <v>0</v>
      </c>
      <c r="M98" s="39" t="n">
        <v>0</v>
      </c>
      <c r="N98" s="39" t="n">
        <v>0</v>
      </c>
      <c r="O98" s="39" t="n">
        <v>0</v>
      </c>
      <c r="P98" s="39" t="n">
        <v>5</v>
      </c>
      <c r="Q98" s="39" t="n">
        <v>5</v>
      </c>
      <c r="R98" s="39" t="n">
        <v>5</v>
      </c>
      <c r="S98" s="39" t="n">
        <v>5</v>
      </c>
      <c r="T98" s="39" t="n">
        <v>0</v>
      </c>
      <c r="U98" s="39" t="n">
        <v>0</v>
      </c>
      <c r="V98" s="39" t="n"/>
      <c r="W98" s="39" t="n"/>
      <c r="X98" s="39" t="n"/>
      <c r="Y98" s="39" t="n"/>
      <c r="Z98" s="39" t="n"/>
      <c r="AA98" s="39" t="n">
        <v>0</v>
      </c>
      <c r="AB98" s="380">
        <f>Z98+IF(NOT(ISBLANK(OFFSET(AB98,0,6))),N(OFFSET(AB98,0,6)),N(OFFSET(AB98,0,7)))-AA98</f>
        <v/>
      </c>
      <c r="AD98" s="75" t="n"/>
      <c r="AE98" s="75" t="n"/>
      <c r="AF98" s="1" t="n"/>
      <c r="AG98" s="15" t="n"/>
      <c r="AH98" s="41" t="n"/>
      <c r="AI98" s="75" t="n"/>
      <c r="AJ98" s="75" t="n"/>
      <c r="AK98" s="75" t="n"/>
      <c r="AL98" s="75" t="n"/>
      <c r="AM98" s="75" t="n"/>
      <c r="AN98" s="75" t="n"/>
      <c r="AO98" s="75" t="n"/>
      <c r="AP98" s="75" t="n"/>
      <c r="AQ98" s="75" t="n"/>
      <c r="AR98" s="75" t="n"/>
      <c r="AS98" s="75" t="n"/>
      <c r="AT98" s="75" t="n"/>
      <c r="AU98" s="75" t="n"/>
      <c r="AV98" s="75" t="n"/>
      <c r="AW98" s="75" t="n"/>
      <c r="AX98" s="75" t="n"/>
      <c r="AY98" s="75" t="n"/>
      <c r="AZ98" s="75" t="n"/>
      <c r="BA98" s="75" t="n"/>
      <c r="BB98" s="75" t="n"/>
      <c r="BC98" s="75" t="n"/>
      <c r="BD98" s="75" t="n"/>
      <c r="BE98" s="75" t="n"/>
      <c r="BF98" s="75" t="n"/>
      <c r="BG98" s="75" t="n"/>
      <c r="BH98" s="75" t="n"/>
      <c r="BI98" s="75" t="n"/>
      <c r="BJ98" s="75" t="n"/>
    </row>
    <row r="99">
      <c r="A99" s="157" t="inlineStr">
        <is>
          <t>CAIXA M</t>
        </is>
      </c>
      <c r="B99" s="72" t="n">
        <v>100</v>
      </c>
      <c r="C99" s="639" t="n">
        <v>904</v>
      </c>
      <c r="D99" s="72" t="n"/>
      <c r="F99" s="39" t="n">
        <v>108</v>
      </c>
      <c r="G99" s="39" t="n">
        <v>108</v>
      </c>
      <c r="H99" s="39" t="n">
        <v>108</v>
      </c>
      <c r="I99" s="39" t="n">
        <v>108</v>
      </c>
      <c r="J99" s="39" t="n">
        <v>108</v>
      </c>
      <c r="K99" s="39" t="n">
        <v>116</v>
      </c>
      <c r="L99" s="39" t="n">
        <v>116</v>
      </c>
      <c r="M99" s="39" t="n">
        <v>116</v>
      </c>
      <c r="N99" s="39" t="n">
        <v>116</v>
      </c>
      <c r="O99" s="39" t="n">
        <v>116</v>
      </c>
      <c r="P99" s="39" t="n">
        <v>109</v>
      </c>
      <c r="Q99" s="39" t="n">
        <v>109</v>
      </c>
      <c r="R99" s="39" t="n">
        <v>109</v>
      </c>
      <c r="S99" s="39" t="n">
        <v>109</v>
      </c>
      <c r="T99" s="39" t="n">
        <v>108</v>
      </c>
      <c r="U99" s="39" t="n">
        <v>108</v>
      </c>
      <c r="V99" s="39" t="n"/>
      <c r="W99" s="39" t="n"/>
      <c r="X99" s="39" t="n"/>
      <c r="Y99" s="39" t="n"/>
      <c r="Z99" s="39" t="n"/>
      <c r="AA99" s="39" t="n">
        <v>105</v>
      </c>
      <c r="AB99" s="380">
        <f>Z99+IF(NOT(ISBLANK(OFFSET(AB99,0,6))),N(OFFSET(AB99,0,6)),N(OFFSET(AB99,0,7)))-AA99</f>
        <v/>
      </c>
      <c r="AD99" s="75" t="n"/>
      <c r="AE99" s="75" t="n"/>
      <c r="AF99" s="1" t="n"/>
      <c r="AG99" s="15" t="n"/>
      <c r="AH99" s="41" t="n"/>
      <c r="AI99" s="75" t="n"/>
      <c r="AJ99" s="75" t="n"/>
      <c r="AK99" s="75" t="n"/>
      <c r="AL99" s="75" t="n"/>
      <c r="AM99" s="75" t="n"/>
      <c r="AN99" s="75" t="n"/>
      <c r="AO99" s="75" t="n"/>
      <c r="AP99" s="75" t="n"/>
      <c r="AQ99" s="75" t="n"/>
      <c r="AR99" s="75" t="n"/>
      <c r="AS99" s="75" t="n"/>
      <c r="AT99" s="75" t="n"/>
      <c r="AU99" s="75" t="n"/>
      <c r="AV99" s="75" t="n"/>
      <c r="AW99" s="75" t="n"/>
      <c r="AX99" s="75" t="n"/>
      <c r="AY99" s="75" t="n"/>
      <c r="AZ99" s="75" t="n"/>
      <c r="BA99" s="75" t="n"/>
      <c r="BB99" s="75" t="n"/>
      <c r="BC99" s="75" t="n"/>
      <c r="BD99" s="75" t="n"/>
      <c r="BE99" s="75" t="n"/>
      <c r="BF99" s="75" t="n"/>
      <c r="BG99" s="75" t="n"/>
      <c r="BH99" s="75" t="n"/>
      <c r="BI99" s="75" t="n"/>
      <c r="BJ99" s="75" t="n"/>
    </row>
    <row r="100">
      <c r="A100" s="157" t="inlineStr">
        <is>
          <t>CARTUCHO P</t>
        </is>
      </c>
      <c r="B100" s="72" t="n">
        <v>200</v>
      </c>
      <c r="C100" s="639" t="n">
        <v>464</v>
      </c>
      <c r="D100" s="72" t="n"/>
      <c r="F100" s="39" t="n">
        <v>201</v>
      </c>
      <c r="G100" s="39" t="n">
        <v>199</v>
      </c>
      <c r="H100" s="39" t="n">
        <v>198</v>
      </c>
      <c r="I100" s="39" t="n">
        <v>198</v>
      </c>
      <c r="J100" s="39" t="n">
        <v>198</v>
      </c>
      <c r="K100" s="39" t="n">
        <v>199</v>
      </c>
      <c r="L100" s="39" t="n">
        <v>199</v>
      </c>
      <c r="M100" s="39" t="n">
        <v>199</v>
      </c>
      <c r="N100" s="39" t="n">
        <v>199</v>
      </c>
      <c r="O100" s="39" t="n">
        <v>199</v>
      </c>
      <c r="P100" s="39" t="n">
        <v>198</v>
      </c>
      <c r="Q100" s="39" t="n">
        <v>197</v>
      </c>
      <c r="R100" s="39" t="n">
        <v>197</v>
      </c>
      <c r="S100" s="39" t="n">
        <v>195</v>
      </c>
      <c r="T100" s="39" t="n">
        <v>195</v>
      </c>
      <c r="U100" s="39" t="n">
        <v>195</v>
      </c>
      <c r="V100" s="39" t="n"/>
      <c r="W100" s="39" t="n"/>
      <c r="X100" s="39" t="n"/>
      <c r="Y100" s="39" t="n"/>
      <c r="Z100" s="39" t="n"/>
      <c r="AA100" s="39" t="n">
        <v>180</v>
      </c>
      <c r="AB100" s="380">
        <f>Z100+IF(NOT(ISBLANK(OFFSET(AB100,0,6))),N(OFFSET(AB100,0,6)),N(OFFSET(AB100,0,7)))-AA100</f>
        <v/>
      </c>
      <c r="AD100" s="75" t="n"/>
      <c r="AE100" s="75" t="n"/>
      <c r="AF100" s="1" t="n"/>
      <c r="AG100" s="15" t="n"/>
      <c r="AH100" s="41" t="n"/>
      <c r="AI100" s="75" t="n"/>
      <c r="AJ100" s="75" t="n"/>
      <c r="AK100" s="75" t="n"/>
      <c r="AL100" s="75" t="n"/>
      <c r="AM100" s="75" t="n"/>
      <c r="AN100" s="75" t="n"/>
      <c r="AO100" s="75" t="n"/>
      <c r="AP100" s="75" t="n"/>
      <c r="AQ100" s="75" t="n"/>
      <c r="AR100" s="75" t="n"/>
      <c r="AS100" s="75" t="n"/>
      <c r="AT100" s="75" t="n"/>
      <c r="AU100" s="75" t="n"/>
      <c r="AV100" s="75" t="n"/>
      <c r="AW100" s="75" t="n"/>
      <c r="AX100" s="75" t="n"/>
      <c r="AY100" s="75" t="n"/>
      <c r="AZ100" s="75" t="n"/>
      <c r="BA100" s="75" t="n"/>
      <c r="BB100" s="75" t="n"/>
      <c r="BC100" s="75" t="n"/>
      <c r="BD100" s="75" t="n"/>
      <c r="BE100" s="75" t="n"/>
      <c r="BF100" s="75" t="n"/>
      <c r="BG100" s="75" t="n"/>
      <c r="BH100" s="75" t="n"/>
      <c r="BI100" s="75" t="n"/>
      <c r="BJ100" s="75" t="n"/>
    </row>
    <row r="101">
      <c r="F101" s="2" t="n"/>
      <c r="G101" s="2" t="n"/>
      <c r="H101" s="2" t="n"/>
      <c r="I101" s="2" t="n"/>
      <c r="J101" s="2" t="n"/>
      <c r="K101" s="2" t="n"/>
      <c r="L101" s="2" t="n"/>
      <c r="M101" s="2" t="n"/>
      <c r="N101" s="2" t="n"/>
      <c r="O101" s="2" t="n"/>
      <c r="P101" s="2" t="n"/>
      <c r="Q101" s="2" t="n"/>
      <c r="R101" s="2" t="n"/>
      <c r="S101" s="2" t="n"/>
      <c r="T101" s="2" t="n"/>
      <c r="U101" s="2" t="n"/>
      <c r="V101" s="2" t="n"/>
      <c r="W101" s="2" t="n"/>
      <c r="X101" s="2" t="n"/>
      <c r="Y101" s="2" t="n"/>
      <c r="Z101" s="2" t="n"/>
      <c r="AA101" s="2" t="n"/>
      <c r="AD101" s="75" t="n"/>
      <c r="AE101" s="75" t="n"/>
      <c r="AF101" s="1" t="n"/>
      <c r="AG101" s="15" t="n"/>
      <c r="AH101" s="41" t="n"/>
      <c r="AI101" s="75" t="n"/>
      <c r="AJ101" s="75" t="n"/>
      <c r="AK101" s="75" t="n"/>
      <c r="AL101" s="75" t="n"/>
      <c r="AM101" s="75" t="n"/>
      <c r="AN101" s="75" t="n"/>
      <c r="AO101" s="75" t="n"/>
      <c r="AP101" s="75" t="n"/>
      <c r="AQ101" s="75" t="n"/>
      <c r="AR101" s="75" t="n"/>
      <c r="AS101" s="75" t="n"/>
      <c r="AT101" s="75" t="n"/>
      <c r="AU101" s="75" t="n"/>
      <c r="AV101" s="75" t="n"/>
      <c r="AW101" s="75" t="n"/>
      <c r="AX101" s="75" t="n"/>
      <c r="AY101" s="75" t="n"/>
      <c r="AZ101" s="75" t="n"/>
      <c r="BA101" s="75" t="n"/>
      <c r="BB101" s="75" t="n"/>
      <c r="BC101" s="75" t="n"/>
      <c r="BD101" s="75" t="n"/>
      <c r="BE101" s="75" t="n"/>
      <c r="BF101" s="75" t="n"/>
      <c r="BG101" s="75" t="n"/>
      <c r="BH101" s="75" t="n"/>
      <c r="BI101" s="75" t="n"/>
      <c r="BJ101" s="75" t="n"/>
    </row>
    <row r="102">
      <c r="A102" s="280" t="inlineStr">
        <is>
          <t>BOTICÁRIO NATAL/25</t>
        </is>
      </c>
      <c r="B102" s="255" t="inlineStr">
        <is>
          <t>PC</t>
        </is>
      </c>
      <c r="C102" s="255" t="inlineStr">
        <is>
          <t>R$</t>
        </is>
      </c>
      <c r="D102" s="255" t="n"/>
      <c r="F102" s="619" t="n">
        <v>46006</v>
      </c>
      <c r="G102" s="619" t="n">
        <v>46013</v>
      </c>
      <c r="H102" s="619" t="n">
        <v>46020</v>
      </c>
      <c r="I102" s="619" t="n">
        <v>46027</v>
      </c>
      <c r="J102" s="619" t="n">
        <v>46034</v>
      </c>
      <c r="K102" s="619" t="n">
        <v>46041</v>
      </c>
      <c r="L102" s="619" t="n">
        <v>46048</v>
      </c>
      <c r="M102" s="619" t="n">
        <v>46055</v>
      </c>
      <c r="N102" s="619" t="n">
        <v>46062</v>
      </c>
      <c r="O102" s="619" t="n">
        <v>46069</v>
      </c>
      <c r="P102" s="619" t="n">
        <v>46076</v>
      </c>
      <c r="Q102" s="619" t="n">
        <v>46083</v>
      </c>
      <c r="R102" s="619" t="n">
        <v>46090</v>
      </c>
      <c r="S102" s="619" t="n">
        <v>46097</v>
      </c>
      <c r="T102" s="619" t="n">
        <v>46104</v>
      </c>
      <c r="U102" s="619" t="n">
        <v>46111</v>
      </c>
      <c r="V102" s="619" t="n">
        <v>46118</v>
      </c>
      <c r="W102" s="619" t="n">
        <v>46125</v>
      </c>
      <c r="X102" s="619" t="n">
        <v>46132</v>
      </c>
      <c r="Y102" s="619" t="n">
        <v>46139</v>
      </c>
      <c r="Z102" s="619" t="n">
        <v>46146</v>
      </c>
      <c r="AA102" s="619" t="n">
        <v>46154</v>
      </c>
      <c r="AB102" s="621" t="inlineStr">
        <is>
          <t>USOU</t>
        </is>
      </c>
      <c r="AD102" s="75" t="n"/>
      <c r="AE102" s="75" t="n"/>
      <c r="AF102" s="1" t="n"/>
      <c r="AG102" s="15" t="n"/>
      <c r="AH102" s="41" t="n"/>
      <c r="AI102" s="75" t="n"/>
      <c r="AJ102" s="75" t="n"/>
      <c r="AK102" s="75" t="n"/>
      <c r="AL102" s="75" t="n"/>
      <c r="AM102" s="75" t="n"/>
      <c r="AN102" s="75" t="n"/>
      <c r="AO102" s="75" t="n"/>
      <c r="AP102" s="75" t="n"/>
      <c r="AQ102" s="75" t="n"/>
      <c r="AR102" s="75" t="n"/>
      <c r="AS102" s="75" t="n"/>
      <c r="AT102" s="75" t="n"/>
      <c r="AU102" s="75" t="n"/>
      <c r="AV102" s="75" t="n"/>
      <c r="AW102" s="75" t="n"/>
      <c r="AX102" s="75" t="n"/>
      <c r="AY102" s="75" t="n"/>
      <c r="AZ102" s="75" t="n"/>
      <c r="BA102" s="75" t="n"/>
      <c r="BB102" s="75" t="n"/>
      <c r="BC102" s="75" t="n"/>
      <c r="BD102" s="75" t="n"/>
      <c r="BE102" s="75" t="n"/>
      <c r="BF102" s="75" t="n"/>
      <c r="BG102" s="75" t="n"/>
      <c r="BH102" s="75" t="n"/>
      <c r="BI102" s="75" t="n"/>
      <c r="BJ102" s="75" t="n"/>
    </row>
    <row r="103" hidden="1">
      <c r="A103" s="25" t="inlineStr">
        <is>
          <t>SACOLA P</t>
        </is>
      </c>
      <c r="B103" s="6" t="n">
        <v>200</v>
      </c>
      <c r="C103" s="632" t="n">
        <v>274.2</v>
      </c>
      <c r="D103" s="240" t="n"/>
      <c r="F103" s="39" t="n">
        <v>92</v>
      </c>
      <c r="G103" s="39" t="n">
        <v>53</v>
      </c>
      <c r="H103" s="39" t="n">
        <v>9</v>
      </c>
      <c r="I103" s="39" t="n">
        <v>9</v>
      </c>
      <c r="J103" s="39" t="n">
        <v>9</v>
      </c>
      <c r="K103" s="39" t="n">
        <v>0</v>
      </c>
      <c r="L103" s="39" t="n">
        <v>0</v>
      </c>
      <c r="M103" s="39" t="n"/>
      <c r="N103" s="39" t="n"/>
      <c r="O103" s="39" t="n"/>
      <c r="P103" s="39" t="n"/>
      <c r="Q103" s="39" t="n"/>
      <c r="R103" s="39" t="n"/>
      <c r="S103" s="39" t="n"/>
      <c r="T103" s="39" t="n"/>
      <c r="U103" s="39" t="n"/>
      <c r="V103" s="39" t="n"/>
      <c r="W103" s="39" t="n"/>
      <c r="X103" s="39" t="n"/>
      <c r="Y103" s="39" t="n"/>
      <c r="Z103" s="39" t="n"/>
      <c r="AA103" s="39" t="n"/>
      <c r="AB103" s="26">
        <f>Z103+IF(NOT(ISBLANK(OFFSET(AB103,0,6))),N(OFFSET(AB103,0,6)),N(OFFSET(AB103,0,7)))-#REF!</f>
        <v/>
      </c>
      <c r="AD103" s="75" t="n"/>
      <c r="AE103" s="75" t="n"/>
      <c r="AF103" s="1" t="n"/>
      <c r="AG103" s="15" t="n"/>
      <c r="AH103" s="41" t="n"/>
      <c r="AI103" s="75" t="n"/>
      <c r="AJ103" s="75" t="n"/>
      <c r="AK103" s="75" t="n"/>
      <c r="AL103" s="75" t="n"/>
      <c r="AM103" s="75" t="n"/>
      <c r="AN103" s="75" t="n"/>
      <c r="AO103" s="75" t="n"/>
      <c r="AP103" s="75" t="n"/>
      <c r="AQ103" s="75" t="n"/>
      <c r="AR103" s="75" t="n"/>
      <c r="AS103" s="75" t="n"/>
      <c r="AT103" s="75" t="n"/>
      <c r="AU103" s="75" t="n"/>
      <c r="AV103" s="75" t="n"/>
      <c r="AW103" s="75" t="n"/>
      <c r="AX103" s="75" t="n"/>
      <c r="AY103" s="75" t="n"/>
      <c r="AZ103" s="75" t="n"/>
      <c r="BA103" s="75" t="n"/>
      <c r="BB103" s="75" t="n"/>
      <c r="BC103" s="75" t="n"/>
      <c r="BD103" s="75" t="n"/>
      <c r="BE103" s="75" t="n"/>
      <c r="BF103" s="75" t="n"/>
      <c r="BG103" s="75" t="n"/>
      <c r="BH103" s="75" t="n"/>
      <c r="BI103" s="75" t="n"/>
      <c r="BJ103" s="75" t="n"/>
    </row>
    <row r="104" hidden="1">
      <c r="A104" s="25" t="inlineStr">
        <is>
          <t>SACOLA M</t>
        </is>
      </c>
      <c r="B104" s="6" t="n">
        <v>200</v>
      </c>
      <c r="C104" s="632" t="n">
        <v>347.8</v>
      </c>
      <c r="D104" s="240" t="n"/>
      <c r="F104" s="39" t="n">
        <v>409</v>
      </c>
      <c r="G104" s="39" t="n">
        <v>341</v>
      </c>
      <c r="H104" s="39" t="n">
        <v>306</v>
      </c>
      <c r="I104" s="39" t="n">
        <v>306</v>
      </c>
      <c r="J104" s="39" t="n">
        <v>306</v>
      </c>
      <c r="K104" s="39" t="n">
        <v>0</v>
      </c>
      <c r="L104" s="39" t="n">
        <v>0</v>
      </c>
      <c r="M104" s="39" t="n"/>
      <c r="N104" s="39" t="n"/>
      <c r="O104" s="39" t="n"/>
      <c r="P104" s="39" t="n"/>
      <c r="Q104" s="39" t="n"/>
      <c r="R104" s="39" t="n"/>
      <c r="S104" s="39" t="n"/>
      <c r="T104" s="39" t="n"/>
      <c r="U104" s="39" t="n"/>
      <c r="V104" s="39" t="n"/>
      <c r="W104" s="39" t="n"/>
      <c r="X104" s="39" t="n"/>
      <c r="Y104" s="39" t="n"/>
      <c r="Z104" s="39" t="n"/>
      <c r="AA104" s="39" t="n"/>
      <c r="AB104" s="26">
        <f>Z104+IF(NOT(ISBLANK(OFFSET(AB104,0,6))),N(OFFSET(AB104,0,6)),N(OFFSET(AB104,0,7)))-#REF!</f>
        <v/>
      </c>
      <c r="AD104" s="75" t="n"/>
      <c r="AE104" s="75" t="n"/>
      <c r="AF104" s="1" t="n"/>
      <c r="AG104" s="15" t="n"/>
      <c r="AH104" s="41" t="n"/>
      <c r="AI104" s="75" t="n"/>
      <c r="AJ104" s="75" t="n"/>
      <c r="AK104" s="75" t="n"/>
      <c r="AL104" s="75" t="n"/>
      <c r="AM104" s="75" t="n"/>
      <c r="AN104" s="75" t="n"/>
      <c r="AO104" s="75" t="n"/>
      <c r="AP104" s="75" t="n"/>
      <c r="AQ104" s="75" t="n"/>
      <c r="AR104" s="75" t="n"/>
      <c r="AS104" s="75" t="n"/>
      <c r="AT104" s="75" t="n"/>
      <c r="AU104" s="75" t="n"/>
      <c r="AV104" s="75" t="n"/>
      <c r="AW104" s="75" t="n"/>
      <c r="AX104" s="75" t="n"/>
      <c r="AY104" s="75" t="n"/>
      <c r="AZ104" s="75" t="n"/>
      <c r="BA104" s="75" t="n"/>
      <c r="BB104" s="75" t="n"/>
      <c r="BC104" s="75" t="n"/>
      <c r="BD104" s="75" t="n"/>
      <c r="BE104" s="75" t="n"/>
      <c r="BF104" s="75" t="n"/>
      <c r="BG104" s="75" t="n"/>
      <c r="BH104" s="75" t="n"/>
      <c r="BI104" s="75" t="n"/>
      <c r="BJ104" s="75" t="n"/>
    </row>
    <row r="105" hidden="1">
      <c r="A105" s="25" t="inlineStr">
        <is>
          <t>SACOLA G</t>
        </is>
      </c>
      <c r="B105" s="6" t="n">
        <v>100</v>
      </c>
      <c r="C105" s="632" t="n">
        <v>267</v>
      </c>
      <c r="D105" s="240" t="n"/>
      <c r="F105" s="39" t="n">
        <v>50</v>
      </c>
      <c r="G105" s="39" t="n">
        <v>45</v>
      </c>
      <c r="H105" s="39" t="n">
        <v>39</v>
      </c>
      <c r="I105" s="39" t="n">
        <v>39</v>
      </c>
      <c r="J105" s="39" t="n">
        <v>39</v>
      </c>
      <c r="K105" s="39" t="n">
        <v>0</v>
      </c>
      <c r="L105" s="39" t="n">
        <v>0</v>
      </c>
      <c r="M105" s="39" t="n"/>
      <c r="N105" s="39" t="n"/>
      <c r="O105" s="39" t="n"/>
      <c r="P105" s="39" t="n"/>
      <c r="Q105" s="39" t="n"/>
      <c r="R105" s="39" t="n"/>
      <c r="S105" s="39" t="n"/>
      <c r="T105" s="39" t="n"/>
      <c r="U105" s="39" t="n"/>
      <c r="V105" s="39" t="n"/>
      <c r="W105" s="39" t="n"/>
      <c r="X105" s="39" t="n"/>
      <c r="Y105" s="39" t="n"/>
      <c r="Z105" s="39" t="n"/>
      <c r="AA105" s="39" t="n"/>
      <c r="AB105" s="26">
        <f>Z105+IF(NOT(ISBLANK(OFFSET(AB105,0,6))),N(OFFSET(AB105,0,6)),N(OFFSET(AB105,0,7)))-#REF!</f>
        <v/>
      </c>
      <c r="AD105" s="75" t="n"/>
      <c r="AE105" s="75" t="n"/>
      <c r="AF105" s="1" t="n"/>
      <c r="AG105" s="15" t="n"/>
      <c r="AH105" s="41" t="n"/>
      <c r="AI105" s="75" t="n"/>
      <c r="AJ105" s="75" t="n"/>
      <c r="AK105" s="75" t="n"/>
      <c r="AL105" s="75" t="n"/>
      <c r="AM105" s="75" t="n"/>
      <c r="AN105" s="75" t="n"/>
      <c r="AO105" s="75" t="n"/>
      <c r="AP105" s="75" t="n"/>
      <c r="AQ105" s="75" t="n"/>
      <c r="AR105" s="75" t="n"/>
      <c r="AS105" s="75" t="n"/>
      <c r="AT105" s="75" t="n"/>
      <c r="AU105" s="75" t="n"/>
      <c r="AV105" s="75" t="n"/>
      <c r="AW105" s="75" t="n"/>
      <c r="AX105" s="75" t="n"/>
      <c r="AY105" s="75" t="n"/>
      <c r="AZ105" s="75" t="n"/>
      <c r="BA105" s="75" t="n"/>
      <c r="BB105" s="75" t="n"/>
      <c r="BC105" s="75" t="n"/>
      <c r="BD105" s="75" t="n"/>
      <c r="BE105" s="75" t="n"/>
      <c r="BF105" s="75" t="n"/>
      <c r="BG105" s="75" t="n"/>
      <c r="BH105" s="75" t="n"/>
      <c r="BI105" s="75" t="n"/>
      <c r="BJ105" s="75" t="n"/>
    </row>
    <row r="106" hidden="1">
      <c r="A106" s="157" t="inlineStr">
        <is>
          <t>KIT PAPEL DE SEDA 10 C/ 20</t>
        </is>
      </c>
      <c r="B106" s="72" t="n">
        <v>200</v>
      </c>
      <c r="C106" s="639" t="n">
        <v>44.4</v>
      </c>
      <c r="D106" s="72" t="n"/>
      <c r="F106" s="39" t="n">
        <v>0</v>
      </c>
      <c r="G106" s="39" t="n">
        <v>0</v>
      </c>
      <c r="H106" s="39" t="n">
        <v>0</v>
      </c>
      <c r="I106" s="39" t="n">
        <v>0</v>
      </c>
      <c r="J106" s="39" t="n">
        <v>0</v>
      </c>
      <c r="K106" s="39" t="n">
        <v>0</v>
      </c>
      <c r="L106" s="39" t="n">
        <v>0</v>
      </c>
      <c r="M106" s="39" t="n"/>
      <c r="N106" s="39" t="n"/>
      <c r="O106" s="39" t="n"/>
      <c r="P106" s="39" t="n"/>
      <c r="Q106" s="39" t="n"/>
      <c r="R106" s="39" t="n"/>
      <c r="S106" s="39" t="n"/>
      <c r="T106" s="39" t="n"/>
      <c r="U106" s="39" t="n"/>
      <c r="V106" s="39" t="n"/>
      <c r="W106" s="39" t="n"/>
      <c r="X106" s="39" t="n"/>
      <c r="Y106" s="39" t="n"/>
      <c r="Z106" s="39" t="n"/>
      <c r="AA106" s="39" t="n"/>
      <c r="AB106" s="26">
        <f>Z106+IF(NOT(ISBLANK(OFFSET(AB106,0,6))),N(OFFSET(AB106,0,6)),N(OFFSET(AB106,0,7)))-#REF!</f>
        <v/>
      </c>
      <c r="AD106" s="75" t="n"/>
      <c r="AE106" s="75" t="n"/>
      <c r="AF106" s="1" t="n"/>
      <c r="AG106" s="15" t="n"/>
      <c r="AH106" s="41" t="n"/>
      <c r="AI106" s="75" t="n"/>
      <c r="AJ106" s="75" t="n"/>
      <c r="AK106" s="75" t="n"/>
      <c r="AL106" s="75" t="n"/>
      <c r="AM106" s="75" t="n"/>
      <c r="AN106" s="75" t="n"/>
      <c r="AO106" s="75" t="n"/>
      <c r="AP106" s="75" t="n"/>
      <c r="AQ106" s="75" t="n"/>
      <c r="AR106" s="75" t="n"/>
      <c r="AS106" s="75" t="n"/>
      <c r="AT106" s="75" t="n"/>
      <c r="AU106" s="75" t="n"/>
      <c r="AV106" s="75" t="n"/>
      <c r="AW106" s="75" t="n"/>
      <c r="AX106" s="75" t="n"/>
      <c r="AY106" s="75" t="n"/>
      <c r="AZ106" s="75" t="n"/>
      <c r="BA106" s="75" t="n"/>
      <c r="BB106" s="75" t="n"/>
      <c r="BC106" s="75" t="n"/>
      <c r="BD106" s="75" t="n"/>
      <c r="BE106" s="75" t="n"/>
      <c r="BF106" s="75" t="n"/>
      <c r="BG106" s="75" t="n"/>
      <c r="BH106" s="75" t="n"/>
      <c r="BI106" s="75" t="n"/>
      <c r="BJ106" s="75" t="n"/>
    </row>
    <row r="107">
      <c r="A107" s="157" t="inlineStr">
        <is>
          <t>CAIXA P</t>
        </is>
      </c>
      <c r="B107" s="72" t="n">
        <v>150</v>
      </c>
      <c r="C107" s="639" t="n">
        <v>805.35</v>
      </c>
      <c r="D107" s="72" t="n"/>
      <c r="F107" s="39" t="n">
        <v>76</v>
      </c>
      <c r="G107" s="39" t="n">
        <v>107</v>
      </c>
      <c r="H107" s="39" t="n">
        <v>103</v>
      </c>
      <c r="I107" s="39" t="n">
        <v>103</v>
      </c>
      <c r="J107" s="39" t="n">
        <v>103</v>
      </c>
      <c r="K107" s="39" t="n">
        <v>104</v>
      </c>
      <c r="L107" s="39" t="n">
        <v>104</v>
      </c>
      <c r="M107" s="39" t="n">
        <v>102</v>
      </c>
      <c r="N107" s="39" t="n">
        <v>101</v>
      </c>
      <c r="O107" s="39" t="n">
        <v>101</v>
      </c>
      <c r="P107" s="39" t="n">
        <v>104</v>
      </c>
      <c r="Q107" s="39" t="n">
        <v>103</v>
      </c>
      <c r="R107" s="39" t="n">
        <v>103</v>
      </c>
      <c r="S107" s="39" t="n">
        <v>103</v>
      </c>
      <c r="T107" s="39" t="n">
        <v>100</v>
      </c>
      <c r="U107" s="39" t="n">
        <v>100</v>
      </c>
      <c r="V107" s="39" t="n"/>
      <c r="W107" s="39" t="n"/>
      <c r="X107" s="39" t="n"/>
      <c r="Y107" s="39" t="n"/>
      <c r="Z107" s="39" t="n"/>
      <c r="AA107" s="39" t="n">
        <v>99</v>
      </c>
      <c r="AB107" s="380">
        <f>Z107+IF(NOT(ISBLANK(OFFSET(AB107,0,6))),N(OFFSET(AB107,0,6)),N(OFFSET(AB107,0,7)))-AA107</f>
        <v/>
      </c>
      <c r="AD107" s="75" t="n"/>
      <c r="AE107" s="75" t="n"/>
      <c r="AF107" s="1" t="n"/>
      <c r="AG107" s="15" t="n"/>
      <c r="AH107" s="41" t="n"/>
      <c r="AI107" s="75" t="n"/>
      <c r="AJ107" s="75" t="n"/>
      <c r="AK107" s="75" t="n"/>
      <c r="AL107" s="75" t="n"/>
      <c r="AM107" s="75" t="n"/>
      <c r="AN107" s="75" t="n"/>
      <c r="AO107" s="75" t="n"/>
      <c r="AP107" s="75" t="n"/>
      <c r="AQ107" s="75" t="n"/>
      <c r="AR107" s="75" t="n"/>
      <c r="AS107" s="75" t="n"/>
      <c r="AT107" s="75" t="n"/>
      <c r="AU107" s="75" t="n"/>
      <c r="AV107" s="75" t="n"/>
      <c r="AW107" s="75" t="n"/>
      <c r="AX107" s="75" t="n"/>
      <c r="AY107" s="75" t="n"/>
      <c r="AZ107" s="75" t="n"/>
      <c r="BA107" s="75" t="n"/>
      <c r="BB107" s="75" t="n"/>
      <c r="BC107" s="75" t="n"/>
      <c r="BD107" s="75" t="n"/>
      <c r="BE107" s="75" t="n"/>
      <c r="BF107" s="75" t="n"/>
      <c r="BG107" s="75" t="n"/>
      <c r="BH107" s="75" t="n"/>
      <c r="BI107" s="75" t="n"/>
      <c r="BJ107" s="75" t="n"/>
    </row>
    <row r="108">
      <c r="A108" s="157" t="inlineStr">
        <is>
          <t>CAIXA M</t>
        </is>
      </c>
      <c r="B108" s="72" t="n">
        <v>100</v>
      </c>
      <c r="C108" s="639" t="n">
        <v>792.2</v>
      </c>
      <c r="D108" s="72" t="n"/>
      <c r="F108" s="39" t="n">
        <v>78</v>
      </c>
      <c r="G108" s="39" t="n">
        <v>69</v>
      </c>
      <c r="H108" s="39" t="n">
        <v>54</v>
      </c>
      <c r="I108" s="39" t="n">
        <v>54</v>
      </c>
      <c r="J108" s="39" t="n">
        <v>54</v>
      </c>
      <c r="K108" s="39" t="n">
        <v>43</v>
      </c>
      <c r="L108" s="39" t="n">
        <v>43</v>
      </c>
      <c r="M108" s="39" t="n">
        <v>42</v>
      </c>
      <c r="N108" s="39" t="n">
        <v>42</v>
      </c>
      <c r="O108" s="39" t="n">
        <v>42</v>
      </c>
      <c r="P108" s="39" t="n">
        <v>42</v>
      </c>
      <c r="Q108" s="39" t="n">
        <v>41</v>
      </c>
      <c r="R108" s="39" t="n">
        <v>40</v>
      </c>
      <c r="S108" s="39" t="n">
        <v>40</v>
      </c>
      <c r="T108" s="39" t="n">
        <v>40</v>
      </c>
      <c r="U108" s="39" t="n">
        <v>40</v>
      </c>
      <c r="V108" s="39" t="n"/>
      <c r="W108" s="39" t="n"/>
      <c r="X108" s="39" t="n"/>
      <c r="Y108" s="39" t="n"/>
      <c r="Z108" s="39" t="n"/>
      <c r="AA108" s="39" t="n">
        <v>40</v>
      </c>
      <c r="AB108" s="380">
        <f>Z108+IF(NOT(ISBLANK(OFFSET(AB108,0,6))),N(OFFSET(AB108,0,6)),N(OFFSET(AB108,0,7)))-AA108</f>
        <v/>
      </c>
      <c r="AD108" s="75" t="n"/>
      <c r="AE108" s="75" t="n"/>
      <c r="AF108" s="1" t="n"/>
      <c r="AG108" s="15" t="n"/>
      <c r="AH108" s="41" t="n"/>
      <c r="AI108" s="75" t="n"/>
      <c r="AJ108" s="75" t="n"/>
      <c r="AK108" s="75" t="n"/>
      <c r="AL108" s="75" t="n"/>
      <c r="AM108" s="75" t="n"/>
      <c r="AN108" s="75" t="n"/>
      <c r="AO108" s="75" t="n"/>
      <c r="AP108" s="75" t="n"/>
      <c r="AQ108" s="75" t="n"/>
      <c r="AR108" s="75" t="n"/>
      <c r="AS108" s="75" t="n"/>
      <c r="AT108" s="75" t="n"/>
      <c r="AU108" s="75" t="n"/>
      <c r="AV108" s="75" t="n"/>
      <c r="AW108" s="75" t="n"/>
      <c r="AX108" s="75" t="n"/>
      <c r="AY108" s="75" t="n"/>
      <c r="AZ108" s="75" t="n"/>
      <c r="BA108" s="75" t="n"/>
      <c r="BB108" s="75" t="n"/>
      <c r="BC108" s="75" t="n"/>
      <c r="BD108" s="75" t="n"/>
      <c r="BE108" s="75" t="n"/>
      <c r="BF108" s="75" t="n"/>
      <c r="BG108" s="75" t="n"/>
      <c r="BH108" s="75" t="n"/>
      <c r="BI108" s="75" t="n"/>
      <c r="BJ108" s="75" t="n"/>
    </row>
    <row r="109">
      <c r="A109" s="157" t="inlineStr">
        <is>
          <t>CARTUCHO P</t>
        </is>
      </c>
      <c r="B109" s="72" t="n">
        <v>200</v>
      </c>
      <c r="C109" s="639" t="n">
        <v>487.2</v>
      </c>
      <c r="D109" s="72" t="n"/>
      <c r="F109" s="39" t="n">
        <v>53</v>
      </c>
      <c r="G109" s="39" t="n">
        <v>21</v>
      </c>
      <c r="H109" s="39" t="n">
        <v>13</v>
      </c>
      <c r="I109" s="39" t="n">
        <v>13</v>
      </c>
      <c r="J109" s="39" t="n">
        <v>13</v>
      </c>
      <c r="K109" s="39" t="n">
        <v>13</v>
      </c>
      <c r="L109" s="39" t="n">
        <v>13</v>
      </c>
      <c r="M109" s="39" t="n">
        <v>13</v>
      </c>
      <c r="N109" s="39" t="n">
        <v>13</v>
      </c>
      <c r="O109" s="39" t="n">
        <v>13</v>
      </c>
      <c r="P109" s="39" t="n">
        <v>13</v>
      </c>
      <c r="Q109" s="39" t="n">
        <v>13</v>
      </c>
      <c r="R109" s="39" t="n">
        <v>13</v>
      </c>
      <c r="S109" s="39" t="n">
        <v>13</v>
      </c>
      <c r="T109" s="39" t="n">
        <v>13</v>
      </c>
      <c r="U109" s="39" t="n">
        <v>13</v>
      </c>
      <c r="V109" s="39" t="n"/>
      <c r="W109" s="39" t="n"/>
      <c r="X109" s="39" t="n"/>
      <c r="Y109" s="39" t="n"/>
      <c r="Z109" s="39" t="n"/>
      <c r="AA109" s="39" t="n">
        <v>13</v>
      </c>
      <c r="AB109" s="380">
        <f>Z109+IF(NOT(ISBLANK(OFFSET(AB109,0,6))),N(OFFSET(AB109,0,6)),N(OFFSET(AB109,0,7)))-AA109</f>
        <v/>
      </c>
      <c r="AD109" s="75" t="n"/>
      <c r="AE109" s="75" t="n"/>
      <c r="AF109" s="1" t="n"/>
      <c r="AG109" s="15" t="n"/>
      <c r="AH109" s="41" t="n"/>
      <c r="AI109" s="75" t="n"/>
      <c r="AJ109" s="75" t="n"/>
      <c r="AK109" s="75" t="n"/>
      <c r="AL109" s="75" t="n"/>
      <c r="AM109" s="75" t="n"/>
      <c r="AN109" s="75" t="n"/>
      <c r="AO109" s="75" t="n"/>
      <c r="AP109" s="75" t="n"/>
      <c r="AQ109" s="75" t="n"/>
      <c r="AR109" s="75" t="n"/>
      <c r="AS109" s="75" t="n"/>
      <c r="AT109" s="75" t="n"/>
      <c r="AU109" s="75" t="n"/>
      <c r="AV109" s="75" t="n"/>
      <c r="AW109" s="75" t="n"/>
      <c r="AX109" s="75" t="n"/>
      <c r="AY109" s="75" t="n"/>
      <c r="AZ109" s="75" t="n"/>
      <c r="BA109" s="75" t="n"/>
      <c r="BB109" s="75" t="n"/>
      <c r="BC109" s="75" t="n"/>
      <c r="BD109" s="75" t="n"/>
      <c r="BE109" s="75" t="n"/>
      <c r="BF109" s="75" t="n"/>
      <c r="BG109" s="75" t="n"/>
      <c r="BH109" s="75" t="n"/>
      <c r="BI109" s="75" t="n"/>
      <c r="BJ109" s="75" t="n"/>
    </row>
    <row r="110">
      <c r="A110" s="157" t="inlineStr">
        <is>
          <t>CARTUCHO M</t>
        </is>
      </c>
      <c r="B110" s="72" t="n">
        <v>150</v>
      </c>
      <c r="C110" s="639" t="n">
        <v>460.35</v>
      </c>
      <c r="D110" s="72" t="n"/>
      <c r="F110" s="39" t="n">
        <v>119</v>
      </c>
      <c r="G110" s="39" t="n">
        <v>98</v>
      </c>
      <c r="H110" s="39" t="n">
        <v>80</v>
      </c>
      <c r="I110" s="39" t="n">
        <v>80</v>
      </c>
      <c r="J110" s="39" t="n">
        <v>80</v>
      </c>
      <c r="K110" s="39" t="n">
        <v>53</v>
      </c>
      <c r="L110" s="39" t="n">
        <v>51</v>
      </c>
      <c r="M110" s="39" t="n">
        <v>51</v>
      </c>
      <c r="N110" s="39" t="n">
        <v>51</v>
      </c>
      <c r="O110" s="39" t="n">
        <v>51</v>
      </c>
      <c r="P110" s="39" t="n">
        <v>51</v>
      </c>
      <c r="Q110" s="39" t="n">
        <v>51</v>
      </c>
      <c r="R110" s="39" t="n">
        <v>51</v>
      </c>
      <c r="S110" s="39" t="n">
        <v>51</v>
      </c>
      <c r="T110" s="39" t="n">
        <v>51</v>
      </c>
      <c r="U110" s="39" t="n">
        <v>51</v>
      </c>
      <c r="V110" s="39" t="n"/>
      <c r="W110" s="39" t="n"/>
      <c r="X110" s="39" t="n"/>
      <c r="Y110" s="39" t="n"/>
      <c r="Z110" s="39" t="n"/>
      <c r="AA110" s="39" t="n">
        <v>51</v>
      </c>
      <c r="AB110" s="380">
        <f>Z110+IF(NOT(ISBLANK(OFFSET(AB110,0,6))),N(OFFSET(AB110,0,6)),N(OFFSET(AB110,0,7)))-AA110</f>
        <v/>
      </c>
      <c r="AD110" s="10" t="n"/>
      <c r="AE110" s="75" t="n"/>
      <c r="AF110" s="1" t="n"/>
      <c r="AG110" s="15" t="n"/>
      <c r="AH110" s="41" t="n"/>
      <c r="AI110" s="75" t="n"/>
      <c r="AJ110" s="75" t="n"/>
      <c r="AK110" s="75" t="n"/>
      <c r="AL110" s="75" t="n"/>
      <c r="AM110" s="75" t="n"/>
      <c r="AN110" s="75" t="n"/>
      <c r="AO110" s="75" t="n"/>
      <c r="AP110" s="75" t="n"/>
      <c r="AQ110" s="75" t="n"/>
      <c r="AR110" s="75" t="n"/>
      <c r="AS110" s="75" t="n"/>
      <c r="AT110" s="75" t="n"/>
      <c r="AU110" s="75" t="n"/>
      <c r="AV110" s="75" t="n"/>
      <c r="AW110" s="75" t="n"/>
      <c r="AX110" s="75" t="n"/>
      <c r="AY110" s="75" t="n"/>
      <c r="AZ110" s="75" t="n"/>
      <c r="BA110" s="75" t="n"/>
      <c r="BB110" s="75" t="n"/>
      <c r="BC110" s="75" t="n"/>
      <c r="BD110" s="75" t="n"/>
      <c r="BE110" s="75" t="n"/>
      <c r="BF110" s="75" t="n"/>
      <c r="BG110" s="75" t="n"/>
      <c r="BH110" s="75" t="n"/>
      <c r="BI110" s="75" t="n"/>
      <c r="BJ110" s="75" t="n"/>
    </row>
    <row r="111" ht="19.5" customHeight="1" thickBot="1">
      <c r="B111" s="41" t="n"/>
      <c r="C111" s="684" t="n"/>
      <c r="D111" s="684" t="n"/>
      <c r="F111" s="2" t="n"/>
      <c r="G111" s="2" t="n"/>
      <c r="H111" s="2" t="n"/>
      <c r="I111" s="2" t="n"/>
      <c r="J111" s="2" t="n"/>
      <c r="K111" s="2" t="n"/>
      <c r="L111" s="2" t="n"/>
      <c r="M111" s="2" t="n"/>
      <c r="N111" s="2" t="n"/>
      <c r="O111" s="2" t="n"/>
      <c r="P111" s="2" t="n"/>
      <c r="Q111" s="2" t="n"/>
      <c r="R111" s="2" t="n"/>
      <c r="S111" s="2" t="n"/>
      <c r="T111" s="2" t="n"/>
      <c r="U111" s="2" t="n"/>
      <c r="V111" s="2" t="n"/>
      <c r="W111" s="2" t="n"/>
      <c r="X111" s="2" t="n"/>
      <c r="Y111" s="2" t="n"/>
      <c r="Z111" s="2" t="n"/>
      <c r="AA111" s="2" t="n"/>
      <c r="AB111" s="2" t="n"/>
      <c r="AD111" s="75" t="n"/>
      <c r="AE111" s="75" t="n"/>
      <c r="AF111" s="1" t="n"/>
      <c r="AG111" s="15" t="n"/>
      <c r="AH111" s="41" t="n"/>
      <c r="AI111" s="75" t="n"/>
      <c r="AJ111" s="75" t="n"/>
      <c r="AK111" s="75" t="n"/>
      <c r="AL111" s="75" t="n"/>
      <c r="AM111" s="75" t="n"/>
      <c r="AN111" s="75" t="n"/>
      <c r="AO111" s="75" t="n"/>
      <c r="AP111" s="75" t="n"/>
      <c r="AQ111" s="75" t="n"/>
      <c r="AR111" s="75" t="n"/>
      <c r="AS111" s="75" t="n"/>
      <c r="AT111" s="75" t="n"/>
      <c r="AU111" s="75" t="n"/>
      <c r="AV111" s="75" t="n"/>
      <c r="AW111" s="75" t="n"/>
      <c r="AX111" s="75" t="n"/>
      <c r="AY111" s="75" t="n"/>
      <c r="AZ111" s="75" t="n"/>
      <c r="BA111" s="75" t="n"/>
      <c r="BB111" s="75" t="n"/>
      <c r="BC111" s="75" t="n"/>
      <c r="BD111" s="75" t="n"/>
      <c r="BE111" s="75" t="n"/>
      <c r="BF111" s="75" t="n"/>
      <c r="BG111" s="75" t="n"/>
      <c r="BH111" s="75" t="n"/>
      <c r="BI111" s="75" t="n"/>
      <c r="BJ111" s="75" t="n"/>
    </row>
    <row r="112" ht="24" customHeight="1" thickBot="1">
      <c r="A112" s="696" t="n">
        <v>2026</v>
      </c>
      <c r="B112" s="686" t="n"/>
      <c r="C112" s="686" t="n"/>
      <c r="D112" s="686" t="n"/>
      <c r="E112" s="686" t="n"/>
      <c r="F112" s="686" t="n"/>
      <c r="G112" s="686" t="n"/>
      <c r="H112" s="686" t="n"/>
      <c r="I112" s="686" t="n"/>
      <c r="J112" s="686" t="n"/>
      <c r="K112" s="686" t="n"/>
      <c r="L112" s="686" t="n"/>
      <c r="M112" s="686" t="n"/>
      <c r="N112" s="686" t="n"/>
      <c r="O112" s="686" t="n"/>
      <c r="P112" s="686" t="n"/>
      <c r="Q112" s="686" t="n"/>
      <c r="R112" s="686" t="n"/>
      <c r="S112" s="686" t="n"/>
      <c r="T112" s="686" t="n"/>
      <c r="U112" s="686" t="n"/>
      <c r="V112" s="686" t="n"/>
      <c r="W112" s="686" t="n"/>
      <c r="X112" s="686" t="n"/>
      <c r="Y112" s="686" t="n"/>
      <c r="Z112" s="686" t="n"/>
      <c r="AA112" s="686" t="n"/>
      <c r="AB112" s="697" t="n"/>
      <c r="AD112" s="75" t="n"/>
      <c r="AE112" s="75" t="n"/>
      <c r="AF112" s="1" t="n"/>
      <c r="AG112" s="15" t="n"/>
      <c r="AH112" s="41" t="n"/>
      <c r="AI112" s="75" t="n"/>
      <c r="AJ112" s="75" t="n"/>
      <c r="AK112" s="75" t="n"/>
      <c r="AL112" s="75" t="n"/>
      <c r="AM112" s="75" t="n"/>
      <c r="AN112" s="75" t="n"/>
      <c r="AO112" s="75" t="n"/>
      <c r="AP112" s="75" t="n"/>
      <c r="AQ112" s="75" t="n"/>
      <c r="AR112" s="75" t="n"/>
      <c r="AS112" s="75" t="n"/>
      <c r="AT112" s="75" t="n"/>
      <c r="AU112" s="75" t="n"/>
      <c r="AV112" s="75" t="n"/>
      <c r="AW112" s="75" t="n"/>
      <c r="AX112" s="75" t="n"/>
      <c r="AY112" s="75" t="n"/>
      <c r="AZ112" s="75" t="n"/>
      <c r="BA112" s="75" t="n"/>
      <c r="BB112" s="75" t="n"/>
      <c r="BC112" s="75" t="n"/>
      <c r="BD112" s="75" t="n"/>
      <c r="BE112" s="75" t="n"/>
      <c r="BF112" s="75" t="n"/>
      <c r="BG112" s="75" t="n"/>
      <c r="BH112" s="75" t="n"/>
      <c r="BI112" s="75" t="n"/>
      <c r="BJ112" s="75" t="n"/>
    </row>
    <row r="113">
      <c r="B113" s="41" t="n"/>
      <c r="C113" s="684" t="n"/>
      <c r="D113" s="684" t="n"/>
      <c r="F113" s="2" t="n"/>
      <c r="G113" s="2" t="n"/>
      <c r="H113" s="2" t="n"/>
      <c r="I113" s="2" t="n"/>
      <c r="J113" s="2" t="n"/>
      <c r="K113" s="2" t="n"/>
      <c r="L113" s="2" t="n"/>
      <c r="M113" s="2" t="n"/>
      <c r="N113" s="2" t="n"/>
      <c r="O113" s="2" t="n"/>
      <c r="P113" s="2" t="n"/>
      <c r="Q113" s="2" t="n"/>
      <c r="R113" s="2" t="n"/>
      <c r="S113" s="2" t="n"/>
      <c r="T113" s="2" t="n"/>
      <c r="U113" s="2" t="n"/>
      <c r="V113" s="2" t="n"/>
      <c r="W113" s="2" t="n"/>
      <c r="X113" s="2" t="n"/>
      <c r="Y113" s="2" t="n"/>
      <c r="Z113" s="2" t="n"/>
      <c r="AA113" s="2" t="n"/>
      <c r="AB113" s="2" t="n"/>
      <c r="AD113" s="75" t="n"/>
      <c r="AE113" s="75" t="n"/>
      <c r="AF113" s="1" t="n"/>
      <c r="AG113" s="15" t="n"/>
      <c r="AH113" s="41" t="n"/>
      <c r="AI113" s="75" t="n"/>
      <c r="AJ113" s="75" t="n"/>
      <c r="AK113" s="75" t="n"/>
      <c r="AL113" s="75" t="n"/>
      <c r="AM113" s="75" t="n"/>
      <c r="AN113" s="75" t="n"/>
      <c r="AO113" s="75" t="n"/>
      <c r="AP113" s="75" t="n"/>
      <c r="AQ113" s="75" t="n"/>
      <c r="AR113" s="75" t="n"/>
      <c r="AS113" s="75" t="n"/>
      <c r="AT113" s="75" t="n"/>
      <c r="AU113" s="75" t="n"/>
      <c r="AV113" s="75" t="n"/>
      <c r="AW113" s="75" t="n"/>
      <c r="AX113" s="75" t="n"/>
      <c r="AY113" s="75" t="n"/>
      <c r="AZ113" s="75" t="n"/>
      <c r="BA113" s="75" t="n"/>
      <c r="BB113" s="75" t="n"/>
      <c r="BC113" s="75" t="n"/>
      <c r="BD113" s="75" t="n"/>
      <c r="BE113" s="75" t="n"/>
      <c r="BF113" s="75" t="n"/>
      <c r="BG113" s="75" t="n"/>
      <c r="BH113" s="75" t="n"/>
      <c r="BI113" s="75" t="n"/>
      <c r="BJ113" s="75" t="n"/>
    </row>
    <row r="114">
      <c r="A114" s="278" t="inlineStr">
        <is>
          <t>EUDORA MÃES/26</t>
        </is>
      </c>
      <c r="B114" s="279" t="inlineStr">
        <is>
          <t>PC</t>
        </is>
      </c>
      <c r="C114" s="279" t="inlineStr">
        <is>
          <t>R$</t>
        </is>
      </c>
      <c r="D114" s="279" t="n"/>
      <c r="F114" s="2" t="n"/>
      <c r="G114" s="2" t="n"/>
      <c r="H114" s="2" t="n"/>
      <c r="I114" s="2" t="n"/>
      <c r="J114" s="2" t="n"/>
      <c r="K114" s="2" t="n"/>
      <c r="L114" s="2" t="n"/>
      <c r="M114" s="2" t="n"/>
      <c r="N114" s="619" t="n">
        <v>46062</v>
      </c>
      <c r="O114" s="619" t="n">
        <v>46069</v>
      </c>
      <c r="P114" s="619" t="n">
        <v>46076</v>
      </c>
      <c r="Q114" s="619" t="n">
        <v>46083</v>
      </c>
      <c r="R114" s="619" t="n">
        <v>46090</v>
      </c>
      <c r="S114" s="619" t="n">
        <v>46097</v>
      </c>
      <c r="T114" s="619" t="n">
        <v>46104</v>
      </c>
      <c r="U114" s="619" t="n">
        <v>46111</v>
      </c>
      <c r="V114" s="619" t="n">
        <v>46118</v>
      </c>
      <c r="W114" s="619" t="n">
        <v>46125</v>
      </c>
      <c r="X114" s="619" t="n">
        <v>46132</v>
      </c>
      <c r="Y114" s="619" t="n">
        <v>46139</v>
      </c>
      <c r="Z114" s="619" t="n">
        <v>46146</v>
      </c>
      <c r="AA114" s="619" t="n">
        <v>46154</v>
      </c>
      <c r="AB114" s="621" t="inlineStr">
        <is>
          <t>USOU</t>
        </is>
      </c>
      <c r="AD114" s="75" t="n"/>
      <c r="AE114" s="75" t="n"/>
      <c r="AF114" s="1" t="n"/>
      <c r="AG114" s="15" t="n"/>
      <c r="AH114" s="41" t="n"/>
      <c r="AI114" s="75" t="n"/>
      <c r="AJ114" s="75" t="n"/>
      <c r="AK114" s="75" t="n"/>
      <c r="AL114" s="75" t="n"/>
      <c r="AM114" s="75" t="n"/>
      <c r="AN114" s="75" t="n"/>
      <c r="AO114" s="75" t="n"/>
      <c r="AP114" s="75" t="n"/>
      <c r="AQ114" s="75" t="n"/>
      <c r="AR114" s="75" t="n"/>
      <c r="AS114" s="75" t="n"/>
      <c r="AT114" s="75" t="n"/>
      <c r="AU114" s="75" t="n"/>
      <c r="AV114" s="75" t="n"/>
      <c r="AW114" s="75" t="n"/>
      <c r="AX114" s="75" t="n"/>
      <c r="AY114" s="75" t="n"/>
      <c r="AZ114" s="75" t="n"/>
      <c r="BA114" s="75" t="n"/>
      <c r="BB114" s="75" t="n"/>
      <c r="BC114" s="75" t="n"/>
      <c r="BD114" s="75" t="n"/>
      <c r="BE114" s="75" t="n"/>
      <c r="BF114" s="75" t="n"/>
      <c r="BG114" s="75" t="n"/>
      <c r="BH114" s="75" t="n"/>
      <c r="BI114" s="75" t="n"/>
      <c r="BJ114" s="75" t="n"/>
    </row>
    <row r="115">
      <c r="A115" s="25" t="inlineStr">
        <is>
          <t xml:space="preserve">SACOLA M </t>
        </is>
      </c>
      <c r="B115" s="6" t="n">
        <v>150</v>
      </c>
      <c r="C115" s="632" t="n"/>
      <c r="D115" s="240" t="n"/>
      <c r="F115" s="2" t="n"/>
      <c r="G115" s="2" t="n"/>
      <c r="H115" s="2" t="n"/>
      <c r="I115" s="2" t="n"/>
      <c r="J115" s="2" t="n"/>
      <c r="K115" s="2" t="n"/>
      <c r="L115" s="2" t="n"/>
      <c r="M115" s="2" t="n"/>
      <c r="N115" s="39" t="n">
        <v>0</v>
      </c>
      <c r="O115" s="39" t="n">
        <v>0</v>
      </c>
      <c r="P115" s="39" t="n">
        <v>0</v>
      </c>
      <c r="Q115" s="39">
        <f>AS10</f>
        <v/>
      </c>
      <c r="R115" s="39" t="n">
        <v>1200</v>
      </c>
      <c r="S115" s="39" t="n">
        <v>1050</v>
      </c>
      <c r="T115" s="39" t="n">
        <v>900</v>
      </c>
      <c r="U115" s="39" t="n">
        <v>750</v>
      </c>
      <c r="V115" s="39" t="n">
        <v>750</v>
      </c>
      <c r="W115" s="39" t="n">
        <v>750</v>
      </c>
      <c r="X115" s="39" t="n">
        <v>750</v>
      </c>
      <c r="Y115" s="39" t="n">
        <v>600</v>
      </c>
      <c r="Z115" s="39" t="n">
        <v>600</v>
      </c>
      <c r="AA115" s="39" t="n">
        <v>600</v>
      </c>
      <c r="AB115" s="380">
        <f>Z115+IF(NOT(ISBLANK(OFFSET(AB115,0,6))),N(OFFSET(AB115,0,6)),N(OFFSET(AB115,0,7)))-AA115</f>
        <v/>
      </c>
      <c r="AD115" s="75" t="n"/>
      <c r="AE115" s="75" t="n"/>
      <c r="AF115" s="1" t="n"/>
      <c r="AG115" s="15" t="n"/>
      <c r="AH115" s="41" t="n"/>
      <c r="AI115" s="75" t="n"/>
      <c r="AJ115" s="75" t="n"/>
      <c r="AK115" s="75" t="n"/>
      <c r="AL115" s="75" t="n"/>
      <c r="AM115" s="75" t="n"/>
      <c r="AN115" s="75" t="n"/>
      <c r="AO115" s="75" t="n"/>
      <c r="AP115" s="75" t="n"/>
      <c r="AQ115" s="75" t="n"/>
      <c r="AR115" s="75" t="n"/>
      <c r="AS115" s="75" t="n"/>
      <c r="AT115" s="75" t="n"/>
      <c r="AU115" s="75" t="n"/>
      <c r="AV115" s="75" t="n"/>
      <c r="AW115" s="75" t="n"/>
      <c r="AX115" s="75" t="n"/>
      <c r="AY115" s="75" t="n"/>
      <c r="AZ115" s="75" t="n"/>
      <c r="BA115" s="75" t="n"/>
      <c r="BB115" s="75" t="n"/>
      <c r="BC115" s="75" t="n"/>
      <c r="BD115" s="75" t="n"/>
      <c r="BE115" s="75" t="n"/>
      <c r="BF115" s="75" t="n"/>
      <c r="BG115" s="75" t="n"/>
      <c r="BH115" s="75" t="n"/>
      <c r="BI115" s="75" t="n"/>
      <c r="BJ115" s="75" t="n"/>
    </row>
    <row r="116">
      <c r="A116" s="25" t="inlineStr">
        <is>
          <t>ADESIVO</t>
        </is>
      </c>
      <c r="B116" s="6" t="n">
        <v>1000</v>
      </c>
      <c r="C116" s="632" t="n"/>
      <c r="D116" s="240" t="n"/>
      <c r="F116" s="2" t="n"/>
      <c r="G116" s="2" t="n"/>
      <c r="H116" s="2" t="n"/>
      <c r="I116" s="2" t="n"/>
      <c r="J116" s="2" t="n"/>
      <c r="K116" s="2" t="n"/>
      <c r="L116" s="2" t="n"/>
      <c r="M116" s="2" t="n"/>
      <c r="N116" s="39" t="n">
        <v>0</v>
      </c>
      <c r="O116" s="39" t="n">
        <v>0</v>
      </c>
      <c r="P116" s="39" t="n">
        <v>0</v>
      </c>
      <c r="Q116" s="39">
        <f>AS17</f>
        <v/>
      </c>
      <c r="R116" s="39" t="n">
        <v>2</v>
      </c>
      <c r="S116" s="39" t="n">
        <v>1</v>
      </c>
      <c r="T116" s="39" t="n">
        <v>0</v>
      </c>
      <c r="U116" s="39" t="n">
        <v>0</v>
      </c>
      <c r="V116" s="39" t="n">
        <v>0</v>
      </c>
      <c r="W116" s="39" t="n">
        <v>0</v>
      </c>
      <c r="X116" s="39" t="n">
        <v>0</v>
      </c>
      <c r="Y116" s="39" t="n">
        <v>0</v>
      </c>
      <c r="Z116" s="39" t="n">
        <v>0</v>
      </c>
      <c r="AA116" s="39" t="n">
        <v>0</v>
      </c>
      <c r="AB116" s="380">
        <f>Z116+IF(NOT(ISBLANK(OFFSET(AB116,0,6))),N(OFFSET(AB116,0,6)),N(OFFSET(AB116,0,7)))-AA116</f>
        <v/>
      </c>
      <c r="AD116" s="75" t="n"/>
      <c r="AE116" s="75" t="n"/>
      <c r="AF116" s="1" t="n"/>
      <c r="AG116" s="15" t="n"/>
      <c r="AH116" s="41" t="n"/>
      <c r="AI116" s="75" t="n"/>
      <c r="AJ116" s="75" t="n"/>
      <c r="AK116" s="75" t="n"/>
      <c r="AL116" s="75" t="n"/>
      <c r="AM116" s="75" t="n"/>
      <c r="AN116" s="75" t="n"/>
      <c r="AO116" s="75" t="n"/>
      <c r="AP116" s="75" t="n"/>
      <c r="AQ116" s="75" t="n"/>
      <c r="AR116" s="75" t="n"/>
      <c r="AS116" s="75" t="n"/>
      <c r="AT116" s="75" t="n"/>
      <c r="AU116" s="75" t="n"/>
      <c r="AV116" s="75" t="n"/>
      <c r="AW116" s="75" t="n"/>
      <c r="AX116" s="75" t="n"/>
      <c r="AY116" s="75" t="n"/>
      <c r="AZ116" s="75" t="n"/>
      <c r="BA116" s="75" t="n"/>
      <c r="BB116" s="75" t="n"/>
      <c r="BC116" s="75" t="n"/>
      <c r="BD116" s="75" t="n"/>
      <c r="BE116" s="75" t="n"/>
      <c r="BF116" s="75" t="n"/>
      <c r="BG116" s="75" t="n"/>
      <c r="BH116" s="75" t="n"/>
      <c r="BI116" s="75" t="n"/>
      <c r="BJ116" s="75" t="n"/>
    </row>
    <row r="117">
      <c r="A117" s="25" t="inlineStr">
        <is>
          <t>PAPEL DE SEDA</t>
        </is>
      </c>
      <c r="B117" s="6" t="n">
        <v>200</v>
      </c>
      <c r="C117" s="632" t="n"/>
      <c r="D117" s="240" t="n"/>
      <c r="F117" s="2" t="n"/>
      <c r="G117" s="2" t="n"/>
      <c r="H117" s="2" t="n"/>
      <c r="I117" s="2" t="n"/>
      <c r="J117" s="2" t="n"/>
      <c r="K117" s="2" t="n"/>
      <c r="L117" s="2" t="n"/>
      <c r="M117" s="2" t="n"/>
      <c r="N117" s="39" t="n">
        <v>0</v>
      </c>
      <c r="O117" s="39" t="n">
        <v>0</v>
      </c>
      <c r="P117" s="39" t="n">
        <v>0</v>
      </c>
      <c r="Q117" s="39">
        <f>AS16</f>
        <v/>
      </c>
      <c r="R117" s="39" t="n">
        <v>200</v>
      </c>
      <c r="S117" s="39" t="n">
        <v>100</v>
      </c>
      <c r="T117" s="39" t="n">
        <v>0</v>
      </c>
      <c r="U117" s="39" t="n">
        <v>0</v>
      </c>
      <c r="V117" s="39" t="n">
        <v>0</v>
      </c>
      <c r="W117" s="39" t="n">
        <v>0</v>
      </c>
      <c r="X117" s="39" t="n">
        <v>0</v>
      </c>
      <c r="Y117" s="39" t="n">
        <v>0</v>
      </c>
      <c r="Z117" s="39" t="n">
        <v>0</v>
      </c>
      <c r="AA117" s="39" t="n">
        <v>0</v>
      </c>
      <c r="AB117" s="380">
        <f>Z117+IF(NOT(ISBLANK(OFFSET(AB117,0,6))),N(OFFSET(AB117,0,6)),N(OFFSET(AB117,0,7)))-AA117</f>
        <v/>
      </c>
      <c r="AD117" s="75" t="n"/>
      <c r="AE117" s="75" t="n"/>
      <c r="AF117" s="1" t="n"/>
      <c r="AG117" s="15" t="n"/>
      <c r="AH117" s="41" t="n"/>
      <c r="AI117" s="75" t="n"/>
      <c r="AJ117" s="75" t="n"/>
      <c r="AK117" s="75" t="n"/>
      <c r="AL117" s="75" t="n"/>
      <c r="AM117" s="75" t="n"/>
      <c r="AN117" s="75" t="n"/>
      <c r="AO117" s="75" t="n"/>
      <c r="AP117" s="75" t="n"/>
      <c r="AQ117" s="75" t="n"/>
      <c r="AR117" s="75" t="n"/>
      <c r="AS117" s="75" t="n"/>
      <c r="AT117" s="75" t="n"/>
      <c r="AU117" s="75" t="n"/>
      <c r="AV117" s="75" t="n"/>
      <c r="AW117" s="75" t="n"/>
      <c r="AX117" s="75" t="n"/>
      <c r="AY117" s="75" t="n"/>
      <c r="AZ117" s="75" t="n"/>
      <c r="BA117" s="75" t="n"/>
      <c r="BB117" s="75" t="n"/>
      <c r="BC117" s="75" t="n"/>
      <c r="BD117" s="75" t="n"/>
      <c r="BE117" s="75" t="n"/>
      <c r="BF117" s="75" t="n"/>
      <c r="BG117" s="75" t="n"/>
      <c r="BH117" s="75" t="n"/>
      <c r="BI117" s="75" t="n"/>
      <c r="BJ117" s="75" t="n"/>
    </row>
    <row r="118">
      <c r="A118" s="25" t="inlineStr">
        <is>
          <t>SACOLA M VENDA</t>
        </is>
      </c>
      <c r="B118" s="6" t="n">
        <v>150</v>
      </c>
      <c r="C118" s="632" t="n"/>
      <c r="D118" s="240" t="n"/>
      <c r="F118" s="2" t="n"/>
      <c r="G118" s="2" t="n"/>
      <c r="H118" s="2" t="n"/>
      <c r="I118" s="2" t="n"/>
      <c r="J118" s="2" t="n"/>
      <c r="K118" s="2" t="n"/>
      <c r="L118" s="2" t="n"/>
      <c r="M118" s="2" t="n"/>
      <c r="N118" s="39" t="n">
        <v>0</v>
      </c>
      <c r="O118" s="39" t="n">
        <v>0</v>
      </c>
      <c r="P118" s="39" t="n">
        <v>0</v>
      </c>
      <c r="Q118" s="39">
        <f>AS29</f>
        <v/>
      </c>
      <c r="R118" s="39" t="n">
        <v>441</v>
      </c>
      <c r="S118" s="39" t="n">
        <v>351</v>
      </c>
      <c r="T118" s="39" t="n">
        <v>246</v>
      </c>
      <c r="U118" s="39" t="n">
        <v>159</v>
      </c>
      <c r="V118" s="39" t="n"/>
      <c r="W118" s="39" t="n"/>
      <c r="X118" s="39" t="n"/>
      <c r="Y118" s="39" t="n"/>
      <c r="Z118" s="39" t="n"/>
      <c r="AA118" s="39" t="n">
        <v>0</v>
      </c>
      <c r="AB118" s="380">
        <f>Z118+IF(NOT(ISBLANK(OFFSET(AB118,0,6))),N(OFFSET(AB118,0,6)),N(OFFSET(AB118,0,7)))-AA118</f>
        <v/>
      </c>
      <c r="AD118" s="75" t="n"/>
      <c r="AE118" s="75" t="n"/>
      <c r="AF118" s="1" t="n"/>
      <c r="AG118" s="15" t="n"/>
      <c r="AH118" s="41" t="n"/>
      <c r="AI118" s="75" t="n"/>
      <c r="AJ118" s="75" t="n"/>
      <c r="AK118" s="75" t="n"/>
      <c r="AL118" s="75" t="n"/>
      <c r="AM118" s="75" t="n"/>
      <c r="AN118" s="75" t="n"/>
      <c r="AO118" s="75" t="n"/>
      <c r="AP118" s="75" t="n"/>
      <c r="AQ118" s="75" t="n"/>
      <c r="AR118" s="75" t="n"/>
      <c r="AS118" s="75" t="n"/>
      <c r="AT118" s="75" t="n"/>
      <c r="AU118" s="75" t="n"/>
      <c r="AV118" s="75" t="n"/>
      <c r="AW118" s="75" t="n"/>
      <c r="AX118" s="75" t="n"/>
      <c r="AY118" s="75" t="n"/>
      <c r="AZ118" s="75" t="n"/>
      <c r="BA118" s="75" t="n"/>
      <c r="BB118" s="75" t="n"/>
      <c r="BC118" s="75" t="n"/>
      <c r="BD118" s="75" t="n"/>
      <c r="BE118" s="75" t="n"/>
      <c r="BF118" s="75" t="n"/>
      <c r="BG118" s="75" t="n"/>
      <c r="BH118" s="75" t="n"/>
      <c r="BI118" s="75" t="n"/>
      <c r="BJ118" s="75" t="n"/>
    </row>
    <row r="119">
      <c r="A119" s="25" t="inlineStr">
        <is>
          <t>KIT TAG 10 C/ 20</t>
        </is>
      </c>
      <c r="B119" s="6" t="n">
        <v>200</v>
      </c>
      <c r="C119" s="632" t="n"/>
      <c r="D119" s="240" t="n"/>
      <c r="F119" s="2" t="n"/>
      <c r="G119" s="2" t="n"/>
      <c r="H119" s="2" t="n"/>
      <c r="I119" s="2" t="n"/>
      <c r="J119" s="2" t="n"/>
      <c r="K119" s="2" t="n"/>
      <c r="L119" s="2" t="n"/>
      <c r="M119" s="2" t="n"/>
      <c r="N119" s="39" t="n">
        <v>0</v>
      </c>
      <c r="O119" s="39" t="n">
        <v>0</v>
      </c>
      <c r="P119" s="39" t="n">
        <v>0</v>
      </c>
      <c r="Q119" s="39" t="n">
        <v>0</v>
      </c>
      <c r="R119" s="211" t="n">
        <v>3</v>
      </c>
      <c r="S119" s="39" t="n">
        <v>3</v>
      </c>
      <c r="T119" s="39" t="n">
        <v>3</v>
      </c>
      <c r="U119" s="39" t="n">
        <v>8</v>
      </c>
      <c r="V119" s="39" t="n"/>
      <c r="W119" s="39" t="n"/>
      <c r="X119" s="39" t="n"/>
      <c r="Y119" s="39" t="n"/>
      <c r="Z119" s="39" t="n"/>
      <c r="AA119" s="39" t="n">
        <v>8</v>
      </c>
      <c r="AB119" s="380">
        <f>Z119+IF(NOT(ISBLANK(OFFSET(AB119,0,6))),N(OFFSET(AB119,0,6)),N(OFFSET(AB119,0,7)))-AA119</f>
        <v/>
      </c>
      <c r="AD119" s="75" t="n"/>
      <c r="AE119" s="75" t="n"/>
      <c r="AF119" s="1" t="n"/>
      <c r="AG119" s="15" t="n"/>
      <c r="AH119" s="41" t="n"/>
      <c r="AI119" s="75" t="n"/>
      <c r="AJ119" s="75" t="n"/>
      <c r="AK119" s="75" t="n"/>
      <c r="AL119" s="75" t="n"/>
      <c r="AM119" s="75" t="n"/>
      <c r="AN119" s="75" t="n"/>
      <c r="AO119" s="75" t="n"/>
      <c r="AP119" s="75" t="n"/>
      <c r="AQ119" s="75" t="n"/>
      <c r="AR119" s="75" t="n"/>
      <c r="AS119" s="75" t="n"/>
      <c r="AT119" s="75" t="n"/>
      <c r="AU119" s="75" t="n"/>
      <c r="AV119" s="75" t="n"/>
      <c r="AW119" s="75" t="n"/>
      <c r="AX119" s="75" t="n"/>
      <c r="AY119" s="75" t="n"/>
      <c r="AZ119" s="75" t="n"/>
      <c r="BA119" s="75" t="n"/>
      <c r="BB119" s="75" t="n"/>
      <c r="BC119" s="75" t="n"/>
      <c r="BD119" s="75" t="n"/>
      <c r="BE119" s="75" t="n"/>
      <c r="BF119" s="75" t="n"/>
      <c r="BG119" s="75" t="n"/>
      <c r="BH119" s="75" t="n"/>
      <c r="BI119" s="75" t="n"/>
      <c r="BJ119" s="75" t="n"/>
    </row>
    <row r="120">
      <c r="A120" s="157" t="inlineStr">
        <is>
          <t>CAIXA M</t>
        </is>
      </c>
      <c r="B120" s="72" t="n">
        <v>100</v>
      </c>
      <c r="C120" s="639" t="n"/>
      <c r="D120" s="72" t="n"/>
      <c r="F120" s="2" t="n"/>
      <c r="G120" s="2" t="n"/>
      <c r="H120" s="2" t="n"/>
      <c r="I120" s="2" t="n"/>
      <c r="J120" s="2" t="n"/>
      <c r="K120" s="2" t="n"/>
      <c r="L120" s="2" t="n"/>
      <c r="M120" s="2" t="n"/>
      <c r="N120" s="39" t="n">
        <v>0</v>
      </c>
      <c r="O120" s="39" t="n">
        <v>0</v>
      </c>
      <c r="P120" s="39" t="n">
        <v>0</v>
      </c>
      <c r="Q120" s="39">
        <f>AS38</f>
        <v/>
      </c>
      <c r="R120" s="211" t="n">
        <v>50</v>
      </c>
      <c r="S120" s="39" t="n">
        <v>50</v>
      </c>
      <c r="T120" s="39" t="n">
        <v>48</v>
      </c>
      <c r="U120" s="39" t="n">
        <v>48</v>
      </c>
      <c r="V120" s="39" t="n"/>
      <c r="W120" s="39" t="n"/>
      <c r="X120" s="39" t="n"/>
      <c r="Y120" s="39" t="n"/>
      <c r="Z120" s="39" t="n"/>
      <c r="AA120" s="39" t="n">
        <v>40</v>
      </c>
      <c r="AB120" s="380">
        <f>Z120+IF(NOT(ISBLANK(OFFSET(AB120,0,6))),N(OFFSET(AB120,0,6)),N(OFFSET(AB120,0,7)))-AA120</f>
        <v/>
      </c>
      <c r="AD120" s="75" t="n"/>
      <c r="AE120" s="75" t="n"/>
      <c r="AF120" s="1" t="n"/>
      <c r="AG120" s="15" t="n"/>
      <c r="AH120" s="41" t="n"/>
      <c r="AI120" s="75" t="n"/>
      <c r="AJ120" s="75" t="n"/>
      <c r="AK120" s="75" t="n"/>
      <c r="AL120" s="75" t="n"/>
      <c r="AM120" s="75" t="n"/>
      <c r="AN120" s="75" t="n"/>
      <c r="AO120" s="75" t="n"/>
      <c r="AP120" s="75" t="n"/>
      <c r="AQ120" s="75" t="n"/>
      <c r="AR120" s="75" t="n"/>
      <c r="AS120" s="75" t="n"/>
      <c r="AT120" s="75" t="n"/>
      <c r="AU120" s="75" t="n"/>
      <c r="AV120" s="75" t="n"/>
      <c r="AW120" s="75" t="n"/>
      <c r="AX120" s="75" t="n"/>
      <c r="AY120" s="75" t="n"/>
      <c r="AZ120" s="75" t="n"/>
      <c r="BA120" s="75" t="n"/>
      <c r="BB120" s="75" t="n"/>
      <c r="BC120" s="75" t="n"/>
      <c r="BD120" s="75" t="n"/>
      <c r="BE120" s="75" t="n"/>
      <c r="BF120" s="75" t="n"/>
      <c r="BG120" s="75" t="n"/>
      <c r="BH120" s="75" t="n"/>
      <c r="BI120" s="75" t="n"/>
      <c r="BJ120" s="75" t="n"/>
    </row>
    <row r="121">
      <c r="A121" s="157" t="inlineStr">
        <is>
          <t>CARTUCHO P</t>
        </is>
      </c>
      <c r="B121" s="72" t="n">
        <v>200</v>
      </c>
      <c r="C121" s="639" t="n"/>
      <c r="D121" s="72" t="n"/>
      <c r="F121" s="2" t="n"/>
      <c r="G121" s="2" t="n"/>
      <c r="H121" s="2" t="n"/>
      <c r="I121" s="2" t="n"/>
      <c r="J121" s="2" t="n"/>
      <c r="K121" s="2" t="n"/>
      <c r="L121" s="2" t="n"/>
      <c r="M121" s="2" t="n"/>
      <c r="N121" s="39" t="n">
        <v>0</v>
      </c>
      <c r="O121" s="39" t="n">
        <v>0</v>
      </c>
      <c r="P121" s="39" t="n">
        <v>0</v>
      </c>
      <c r="Q121" s="39">
        <f>AS42</f>
        <v/>
      </c>
      <c r="R121" s="211" t="n">
        <v>100</v>
      </c>
      <c r="S121" s="39" t="n">
        <v>95</v>
      </c>
      <c r="T121" s="39" t="n">
        <v>86</v>
      </c>
      <c r="U121" s="39" t="n">
        <v>86</v>
      </c>
      <c r="V121" s="39" t="n"/>
      <c r="W121" s="39" t="n"/>
      <c r="X121" s="39" t="n"/>
      <c r="Y121" s="39" t="n"/>
      <c r="Z121" s="39" t="n"/>
      <c r="AA121" s="39" t="n">
        <v>66</v>
      </c>
      <c r="AB121" s="380">
        <f>Z121+IF(NOT(ISBLANK(OFFSET(AB121,0,6))),N(OFFSET(AB121,0,6)),N(OFFSET(AB121,0,7)))-AA121</f>
        <v/>
      </c>
      <c r="AD121" s="75" t="n"/>
      <c r="AE121" s="75" t="n"/>
      <c r="AF121" s="1" t="n"/>
      <c r="AG121" s="15" t="n"/>
      <c r="AH121" s="41" t="n"/>
      <c r="AI121" s="75" t="n"/>
      <c r="AJ121" s="75" t="n"/>
      <c r="AK121" s="75" t="n"/>
      <c r="AL121" s="75" t="n"/>
      <c r="AM121" s="75" t="n"/>
      <c r="AN121" s="75" t="n"/>
      <c r="AO121" s="75" t="n"/>
      <c r="AP121" s="75" t="n"/>
      <c r="AQ121" s="75" t="n"/>
      <c r="AR121" s="75" t="n"/>
      <c r="AS121" s="75" t="n"/>
      <c r="AT121" s="75" t="n"/>
      <c r="AU121" s="75" t="n"/>
      <c r="AV121" s="75" t="n"/>
      <c r="AW121" s="75" t="n"/>
      <c r="AX121" s="75" t="n"/>
      <c r="AY121" s="75" t="n"/>
      <c r="AZ121" s="75" t="n"/>
      <c r="BA121" s="75" t="n"/>
      <c r="BB121" s="75" t="n"/>
      <c r="BC121" s="75" t="n"/>
      <c r="BD121" s="75" t="n"/>
      <c r="BE121" s="75" t="n"/>
      <c r="BF121" s="75" t="n"/>
      <c r="BG121" s="75" t="n"/>
      <c r="BH121" s="75" t="n"/>
      <c r="BI121" s="75" t="n"/>
      <c r="BJ121" s="75" t="n"/>
    </row>
    <row r="122">
      <c r="F122" s="2" t="n"/>
      <c r="G122" s="2" t="n"/>
      <c r="H122" s="2" t="n"/>
      <c r="I122" s="2" t="n"/>
      <c r="J122" s="2" t="n"/>
      <c r="K122" s="2" t="n"/>
      <c r="L122" s="2" t="n"/>
      <c r="M122" s="2" t="n"/>
      <c r="AD122" s="75" t="n"/>
      <c r="AE122" s="75" t="n"/>
      <c r="AF122" s="1" t="n"/>
      <c r="AG122" s="15" t="n"/>
      <c r="AH122" s="41" t="n"/>
      <c r="AI122" s="75" t="n"/>
      <c r="AJ122" s="75" t="n"/>
      <c r="AK122" s="75" t="n"/>
      <c r="AL122" s="75" t="n"/>
      <c r="AM122" s="75" t="n"/>
      <c r="AN122" s="75" t="n"/>
      <c r="AO122" s="75" t="n"/>
      <c r="AP122" s="75" t="n"/>
      <c r="AQ122" s="75" t="n"/>
      <c r="AR122" s="75" t="n"/>
      <c r="AS122" s="75" t="n"/>
      <c r="AT122" s="75" t="n"/>
      <c r="AU122" s="75" t="n"/>
      <c r="AV122" s="75" t="n"/>
      <c r="AW122" s="75" t="n"/>
      <c r="AX122" s="75" t="n"/>
      <c r="AY122" s="75" t="n"/>
      <c r="AZ122" s="75" t="n"/>
      <c r="BA122" s="75" t="n"/>
      <c r="BB122" s="75" t="n"/>
      <c r="BC122" s="75" t="n"/>
      <c r="BD122" s="75" t="n"/>
      <c r="BE122" s="75" t="n"/>
      <c r="BF122" s="75" t="n"/>
      <c r="BG122" s="75" t="n"/>
      <c r="BH122" s="75" t="n"/>
      <c r="BI122" s="75" t="n"/>
      <c r="BJ122" s="75" t="n"/>
    </row>
    <row r="123">
      <c r="A123" s="280" t="inlineStr">
        <is>
          <t>BOTICÁRIO MÃES/26</t>
        </is>
      </c>
      <c r="B123" s="255" t="inlineStr">
        <is>
          <t>PC</t>
        </is>
      </c>
      <c r="C123" s="255" t="inlineStr">
        <is>
          <t>R$</t>
        </is>
      </c>
      <c r="D123" s="255" t="n"/>
      <c r="F123" s="2" t="n"/>
      <c r="G123" s="2" t="n"/>
      <c r="H123" s="2" t="n"/>
      <c r="I123" s="2" t="n"/>
      <c r="J123" s="2" t="n"/>
      <c r="K123" s="2" t="n"/>
      <c r="L123" s="2" t="n"/>
      <c r="M123" s="2" t="n"/>
      <c r="N123" s="619" t="n">
        <v>46062</v>
      </c>
      <c r="O123" s="619" t="n">
        <v>46069</v>
      </c>
      <c r="P123" s="619" t="n">
        <v>46076</v>
      </c>
      <c r="Q123" s="619" t="n">
        <v>46083</v>
      </c>
      <c r="R123" s="619" t="n">
        <v>46090</v>
      </c>
      <c r="S123" s="619" t="n">
        <v>46097</v>
      </c>
      <c r="T123" s="619" t="n">
        <v>46104</v>
      </c>
      <c r="U123" s="619" t="n">
        <v>46111</v>
      </c>
      <c r="V123" s="619" t="n">
        <v>46118</v>
      </c>
      <c r="W123" s="619" t="n">
        <v>46125</v>
      </c>
      <c r="X123" s="619" t="n">
        <v>46132</v>
      </c>
      <c r="Y123" s="619" t="n">
        <v>46139</v>
      </c>
      <c r="Z123" s="619" t="n">
        <v>46146</v>
      </c>
      <c r="AA123" s="619" t="n">
        <v>46154</v>
      </c>
      <c r="AB123" s="621" t="inlineStr">
        <is>
          <t>USOU</t>
        </is>
      </c>
      <c r="AD123" s="75" t="n"/>
      <c r="AE123" s="75" t="n"/>
      <c r="AF123" s="1" t="n"/>
      <c r="AG123" s="15" t="n"/>
      <c r="AH123" s="41" t="n"/>
      <c r="AI123" s="75" t="n"/>
      <c r="AJ123" s="75" t="n"/>
      <c r="AK123" s="75" t="n"/>
      <c r="AL123" s="75" t="n"/>
      <c r="AM123" s="75" t="n"/>
      <c r="AN123" s="75" t="n"/>
      <c r="AO123" s="75" t="n"/>
      <c r="AP123" s="75" t="n"/>
      <c r="AQ123" s="75" t="n"/>
      <c r="AR123" s="75" t="n"/>
      <c r="AS123" s="75" t="n"/>
      <c r="AT123" s="75" t="n"/>
      <c r="AU123" s="75" t="n"/>
      <c r="AV123" s="75" t="n"/>
      <c r="AW123" s="75" t="n"/>
      <c r="AX123" s="75" t="n"/>
      <c r="AY123" s="75" t="n"/>
      <c r="AZ123" s="75" t="n"/>
      <c r="BA123" s="75" t="n"/>
      <c r="BB123" s="75" t="n"/>
      <c r="BC123" s="75" t="n"/>
      <c r="BD123" s="75" t="n"/>
      <c r="BE123" s="75" t="n"/>
      <c r="BF123" s="75" t="n"/>
      <c r="BG123" s="75" t="n"/>
      <c r="BH123" s="75" t="n"/>
      <c r="BI123" s="75" t="n"/>
      <c r="BJ123" s="75" t="n"/>
    </row>
    <row r="124">
      <c r="A124" s="25" t="inlineStr">
        <is>
          <t>SACOLA P</t>
        </is>
      </c>
      <c r="B124" s="6" t="n">
        <v>200</v>
      </c>
      <c r="C124" s="632" t="n"/>
      <c r="D124" s="240" t="n"/>
      <c r="F124" s="2" t="n"/>
      <c r="G124" s="2" t="n"/>
      <c r="H124" s="2" t="n"/>
      <c r="I124" s="2" t="n"/>
      <c r="J124" s="2" t="n"/>
      <c r="K124" s="2" t="n"/>
      <c r="L124" s="2" t="n"/>
      <c r="M124" s="2" t="n"/>
      <c r="N124" s="39" t="n">
        <v>0</v>
      </c>
      <c r="O124" s="39" t="n">
        <v>0</v>
      </c>
      <c r="P124" s="39" t="n">
        <v>0</v>
      </c>
      <c r="Q124" s="39" t="n">
        <v>0</v>
      </c>
      <c r="R124" s="39" t="n">
        <v>0</v>
      </c>
      <c r="S124" s="39" t="n">
        <v>0</v>
      </c>
      <c r="T124" s="39">
        <f>AO9</f>
        <v/>
      </c>
      <c r="U124" s="39" t="n">
        <v>3000</v>
      </c>
      <c r="V124" s="39" t="n">
        <v>3000</v>
      </c>
      <c r="W124" s="39" t="n">
        <v>2400</v>
      </c>
      <c r="X124" s="39" t="n">
        <v>2400</v>
      </c>
      <c r="Y124" s="39" t="n">
        <v>1000</v>
      </c>
      <c r="Z124" s="39" t="n">
        <v>400</v>
      </c>
      <c r="AA124" s="211" t="n">
        <v>0</v>
      </c>
      <c r="AB124" s="380">
        <f>Z124+IF(NOT(ISBLANK(OFFSET(AB124,0,6))),N(OFFSET(AB124,0,6)),N(OFFSET(AB124,0,7)))-AA124</f>
        <v/>
      </c>
      <c r="AD124" s="75" t="n"/>
      <c r="AE124" s="75" t="n"/>
      <c r="AF124" s="1" t="n"/>
      <c r="AG124" s="15" t="n"/>
      <c r="AH124" s="41" t="n"/>
      <c r="AI124" s="75" t="n"/>
      <c r="AJ124" s="75" t="n"/>
      <c r="AK124" s="75" t="n"/>
      <c r="AL124" s="75" t="n"/>
      <c r="AM124" s="75" t="n"/>
      <c r="AN124" s="75" t="n"/>
      <c r="AO124" s="75" t="n"/>
      <c r="AP124" s="75" t="n"/>
      <c r="AQ124" s="75" t="n"/>
      <c r="AR124" s="75" t="n"/>
      <c r="AS124" s="75" t="n"/>
      <c r="AT124" s="75" t="n"/>
      <c r="AU124" s="75" t="n"/>
      <c r="AV124" s="75" t="n"/>
      <c r="AW124" s="75" t="n"/>
      <c r="AX124" s="75" t="n"/>
      <c r="AY124" s="75" t="n"/>
      <c r="AZ124" s="75" t="n"/>
      <c r="BA124" s="75" t="n"/>
      <c r="BB124" s="75" t="n"/>
      <c r="BC124" s="75" t="n"/>
      <c r="BD124" s="75" t="n"/>
      <c r="BE124" s="75" t="n"/>
      <c r="BF124" s="75" t="n"/>
      <c r="BG124" s="75" t="n"/>
      <c r="BH124" s="75" t="n"/>
      <c r="BI124" s="75" t="n"/>
      <c r="BJ124" s="75" t="n"/>
    </row>
    <row r="125">
      <c r="A125" s="25" t="inlineStr">
        <is>
          <t>SACOLA M</t>
        </is>
      </c>
      <c r="B125" s="6" t="n">
        <v>200</v>
      </c>
      <c r="C125" s="632" t="n"/>
      <c r="D125" s="240" t="n"/>
      <c r="F125" s="2" t="n"/>
      <c r="G125" s="2" t="n"/>
      <c r="H125" s="2" t="n"/>
      <c r="I125" s="2" t="n"/>
      <c r="J125" s="2" t="n"/>
      <c r="K125" s="2" t="n"/>
      <c r="L125" s="2" t="n"/>
      <c r="M125" s="2" t="n"/>
      <c r="N125" s="39" t="n">
        <v>0</v>
      </c>
      <c r="O125" s="39" t="n">
        <v>0</v>
      </c>
      <c r="P125" s="39" t="n">
        <v>0</v>
      </c>
      <c r="Q125" s="39" t="n">
        <v>0</v>
      </c>
      <c r="R125" s="39" t="n">
        <v>0</v>
      </c>
      <c r="S125" s="39" t="n">
        <v>0</v>
      </c>
      <c r="T125" s="39">
        <f>AO10</f>
        <v/>
      </c>
      <c r="U125" s="39" t="n">
        <v>1400</v>
      </c>
      <c r="V125" s="39" t="n">
        <v>1400</v>
      </c>
      <c r="W125" s="39" t="n">
        <v>1200</v>
      </c>
      <c r="X125" s="39" t="n">
        <v>1200</v>
      </c>
      <c r="Y125" s="39" t="n">
        <v>600</v>
      </c>
      <c r="Z125" s="39" t="n">
        <v>400</v>
      </c>
      <c r="AA125" s="211" t="n">
        <v>1200</v>
      </c>
      <c r="AB125" s="380">
        <f>Z125+IF(NOT(ISBLANK(OFFSET(AB125,0,6))),N(OFFSET(AB125,0,6)),N(OFFSET(AB125,0,7)))-AA125</f>
        <v/>
      </c>
      <c r="AD125" s="75" t="n"/>
      <c r="AE125" s="75" t="n"/>
      <c r="AF125" s="1" t="n"/>
      <c r="AG125" s="15" t="n"/>
      <c r="AH125" s="41" t="n"/>
      <c r="AI125" s="75" t="n"/>
      <c r="AJ125" s="75" t="n"/>
      <c r="AK125" s="75" t="n"/>
      <c r="AL125" s="75" t="n"/>
      <c r="AM125" s="75" t="n"/>
      <c r="AN125" s="75" t="n"/>
      <c r="AO125" s="75" t="n"/>
      <c r="AP125" s="75" t="n"/>
      <c r="AQ125" s="75" t="n"/>
      <c r="AR125" s="75" t="n"/>
      <c r="AS125" s="75" t="n"/>
      <c r="AT125" s="75" t="n"/>
      <c r="AU125" s="75" t="n"/>
      <c r="AV125" s="75" t="n"/>
      <c r="AW125" s="75" t="n"/>
      <c r="AX125" s="75" t="n"/>
      <c r="AY125" s="75" t="n"/>
      <c r="AZ125" s="75" t="n"/>
      <c r="BA125" s="75" t="n"/>
      <c r="BB125" s="75" t="n"/>
      <c r="BC125" s="75" t="n"/>
      <c r="BD125" s="75" t="n"/>
      <c r="BE125" s="75" t="n"/>
      <c r="BF125" s="75" t="n"/>
      <c r="BG125" s="75" t="n"/>
      <c r="BH125" s="75" t="n"/>
      <c r="BI125" s="75" t="n"/>
      <c r="BJ125" s="75" t="n"/>
    </row>
    <row r="126">
      <c r="A126" s="25" t="inlineStr">
        <is>
          <t>SACOLA G</t>
        </is>
      </c>
      <c r="B126" s="6" t="n">
        <v>100</v>
      </c>
      <c r="C126" s="632" t="n"/>
      <c r="D126" s="240" t="n"/>
      <c r="N126" s="39" t="n">
        <v>0</v>
      </c>
      <c r="O126" s="39" t="n">
        <v>0</v>
      </c>
      <c r="P126" s="39" t="n">
        <v>0</v>
      </c>
      <c r="Q126" s="39" t="n">
        <v>0</v>
      </c>
      <c r="R126" s="39" t="n">
        <v>0</v>
      </c>
      <c r="S126" s="39" t="n">
        <v>0</v>
      </c>
      <c r="T126" s="39">
        <f>AO11</f>
        <v/>
      </c>
      <c r="U126" s="39" t="n">
        <v>500</v>
      </c>
      <c r="V126" s="39" t="n">
        <v>500</v>
      </c>
      <c r="W126" s="39" t="n">
        <v>500</v>
      </c>
      <c r="X126" s="39" t="n">
        <v>500</v>
      </c>
      <c r="Y126" s="39" t="n">
        <v>400</v>
      </c>
      <c r="Z126" s="39" t="n">
        <v>200</v>
      </c>
      <c r="AA126" s="211" t="n">
        <v>100</v>
      </c>
      <c r="AB126" s="380">
        <f>Z126+IF(NOT(ISBLANK(OFFSET(AB126,0,6))),N(OFFSET(AB126,0,6)),N(OFFSET(AB126,0,7)))-AA126</f>
        <v/>
      </c>
    </row>
    <row r="127">
      <c r="A127" s="25" t="inlineStr">
        <is>
          <t>SACOLA P VENDA</t>
        </is>
      </c>
      <c r="B127" s="6" t="n">
        <v>200</v>
      </c>
      <c r="C127" s="632" t="n"/>
      <c r="D127" s="240" t="n"/>
      <c r="N127" s="39" t="n">
        <v>0</v>
      </c>
      <c r="O127" s="39" t="n">
        <v>0</v>
      </c>
      <c r="P127" s="39" t="n">
        <v>0</v>
      </c>
      <c r="Q127" s="39">
        <f>AR28</f>
        <v/>
      </c>
      <c r="R127" s="39" t="n">
        <v>400</v>
      </c>
      <c r="S127" s="39" t="n">
        <v>400</v>
      </c>
      <c r="T127" s="39" t="n">
        <v>387</v>
      </c>
      <c r="U127" s="39" t="n">
        <v>252</v>
      </c>
      <c r="V127" s="39" t="n"/>
      <c r="W127" s="39" t="n"/>
      <c r="X127" s="39" t="n"/>
      <c r="Y127" s="39" t="n"/>
      <c r="Z127" s="39" t="n"/>
      <c r="AA127" s="39" t="n">
        <v>134</v>
      </c>
      <c r="AB127" s="380">
        <f>Z127+IF(NOT(ISBLANK(OFFSET(AB127,0,6))),N(OFFSET(AB127,0,6)),N(OFFSET(AB127,0,7)))-AA127</f>
        <v/>
      </c>
    </row>
    <row r="128">
      <c r="A128" s="25" t="inlineStr">
        <is>
          <t>SACOLA M VENDA</t>
        </is>
      </c>
      <c r="B128" s="6" t="n">
        <v>200</v>
      </c>
      <c r="C128" s="632" t="n"/>
      <c r="D128" s="240" t="n"/>
      <c r="F128" s="2" t="n"/>
      <c r="G128" s="2" t="n"/>
      <c r="H128" s="2" t="n"/>
      <c r="I128" s="2" t="n"/>
      <c r="J128" s="2" t="n"/>
      <c r="K128" s="2" t="n"/>
      <c r="L128" s="2" t="n"/>
      <c r="M128" s="2" t="n"/>
      <c r="N128" s="39" t="n">
        <v>0</v>
      </c>
      <c r="O128" s="39" t="n">
        <v>0</v>
      </c>
      <c r="P128" s="39" t="n">
        <v>0</v>
      </c>
      <c r="Q128" s="39">
        <f>AR29</f>
        <v/>
      </c>
      <c r="R128" s="39" t="n">
        <v>200</v>
      </c>
      <c r="S128" s="39" t="n">
        <v>200</v>
      </c>
      <c r="T128" s="39" t="n">
        <v>180</v>
      </c>
      <c r="U128" s="39" t="n">
        <v>51</v>
      </c>
      <c r="V128" s="39" t="n"/>
      <c r="W128" s="39" t="n"/>
      <c r="X128" s="39" t="n"/>
      <c r="Y128" s="39" t="n"/>
      <c r="Z128" s="39" t="n"/>
      <c r="AA128" s="39" t="n">
        <v>0</v>
      </c>
      <c r="AB128" s="380">
        <f>Z128+IF(NOT(ISBLANK(OFFSET(AB128,0,6))),N(OFFSET(AB128,0,6)),N(OFFSET(AB128,0,7)))-AA128</f>
        <v/>
      </c>
      <c r="AC128" s="11" t="n"/>
      <c r="AD128" s="75" t="n"/>
      <c r="AE128" s="75" t="n"/>
      <c r="AF128" s="1" t="n"/>
      <c r="AG128" s="15" t="n"/>
      <c r="AH128" s="41" t="n"/>
      <c r="AI128" s="75" t="n"/>
      <c r="AJ128" s="75" t="n"/>
      <c r="AK128" s="75" t="n"/>
      <c r="AL128" s="75" t="n"/>
      <c r="AM128" s="75" t="n"/>
      <c r="AN128" s="75" t="n"/>
      <c r="AO128" s="75" t="n"/>
      <c r="AP128" s="75" t="n"/>
      <c r="AQ128" s="75" t="n"/>
      <c r="AR128" s="75" t="n"/>
      <c r="AS128" s="75" t="n"/>
      <c r="AT128" s="75" t="n"/>
      <c r="AU128" s="75" t="n"/>
      <c r="AV128" s="75" t="n"/>
      <c r="AW128" s="75" t="n"/>
      <c r="AX128" s="75" t="n"/>
      <c r="AY128" s="75" t="n"/>
      <c r="AZ128" s="75" t="n"/>
      <c r="BA128" s="75" t="n"/>
      <c r="BB128" s="75" t="n"/>
      <c r="BC128" s="75" t="n"/>
      <c r="BD128" s="75" t="n"/>
      <c r="BE128" s="75" t="n"/>
      <c r="BF128" s="75" t="n"/>
      <c r="BG128" s="75" t="n"/>
      <c r="BH128" s="75" t="n"/>
      <c r="BI128" s="75" t="n"/>
      <c r="BJ128" s="75" t="n"/>
    </row>
    <row r="129">
      <c r="A129" s="157" t="inlineStr">
        <is>
          <t>KIT PAPEL DE SEDA 10 C/ 20</t>
        </is>
      </c>
      <c r="B129" s="72" t="n">
        <v>200</v>
      </c>
      <c r="C129" s="639" t="n"/>
      <c r="D129" s="72" t="n"/>
      <c r="N129" s="39" t="n">
        <v>0</v>
      </c>
      <c r="O129" s="39" t="n">
        <v>0</v>
      </c>
      <c r="P129" s="39" t="n">
        <v>0</v>
      </c>
      <c r="Q129" s="39" t="n">
        <v>0</v>
      </c>
      <c r="R129" s="39" t="n">
        <v>0</v>
      </c>
      <c r="S129" s="39" t="n">
        <v>0</v>
      </c>
      <c r="T129" s="39" t="n">
        <v>0</v>
      </c>
      <c r="U129" s="211" t="n">
        <v>3</v>
      </c>
      <c r="V129" s="39" t="n"/>
      <c r="W129" s="39" t="n"/>
      <c r="X129" s="39" t="n"/>
      <c r="Y129" s="39" t="n"/>
      <c r="Z129" s="39" t="n"/>
      <c r="AA129" s="39" t="n">
        <v>0</v>
      </c>
      <c r="AB129" s="380">
        <f>Z129+IF(NOT(ISBLANK(OFFSET(AB129,0,6))),N(OFFSET(AB129,0,6)),N(OFFSET(AB129,0,7)))-AA129</f>
        <v/>
      </c>
    </row>
    <row r="130">
      <c r="A130" s="157" t="inlineStr">
        <is>
          <t>CAIXA P</t>
        </is>
      </c>
      <c r="B130" s="72" t="n">
        <v>150</v>
      </c>
      <c r="C130" s="639" t="n"/>
      <c r="D130" s="72" t="n"/>
      <c r="N130" s="39" t="n">
        <v>0</v>
      </c>
      <c r="O130" s="39" t="n">
        <v>0</v>
      </c>
      <c r="P130" s="39" t="n">
        <v>0</v>
      </c>
      <c r="Q130" s="39" t="n">
        <v>0</v>
      </c>
      <c r="R130" s="39" t="n">
        <v>0</v>
      </c>
      <c r="S130" s="39" t="n">
        <v>0</v>
      </c>
      <c r="T130" s="39" t="n">
        <v>0</v>
      </c>
      <c r="U130" s="39" t="n">
        <v>48</v>
      </c>
      <c r="V130" s="39" t="n"/>
      <c r="W130" s="39" t="n"/>
      <c r="X130" s="39" t="n"/>
      <c r="Y130" s="39" t="n"/>
      <c r="Z130" s="39" t="n"/>
      <c r="AA130" s="39" t="n">
        <v>77</v>
      </c>
      <c r="AB130" s="380">
        <f>Z130+IF(NOT(ISBLANK(OFFSET(AB130,0,6))),N(OFFSET(AB130,0,6)),N(OFFSET(AB130,0,7)))-AA130</f>
        <v/>
      </c>
    </row>
    <row r="131">
      <c r="A131" s="157" t="inlineStr">
        <is>
          <t>CAIXA M</t>
        </is>
      </c>
      <c r="B131" s="72" t="n">
        <v>100</v>
      </c>
      <c r="C131" s="639" t="n"/>
      <c r="D131" s="72" t="n"/>
      <c r="N131" s="39" t="n">
        <v>0</v>
      </c>
      <c r="O131" s="39" t="n">
        <v>0</v>
      </c>
      <c r="P131" s="39" t="n">
        <v>0</v>
      </c>
      <c r="Q131" s="39" t="n">
        <v>0</v>
      </c>
      <c r="R131" s="39" t="n">
        <v>0</v>
      </c>
      <c r="S131" s="39" t="n">
        <v>0</v>
      </c>
      <c r="T131" s="39" t="n">
        <v>0</v>
      </c>
      <c r="U131" s="39" t="n">
        <v>78</v>
      </c>
      <c r="V131" s="39" t="n"/>
      <c r="W131" s="39" t="n"/>
      <c r="X131" s="39" t="n"/>
      <c r="Y131" s="39" t="n"/>
      <c r="Z131" s="39" t="n"/>
      <c r="AA131" s="39" t="n">
        <v>82</v>
      </c>
      <c r="AB131" s="380">
        <f>Z131+IF(NOT(ISBLANK(OFFSET(AB131,0,6))),N(OFFSET(AB131,0,6)),N(OFFSET(AB131,0,7)))-AA131</f>
        <v/>
      </c>
    </row>
    <row r="132">
      <c r="A132" s="157" t="inlineStr">
        <is>
          <t>CARTUCHO M</t>
        </is>
      </c>
      <c r="B132" s="72" t="n">
        <v>150</v>
      </c>
      <c r="C132" s="639" t="n"/>
      <c r="D132" s="72" t="n"/>
      <c r="N132" s="39" t="n">
        <v>0</v>
      </c>
      <c r="O132" s="39" t="n">
        <v>0</v>
      </c>
      <c r="P132" s="39" t="n">
        <v>0</v>
      </c>
      <c r="Q132" s="39">
        <f>AR43</f>
        <v/>
      </c>
      <c r="R132" s="39" t="n">
        <v>150</v>
      </c>
      <c r="S132" s="39" t="n">
        <v>150</v>
      </c>
      <c r="T132" s="39" t="n">
        <v>146</v>
      </c>
      <c r="U132" s="39" t="n">
        <v>87</v>
      </c>
      <c r="V132" s="39" t="n"/>
      <c r="W132" s="39" t="n"/>
      <c r="X132" s="39" t="n"/>
      <c r="Y132" s="39" t="n"/>
      <c r="Z132" s="39" t="n"/>
      <c r="AA132" s="39" t="n">
        <v>43</v>
      </c>
      <c r="AB132" s="380">
        <f>Z132+IF(NOT(ISBLANK(OFFSET(AB132,0,6))),N(OFFSET(AB132,0,6)),N(OFFSET(AB132,0,7)))-AA132</f>
        <v/>
      </c>
    </row>
    <row r="133">
      <c r="B133" s="41" t="n"/>
      <c r="C133" s="684" t="n"/>
      <c r="D133" s="684" t="n"/>
    </row>
  </sheetData>
  <mergeCells count="9">
    <mergeCell ref="A5:A6"/>
    <mergeCell ref="B3:D3"/>
    <mergeCell ref="A1:AC1"/>
    <mergeCell ref="A112:AB112"/>
    <mergeCell ref="C5:C6"/>
    <mergeCell ref="F5:AB5"/>
    <mergeCell ref="B5:B6"/>
    <mergeCell ref="B2:D2"/>
    <mergeCell ref="D5:D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48" horizontalDpi="4294967295" verticalDpi="4294967295"/>
  <legacyDrawing xmlns:r="http://schemas.openxmlformats.org/officeDocument/2006/relationships" r:id="anysvml"/>
</worksheet>
</file>

<file path=xl/worksheets/sheet31.xml><?xml version="1.0" encoding="utf-8"?>
<worksheet xmlns="http://schemas.openxmlformats.org/spreadsheetml/2006/main">
  <sheetPr codeName="Planilha52">
    <tabColor theme="8"/>
    <outlinePr summaryBelow="1" summaryRight="1"/>
    <pageSetUpPr fitToPage="1"/>
  </sheetPr>
  <dimension ref="A1:BI125"/>
  <sheetViews>
    <sheetView showGridLines="0" topLeftCell="A94" zoomScale="80" zoomScaleNormal="80" zoomScaleSheetLayoutView="50" workbookViewId="0">
      <selection activeCell="AH127" sqref="AH127"/>
    </sheetView>
  </sheetViews>
  <sheetFormatPr baseColWidth="8" defaultColWidth="9.140625" defaultRowHeight="18.75"/>
  <cols>
    <col width="38.42578125" customWidth="1" min="1" max="1"/>
    <col width="8.140625" customWidth="1" min="2" max="2"/>
    <col width="16.85546875" customWidth="1" min="3" max="3"/>
    <col width="2" customWidth="1" min="5" max="5"/>
    <col hidden="1" width="8.28515625" customWidth="1" min="6" max="6"/>
    <col hidden="1" width="13" customWidth="1" min="7" max="7"/>
    <col hidden="1" width="13" customWidth="1" min="8" max="8"/>
    <col hidden="1" width="13" customWidth="1" min="9" max="9"/>
    <col hidden="1" width="13" customWidth="1" min="10" max="10"/>
    <col hidden="1" width="13" customWidth="1" min="11" max="11"/>
    <col hidden="1" width="13" customWidth="1" min="12" max="12"/>
    <col hidden="1" width="13" customWidth="1" min="13" max="13"/>
    <col hidden="1" width="13" customWidth="1" min="14" max="14"/>
    <col hidden="1" width="1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13" customWidth="1" min="26" max="26"/>
    <col hidden="1" width="8.28515625" customWidth="1" min="27" max="27"/>
    <col hidden="1" width="13" customWidth="1" min="28" max="28"/>
    <col hidden="1" width="13" customWidth="1" min="29" max="29"/>
    <col width="13" customWidth="1" min="30" max="30"/>
    <col width="13" customWidth="1" min="31" max="31"/>
    <col width="9.5703125" customWidth="1" min="32" max="32"/>
    <col width="1.42578125" customWidth="1" min="33" max="33"/>
    <col width="14.28515625" customWidth="1" min="34" max="34"/>
    <col width="1.7109375" customWidth="1" min="36" max="36"/>
    <col width="15.85546875" customWidth="1" min="37" max="37"/>
    <col width="1.28515625" customWidth="1" min="38" max="38"/>
    <col width="9.140625" customWidth="1" min="39" max="39"/>
    <col width="13" customWidth="1" min="40" max="40"/>
    <col hidden="1" width="13" customWidth="1" min="41" max="41"/>
    <col hidden="1" width="13" customWidth="1" min="42" max="42"/>
    <col hidden="1" width="13" customWidth="1" min="43" max="43"/>
    <col hidden="1" width="13" customWidth="1" min="44" max="44"/>
    <col hidden="1" width="13" customWidth="1" min="45" max="45"/>
    <col hidden="1" width="9.140625" customWidth="1" min="46" max="46"/>
    <col hidden="1" width="13" customWidth="1" min="47" max="47"/>
    <col hidden="1" width="13" customWidth="1" min="48" max="48"/>
    <col hidden="1" width="13" customWidth="1" min="49" max="49"/>
    <col hidden="1" width="13" customWidth="1" min="50" max="50"/>
    <col hidden="1" width="13" customWidth="1" min="51" max="51"/>
    <col hidden="1" width="13" customWidth="1" min="52" max="52"/>
    <col hidden="1" width="13" customWidth="1" min="53" max="53"/>
    <col hidden="1" width="13" customWidth="1" min="54" max="54"/>
    <col hidden="1" width="13.5703125" customWidth="1" min="55" max="55"/>
    <col hidden="1" width="13" customWidth="1" min="56" max="56"/>
    <col hidden="1" width="14.28515625" customWidth="1" min="57" max="57"/>
    <col hidden="1" width="12.28515625" customWidth="1" min="58" max="58"/>
    <col hidden="1" width="13" customWidth="1" min="59" max="59"/>
    <col hidden="1" width="14.28515625" customWidth="1" min="60" max="60"/>
    <col hidden="1" width="18.85546875" customWidth="1" min="61" max="61"/>
    <col width="9.140625" customWidth="1" min="62" max="62"/>
  </cols>
  <sheetData>
    <row r="1" ht="23.25" customHeight="1">
      <c r="A1" s="501" t="inlineStr">
        <is>
          <t>Controle de Contagem Semanal - Antilhas</t>
        </is>
      </c>
      <c r="AG1" s="501" t="n"/>
      <c r="AJ1" s="34" t="n"/>
      <c r="AK1" s="11" t="n"/>
      <c r="AL1" s="34" t="n"/>
    </row>
    <row r="2">
      <c r="A2" s="63" t="inlineStr">
        <is>
          <t>LOJA:</t>
        </is>
      </c>
      <c r="B2" s="604" t="inlineStr">
        <is>
          <t>ER SÃO MANUEL</t>
        </is>
      </c>
      <c r="C2" s="605" t="n"/>
      <c r="D2" s="606" t="n"/>
      <c r="AJ2" s="34" t="n"/>
      <c r="AK2" s="11" t="n"/>
      <c r="AL2" s="34" t="n"/>
    </row>
    <row r="3">
      <c r="A3" s="63" t="inlineStr">
        <is>
          <t>Responsável:</t>
        </is>
      </c>
      <c r="B3" s="607" t="inlineStr">
        <is>
          <t>SABRINA</t>
        </is>
      </c>
      <c r="C3" s="605" t="n"/>
      <c r="D3" s="606" t="n"/>
      <c r="E3" s="608" t="n"/>
      <c r="F3" s="608" t="n"/>
      <c r="G3" s="608" t="n"/>
      <c r="H3" s="608" t="n"/>
      <c r="I3" s="608" t="n"/>
      <c r="J3" s="608" t="n"/>
      <c r="K3" s="608" t="n"/>
      <c r="L3" s="608" t="n"/>
      <c r="M3" s="608" t="n"/>
      <c r="N3" s="608" t="n"/>
      <c r="O3" s="608" t="n"/>
      <c r="P3" s="608" t="n"/>
      <c r="Q3" s="608" t="n"/>
      <c r="R3" s="608" t="n"/>
      <c r="S3" s="608" t="n"/>
      <c r="T3" s="608" t="n"/>
      <c r="U3" s="608" t="n"/>
      <c r="V3" s="608" t="n"/>
      <c r="W3" s="608" t="n"/>
      <c r="X3" s="608" t="n"/>
      <c r="Y3" s="608" t="n"/>
      <c r="Z3" s="608" t="n"/>
      <c r="AA3" s="608" t="n"/>
      <c r="AB3" s="608" t="n"/>
      <c r="AC3" s="609" t="n"/>
      <c r="AD3" s="609" t="n"/>
      <c r="AE3" s="609" t="n"/>
      <c r="AF3" s="608" t="n"/>
      <c r="AG3" s="608" t="n"/>
      <c r="AJ3" s="34" t="n"/>
    </row>
    <row r="4">
      <c r="AH4" s="41" t="n"/>
      <c r="AI4" s="41" t="n"/>
      <c r="AK4" s="11" t="n"/>
      <c r="AL4" s="11" t="n"/>
      <c r="AM4" s="11" t="n"/>
      <c r="AN4" s="11" t="n"/>
      <c r="AO4" s="11" t="n"/>
      <c r="AP4" s="11" t="n"/>
      <c r="AQ4" s="11" t="n"/>
      <c r="AR4" s="11" t="n"/>
      <c r="AS4" s="11" t="n"/>
      <c r="AT4" s="11" t="n"/>
      <c r="AU4" s="11" t="n"/>
      <c r="AV4" s="11" t="n"/>
      <c r="AW4" s="11" t="n"/>
      <c r="AX4" s="11" t="n"/>
      <c r="AY4" s="11" t="n"/>
      <c r="AZ4" s="11" t="n"/>
      <c r="BA4" s="11" t="n"/>
      <c r="BB4" s="11" t="n"/>
      <c r="BC4" s="208" t="n"/>
      <c r="BD4" s="208" t="n"/>
      <c r="BE4" s="208" t="n"/>
      <c r="BF4" s="11" t="n"/>
      <c r="BG4" s="11" t="n"/>
      <c r="BH4" s="208" t="n"/>
      <c r="BI4" s="11" t="n"/>
    </row>
    <row r="5" ht="24.75" customHeight="1">
      <c r="A5" s="610" t="inlineStr">
        <is>
          <t>Descrição</t>
        </is>
      </c>
      <c r="B5" s="611" t="inlineStr">
        <is>
          <t>PCT</t>
        </is>
      </c>
      <c r="C5" s="611" t="inlineStr">
        <is>
          <t xml:space="preserve">R$ </t>
        </is>
      </c>
      <c r="D5" s="612" t="inlineStr">
        <is>
          <t>Estoque Ideal</t>
        </is>
      </c>
      <c r="F5" s="502" t="n"/>
      <c r="G5" s="625" t="n"/>
      <c r="H5" s="625" t="n"/>
      <c r="I5" s="625" t="n"/>
      <c r="J5" s="625" t="n"/>
      <c r="K5" s="625" t="n"/>
      <c r="L5" s="625" t="n"/>
      <c r="M5" s="625" t="n"/>
      <c r="N5" s="625" t="n"/>
      <c r="O5" s="625" t="n"/>
      <c r="P5" s="625" t="n"/>
      <c r="Q5" s="625" t="n"/>
      <c r="R5" s="625" t="n"/>
      <c r="S5" s="625" t="n"/>
      <c r="T5" s="625" t="n"/>
      <c r="U5" s="625" t="n"/>
      <c r="V5" s="625" t="n"/>
      <c r="W5" s="625" t="n"/>
      <c r="X5" s="625" t="n"/>
      <c r="Y5" s="625" t="n"/>
      <c r="Z5" s="625" t="n"/>
      <c r="AA5" s="625" t="n"/>
      <c r="AB5" s="625" t="n"/>
      <c r="AC5" s="626" t="n"/>
      <c r="AD5" s="626" t="n"/>
      <c r="AE5" s="626" t="n"/>
      <c r="AF5" s="504" t="n"/>
      <c r="AH5" s="29" t="inlineStr">
        <is>
          <t>Pendências</t>
        </is>
      </c>
      <c r="AI5" s="29" t="inlineStr">
        <is>
          <t>Pendências</t>
        </is>
      </c>
      <c r="AK5" s="9" t="inlineStr">
        <is>
          <t>Novo Pedido</t>
        </is>
      </c>
      <c r="AL5" s="673" t="n">
        <v>46161.4829662046</v>
      </c>
      <c r="AM5" s="674" t="n">
        <v>46149</v>
      </c>
      <c r="AN5" s="674" t="n">
        <v>46142</v>
      </c>
      <c r="AO5" s="674" t="n">
        <v>46114</v>
      </c>
      <c r="AP5" s="674" t="n">
        <v>46099</v>
      </c>
      <c r="AQ5" s="675" t="n">
        <v>46065</v>
      </c>
      <c r="AR5" s="674" t="n">
        <v>46077</v>
      </c>
      <c r="AS5" s="676" t="n">
        <v>46045</v>
      </c>
      <c r="AT5" s="674" t="n">
        <v>46056</v>
      </c>
      <c r="AU5" s="674" t="n">
        <v>46017</v>
      </c>
      <c r="AV5" s="674" t="n">
        <v>46007</v>
      </c>
      <c r="AW5" s="674" t="n">
        <v>46001</v>
      </c>
      <c r="AX5" s="674" t="n">
        <v>45994</v>
      </c>
      <c r="AY5" s="674" t="n">
        <v>45986</v>
      </c>
      <c r="AZ5" s="674" t="n">
        <v>45980</v>
      </c>
      <c r="BA5" s="674" t="n">
        <v>45980</v>
      </c>
      <c r="BB5" s="674" t="n">
        <v>45973</v>
      </c>
      <c r="BC5" s="677" t="inlineStr">
        <is>
          <t>TRANSF.</t>
        </is>
      </c>
      <c r="BD5" s="677" t="inlineStr">
        <is>
          <t>TRANSF.</t>
        </is>
      </c>
      <c r="BE5" s="690" t="inlineStr">
        <is>
          <t>TRANSF.</t>
        </is>
      </c>
      <c r="BF5" s="690" t="inlineStr">
        <is>
          <t>TRANSF.</t>
        </is>
      </c>
      <c r="BG5" s="691" t="inlineStr">
        <is>
          <t>TRANSF.</t>
        </is>
      </c>
      <c r="BH5" s="677" t="inlineStr">
        <is>
          <t>TRANSF.</t>
        </is>
      </c>
      <c r="BI5" s="692" t="inlineStr">
        <is>
          <t>TRANSF.</t>
        </is>
      </c>
    </row>
    <row r="6" customFormat="1" s="3">
      <c r="A6" s="618" t="n"/>
      <c r="B6" s="618" t="n"/>
      <c r="C6" s="618" t="n"/>
      <c r="D6" s="618" t="n"/>
      <c r="E6" s="30" t="n"/>
      <c r="F6" s="619" t="n">
        <v>46006</v>
      </c>
      <c r="G6" s="619" t="n">
        <v>46013</v>
      </c>
      <c r="H6" s="619" t="n">
        <v>46020</v>
      </c>
      <c r="I6" s="619" t="n">
        <v>46027</v>
      </c>
      <c r="J6" s="619" t="n">
        <v>46034</v>
      </c>
      <c r="K6" s="619" t="n">
        <v>46041</v>
      </c>
      <c r="L6" s="619" t="n">
        <v>46048</v>
      </c>
      <c r="M6" s="619" t="n">
        <v>46055</v>
      </c>
      <c r="N6" s="619" t="n">
        <v>46062</v>
      </c>
      <c r="O6" s="619" t="n">
        <v>46069</v>
      </c>
      <c r="P6" s="619" t="n">
        <v>46076</v>
      </c>
      <c r="Q6" s="619" t="n">
        <v>46083</v>
      </c>
      <c r="R6" s="619" t="n">
        <v>46090</v>
      </c>
      <c r="S6" s="619" t="n">
        <v>46097</v>
      </c>
      <c r="T6" s="619" t="n">
        <v>46104</v>
      </c>
      <c r="U6" s="619" t="n">
        <v>46111</v>
      </c>
      <c r="V6" s="619" t="n">
        <v>46118</v>
      </c>
      <c r="W6" s="619" t="n">
        <v>46125</v>
      </c>
      <c r="X6" s="619" t="n">
        <v>46132</v>
      </c>
      <c r="Y6" s="619" t="n">
        <v>46139</v>
      </c>
      <c r="Z6" s="619" t="n">
        <v>46146</v>
      </c>
      <c r="AA6" s="619" t="n">
        <v>46154</v>
      </c>
      <c r="AB6" s="619" t="n">
        <v>46160</v>
      </c>
      <c r="AC6" s="620" t="n">
        <v>46161.48013633102</v>
      </c>
      <c r="AD6" s="620" t="n">
        <v>46161.48080996528</v>
      </c>
      <c r="AE6" s="620" t="n">
        <v>46161.48296746883</v>
      </c>
      <c r="AF6" s="678" t="inlineStr">
        <is>
          <t>USOU</t>
        </is>
      </c>
      <c r="AG6" s="30" t="n"/>
      <c r="AH6" s="664" t="n"/>
      <c r="AI6" s="664" t="n">
        <v>46149</v>
      </c>
      <c r="AJ6" s="623" t="n"/>
      <c r="AK6" s="624" t="n">
        <v>46155</v>
      </c>
      <c r="AL6" s="673" t="n">
        <v>46161.4829662052</v>
      </c>
      <c r="AM6" s="674" t="n">
        <v>46154</v>
      </c>
      <c r="AN6" s="674" t="n">
        <v>46149</v>
      </c>
      <c r="AO6" s="674" t="n">
        <v>46125</v>
      </c>
      <c r="AP6" s="674" t="n">
        <v>46104</v>
      </c>
      <c r="AQ6" s="675" t="n">
        <v>46104</v>
      </c>
      <c r="AR6" s="674" t="n">
        <v>46086</v>
      </c>
      <c r="AS6" s="676" t="n">
        <v>46094</v>
      </c>
      <c r="AT6" s="674" t="n">
        <v>46062</v>
      </c>
      <c r="AU6" s="674" t="n">
        <v>46027</v>
      </c>
      <c r="AV6" s="674" t="n">
        <v>46010</v>
      </c>
      <c r="AW6" s="674" t="n">
        <v>46010</v>
      </c>
      <c r="AX6" s="674" t="n">
        <v>46001</v>
      </c>
      <c r="AY6" s="674" t="n">
        <v>45996</v>
      </c>
      <c r="AZ6" s="674" t="n">
        <v>45992</v>
      </c>
      <c r="BA6" s="674" t="n">
        <v>45988</v>
      </c>
      <c r="BB6" s="674" t="n">
        <v>45986</v>
      </c>
      <c r="BC6" s="677" t="n">
        <v>45982</v>
      </c>
      <c r="BD6" s="677" t="n">
        <v>45979</v>
      </c>
      <c r="BE6" s="693" t="n">
        <v>45974</v>
      </c>
      <c r="BF6" s="693" t="n">
        <v>45972</v>
      </c>
      <c r="BG6" s="691" t="n">
        <v>45968</v>
      </c>
      <c r="BH6" s="677" t="n">
        <v>45967</v>
      </c>
      <c r="BI6" s="692" t="n">
        <v>45964</v>
      </c>
    </row>
    <row r="7" ht="21.75" customFormat="1" customHeight="1" s="3">
      <c r="A7" s="20" t="inlineStr">
        <is>
          <t>SACOLAS BOTICÁRIO</t>
        </is>
      </c>
      <c r="B7" s="4" t="n"/>
      <c r="C7" s="5" t="n"/>
      <c r="D7" s="239" t="n"/>
      <c r="E7" s="11" t="n"/>
      <c r="F7" s="12" t="n"/>
      <c r="G7" s="12" t="n"/>
      <c r="H7" s="12" t="n"/>
      <c r="I7" s="12" t="n"/>
      <c r="J7" s="12" t="n"/>
      <c r="K7" s="12" t="n"/>
      <c r="L7" s="12" t="n"/>
      <c r="M7" s="12" t="n"/>
      <c r="N7" s="12" t="n"/>
      <c r="O7" s="12" t="n"/>
      <c r="P7" s="12" t="n"/>
      <c r="Q7" s="12" t="n"/>
      <c r="R7" s="12" t="n"/>
      <c r="S7" s="12" t="n"/>
      <c r="T7" s="12" t="n"/>
      <c r="U7" s="12" t="n"/>
      <c r="V7" s="12" t="n"/>
      <c r="W7" s="12" t="n"/>
      <c r="X7" s="12" t="n"/>
      <c r="Y7" s="12" t="n"/>
      <c r="Z7" s="12" t="n"/>
      <c r="AA7" s="12" t="n"/>
      <c r="AB7" s="12" t="n"/>
      <c r="AC7" s="12" t="n"/>
      <c r="AD7" s="12" t="n"/>
      <c r="AE7" s="12" t="n"/>
      <c r="AF7" s="12" t="n"/>
      <c r="AG7" s="11" t="n"/>
      <c r="AH7" s="85" t="n"/>
      <c r="AI7" s="85" t="n"/>
      <c r="AJ7" s="11" t="n"/>
      <c r="AK7" s="113" t="n"/>
      <c r="AL7" s="116" t="n"/>
      <c r="AM7" s="116" t="n"/>
      <c r="AN7" s="116" t="n"/>
      <c r="AO7" s="116" t="n"/>
      <c r="AP7" s="116" t="n"/>
      <c r="AQ7" s="116" t="inlineStr">
        <is>
          <t>MÃES</t>
        </is>
      </c>
      <c r="AR7" s="116" t="n"/>
      <c r="AS7" s="116" t="inlineStr">
        <is>
          <t>MÃES</t>
        </is>
      </c>
      <c r="AT7" s="116" t="n"/>
      <c r="AU7" s="116" t="n"/>
      <c r="AV7" s="116" t="n"/>
      <c r="AW7" s="116" t="n"/>
      <c r="AX7" s="116" t="n"/>
      <c r="AY7" s="116" t="n"/>
      <c r="AZ7" s="116" t="n"/>
      <c r="BA7" s="116" t="n"/>
      <c r="BB7" s="116" t="n"/>
      <c r="BC7" s="116" t="n"/>
      <c r="BD7" s="116" t="n"/>
      <c r="BE7" s="116" t="inlineStr">
        <is>
          <t>VENDA</t>
        </is>
      </c>
      <c r="BF7" s="116" t="n"/>
      <c r="BG7" s="116" t="inlineStr">
        <is>
          <t>HP</t>
        </is>
      </c>
      <c r="BH7" s="116" t="n"/>
      <c r="BI7" s="116" t="inlineStr">
        <is>
          <t>VND. NAT. EUD</t>
        </is>
      </c>
    </row>
    <row r="8" customFormat="1" s="3">
      <c r="A8" s="21" t="inlineStr">
        <is>
          <t>SACOLA PP VERDE</t>
        </is>
      </c>
      <c r="B8" s="6" t="n">
        <v>300</v>
      </c>
      <c r="C8" s="627" t="n">
        <v>178.21</v>
      </c>
      <c r="D8" s="240" t="n"/>
      <c r="E8" s="11" t="n"/>
      <c r="F8" s="39" t="n">
        <v>370</v>
      </c>
      <c r="G8" s="39" t="n">
        <v>791</v>
      </c>
      <c r="H8" s="39" t="n">
        <v>753</v>
      </c>
      <c r="I8" s="39">
        <f>736+AR8</f>
        <v/>
      </c>
      <c r="J8" s="39" t="n">
        <v>1212</v>
      </c>
      <c r="K8" s="39" t="n">
        <v>1171</v>
      </c>
      <c r="L8" s="39" t="n">
        <v>878</v>
      </c>
      <c r="M8" s="39" t="n">
        <v>508</v>
      </c>
      <c r="N8" s="39">
        <f>501+AQ8</f>
        <v/>
      </c>
      <c r="O8" s="125" t="n">
        <v>1056</v>
      </c>
      <c r="P8" s="125" t="n">
        <v>733</v>
      </c>
      <c r="Q8" s="125">
        <f>646+AO8</f>
        <v/>
      </c>
      <c r="R8" s="125" t="n">
        <v>694</v>
      </c>
      <c r="S8" s="125" t="n">
        <v>484</v>
      </c>
      <c r="T8" s="125">
        <f>411+AM8</f>
        <v/>
      </c>
      <c r="U8" s="125" t="n">
        <v>526</v>
      </c>
      <c r="V8" s="125" t="n">
        <v>412</v>
      </c>
      <c r="W8" s="125" t="n">
        <v>0</v>
      </c>
      <c r="X8" s="125" t="n">
        <v>0</v>
      </c>
      <c r="Y8" s="125" t="n">
        <v>0</v>
      </c>
      <c r="Z8" s="125">
        <f>0+AK8</f>
        <v/>
      </c>
      <c r="AA8" s="125" t="n">
        <v>100</v>
      </c>
      <c r="AB8" s="125" t="n"/>
      <c r="AC8" s="84" t="n"/>
      <c r="AD8" s="84" t="n"/>
      <c r="AE8" s="84" t="n"/>
      <c r="AF8" s="380">
        <f>AD8+IF(NOT(ISBLANK(OFFSET(AF8,0,6))),N(OFFSET(AF8,0,6)),N(OFFSET(AF8,0,7)))-AE8</f>
        <v/>
      </c>
      <c r="AG8" s="11" t="n"/>
      <c r="AH8" s="78" t="n"/>
      <c r="AI8" s="78" t="n"/>
      <c r="AJ8" s="11" t="n"/>
      <c r="AK8" s="32" t="n">
        <v>300</v>
      </c>
      <c r="AL8" s="628" t="n">
        <v>0</v>
      </c>
      <c r="AM8" s="19" t="n">
        <v>0</v>
      </c>
      <c r="AN8" s="19" t="n">
        <v>300</v>
      </c>
      <c r="AO8" s="19" t="n">
        <v>0</v>
      </c>
      <c r="AP8" s="19" t="n">
        <v>300</v>
      </c>
      <c r="AQ8" s="19" t="n"/>
      <c r="AR8" s="19" t="n">
        <v>300</v>
      </c>
      <c r="AS8" s="19" t="n"/>
      <c r="AT8" s="19" t="n">
        <v>600</v>
      </c>
      <c r="AU8" s="19" t="n">
        <v>600</v>
      </c>
      <c r="AV8" s="19" t="n">
        <v>300</v>
      </c>
      <c r="AW8" s="19" t="n">
        <v>300</v>
      </c>
      <c r="AX8" s="19" t="n">
        <v>300</v>
      </c>
      <c r="AY8" s="19" t="n"/>
      <c r="AZ8" s="19" t="n">
        <v>300</v>
      </c>
      <c r="BA8" s="19" t="n"/>
      <c r="BB8" s="19" t="n">
        <v>300</v>
      </c>
      <c r="BC8" s="119" t="n"/>
      <c r="BD8" s="119" t="n"/>
      <c r="BE8" s="119" t="n"/>
      <c r="BF8" s="19" t="n"/>
      <c r="BG8" s="19" t="n"/>
      <c r="BH8" s="119" t="n"/>
      <c r="BI8" s="119" t="n"/>
    </row>
    <row r="9" customFormat="1" s="3">
      <c r="A9" s="21" t="inlineStr">
        <is>
          <t xml:space="preserve">SACOLA P VERDE </t>
        </is>
      </c>
      <c r="B9" s="6" t="n">
        <v>200</v>
      </c>
      <c r="C9" s="627" t="n">
        <v>183.89</v>
      </c>
      <c r="D9" s="240" t="n"/>
      <c r="E9" s="11" t="n"/>
      <c r="F9" s="125" t="n">
        <v>936</v>
      </c>
      <c r="G9" s="125" t="n">
        <v>1164</v>
      </c>
      <c r="H9" s="125" t="n">
        <v>1148</v>
      </c>
      <c r="I9" s="125">
        <f>1003+AR9</f>
        <v/>
      </c>
      <c r="J9" s="125" t="n">
        <v>1699</v>
      </c>
      <c r="K9" s="125" t="n">
        <v>1533</v>
      </c>
      <c r="L9" s="125" t="n">
        <v>1388</v>
      </c>
      <c r="M9" s="125" t="n">
        <v>1175</v>
      </c>
      <c r="N9" s="125" t="n">
        <v>1008</v>
      </c>
      <c r="O9" s="125" t="n">
        <v>880</v>
      </c>
      <c r="P9" s="125" t="n">
        <v>767</v>
      </c>
      <c r="Q9" s="125">
        <f>580+AO9</f>
        <v/>
      </c>
      <c r="R9" s="125" t="n">
        <v>592</v>
      </c>
      <c r="S9" s="125" t="n">
        <v>478</v>
      </c>
      <c r="T9" s="125" t="n">
        <v>340</v>
      </c>
      <c r="U9" s="125" t="n">
        <v>190</v>
      </c>
      <c r="V9" s="125" t="n">
        <v>85</v>
      </c>
      <c r="W9" s="125" t="n">
        <v>600</v>
      </c>
      <c r="X9" s="125" t="n">
        <v>462</v>
      </c>
      <c r="Y9" s="125" t="n">
        <v>244</v>
      </c>
      <c r="Z9" s="125">
        <f>20+AK9</f>
        <v/>
      </c>
      <c r="AA9" s="125" t="n">
        <v>435</v>
      </c>
      <c r="AB9" s="125" t="n"/>
      <c r="AC9" s="84" t="n"/>
      <c r="AD9" s="84" t="n"/>
      <c r="AE9" s="84" t="n"/>
      <c r="AF9" s="380">
        <f>AD9+IF(NOT(ISBLANK(OFFSET(AF9,0,6))),N(OFFSET(AF9,0,6)),N(OFFSET(AF9,0,7)))-AE9</f>
        <v/>
      </c>
      <c r="AG9" s="11" t="n"/>
      <c r="AH9" s="78" t="n"/>
      <c r="AI9" s="78" t="n"/>
      <c r="AJ9" s="11" t="n"/>
      <c r="AK9" s="32" t="n"/>
      <c r="AL9" s="628" t="n">
        <v>0</v>
      </c>
      <c r="AM9" s="19" t="n">
        <v>0</v>
      </c>
      <c r="AN9" s="19" t="n">
        <v>600</v>
      </c>
      <c r="AO9" s="19" t="n">
        <v>600</v>
      </c>
      <c r="AP9" s="19" t="n"/>
      <c r="AQ9" s="251" t="n">
        <v>400</v>
      </c>
      <c r="AR9" s="19" t="n">
        <v>200</v>
      </c>
      <c r="AS9" s="19" t="n"/>
      <c r="AT9" s="19" t="n"/>
      <c r="AU9" s="19" t="n">
        <v>800</v>
      </c>
      <c r="AV9" s="19" t="n">
        <v>400</v>
      </c>
      <c r="AW9" s="19" t="n"/>
      <c r="AX9" s="19" t="n">
        <v>600</v>
      </c>
      <c r="AY9" s="19" t="n"/>
      <c r="AZ9" s="19" t="n">
        <v>400</v>
      </c>
      <c r="BA9" s="19" t="n"/>
      <c r="BB9" s="19" t="n">
        <v>400</v>
      </c>
      <c r="BC9" s="260" t="inlineStr">
        <is>
          <t>200 DE SM</t>
        </is>
      </c>
      <c r="BD9" s="119" t="n"/>
      <c r="BE9" s="251" t="inlineStr">
        <is>
          <t>200 DE ERJ</t>
        </is>
      </c>
      <c r="BF9" s="19" t="n"/>
      <c r="BG9" s="19" t="n"/>
      <c r="BH9" s="260" t="inlineStr">
        <is>
          <t>400 DE ERJ</t>
        </is>
      </c>
      <c r="BI9" s="119" t="n"/>
    </row>
    <row r="10" customFormat="1" s="3">
      <c r="A10" s="21" t="inlineStr">
        <is>
          <t>SACOLA M VERDE</t>
        </is>
      </c>
      <c r="B10" s="6" t="n">
        <v>200</v>
      </c>
      <c r="C10" s="627" t="n">
        <v>241.74</v>
      </c>
      <c r="D10" s="240" t="n"/>
      <c r="E10" s="11" t="n"/>
      <c r="F10" s="125" t="n">
        <v>329</v>
      </c>
      <c r="G10" s="125" t="n">
        <v>471</v>
      </c>
      <c r="H10" s="125" t="n">
        <v>400</v>
      </c>
      <c r="I10" s="125">
        <f>391+AR10</f>
        <v/>
      </c>
      <c r="J10" s="125" t="n">
        <v>733</v>
      </c>
      <c r="K10" s="125" t="n">
        <v>679</v>
      </c>
      <c r="L10" s="125" t="n">
        <v>601</v>
      </c>
      <c r="M10" s="125" t="n">
        <v>450</v>
      </c>
      <c r="N10" s="125" t="n">
        <v>542</v>
      </c>
      <c r="O10" s="125" t="n">
        <v>539</v>
      </c>
      <c r="P10" s="125" t="n">
        <v>167</v>
      </c>
      <c r="Q10" s="125">
        <f>8+AO10</f>
        <v/>
      </c>
      <c r="R10" s="125" t="n">
        <v>110</v>
      </c>
      <c r="S10" s="125" t="n">
        <v>46</v>
      </c>
      <c r="T10" s="125">
        <f>5+AM10</f>
        <v/>
      </c>
      <c r="U10" s="125" t="n">
        <v>400</v>
      </c>
      <c r="V10" s="125" t="n">
        <v>499</v>
      </c>
      <c r="W10" s="125" t="n">
        <v>340</v>
      </c>
      <c r="X10" s="125" t="n">
        <v>200</v>
      </c>
      <c r="Y10" s="125" t="n">
        <v>163</v>
      </c>
      <c r="Z10" s="125">
        <f>0+AK10</f>
        <v/>
      </c>
      <c r="AA10" s="125" t="n">
        <v>80</v>
      </c>
      <c r="AB10" s="125" t="n"/>
      <c r="AC10" s="84" t="n"/>
      <c r="AD10" s="84" t="n"/>
      <c r="AE10" s="84" t="n"/>
      <c r="AF10" s="380">
        <f>AD10+IF(NOT(ISBLANK(OFFSET(AF10,0,6))),N(OFFSET(AF10,0,6)),N(OFFSET(AF10,0,7)))-AE10</f>
        <v/>
      </c>
      <c r="AG10" s="11" t="n"/>
      <c r="AH10" s="78" t="n"/>
      <c r="AI10" s="78" t="n"/>
      <c r="AJ10" s="11" t="n"/>
      <c r="AK10" s="32" t="n">
        <v>200</v>
      </c>
      <c r="AL10" s="628" t="n">
        <v>0</v>
      </c>
      <c r="AM10" s="19" t="n">
        <v>0</v>
      </c>
      <c r="AN10" s="19" t="n">
        <v>200</v>
      </c>
      <c r="AO10" s="19" t="n">
        <v>0</v>
      </c>
      <c r="AP10" s="19" t="n">
        <v>400</v>
      </c>
      <c r="AQ10" s="251" t="n">
        <v>200</v>
      </c>
      <c r="AR10" s="19" t="n">
        <v>200</v>
      </c>
      <c r="AS10" s="301" t="n">
        <v>150</v>
      </c>
      <c r="AT10" s="19" t="n"/>
      <c r="AU10" s="19" t="n">
        <v>400</v>
      </c>
      <c r="AV10" s="19" t="n">
        <v>400</v>
      </c>
      <c r="AW10" s="19" t="n"/>
      <c r="AX10" s="19" t="n">
        <v>200</v>
      </c>
      <c r="AY10" s="19" t="n"/>
      <c r="AZ10" s="19" t="n">
        <v>200</v>
      </c>
      <c r="BA10" s="19" t="n"/>
      <c r="BB10" s="19" t="n">
        <v>200</v>
      </c>
      <c r="BC10" s="119" t="n"/>
      <c r="BD10" s="119" t="n"/>
      <c r="BE10" s="251" t="inlineStr">
        <is>
          <t>200 DE ERJ</t>
        </is>
      </c>
      <c r="BF10" s="19" t="n"/>
      <c r="BG10" s="19" t="n"/>
      <c r="BH10" s="260" t="inlineStr">
        <is>
          <t>200 DE ERJ</t>
        </is>
      </c>
      <c r="BI10" s="258" t="inlineStr">
        <is>
          <t>200 DE ERJ</t>
        </is>
      </c>
    </row>
    <row r="11" ht="19.5" customFormat="1" customHeight="1" s="3">
      <c r="A11" s="22" t="inlineStr">
        <is>
          <t xml:space="preserve">SACOLA G VERDE </t>
        </is>
      </c>
      <c r="B11" s="6" t="n">
        <v>100</v>
      </c>
      <c r="C11" s="627" t="n">
        <v>175.78</v>
      </c>
      <c r="D11" s="240" t="n"/>
      <c r="E11" s="11" t="n"/>
      <c r="F11" s="39" t="n">
        <v>0</v>
      </c>
      <c r="G11" s="39" t="n">
        <v>300</v>
      </c>
      <c r="H11" s="39" t="n">
        <v>281</v>
      </c>
      <c r="I11" s="39">
        <f>279+AR11</f>
        <v/>
      </c>
      <c r="J11" s="39" t="n">
        <v>533</v>
      </c>
      <c r="K11" s="39" t="n">
        <v>503</v>
      </c>
      <c r="L11" s="39" t="n">
        <v>474</v>
      </c>
      <c r="M11" s="39" t="n">
        <v>432</v>
      </c>
      <c r="N11" s="39" t="n">
        <v>402</v>
      </c>
      <c r="O11" s="39" t="n">
        <v>350</v>
      </c>
      <c r="P11" s="39" t="n">
        <v>262</v>
      </c>
      <c r="Q11" s="39">
        <f>221+AO11</f>
        <v/>
      </c>
      <c r="R11" s="39" t="n">
        <v>262</v>
      </c>
      <c r="S11" s="39" t="n">
        <v>209</v>
      </c>
      <c r="T11" s="39" t="n">
        <v>190</v>
      </c>
      <c r="U11" s="39" t="n">
        <v>190</v>
      </c>
      <c r="V11" s="39" t="n">
        <v>267</v>
      </c>
      <c r="W11" s="39" t="n">
        <v>220</v>
      </c>
      <c r="X11" s="39" t="n">
        <v>178</v>
      </c>
      <c r="Y11" s="39" t="n">
        <v>133</v>
      </c>
      <c r="Z11" s="39">
        <f>0+AK11</f>
        <v/>
      </c>
      <c r="AA11" s="39" t="n">
        <v>100</v>
      </c>
      <c r="AB11" s="39" t="n"/>
      <c r="AC11" s="6" t="n"/>
      <c r="AD11" s="6" t="n"/>
      <c r="AE11" s="6" t="n"/>
      <c r="AF11" s="380">
        <f>AD11+IF(NOT(ISBLANK(OFFSET(AF11,0,6))),N(OFFSET(AF11,0,6)),N(OFFSET(AF11,0,7)))-AE11</f>
        <v/>
      </c>
      <c r="AG11" s="11" t="n"/>
      <c r="AH11" s="78" t="n"/>
      <c r="AI11" s="78" t="n"/>
      <c r="AJ11" s="11" t="n"/>
      <c r="AK11" s="32" t="n"/>
      <c r="AL11" s="628" t="n">
        <v>0</v>
      </c>
      <c r="AM11" s="19" t="n">
        <v>0</v>
      </c>
      <c r="AN11" s="19" t="n">
        <v>100</v>
      </c>
      <c r="AO11" s="19" t="n">
        <v>0</v>
      </c>
      <c r="AP11" s="19" t="n"/>
      <c r="AQ11" s="251" t="n">
        <v>100</v>
      </c>
      <c r="AR11" s="19" t="n">
        <v>100</v>
      </c>
      <c r="AS11" s="19" t="n"/>
      <c r="AT11" s="19" t="n"/>
      <c r="AU11" s="19" t="n">
        <v>300</v>
      </c>
      <c r="AV11" s="19" t="n">
        <v>300</v>
      </c>
      <c r="AW11" s="19" t="n"/>
      <c r="AX11" s="19" t="n"/>
      <c r="AY11" s="19" t="n"/>
      <c r="AZ11" s="19" t="n">
        <v>100</v>
      </c>
      <c r="BA11" s="19" t="n"/>
      <c r="BB11" s="19" t="n"/>
      <c r="BC11" s="119" t="n"/>
      <c r="BD11" s="119" t="n"/>
      <c r="BE11" s="119" t="n"/>
      <c r="BF11" s="251" t="inlineStr">
        <is>
          <t>50 DE CDJ</t>
        </is>
      </c>
      <c r="BG11" s="19" t="n"/>
      <c r="BH11" s="260" t="inlineStr">
        <is>
          <t>100 DE ERJ</t>
        </is>
      </c>
      <c r="BI11" s="19" t="n"/>
    </row>
    <row r="12" hidden="1" ht="19.5" customFormat="1" customHeight="1" s="3">
      <c r="A12" s="144" t="inlineStr">
        <is>
          <t>SACOLA KRAFT M PARDA</t>
        </is>
      </c>
      <c r="B12" s="145" t="n">
        <v>200</v>
      </c>
      <c r="C12" s="694" t="n">
        <v>144.12</v>
      </c>
      <c r="D12" s="240" t="n"/>
      <c r="E12" s="11" t="n"/>
      <c r="F12" s="39" t="n">
        <v>0</v>
      </c>
      <c r="G12" s="39" t="n">
        <v>0</v>
      </c>
      <c r="H12" s="39" t="n">
        <v>0</v>
      </c>
      <c r="I12" s="39" t="n">
        <v>0</v>
      </c>
      <c r="J12" s="39" t="n"/>
      <c r="K12" s="39" t="n"/>
      <c r="L12" s="39" t="n"/>
      <c r="M12" s="39" t="n"/>
      <c r="N12" s="39" t="n"/>
      <c r="O12" s="39" t="n"/>
      <c r="P12" s="39" t="n"/>
      <c r="Q12" s="39" t="n"/>
      <c r="R12" s="39" t="n"/>
      <c r="S12" s="39" t="n"/>
      <c r="T12" s="39" t="n"/>
      <c r="U12" s="39" t="n"/>
      <c r="V12" s="39" t="n"/>
      <c r="W12" s="39" t="n"/>
      <c r="X12" s="39" t="n"/>
      <c r="Y12" s="39" t="n"/>
      <c r="Z12" s="39" t="n">
        <v>0</v>
      </c>
      <c r="AA12" s="39" t="n"/>
      <c r="AB12" s="39" t="n"/>
      <c r="AC12" s="6" t="n"/>
      <c r="AD12" s="6" t="n"/>
      <c r="AE12" s="6" t="n"/>
      <c r="AF12" s="126" t="n"/>
      <c r="AG12" s="11" t="n"/>
      <c r="AH12" s="250" t="n"/>
      <c r="AI12" s="250" t="n"/>
      <c r="AJ12" s="11" t="n"/>
      <c r="AK12" s="32" t="n"/>
      <c r="AL12" s="628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19" t="n"/>
      <c r="BD12" s="119" t="n"/>
      <c r="BE12" s="119" t="n"/>
      <c r="BF12" s="19" t="n"/>
      <c r="BG12" s="19" t="n"/>
      <c r="BH12" s="119" t="n"/>
      <c r="BI12" s="19" t="n"/>
    </row>
    <row r="13" hidden="1" ht="19.5" customFormat="1" customHeight="1" s="3">
      <c r="A13" s="144" t="inlineStr">
        <is>
          <t>SACOLA KRAFT G PARDA</t>
        </is>
      </c>
      <c r="B13" s="145" t="n">
        <v>100</v>
      </c>
      <c r="C13" s="694" t="n">
        <v>115.12</v>
      </c>
      <c r="D13" s="240" t="n"/>
      <c r="E13" s="11" t="n"/>
      <c r="F13" s="39" t="n">
        <v>0</v>
      </c>
      <c r="G13" s="39" t="n">
        <v>0</v>
      </c>
      <c r="H13" s="39" t="n">
        <v>0</v>
      </c>
      <c r="I13" s="39" t="n">
        <v>0</v>
      </c>
      <c r="J13" s="39" t="n"/>
      <c r="K13" s="39" t="n"/>
      <c r="L13" s="39" t="n"/>
      <c r="M13" s="39" t="n"/>
      <c r="N13" s="39" t="n"/>
      <c r="O13" s="39" t="n"/>
      <c r="P13" s="39" t="n"/>
      <c r="Q13" s="39" t="n"/>
      <c r="R13" s="39" t="n"/>
      <c r="S13" s="39" t="n"/>
      <c r="T13" s="39" t="n"/>
      <c r="U13" s="39" t="n"/>
      <c r="V13" s="39" t="n"/>
      <c r="W13" s="39" t="n"/>
      <c r="X13" s="39" t="n"/>
      <c r="Y13" s="39" t="n"/>
      <c r="Z13" s="39" t="n">
        <v>0</v>
      </c>
      <c r="AA13" s="39" t="n"/>
      <c r="AB13" s="39" t="n"/>
      <c r="AC13" s="6" t="n"/>
      <c r="AD13" s="6" t="n"/>
      <c r="AE13" s="6" t="n"/>
      <c r="AF13" s="126" t="n"/>
      <c r="AG13" s="11" t="n"/>
      <c r="AH13" s="250" t="n"/>
      <c r="AI13" s="250" t="n"/>
      <c r="AJ13" s="11" t="n"/>
      <c r="AK13" s="32" t="n"/>
      <c r="AL13" s="628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19" t="n"/>
      <c r="BD13" s="119" t="n"/>
      <c r="BE13" s="119" t="n"/>
      <c r="BF13" s="19" t="n"/>
      <c r="BG13" s="19" t="n"/>
      <c r="BH13" s="119" t="n"/>
      <c r="BI13" s="19" t="n"/>
    </row>
    <row r="14" ht="15" customHeight="1">
      <c r="BC14" s="209" t="n"/>
      <c r="BD14" s="209" t="n"/>
      <c r="BE14" s="209" t="n"/>
      <c r="BH14" s="209" t="n"/>
    </row>
    <row r="15">
      <c r="A15" s="548" t="inlineStr">
        <is>
          <t>DIVERSOS</t>
        </is>
      </c>
      <c r="B15" s="12" t="n"/>
      <c r="C15" s="631" t="n"/>
      <c r="D15" s="631" t="n"/>
      <c r="F15" s="619" t="n">
        <v>46006</v>
      </c>
      <c r="G15" s="619" t="n">
        <v>46013</v>
      </c>
      <c r="H15" s="619" t="n">
        <v>46020</v>
      </c>
      <c r="I15" s="619" t="n">
        <v>46027</v>
      </c>
      <c r="J15" s="619" t="n">
        <v>46034</v>
      </c>
      <c r="K15" s="619" t="n">
        <v>46041</v>
      </c>
      <c r="L15" s="619" t="n">
        <v>46048</v>
      </c>
      <c r="M15" s="619" t="n">
        <v>46055</v>
      </c>
      <c r="N15" s="619" t="n">
        <v>46062</v>
      </c>
      <c r="O15" s="619" t="n">
        <v>46069</v>
      </c>
      <c r="P15" s="619" t="n">
        <v>46076</v>
      </c>
      <c r="Q15" s="619" t="n">
        <v>46083</v>
      </c>
      <c r="R15" s="619" t="n">
        <v>46090</v>
      </c>
      <c r="S15" s="619" t="n">
        <v>46097</v>
      </c>
      <c r="T15" s="619" t="n">
        <v>46104</v>
      </c>
      <c r="U15" s="619" t="n">
        <v>46111</v>
      </c>
      <c r="V15" s="619" t="n">
        <v>46118</v>
      </c>
      <c r="W15" s="619" t="n">
        <v>46125</v>
      </c>
      <c r="X15" s="619" t="n">
        <v>46132</v>
      </c>
      <c r="Y15" s="619" t="n">
        <v>46139</v>
      </c>
      <c r="Z15" s="619" t="n">
        <v>46146</v>
      </c>
      <c r="AA15" s="619" t="n">
        <v>46154</v>
      </c>
      <c r="AB15" s="619" t="n">
        <v>46160</v>
      </c>
      <c r="AC15" s="620" t="n">
        <v>46161.48013633102</v>
      </c>
      <c r="AD15" s="620" t="n">
        <v>46161.48080996528</v>
      </c>
      <c r="AE15" s="620" t="n">
        <v>46161.48296746919</v>
      </c>
      <c r="AF15" s="678" t="inlineStr">
        <is>
          <t>USOU</t>
        </is>
      </c>
      <c r="AH15" s="29" t="inlineStr">
        <is>
          <t>Pendências</t>
        </is>
      </c>
      <c r="AI15" s="29" t="inlineStr">
        <is>
          <t>Pendências</t>
        </is>
      </c>
      <c r="AJ15" s="11" t="n"/>
      <c r="AK15" s="9" t="inlineStr">
        <is>
          <t>Novo Pedido</t>
        </is>
      </c>
      <c r="AL15" s="673" t="n">
        <v>46161.48296620601</v>
      </c>
      <c r="AM15" s="674" t="n">
        <v>46149</v>
      </c>
      <c r="AN15" s="674" t="n">
        <v>46142</v>
      </c>
      <c r="AO15" s="674" t="n">
        <v>46114</v>
      </c>
      <c r="AP15" s="674" t="n">
        <v>46099</v>
      </c>
      <c r="AQ15" s="675" t="n">
        <v>46065</v>
      </c>
      <c r="AR15" s="674" t="n">
        <v>46077</v>
      </c>
      <c r="AS15" s="676" t="n">
        <v>46045</v>
      </c>
      <c r="AT15" s="674" t="n">
        <v>46056</v>
      </c>
      <c r="AU15" s="674" t="n">
        <v>46017</v>
      </c>
      <c r="AV15" s="674" t="n">
        <v>46007</v>
      </c>
      <c r="AW15" s="674" t="n">
        <v>46001</v>
      </c>
      <c r="AX15" s="674" t="n">
        <v>45994</v>
      </c>
      <c r="AY15" s="674" t="n">
        <v>45986</v>
      </c>
      <c r="AZ15" s="674" t="n">
        <v>45980</v>
      </c>
      <c r="BA15" s="674" t="n">
        <v>45980</v>
      </c>
      <c r="BB15" s="674" t="n">
        <v>45973</v>
      </c>
      <c r="BC15" s="677" t="n">
        <v>45982</v>
      </c>
      <c r="BD15" s="677" t="n">
        <v>45979</v>
      </c>
      <c r="BE15" s="693" t="n">
        <v>45974</v>
      </c>
      <c r="BF15" s="693" t="n">
        <v>45972</v>
      </c>
      <c r="BG15" s="691" t="n">
        <v>45968</v>
      </c>
      <c r="BH15" s="677" t="n">
        <v>45967</v>
      </c>
      <c r="BI15" s="692" t="n">
        <v>45964</v>
      </c>
    </row>
    <row r="16">
      <c r="A16" s="25" t="inlineStr">
        <is>
          <t xml:space="preserve">PAPEL DE SEDA </t>
        </is>
      </c>
      <c r="B16" s="6" t="n">
        <v>500</v>
      </c>
      <c r="C16" s="632" t="n">
        <v>95.90000000000001</v>
      </c>
      <c r="D16" s="240" t="n"/>
      <c r="F16" s="6" t="n">
        <v>2</v>
      </c>
      <c r="G16" s="6" t="n">
        <v>3</v>
      </c>
      <c r="H16" s="6" t="n">
        <v>3</v>
      </c>
      <c r="I16" s="6">
        <f>3+AR16</f>
        <v/>
      </c>
      <c r="J16" s="6" t="n">
        <v>5</v>
      </c>
      <c r="K16" s="6" t="n">
        <v>5</v>
      </c>
      <c r="L16" s="6" t="n">
        <v>5</v>
      </c>
      <c r="M16" s="6" t="n">
        <v>5</v>
      </c>
      <c r="N16" s="6" t="n">
        <v>4</v>
      </c>
      <c r="O16" s="6" t="n">
        <v>4</v>
      </c>
      <c r="P16" s="6" t="n">
        <v>4</v>
      </c>
      <c r="Q16" s="6" t="n">
        <v>4</v>
      </c>
      <c r="R16" s="6" t="n">
        <v>4</v>
      </c>
      <c r="S16" s="6" t="n">
        <v>4</v>
      </c>
      <c r="T16" s="6" t="n">
        <v>3</v>
      </c>
      <c r="U16" s="6" t="n">
        <v>3</v>
      </c>
      <c r="V16" s="6" t="n">
        <v>3</v>
      </c>
      <c r="W16" s="6" t="n">
        <v>3</v>
      </c>
      <c r="X16" s="6" t="n">
        <v>3</v>
      </c>
      <c r="Y16" s="6" t="n">
        <v>3</v>
      </c>
      <c r="Z16" s="6" t="n">
        <v>3</v>
      </c>
      <c r="AA16" s="6" t="n">
        <v>2</v>
      </c>
      <c r="AB16" s="6" t="n"/>
      <c r="AC16" s="6" t="n"/>
      <c r="AD16" s="6" t="n"/>
      <c r="AE16" s="6" t="n"/>
      <c r="AF16" s="380">
        <f>AD16+IF(NOT(ISBLANK(OFFSET(AF16,0,6))),N(OFFSET(AF16,0,6)),N(OFFSET(AF16,0,7)))-AE16</f>
        <v/>
      </c>
      <c r="AH16" s="138" t="n"/>
      <c r="AI16" s="138" t="n"/>
      <c r="AK16" s="32" t="n"/>
      <c r="AL16" s="628" t="n">
        <v>0</v>
      </c>
      <c r="AM16" s="19" t="n">
        <v>0</v>
      </c>
      <c r="AN16" s="19" t="n">
        <v>0</v>
      </c>
      <c r="AO16" s="19" t="n">
        <v>0</v>
      </c>
      <c r="AP16" s="19" t="n"/>
      <c r="AQ16" s="19" t="n"/>
      <c r="AR16" s="19" t="n"/>
      <c r="AS16" s="301" t="n">
        <v>200</v>
      </c>
      <c r="AT16" s="19" t="n"/>
      <c r="AU16" s="19" t="n">
        <v>2</v>
      </c>
      <c r="AV16" s="19" t="n"/>
      <c r="AW16" s="19" t="n">
        <v>1</v>
      </c>
      <c r="AX16" s="19" t="n"/>
      <c r="AY16" s="19" t="n"/>
      <c r="AZ16" s="19" t="n">
        <v>3</v>
      </c>
      <c r="BA16" s="19" t="n"/>
      <c r="BB16" s="19" t="n"/>
      <c r="BC16" s="119" t="n"/>
      <c r="BD16" s="119" t="n"/>
      <c r="BE16" s="119" t="n"/>
      <c r="BF16" s="19" t="n"/>
      <c r="BG16" s="19" t="n"/>
      <c r="BH16" s="119" t="n"/>
      <c r="BI16" s="19" t="n"/>
    </row>
    <row r="17">
      <c r="A17" s="25" t="inlineStr">
        <is>
          <t>ETIQUETAS</t>
        </is>
      </c>
      <c r="B17" s="6" t="n">
        <v>2000</v>
      </c>
      <c r="C17" s="632" t="n">
        <v>53.49</v>
      </c>
      <c r="D17" s="240" t="n"/>
      <c r="F17" s="6" t="n">
        <v>1</v>
      </c>
      <c r="G17" s="6" t="n">
        <v>0</v>
      </c>
      <c r="H17" s="6" t="n">
        <v>0</v>
      </c>
      <c r="I17" s="6">
        <f>0+AR17</f>
        <v/>
      </c>
      <c r="J17" s="6" t="n">
        <v>4</v>
      </c>
      <c r="K17" s="6" t="n">
        <v>4</v>
      </c>
      <c r="L17" s="6" t="n">
        <v>4</v>
      </c>
      <c r="M17" s="6" t="n">
        <v>8</v>
      </c>
      <c r="N17" s="6" t="n">
        <v>8</v>
      </c>
      <c r="O17" s="6" t="n">
        <v>7</v>
      </c>
      <c r="P17" s="6" t="n">
        <v>7</v>
      </c>
      <c r="Q17" s="6" t="n">
        <v>7</v>
      </c>
      <c r="R17" s="6" t="n">
        <v>7</v>
      </c>
      <c r="S17" s="6" t="n">
        <v>7</v>
      </c>
      <c r="T17" s="6" t="n">
        <v>6</v>
      </c>
      <c r="U17" s="6" t="n">
        <v>6</v>
      </c>
      <c r="V17" s="6" t="n">
        <v>5</v>
      </c>
      <c r="W17" s="6" t="n">
        <v>4</v>
      </c>
      <c r="X17" s="6" t="n">
        <v>3</v>
      </c>
      <c r="Y17" s="6" t="n">
        <v>2</v>
      </c>
      <c r="Z17" s="6" t="n">
        <v>2</v>
      </c>
      <c r="AA17" s="6" t="n">
        <v>0</v>
      </c>
      <c r="AB17" s="6" t="n"/>
      <c r="AC17" s="6" t="n"/>
      <c r="AD17" s="6" t="n"/>
      <c r="AE17" s="6" t="n"/>
      <c r="AF17" s="380">
        <f>AD17+IF(NOT(ISBLANK(OFFSET(AF17,0,6))),N(OFFSET(AF17,0,6)),N(OFFSET(AF17,0,7)))-AE17</f>
        <v/>
      </c>
      <c r="AH17" s="138" t="inlineStr">
        <is>
          <t>02 DE JC</t>
        </is>
      </c>
      <c r="AI17" s="138" t="n"/>
      <c r="AK17" s="32" t="n"/>
      <c r="AL17" s="628" t="n">
        <v>0</v>
      </c>
      <c r="AM17" s="19" t="n">
        <v>0</v>
      </c>
      <c r="AN17" s="19" t="n">
        <v>0</v>
      </c>
      <c r="AO17" s="19" t="n">
        <v>0</v>
      </c>
      <c r="AP17" s="19" t="n"/>
      <c r="AQ17" s="19" t="n"/>
      <c r="AR17" s="19" t="n"/>
      <c r="AS17" s="301" t="n">
        <v>1</v>
      </c>
      <c r="AT17" s="19" t="n"/>
      <c r="AU17" s="19" t="n">
        <v>4</v>
      </c>
      <c r="AV17" s="19" t="n"/>
      <c r="AW17" s="19" t="n">
        <v>3</v>
      </c>
      <c r="AX17" s="19" t="n"/>
      <c r="AY17" s="19" t="n"/>
      <c r="AZ17" s="19" t="n">
        <v>3</v>
      </c>
      <c r="BA17" s="19" t="n"/>
      <c r="BB17" s="19" t="n"/>
      <c r="BC17" s="119" t="n"/>
      <c r="BD17" s="119" t="n"/>
      <c r="BE17" s="119" t="n"/>
      <c r="BF17" s="19" t="n"/>
      <c r="BG17" s="19" t="n"/>
      <c r="BH17" s="119" t="n"/>
      <c r="BI17" s="19" t="n"/>
    </row>
    <row r="18">
      <c r="A18" s="25" t="inlineStr">
        <is>
          <t xml:space="preserve">TAGS </t>
        </is>
      </c>
      <c r="B18" s="6" t="n">
        <v>200</v>
      </c>
      <c r="C18" s="632" t="n">
        <v>9.93</v>
      </c>
      <c r="D18" s="240" t="n"/>
      <c r="F18" s="6" t="n">
        <v>0</v>
      </c>
      <c r="G18" s="6" t="n">
        <v>0</v>
      </c>
      <c r="H18" s="6" t="n">
        <v>0</v>
      </c>
      <c r="I18" s="6" t="n">
        <v>0</v>
      </c>
      <c r="J18" s="6" t="n">
        <v>0</v>
      </c>
      <c r="K18" s="6" t="n">
        <v>0</v>
      </c>
      <c r="L18" s="6" t="n">
        <v>0</v>
      </c>
      <c r="M18" s="6" t="n">
        <v>0</v>
      </c>
      <c r="N18" s="6" t="n">
        <v>0</v>
      </c>
      <c r="O18" s="6" t="n">
        <v>0</v>
      </c>
      <c r="P18" s="6" t="n">
        <v>0</v>
      </c>
      <c r="Q18" s="6" t="n">
        <v>0</v>
      </c>
      <c r="R18" s="6" t="n">
        <v>0</v>
      </c>
      <c r="S18" s="6" t="n">
        <v>0</v>
      </c>
      <c r="T18" s="6" t="n">
        <v>0</v>
      </c>
      <c r="U18" s="6" t="n">
        <v>0</v>
      </c>
      <c r="V18" s="6" t="n">
        <v>0</v>
      </c>
      <c r="W18" s="6" t="n">
        <v>0</v>
      </c>
      <c r="X18" s="6" t="n">
        <v>0</v>
      </c>
      <c r="Y18" s="6" t="n">
        <v>0</v>
      </c>
      <c r="Z18" s="6" t="n">
        <v>0</v>
      </c>
      <c r="AA18" s="6" t="n">
        <v>0</v>
      </c>
      <c r="AB18" s="6" t="n"/>
      <c r="AC18" s="6" t="n"/>
      <c r="AD18" s="6" t="n"/>
      <c r="AE18" s="6" t="n"/>
      <c r="AF18" s="380">
        <f>AD18+IF(NOT(ISBLANK(OFFSET(AF18,0,6))),N(OFFSET(AF18,0,6)),N(OFFSET(AF18,0,7)))-AE18</f>
        <v/>
      </c>
      <c r="AH18" s="138" t="inlineStr">
        <is>
          <t>01 DE JSH</t>
        </is>
      </c>
      <c r="AI18" s="138" t="n"/>
      <c r="AK18" s="32" t="n"/>
      <c r="AL18" s="628" t="n">
        <v>0</v>
      </c>
      <c r="AM18" s="19" t="n">
        <v>0</v>
      </c>
      <c r="AN18" s="19" t="n">
        <v>0</v>
      </c>
      <c r="AO18" s="19" t="n">
        <v>0</v>
      </c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19" t="n"/>
      <c r="BD18" s="119" t="n"/>
      <c r="BE18" s="119" t="n"/>
      <c r="BF18" s="19" t="n"/>
      <c r="BG18" s="19" t="n"/>
      <c r="BH18" s="119" t="n"/>
      <c r="BI18" s="19" t="n"/>
    </row>
    <row r="19">
      <c r="A19" s="25" t="inlineStr">
        <is>
          <t>LÂMINA OLFATIVA</t>
        </is>
      </c>
      <c r="B19" s="6" t="n">
        <v>3000</v>
      </c>
      <c r="C19" s="632" t="n">
        <v>69.37</v>
      </c>
      <c r="D19" s="240" t="n"/>
      <c r="F19" s="84" t="n">
        <v>3</v>
      </c>
      <c r="G19" s="84" t="n">
        <v>3</v>
      </c>
      <c r="H19" s="84" t="n">
        <v>3</v>
      </c>
      <c r="I19" s="84" t="n">
        <v>3</v>
      </c>
      <c r="J19" s="84" t="n">
        <v>3</v>
      </c>
      <c r="K19" s="84" t="n">
        <v>3</v>
      </c>
      <c r="L19" s="84" t="n">
        <v>3</v>
      </c>
      <c r="M19" s="84" t="n">
        <v>3</v>
      </c>
      <c r="N19" s="84" t="n">
        <v>3</v>
      </c>
      <c r="O19" s="84" t="n">
        <v>3</v>
      </c>
      <c r="P19" s="84" t="n">
        <v>3</v>
      </c>
      <c r="Q19" s="84" t="n">
        <v>2</v>
      </c>
      <c r="R19" s="84" t="n">
        <v>2</v>
      </c>
      <c r="S19" s="84" t="n">
        <v>2</v>
      </c>
      <c r="T19" s="84" t="n">
        <v>2</v>
      </c>
      <c r="U19" s="84" t="n">
        <v>2</v>
      </c>
      <c r="V19" s="84" t="n">
        <v>2</v>
      </c>
      <c r="W19" s="84" t="n">
        <v>2</v>
      </c>
      <c r="X19" s="84" t="n">
        <v>2</v>
      </c>
      <c r="Y19" s="84" t="n">
        <v>2</v>
      </c>
      <c r="Z19" s="84" t="n">
        <v>2</v>
      </c>
      <c r="AA19" s="84" t="n">
        <v>2</v>
      </c>
      <c r="AB19" s="84" t="n"/>
      <c r="AC19" s="84" t="n"/>
      <c r="AD19" s="84" t="n"/>
      <c r="AE19" s="84" t="n"/>
      <c r="AF19" s="380">
        <f>AD19+IF(NOT(ISBLANK(OFFSET(AF19,0,6))),N(OFFSET(AF19,0,6)),N(OFFSET(AF19,0,7)))-AE19</f>
        <v/>
      </c>
      <c r="AH19" s="138" t="n"/>
      <c r="AI19" s="138" t="n"/>
      <c r="AK19" s="32" t="n"/>
      <c r="AL19" s="628" t="n">
        <v>0</v>
      </c>
      <c r="AM19" s="19" t="n">
        <v>0</v>
      </c>
      <c r="AN19" s="19" t="n">
        <v>0</v>
      </c>
      <c r="AO19" s="19" t="n">
        <v>0</v>
      </c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>
        <v>3</v>
      </c>
      <c r="BA19" s="19" t="n"/>
      <c r="BB19" s="19" t="n"/>
      <c r="BC19" s="119" t="n"/>
      <c r="BD19" s="119" t="n"/>
      <c r="BE19" s="119" t="n"/>
      <c r="BF19" s="19" t="n"/>
      <c r="BG19" s="19" t="n"/>
      <c r="BH19" s="119" t="n"/>
      <c r="BI19" s="19" t="n"/>
    </row>
    <row r="20" ht="19.5" customFormat="1" customHeight="1" s="3">
      <c r="A20" s="132" t="n"/>
      <c r="B20" s="133" t="n"/>
      <c r="C20" s="633" t="n"/>
      <c r="D20" s="633" t="n"/>
      <c r="E20" s="11" t="n"/>
      <c r="F20" s="2" t="n"/>
      <c r="G20" s="2" t="n"/>
      <c r="H20" s="2" t="n"/>
      <c r="I20" s="2" t="n"/>
      <c r="J20" s="2" t="n"/>
      <c r="K20" s="2" t="n"/>
      <c r="L20" s="2" t="n"/>
      <c r="M20" s="2" t="n"/>
      <c r="N20" s="2" t="n"/>
      <c r="O20" s="2" t="n"/>
      <c r="P20" s="2" t="n"/>
      <c r="Q20" s="2" t="n"/>
      <c r="R20" s="2" t="n"/>
      <c r="S20" s="2" t="n"/>
      <c r="T20" s="2" t="n"/>
      <c r="U20" s="2" t="n"/>
      <c r="V20" s="2" t="n"/>
      <c r="W20" s="2" t="n"/>
      <c r="X20" s="2" t="n"/>
      <c r="Y20" s="2" t="n"/>
      <c r="Z20" s="2" t="n"/>
      <c r="AA20" s="2" t="n"/>
      <c r="AB20" s="2" t="n"/>
      <c r="AC20" s="1" t="n"/>
      <c r="AD20" s="1" t="n"/>
      <c r="AE20" s="1" t="n"/>
      <c r="AF20" s="2" t="n"/>
      <c r="AG20" s="11" t="n"/>
      <c r="AH20" s="10" t="n"/>
      <c r="AI20" s="10" t="n"/>
      <c r="AJ20" s="11" t="n"/>
      <c r="AK20" s="33" t="n"/>
      <c r="AL20" s="396" t="n"/>
      <c r="AM20" s="75" t="n"/>
      <c r="AN20" s="75" t="n"/>
      <c r="AO20" s="75" t="n"/>
      <c r="AP20" s="75" t="n"/>
      <c r="AQ20" s="75" t="n"/>
      <c r="AR20" s="75" t="n"/>
      <c r="AS20" s="75" t="n"/>
      <c r="AT20" s="75" t="n"/>
      <c r="AU20" s="75" t="n"/>
      <c r="AV20" s="75" t="n"/>
      <c r="AW20" s="75" t="n"/>
      <c r="AX20" s="75" t="n"/>
      <c r="AY20" s="75" t="n"/>
      <c r="AZ20" s="75" t="n"/>
      <c r="BA20" s="75" t="n"/>
      <c r="BB20" s="75" t="n"/>
      <c r="BC20" s="206" t="n"/>
      <c r="BD20" s="206" t="n"/>
      <c r="BE20" s="206" t="n"/>
      <c r="BF20" s="75" t="n"/>
      <c r="BG20" s="75" t="n"/>
      <c r="BH20" s="206" t="n"/>
      <c r="BI20" s="75" t="n"/>
    </row>
    <row r="21" customFormat="1" s="3">
      <c r="A21" s="548" t="inlineStr">
        <is>
          <t>SACOLAS P/ VENDA EM UND</t>
        </is>
      </c>
      <c r="B21" s="12" t="inlineStr">
        <is>
          <t>PC</t>
        </is>
      </c>
      <c r="C21" s="631" t="inlineStr">
        <is>
          <t>R$</t>
        </is>
      </c>
      <c r="D21" s="12" t="inlineStr">
        <is>
          <t>Estoque Ideal</t>
        </is>
      </c>
      <c r="E21" s="608" t="n"/>
      <c r="F21" s="619" t="n">
        <v>46006</v>
      </c>
      <c r="G21" s="619" t="n">
        <v>46013</v>
      </c>
      <c r="H21" s="619" t="n">
        <v>46020</v>
      </c>
      <c r="I21" s="619" t="n">
        <v>46027</v>
      </c>
      <c r="J21" s="619" t="n">
        <v>46034</v>
      </c>
      <c r="K21" s="619" t="n">
        <v>46041</v>
      </c>
      <c r="L21" s="619" t="n">
        <v>46048</v>
      </c>
      <c r="M21" s="619" t="n">
        <v>46055</v>
      </c>
      <c r="N21" s="619" t="n">
        <v>46062</v>
      </c>
      <c r="O21" s="619" t="n">
        <v>46069</v>
      </c>
      <c r="P21" s="619" t="n">
        <v>46076</v>
      </c>
      <c r="Q21" s="619" t="n">
        <v>46083</v>
      </c>
      <c r="R21" s="619" t="n">
        <v>46090</v>
      </c>
      <c r="S21" s="619" t="n">
        <v>46097</v>
      </c>
      <c r="T21" s="619" t="n">
        <v>46104</v>
      </c>
      <c r="U21" s="619" t="n">
        <v>46111</v>
      </c>
      <c r="V21" s="619" t="n">
        <v>46118</v>
      </c>
      <c r="W21" s="619" t="n">
        <v>46125</v>
      </c>
      <c r="X21" s="619" t="n">
        <v>46132</v>
      </c>
      <c r="Y21" s="619" t="n">
        <v>46139</v>
      </c>
      <c r="Z21" s="619" t="n">
        <v>46146</v>
      </c>
      <c r="AA21" s="619" t="n">
        <v>46154</v>
      </c>
      <c r="AB21" s="619" t="n">
        <v>46160</v>
      </c>
      <c r="AC21" s="620" t="n">
        <v>46161.48013633102</v>
      </c>
      <c r="AD21" s="620" t="n">
        <v>46161.48080996528</v>
      </c>
      <c r="AE21" s="620" t="n">
        <v>46161.48296746935</v>
      </c>
      <c r="AF21" s="678" t="inlineStr">
        <is>
          <t>USOU</t>
        </is>
      </c>
      <c r="AG21" s="11" t="n"/>
      <c r="AH21" s="29" t="inlineStr">
        <is>
          <t>Pendências</t>
        </is>
      </c>
      <c r="AI21" s="29" t="inlineStr">
        <is>
          <t>Pendências</t>
        </is>
      </c>
      <c r="AK21" s="9" t="inlineStr">
        <is>
          <t>Novo Pedido</t>
        </is>
      </c>
      <c r="AL21" s="673" t="n">
        <v>46161.48296620658</v>
      </c>
      <c r="AM21" s="674" t="n">
        <v>46149</v>
      </c>
      <c r="AN21" s="674" t="n">
        <v>46142</v>
      </c>
      <c r="AO21" s="674" t="n">
        <v>46114</v>
      </c>
      <c r="AP21" s="674" t="n">
        <v>46099</v>
      </c>
      <c r="AQ21" s="675" t="n">
        <v>46065</v>
      </c>
      <c r="AR21" s="674" t="n">
        <v>46077</v>
      </c>
      <c r="AS21" s="676" t="n">
        <v>46045</v>
      </c>
      <c r="AT21" s="674" t="n">
        <v>46056</v>
      </c>
      <c r="AU21" s="674" t="n">
        <v>46017</v>
      </c>
      <c r="AV21" s="674" t="n">
        <v>46007</v>
      </c>
      <c r="AW21" s="674" t="n">
        <v>46001</v>
      </c>
      <c r="AX21" s="674" t="n">
        <v>45994</v>
      </c>
      <c r="AY21" s="674" t="n">
        <v>45986</v>
      </c>
      <c r="AZ21" s="674" t="n">
        <v>45980</v>
      </c>
      <c r="BA21" s="674" t="n">
        <v>45980</v>
      </c>
      <c r="BB21" s="674" t="n">
        <v>45973</v>
      </c>
      <c r="BC21" s="677" t="n">
        <v>45982</v>
      </c>
      <c r="BD21" s="677" t="n">
        <v>45979</v>
      </c>
      <c r="BE21" s="693" t="n">
        <v>45974</v>
      </c>
      <c r="BF21" s="693" t="n">
        <v>45972</v>
      </c>
      <c r="BG21" s="691" t="n">
        <v>45968</v>
      </c>
      <c r="BH21" s="677" t="n">
        <v>45967</v>
      </c>
      <c r="BI21" s="692" t="n">
        <v>45964</v>
      </c>
    </row>
    <row r="22" customFormat="1" s="3">
      <c r="A22" s="25" t="inlineStr">
        <is>
          <t>SACOLA PP 2025</t>
        </is>
      </c>
      <c r="B22" s="6" t="n">
        <v>300</v>
      </c>
      <c r="C22" s="632" t="n">
        <v>216</v>
      </c>
      <c r="D22" s="240" t="n"/>
      <c r="E22" s="695" t="n"/>
      <c r="F22" s="131" t="n">
        <v>65</v>
      </c>
      <c r="G22" s="131" t="n">
        <v>65</v>
      </c>
      <c r="H22" s="131" t="n">
        <v>65</v>
      </c>
      <c r="I22" s="131" t="n">
        <v>65</v>
      </c>
      <c r="J22" s="131" t="n">
        <v>65</v>
      </c>
      <c r="K22" s="131" t="n">
        <v>65</v>
      </c>
      <c r="L22" s="131" t="n">
        <v>65</v>
      </c>
      <c r="M22" s="131" t="n">
        <v>65</v>
      </c>
      <c r="N22" s="131" t="n">
        <v>65</v>
      </c>
      <c r="O22" s="131" t="n">
        <v>65</v>
      </c>
      <c r="P22" s="131" t="n">
        <v>65</v>
      </c>
      <c r="Q22" s="131" t="n">
        <v>65</v>
      </c>
      <c r="R22" s="131" t="n">
        <v>65</v>
      </c>
      <c r="S22" s="131" t="n">
        <v>61</v>
      </c>
      <c r="T22" s="131" t="n">
        <v>61</v>
      </c>
      <c r="U22" s="131" t="n">
        <v>61</v>
      </c>
      <c r="V22" s="131" t="n"/>
      <c r="W22" s="131" t="n"/>
      <c r="X22" s="131" t="n"/>
      <c r="Y22" s="131" t="n"/>
      <c r="Z22" s="131" t="n"/>
      <c r="AA22" s="131" t="n">
        <v>40</v>
      </c>
      <c r="AB22" s="131" t="n">
        <v>40</v>
      </c>
      <c r="AC22" s="679" t="n">
        <v>40</v>
      </c>
      <c r="AD22" s="679" t="n">
        <v>40</v>
      </c>
      <c r="AE22" s="679" t="n">
        <v>40</v>
      </c>
      <c r="AF22" s="380">
        <f>AD22+IF(NOT(ISBLANK(OFFSET(AF22,0,6))),N(OFFSET(AF22,0,6)),N(OFFSET(AF22,0,7)))-AE22</f>
        <v/>
      </c>
      <c r="AG22" s="128" t="n"/>
      <c r="AH22" s="78" t="n"/>
      <c r="AI22" s="78" t="n"/>
      <c r="AJ22" s="129" t="n"/>
      <c r="AK22" s="32" t="n"/>
      <c r="AL22" s="628" t="n">
        <v>0</v>
      </c>
      <c r="AM22" s="19" t="n">
        <v>0</v>
      </c>
      <c r="AN22" s="19" t="n">
        <v>0</v>
      </c>
      <c r="AO22" s="19" t="n">
        <v>0</v>
      </c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19" t="n"/>
      <c r="BD22" s="260" t="inlineStr">
        <is>
          <t>100 DE CDJ</t>
        </is>
      </c>
      <c r="BE22" s="119" t="n"/>
      <c r="BF22" s="19" t="n"/>
      <c r="BG22" s="19" t="n"/>
      <c r="BH22" s="119" t="n"/>
      <c r="BI22" s="19" t="n"/>
    </row>
    <row r="23" customFormat="1" s="3">
      <c r="A23" s="25" t="inlineStr">
        <is>
          <t>SACOLA P 2025</t>
        </is>
      </c>
      <c r="B23" s="6" t="n">
        <v>200</v>
      </c>
      <c r="C23" s="632" t="n">
        <v>246.28</v>
      </c>
      <c r="D23" s="240" t="n"/>
      <c r="E23" s="1" t="n"/>
      <c r="F23" s="39" t="n">
        <v>0</v>
      </c>
      <c r="G23" s="39" t="n">
        <v>0</v>
      </c>
      <c r="H23" s="39" t="n">
        <v>0</v>
      </c>
      <c r="I23" s="39" t="n">
        <v>0</v>
      </c>
      <c r="J23" s="39" t="n">
        <v>0</v>
      </c>
      <c r="K23" s="39" t="n">
        <v>0</v>
      </c>
      <c r="L23" s="39" t="n">
        <v>0</v>
      </c>
      <c r="M23" s="39" t="n">
        <v>0</v>
      </c>
      <c r="N23" s="39" t="n">
        <v>0</v>
      </c>
      <c r="O23" s="39" t="n">
        <v>0</v>
      </c>
      <c r="P23" s="39" t="n">
        <v>0</v>
      </c>
      <c r="Q23" s="39" t="n">
        <v>0</v>
      </c>
      <c r="R23" s="39" t="n">
        <v>0</v>
      </c>
      <c r="S23" s="39" t="n">
        <v>0</v>
      </c>
      <c r="T23" s="39" t="n">
        <v>0</v>
      </c>
      <c r="U23" s="39" t="n">
        <v>0</v>
      </c>
      <c r="V23" s="39" t="n"/>
      <c r="W23" s="39" t="n"/>
      <c r="X23" s="39" t="n"/>
      <c r="Y23" s="39" t="n"/>
      <c r="Z23" s="39" t="n"/>
      <c r="AA23" s="39" t="n">
        <v>0</v>
      </c>
      <c r="AB23" s="39" t="n">
        <v>0</v>
      </c>
      <c r="AC23" s="6" t="n">
        <v>0</v>
      </c>
      <c r="AD23" s="6" t="n">
        <v>0</v>
      </c>
      <c r="AE23" s="6" t="n">
        <v>0</v>
      </c>
      <c r="AF23" s="380">
        <f>AD23+IF(NOT(ISBLANK(OFFSET(AF23,0,6))),N(OFFSET(AF23,0,6)),N(OFFSET(AF23,0,7)))-AE23</f>
        <v/>
      </c>
      <c r="AG23" s="128" t="n"/>
      <c r="AH23" s="78" t="inlineStr">
        <is>
          <t>100 DE ERJ</t>
        </is>
      </c>
      <c r="AI23" s="78" t="n"/>
      <c r="AJ23" s="129" t="n"/>
      <c r="AK23" s="32" t="n"/>
      <c r="AL23" s="628" t="n">
        <v>0</v>
      </c>
      <c r="AM23" s="19" t="n">
        <v>0</v>
      </c>
      <c r="AN23" s="19" t="n">
        <v>0</v>
      </c>
      <c r="AO23" s="19" t="n">
        <v>0</v>
      </c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19" t="n"/>
      <c r="BD23" s="119" t="n"/>
      <c r="BE23" s="119" t="n"/>
      <c r="BF23" s="19" t="n"/>
      <c r="BG23" s="19" t="n"/>
      <c r="BH23" s="119" t="n"/>
      <c r="BI23" s="19" t="n"/>
    </row>
    <row r="24" customFormat="1" s="3">
      <c r="A24" s="25" t="inlineStr">
        <is>
          <t>SACOLA M 2025</t>
        </is>
      </c>
      <c r="B24" s="6" t="n">
        <v>200</v>
      </c>
      <c r="C24" s="632" t="n">
        <v>316.91</v>
      </c>
      <c r="D24" s="240" t="n"/>
      <c r="E24" s="1" t="n"/>
      <c r="F24" s="39" t="n">
        <v>0</v>
      </c>
      <c r="G24" s="39" t="n">
        <v>0</v>
      </c>
      <c r="H24" s="39" t="n">
        <v>0</v>
      </c>
      <c r="I24" s="39" t="n">
        <v>0</v>
      </c>
      <c r="J24" s="39" t="n">
        <v>0</v>
      </c>
      <c r="K24" s="39" t="n">
        <v>0</v>
      </c>
      <c r="L24" s="39" t="n">
        <v>0</v>
      </c>
      <c r="M24" s="39" t="n">
        <v>0</v>
      </c>
      <c r="N24" s="39" t="n">
        <v>0</v>
      </c>
      <c r="O24" s="39" t="n">
        <v>0</v>
      </c>
      <c r="P24" s="39" t="n">
        <v>0</v>
      </c>
      <c r="Q24" s="39" t="n">
        <v>0</v>
      </c>
      <c r="R24" s="39" t="n">
        <v>0</v>
      </c>
      <c r="S24" s="39" t="n">
        <v>0</v>
      </c>
      <c r="T24" s="39" t="n">
        <v>0</v>
      </c>
      <c r="U24" s="39" t="n">
        <v>0</v>
      </c>
      <c r="V24" s="39" t="n"/>
      <c r="W24" s="39" t="n"/>
      <c r="X24" s="39" t="n"/>
      <c r="Y24" s="39" t="n"/>
      <c r="Z24" s="39" t="n"/>
      <c r="AA24" s="39" t="n">
        <v>0</v>
      </c>
      <c r="AB24" s="39" t="n">
        <v>0</v>
      </c>
      <c r="AC24" s="6" t="n">
        <v>0</v>
      </c>
      <c r="AD24" s="6" t="n">
        <v>0</v>
      </c>
      <c r="AE24" s="6" t="n">
        <v>0</v>
      </c>
      <c r="AF24" s="380">
        <f>AD24+IF(NOT(ISBLANK(OFFSET(AF24,0,6))),N(OFFSET(AF24,0,6)),N(OFFSET(AF24,0,7)))-AE24</f>
        <v/>
      </c>
      <c r="AG24" s="128" t="n"/>
      <c r="AH24" s="78" t="inlineStr">
        <is>
          <t>100 DE ERJ</t>
        </is>
      </c>
      <c r="AI24" s="78" t="n"/>
      <c r="AJ24" s="129" t="n"/>
      <c r="AK24" s="32" t="n"/>
      <c r="AL24" s="628" t="n">
        <v>0</v>
      </c>
      <c r="AM24" s="19" t="n">
        <v>0</v>
      </c>
      <c r="AN24" s="19" t="n">
        <v>0</v>
      </c>
      <c r="AO24" s="19" t="n">
        <v>0</v>
      </c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19" t="n"/>
      <c r="BD24" s="119" t="n"/>
      <c r="BE24" s="119" t="n"/>
      <c r="BF24" s="19" t="n"/>
      <c r="BG24" s="19" t="n"/>
      <c r="BH24" s="119" t="n"/>
      <c r="BI24" s="19" t="n"/>
    </row>
    <row r="25" ht="16.5" customFormat="1" customHeight="1" s="3">
      <c r="A25" s="23" t="n"/>
      <c r="B25" s="1" t="n"/>
      <c r="C25" s="630" t="n"/>
      <c r="D25" s="630" t="n"/>
      <c r="E25" s="11" t="n"/>
      <c r="F25" s="2" t="n"/>
      <c r="G25" s="2" t="n"/>
      <c r="H25" s="2" t="n"/>
      <c r="I25" s="2" t="n"/>
      <c r="J25" s="2" t="n"/>
      <c r="K25" s="2" t="n"/>
      <c r="L25" s="2" t="n"/>
      <c r="M25" s="2" t="n"/>
      <c r="N25" s="2" t="n"/>
      <c r="O25" s="2" t="n"/>
      <c r="P25" s="2" t="n"/>
      <c r="Q25" s="2" t="n"/>
      <c r="R25" s="2" t="n"/>
      <c r="S25" s="2" t="n"/>
      <c r="T25" s="2" t="n"/>
      <c r="U25" s="2" t="n"/>
      <c r="V25" s="2" t="n"/>
      <c r="W25" s="2" t="n"/>
      <c r="X25" s="2" t="n"/>
      <c r="Y25" s="2" t="n"/>
      <c r="Z25" s="2" t="n"/>
      <c r="AA25" s="2" t="n"/>
      <c r="AB25" s="2" t="n"/>
      <c r="AC25" s="1" t="n"/>
      <c r="AD25" s="1" t="n"/>
      <c r="AE25" s="1" t="n"/>
      <c r="AF25" s="2" t="n"/>
      <c r="AG25" s="11" t="n"/>
      <c r="AH25" s="10" t="n"/>
      <c r="AI25" s="10" t="n"/>
      <c r="AJ25" s="11" t="n"/>
      <c r="AK25" s="33" t="n"/>
      <c r="AL25" s="16" t="n"/>
      <c r="AM25" s="15" t="n"/>
      <c r="AN25" s="15" t="n"/>
      <c r="AO25" s="15" t="n"/>
      <c r="AP25" s="15" t="n"/>
      <c r="AQ25" s="15" t="n"/>
      <c r="AR25" s="15" t="n"/>
      <c r="AS25" s="15" t="n"/>
      <c r="AT25" s="15" t="n"/>
      <c r="AU25" s="15" t="n"/>
      <c r="AV25" s="15" t="n"/>
      <c r="AW25" s="15" t="n"/>
      <c r="AX25" s="15" t="n"/>
      <c r="AY25" s="15" t="n"/>
      <c r="AZ25" s="15" t="n"/>
      <c r="BA25" s="15" t="n"/>
      <c r="BB25" s="15" t="n"/>
      <c r="BC25" s="206" t="n"/>
      <c r="BD25" s="206" t="n"/>
      <c r="BE25" s="206" t="n"/>
      <c r="BF25" s="15" t="n"/>
      <c r="BG25" s="15" t="n"/>
      <c r="BH25" s="206" t="n"/>
      <c r="BI25" s="15" t="n"/>
    </row>
    <row r="26" customFormat="1" s="3">
      <c r="A26" s="548" t="inlineStr">
        <is>
          <t>DIVERSOS BOTICÁRIO</t>
        </is>
      </c>
      <c r="B26" s="12" t="n"/>
      <c r="C26" s="631" t="n"/>
      <c r="D26" s="631" t="n"/>
      <c r="E26" s="608" t="n"/>
      <c r="F26" s="619" t="n">
        <v>46006</v>
      </c>
      <c r="G26" s="619" t="n">
        <v>46013</v>
      </c>
      <c r="H26" s="619" t="n">
        <v>46020</v>
      </c>
      <c r="I26" s="619" t="n">
        <v>46027</v>
      </c>
      <c r="J26" s="619" t="n">
        <v>46034</v>
      </c>
      <c r="K26" s="619" t="n">
        <v>46041</v>
      </c>
      <c r="L26" s="619" t="n">
        <v>46048</v>
      </c>
      <c r="M26" s="619" t="n">
        <v>46055</v>
      </c>
      <c r="N26" s="619" t="n">
        <v>46062</v>
      </c>
      <c r="O26" s="619" t="n">
        <v>46069</v>
      </c>
      <c r="P26" s="619" t="n">
        <v>46076</v>
      </c>
      <c r="Q26" s="619" t="n">
        <v>46083</v>
      </c>
      <c r="R26" s="619" t="n">
        <v>46090</v>
      </c>
      <c r="S26" s="619" t="n">
        <v>46097</v>
      </c>
      <c r="T26" s="619" t="n">
        <v>46104</v>
      </c>
      <c r="U26" s="619" t="n">
        <v>46111</v>
      </c>
      <c r="V26" s="619" t="n">
        <v>46118</v>
      </c>
      <c r="W26" s="619" t="n">
        <v>46125</v>
      </c>
      <c r="X26" s="619" t="n">
        <v>46132</v>
      </c>
      <c r="Y26" s="619" t="n">
        <v>46139</v>
      </c>
      <c r="Z26" s="619" t="n">
        <v>46146</v>
      </c>
      <c r="AA26" s="619" t="n">
        <v>46154</v>
      </c>
      <c r="AB26" s="619" t="n">
        <v>46160</v>
      </c>
      <c r="AC26" s="620" t="n">
        <v>46161.48013633102</v>
      </c>
      <c r="AD26" s="620" t="n">
        <v>46161.48080996528</v>
      </c>
      <c r="AE26" s="620" t="n">
        <v>46161.48296746955</v>
      </c>
      <c r="AF26" s="621" t="inlineStr">
        <is>
          <t>USOU</t>
        </is>
      </c>
      <c r="AG26" s="608" t="n"/>
      <c r="AH26" s="29" t="inlineStr">
        <is>
          <t>Pendências</t>
        </is>
      </c>
      <c r="AI26" s="29" t="inlineStr">
        <is>
          <t>Pendências</t>
        </is>
      </c>
      <c r="AJ26" s="11" t="n"/>
      <c r="AK26" s="9" t="inlineStr">
        <is>
          <t>Novo Pedido</t>
        </is>
      </c>
      <c r="AL26" s="680" t="n">
        <v>46161.48296620709</v>
      </c>
      <c r="AM26" s="674" t="n">
        <v>46149</v>
      </c>
      <c r="AN26" s="674" t="n">
        <v>46142</v>
      </c>
      <c r="AO26" s="674" t="n">
        <v>46114</v>
      </c>
      <c r="AP26" s="674" t="n">
        <v>46099</v>
      </c>
      <c r="AQ26" s="675" t="n">
        <v>46065</v>
      </c>
      <c r="AR26" s="674" t="n">
        <v>46077</v>
      </c>
      <c r="AS26" s="676" t="n">
        <v>46045</v>
      </c>
      <c r="AT26" s="674" t="n">
        <v>46056</v>
      </c>
      <c r="AU26" s="674" t="n">
        <v>46017</v>
      </c>
      <c r="AV26" s="674" t="n">
        <v>46007</v>
      </c>
      <c r="AW26" s="674" t="n">
        <v>46001</v>
      </c>
      <c r="AX26" s="674" t="n">
        <v>45994</v>
      </c>
      <c r="AY26" s="674" t="n">
        <v>45986</v>
      </c>
      <c r="AZ26" s="674" t="n">
        <v>45980</v>
      </c>
      <c r="BA26" s="674" t="n">
        <v>45980</v>
      </c>
      <c r="BB26" s="674" t="n">
        <v>45973</v>
      </c>
      <c r="BC26" s="677" t="n">
        <v>45982</v>
      </c>
      <c r="BD26" s="677" t="n">
        <v>45979</v>
      </c>
      <c r="BE26" s="693" t="n">
        <v>45974</v>
      </c>
      <c r="BF26" s="693" t="n">
        <v>45972</v>
      </c>
      <c r="BG26" s="691" t="n">
        <v>45968</v>
      </c>
      <c r="BH26" s="677" t="n">
        <v>45967</v>
      </c>
      <c r="BI26" s="692" t="n">
        <v>45964</v>
      </c>
    </row>
    <row r="27" customFormat="1" s="3">
      <c r="A27" s="25" t="inlineStr">
        <is>
          <t>PAPEL DE SEDA 2025</t>
        </is>
      </c>
      <c r="B27" s="6" t="n">
        <v>200</v>
      </c>
      <c r="C27" s="632" t="n">
        <v>38</v>
      </c>
      <c r="D27" s="240" t="n"/>
      <c r="E27" s="608" t="n"/>
      <c r="F27" s="39" t="n">
        <v>77</v>
      </c>
      <c r="G27" s="39" t="n">
        <v>77</v>
      </c>
      <c r="H27" s="39" t="n">
        <v>77</v>
      </c>
      <c r="I27" s="39" t="n">
        <v>77</v>
      </c>
      <c r="J27" s="39" t="n">
        <v>77</v>
      </c>
      <c r="K27" s="39" t="n">
        <v>77</v>
      </c>
      <c r="L27" s="39" t="n">
        <v>77</v>
      </c>
      <c r="M27" s="39" t="n">
        <v>77</v>
      </c>
      <c r="N27" s="39" t="n">
        <v>77</v>
      </c>
      <c r="O27" s="39" t="n">
        <v>77</v>
      </c>
      <c r="P27" s="39" t="n">
        <v>77</v>
      </c>
      <c r="Q27" s="39" t="n">
        <v>77</v>
      </c>
      <c r="R27" s="39" t="n">
        <v>77</v>
      </c>
      <c r="S27" s="39" t="n">
        <v>38</v>
      </c>
      <c r="T27" s="39" t="n">
        <v>38</v>
      </c>
      <c r="U27" s="39" t="n">
        <v>38</v>
      </c>
      <c r="V27" s="39" t="n"/>
      <c r="W27" s="39" t="n"/>
      <c r="X27" s="39" t="n"/>
      <c r="Y27" s="39" t="n"/>
      <c r="Z27" s="39" t="n"/>
      <c r="AA27" s="39" t="n">
        <v>38</v>
      </c>
      <c r="AB27" s="39" t="n">
        <v>38</v>
      </c>
      <c r="AC27" s="6" t="n">
        <v>38</v>
      </c>
      <c r="AD27" s="6" t="n">
        <v>38</v>
      </c>
      <c r="AE27" s="6" t="n">
        <v>38</v>
      </c>
      <c r="AF27" s="380">
        <f>AD27+IF(NOT(ISBLANK(OFFSET(AF27,0,6))),N(OFFSET(AF27,0,6)),N(OFFSET(AF27,0,7)))-AE27</f>
        <v/>
      </c>
      <c r="AG27" s="608" t="n"/>
      <c r="AH27" s="78" t="n"/>
      <c r="AI27" s="78" t="n"/>
      <c r="AJ27" s="608" t="n"/>
      <c r="AK27" s="76" t="n"/>
      <c r="AL27" s="114" t="n">
        <v>0</v>
      </c>
      <c r="AM27" s="19" t="n">
        <v>0</v>
      </c>
      <c r="AN27" s="19" t="n">
        <v>0</v>
      </c>
      <c r="AO27" s="19" t="n">
        <v>0</v>
      </c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19" t="n"/>
      <c r="BD27" s="119" t="n"/>
      <c r="BE27" s="251" t="inlineStr">
        <is>
          <t>200 DE ERJ</t>
        </is>
      </c>
      <c r="BF27" s="19" t="n"/>
      <c r="BG27" s="19" t="n"/>
      <c r="BH27" s="260" t="inlineStr">
        <is>
          <t>100 DE CDJ</t>
        </is>
      </c>
      <c r="BI27" s="258" t="inlineStr">
        <is>
          <t>200 DE ERJ</t>
        </is>
      </c>
    </row>
    <row r="28" customFormat="1" s="3">
      <c r="A28" s="25" t="inlineStr">
        <is>
          <t>KIT ETIQUETAS (50 c/ 50 un)</t>
        </is>
      </c>
      <c r="B28" s="6" t="n">
        <v>2500</v>
      </c>
      <c r="C28" s="632" t="n">
        <v>66.87</v>
      </c>
      <c r="D28" s="240" t="n"/>
      <c r="E28" s="608" t="n"/>
      <c r="F28" s="211" t="n">
        <v>0</v>
      </c>
      <c r="G28" s="39" t="n">
        <v>0</v>
      </c>
      <c r="H28" s="39" t="n">
        <v>9</v>
      </c>
      <c r="I28" s="39" t="n">
        <v>9</v>
      </c>
      <c r="J28" s="39" t="n">
        <v>9</v>
      </c>
      <c r="K28" s="39" t="n">
        <v>4</v>
      </c>
      <c r="L28" s="39" t="n">
        <v>3</v>
      </c>
      <c r="M28" s="39" t="n">
        <v>3</v>
      </c>
      <c r="N28" s="39" t="n">
        <v>2</v>
      </c>
      <c r="O28" s="39" t="n">
        <v>2</v>
      </c>
      <c r="P28" s="39" t="n">
        <v>2</v>
      </c>
      <c r="Q28" s="39" t="n">
        <v>2</v>
      </c>
      <c r="R28" s="39" t="n">
        <v>2</v>
      </c>
      <c r="S28" s="39" t="n">
        <v>2</v>
      </c>
      <c r="T28" s="39" t="n">
        <v>1</v>
      </c>
      <c r="U28" s="39" t="n">
        <v>1</v>
      </c>
      <c r="V28" s="39" t="n"/>
      <c r="W28" s="39" t="n"/>
      <c r="X28" s="39" t="n"/>
      <c r="Y28" s="39" t="n"/>
      <c r="Z28" s="39" t="n"/>
      <c r="AA28" s="39" t="n">
        <v>0</v>
      </c>
      <c r="AB28" s="39" t="n">
        <v>0</v>
      </c>
      <c r="AC28" s="6" t="n">
        <v>0</v>
      </c>
      <c r="AD28" s="6" t="n">
        <v>0</v>
      </c>
      <c r="AE28" s="6" t="n">
        <v>0</v>
      </c>
      <c r="AF28" s="380">
        <f>AD28+IF(NOT(ISBLANK(OFFSET(AF28,0,6))),N(OFFSET(AF28,0,6)),N(OFFSET(AF28,0,7)))-AE28</f>
        <v/>
      </c>
      <c r="AG28" s="608" t="n"/>
      <c r="AH28" s="78" t="n"/>
      <c r="AI28" s="78" t="n"/>
      <c r="AJ28" s="608" t="n"/>
      <c r="AK28" s="76" t="n"/>
      <c r="AL28" s="114" t="n">
        <v>0</v>
      </c>
      <c r="AM28" s="19" t="n">
        <v>0</v>
      </c>
      <c r="AN28" s="19" t="n">
        <v>0</v>
      </c>
      <c r="AO28" s="19" t="n">
        <v>0</v>
      </c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19" t="n"/>
      <c r="BD28" s="119" t="n"/>
      <c r="BE28" s="119" t="n"/>
      <c r="BF28" s="19" t="n"/>
      <c r="BG28" s="19" t="n"/>
      <c r="BH28" s="260" t="inlineStr">
        <is>
          <t>10 DE CDJ</t>
        </is>
      </c>
      <c r="BI28" s="19" t="n"/>
    </row>
    <row r="29" customFormat="1" s="3">
      <c r="A29" s="25" t="inlineStr">
        <is>
          <t>KIT TAGS  (21 c/ 50 un)</t>
        </is>
      </c>
      <c r="B29" s="6" t="n">
        <v>1050</v>
      </c>
      <c r="C29" s="632" t="n">
        <v>52.14</v>
      </c>
      <c r="D29" s="240" t="n"/>
      <c r="E29" s="1" t="n"/>
      <c r="F29" s="39" t="n">
        <v>8</v>
      </c>
      <c r="G29" s="39" t="n">
        <v>8</v>
      </c>
      <c r="H29" s="39" t="n">
        <v>0</v>
      </c>
      <c r="I29" s="39" t="n">
        <v>0</v>
      </c>
      <c r="J29" s="39" t="n">
        <v>0</v>
      </c>
      <c r="K29" s="39" t="n">
        <v>0</v>
      </c>
      <c r="L29" s="39" t="n">
        <v>0</v>
      </c>
      <c r="M29" s="39" t="n">
        <v>0</v>
      </c>
      <c r="N29" s="39" t="n">
        <v>0</v>
      </c>
      <c r="O29" s="39" t="n">
        <v>0</v>
      </c>
      <c r="P29" s="39" t="n">
        <v>0</v>
      </c>
      <c r="Q29" s="39" t="n">
        <v>0</v>
      </c>
      <c r="R29" s="39" t="n">
        <v>0</v>
      </c>
      <c r="S29" s="39" t="n">
        <v>0</v>
      </c>
      <c r="T29" s="39" t="n">
        <v>0</v>
      </c>
      <c r="U29" s="39" t="n">
        <v>0</v>
      </c>
      <c r="V29" s="39" t="n"/>
      <c r="W29" s="39" t="n"/>
      <c r="X29" s="39" t="n"/>
      <c r="Y29" s="39" t="n"/>
      <c r="Z29" s="39" t="n"/>
      <c r="AA29" s="39" t="n">
        <v>0</v>
      </c>
      <c r="AB29" s="39" t="n">
        <v>0</v>
      </c>
      <c r="AC29" s="6" t="n">
        <v>0</v>
      </c>
      <c r="AD29" s="6" t="n">
        <v>0</v>
      </c>
      <c r="AE29" s="6" t="n">
        <v>0</v>
      </c>
      <c r="AF29" s="380">
        <f>AD29+IF(NOT(ISBLANK(OFFSET(AF29,0,6))),N(OFFSET(AF29,0,6)),N(OFFSET(AF29,0,7)))-AE29</f>
        <v/>
      </c>
      <c r="AG29" s="1" t="n"/>
      <c r="AH29" s="78" t="n"/>
      <c r="AI29" s="78" t="n"/>
      <c r="AJ29" s="1" t="n"/>
      <c r="AK29" s="76" t="n"/>
      <c r="AL29" s="628" t="n">
        <v>0</v>
      </c>
      <c r="AM29" s="19" t="n">
        <v>0</v>
      </c>
      <c r="AN29" s="19" t="n">
        <v>0</v>
      </c>
      <c r="AO29" s="19" t="n">
        <v>0</v>
      </c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19" t="n"/>
      <c r="BD29" s="119" t="n"/>
      <c r="BE29" s="119" t="n"/>
      <c r="BF29" s="19" t="n"/>
      <c r="BG29" s="19" t="n"/>
      <c r="BH29" s="260" t="inlineStr">
        <is>
          <t>08 DE ERJ</t>
        </is>
      </c>
      <c r="BI29" s="258" t="inlineStr">
        <is>
          <t>02 DE ERJ</t>
        </is>
      </c>
    </row>
    <row r="30" ht="17.25" customFormat="1" customHeight="1" s="3">
      <c r="A30" s="23" t="n"/>
      <c r="B30" s="1" t="n"/>
      <c r="C30" s="630" t="n"/>
      <c r="D30" s="630" t="n"/>
      <c r="E30" s="1" t="n"/>
      <c r="F30" s="2" t="n"/>
      <c r="G30" s="2" t="n"/>
      <c r="H30" s="2" t="n"/>
      <c r="I30" s="2" t="n"/>
      <c r="J30" s="2" t="n"/>
      <c r="K30" s="2" t="n"/>
      <c r="L30" s="2" t="n"/>
      <c r="M30" s="2" t="n"/>
      <c r="N30" s="2" t="n"/>
      <c r="O30" s="2" t="n"/>
      <c r="P30" s="2" t="n"/>
      <c r="Q30" s="2" t="n"/>
      <c r="R30" s="2" t="n"/>
      <c r="S30" s="2" t="n"/>
      <c r="T30" s="2" t="n"/>
      <c r="U30" s="2" t="n"/>
      <c r="V30" s="2" t="n"/>
      <c r="W30" s="2" t="n"/>
      <c r="X30" s="2" t="n"/>
      <c r="Y30" s="2" t="n"/>
      <c r="Z30" s="2" t="n"/>
      <c r="AA30" s="2" t="n"/>
      <c r="AB30" s="2" t="n"/>
      <c r="AC30" s="1" t="n"/>
      <c r="AD30" s="1" t="n"/>
      <c r="AE30" s="1" t="n"/>
      <c r="AG30" s="1" t="n"/>
      <c r="AH30" s="10" t="n"/>
      <c r="AI30" s="10" t="n"/>
      <c r="AJ30" s="1" t="n"/>
      <c r="AK30" s="210" t="n"/>
      <c r="AL30" s="396" t="n"/>
      <c r="AM30" s="75" t="n"/>
      <c r="AN30" s="75" t="n"/>
      <c r="AO30" s="75" t="n"/>
      <c r="AP30" s="75" t="n"/>
      <c r="AQ30" s="75" t="n"/>
      <c r="AR30" s="75" t="n"/>
      <c r="AS30" s="75" t="n"/>
      <c r="AT30" s="75" t="n"/>
      <c r="AU30" s="75" t="n"/>
      <c r="AV30" s="75" t="n"/>
      <c r="AW30" s="75" t="n"/>
      <c r="AX30" s="75" t="n"/>
      <c r="AY30" s="75" t="n"/>
      <c r="AZ30" s="75" t="n"/>
      <c r="BA30" s="75" t="n"/>
      <c r="BB30" s="75" t="n"/>
      <c r="BC30" s="206" t="n"/>
      <c r="BD30" s="206" t="n"/>
      <c r="BE30" s="206" t="n"/>
      <c r="BF30" s="75" t="n"/>
      <c r="BG30" s="75" t="n"/>
      <c r="BH30" s="206" t="n"/>
      <c r="BI30" s="75" t="n"/>
    </row>
    <row r="31" customFormat="1" s="3">
      <c r="A31" s="548" t="inlineStr">
        <is>
          <t>CAIXAS BOTICÁRIO</t>
        </is>
      </c>
      <c r="B31" s="12" t="n"/>
      <c r="C31" s="631" t="n"/>
      <c r="D31" s="631" t="n"/>
      <c r="E31" s="1" t="n"/>
      <c r="F31" s="619" t="n">
        <v>46006</v>
      </c>
      <c r="G31" s="619" t="n">
        <v>46013</v>
      </c>
      <c r="H31" s="619" t="n">
        <v>46020</v>
      </c>
      <c r="I31" s="619" t="n">
        <v>46027</v>
      </c>
      <c r="J31" s="619" t="n">
        <v>46034</v>
      </c>
      <c r="K31" s="619" t="n">
        <v>46041</v>
      </c>
      <c r="L31" s="619" t="n">
        <v>46048</v>
      </c>
      <c r="M31" s="619" t="n">
        <v>46055</v>
      </c>
      <c r="N31" s="619" t="n">
        <v>46062</v>
      </c>
      <c r="O31" s="619" t="n">
        <v>46069</v>
      </c>
      <c r="P31" s="619" t="n">
        <v>46076</v>
      </c>
      <c r="Q31" s="619" t="n">
        <v>46083</v>
      </c>
      <c r="R31" s="619" t="n">
        <v>46090</v>
      </c>
      <c r="S31" s="619" t="n">
        <v>46097</v>
      </c>
      <c r="T31" s="619" t="n">
        <v>46104</v>
      </c>
      <c r="U31" s="619" t="n">
        <v>46111</v>
      </c>
      <c r="V31" s="619" t="n">
        <v>46118</v>
      </c>
      <c r="W31" s="619" t="n">
        <v>46125</v>
      </c>
      <c r="X31" s="619" t="n">
        <v>46132</v>
      </c>
      <c r="Y31" s="619" t="n">
        <v>46139</v>
      </c>
      <c r="Z31" s="619" t="n">
        <v>46146</v>
      </c>
      <c r="AA31" s="619" t="n">
        <v>46154</v>
      </c>
      <c r="AB31" s="619" t="n">
        <v>46160</v>
      </c>
      <c r="AC31" s="620" t="n">
        <v>46161.48013633102</v>
      </c>
      <c r="AD31" s="620" t="n">
        <v>46161.48080996528</v>
      </c>
      <c r="AE31" s="620" t="n">
        <v>46161.48296746973</v>
      </c>
      <c r="AF31" s="621" t="inlineStr">
        <is>
          <t>USOU</t>
        </is>
      </c>
      <c r="AG31" s="11" t="n"/>
      <c r="AH31" s="29" t="inlineStr">
        <is>
          <t>Pendências</t>
        </is>
      </c>
      <c r="AI31" s="29" t="inlineStr">
        <is>
          <t>Pendências</t>
        </is>
      </c>
      <c r="AJ31" s="11" t="n"/>
      <c r="AK31" s="9" t="inlineStr">
        <is>
          <t>Novo Pedido</t>
        </is>
      </c>
      <c r="AL31" s="673" t="n">
        <v>46161.48296620754</v>
      </c>
      <c r="AM31" s="674" t="n">
        <v>46149</v>
      </c>
      <c r="AN31" s="674" t="n">
        <v>46142</v>
      </c>
      <c r="AO31" s="674" t="n">
        <v>46114</v>
      </c>
      <c r="AP31" s="674" t="n">
        <v>46099</v>
      </c>
      <c r="AQ31" s="675" t="n">
        <v>46065</v>
      </c>
      <c r="AR31" s="674" t="n">
        <v>46077</v>
      </c>
      <c r="AS31" s="676" t="n">
        <v>46045</v>
      </c>
      <c r="AT31" s="674" t="n">
        <v>46056</v>
      </c>
      <c r="AU31" s="674" t="n">
        <v>46017</v>
      </c>
      <c r="AV31" s="674" t="n">
        <v>46007</v>
      </c>
      <c r="AW31" s="674" t="n">
        <v>46001</v>
      </c>
      <c r="AX31" s="674" t="n">
        <v>45994</v>
      </c>
      <c r="AY31" s="674" t="n">
        <v>45986</v>
      </c>
      <c r="AZ31" s="674" t="n">
        <v>45980</v>
      </c>
      <c r="BA31" s="674" t="n">
        <v>45980</v>
      </c>
      <c r="BB31" s="674" t="n">
        <v>45973</v>
      </c>
      <c r="BC31" s="677" t="n">
        <v>45982</v>
      </c>
      <c r="BD31" s="677" t="n">
        <v>45979</v>
      </c>
      <c r="BE31" s="693" t="n">
        <v>45974</v>
      </c>
      <c r="BF31" s="693" t="n">
        <v>45972</v>
      </c>
      <c r="BG31" s="691" t="n">
        <v>45968</v>
      </c>
      <c r="BH31" s="677" t="n">
        <v>45967</v>
      </c>
      <c r="BI31" s="692" t="n">
        <v>45942</v>
      </c>
    </row>
    <row r="32" customFormat="1" s="3">
      <c r="A32" s="25" t="inlineStr">
        <is>
          <t>KIT CAIXA P VERDE</t>
        </is>
      </c>
      <c r="B32" s="139" t="n">
        <v>75</v>
      </c>
      <c r="C32" s="634" t="n">
        <v>225.67</v>
      </c>
      <c r="D32" s="240" t="n"/>
      <c r="E32" s="1" t="n"/>
      <c r="F32" s="39" t="n">
        <v>5</v>
      </c>
      <c r="G32" s="39" t="n">
        <v>5</v>
      </c>
      <c r="H32" s="39" t="n">
        <v>5</v>
      </c>
      <c r="I32" s="39" t="n">
        <v>5</v>
      </c>
      <c r="J32" s="39" t="n">
        <v>5</v>
      </c>
      <c r="K32" s="39" t="n">
        <v>5</v>
      </c>
      <c r="L32" s="39" t="n">
        <v>5</v>
      </c>
      <c r="M32" s="39" t="n">
        <v>5</v>
      </c>
      <c r="N32" s="39" t="n">
        <v>5</v>
      </c>
      <c r="O32" s="39" t="n">
        <v>5</v>
      </c>
      <c r="P32" s="39" t="n">
        <v>5</v>
      </c>
      <c r="Q32" s="39" t="n">
        <v>5</v>
      </c>
      <c r="R32" s="39" t="n">
        <v>5</v>
      </c>
      <c r="S32" s="39" t="n">
        <v>5</v>
      </c>
      <c r="T32" s="39" t="n">
        <v>5</v>
      </c>
      <c r="U32" s="39" t="n">
        <v>5</v>
      </c>
      <c r="V32" s="39" t="n"/>
      <c r="W32" s="39" t="n"/>
      <c r="X32" s="39" t="n"/>
      <c r="Y32" s="39" t="n"/>
      <c r="Z32" s="39" t="n"/>
      <c r="AA32" s="39" t="n">
        <v>5</v>
      </c>
      <c r="AB32" s="39" t="n">
        <v>5</v>
      </c>
      <c r="AC32" s="6" t="n">
        <v>5</v>
      </c>
      <c r="AD32" s="6" t="n">
        <v>5</v>
      </c>
      <c r="AE32" s="6" t="n">
        <v>5</v>
      </c>
      <c r="AF32" s="380">
        <f>AD32+IF(NOT(ISBLANK(OFFSET(AF32,0,6))),N(OFFSET(AF32,0,6)),N(OFFSET(AF32,0,7)))-AE32</f>
        <v/>
      </c>
      <c r="AG32" s="11" t="n"/>
      <c r="AH32" s="78" t="n"/>
      <c r="AI32" s="78" t="n"/>
      <c r="AJ32" s="1" t="n"/>
      <c r="AK32" s="32" t="n"/>
      <c r="AL32" s="628" t="n">
        <v>0</v>
      </c>
      <c r="AM32" s="19" t="n">
        <v>0</v>
      </c>
      <c r="AN32" s="19" t="n">
        <v>0</v>
      </c>
      <c r="AO32" s="19" t="n">
        <v>0</v>
      </c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19" t="n"/>
      <c r="BD32" s="119" t="n"/>
      <c r="BE32" s="251" t="inlineStr">
        <is>
          <t>50 DE ERJ</t>
        </is>
      </c>
      <c r="BF32" s="19" t="n"/>
      <c r="BG32" s="19" t="n"/>
      <c r="BH32" s="260" t="inlineStr">
        <is>
          <t>05 DE ERJ</t>
        </is>
      </c>
      <c r="BI32" s="19" t="n"/>
    </row>
    <row r="33" customFormat="1" s="3">
      <c r="A33" s="25" t="inlineStr">
        <is>
          <t>KIT CAIXA M VERDE</t>
        </is>
      </c>
      <c r="B33" s="139" t="n">
        <v>75</v>
      </c>
      <c r="C33" s="632" t="n">
        <v>294.59</v>
      </c>
      <c r="D33" s="240" t="n"/>
      <c r="E33" s="1" t="n"/>
      <c r="F33" s="39" t="n">
        <v>0</v>
      </c>
      <c r="G33" s="39" t="n">
        <v>0</v>
      </c>
      <c r="H33" s="39" t="n">
        <v>0</v>
      </c>
      <c r="I33" s="39" t="n">
        <v>0</v>
      </c>
      <c r="J33" s="39" t="n">
        <v>0</v>
      </c>
      <c r="K33" s="39" t="n">
        <v>0</v>
      </c>
      <c r="L33" s="39" t="n">
        <v>0</v>
      </c>
      <c r="M33" s="39" t="n">
        <v>0</v>
      </c>
      <c r="N33" s="39" t="n">
        <v>0</v>
      </c>
      <c r="O33" s="39" t="n">
        <v>0</v>
      </c>
      <c r="P33" s="39" t="n">
        <v>0</v>
      </c>
      <c r="Q33" s="39" t="n">
        <v>0</v>
      </c>
      <c r="R33" s="39" t="n">
        <v>0</v>
      </c>
      <c r="S33" s="39" t="n">
        <v>0</v>
      </c>
      <c r="T33" s="39" t="n">
        <v>0</v>
      </c>
      <c r="U33" s="39" t="n">
        <v>0</v>
      </c>
      <c r="V33" s="39" t="n"/>
      <c r="W33" s="39" t="n"/>
      <c r="X33" s="39" t="n"/>
      <c r="Y33" s="39" t="n"/>
      <c r="Z33" s="39" t="n"/>
      <c r="AA33" s="39" t="n">
        <v>0</v>
      </c>
      <c r="AB33" s="39" t="n">
        <v>0</v>
      </c>
      <c r="AC33" s="6" t="n">
        <v>0</v>
      </c>
      <c r="AD33" s="6" t="n">
        <v>0</v>
      </c>
      <c r="AE33" s="6" t="n">
        <v>0</v>
      </c>
      <c r="AF33" s="380">
        <f>AD33+IF(NOT(ISBLANK(OFFSET(AF33,0,6))),N(OFFSET(AF33,0,6)),N(OFFSET(AF33,0,7)))-AE33</f>
        <v/>
      </c>
      <c r="AG33" s="11" t="n"/>
      <c r="AH33" s="78" t="n"/>
      <c r="AI33" s="78" t="n"/>
      <c r="AK33" s="32" t="n"/>
      <c r="AL33" s="628" t="n">
        <v>0</v>
      </c>
      <c r="AM33" s="19" t="n">
        <v>0</v>
      </c>
      <c r="AN33" s="19" t="n">
        <v>0</v>
      </c>
      <c r="AO33" s="19" t="n">
        <v>0</v>
      </c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19" t="n"/>
      <c r="BD33" s="119" t="n"/>
      <c r="BE33" s="251" t="inlineStr">
        <is>
          <t>70 DE ERJ</t>
        </is>
      </c>
      <c r="BF33" s="19" t="n"/>
      <c r="BG33" s="19" t="n"/>
      <c r="BH33" s="119" t="n"/>
      <c r="BI33" s="258" t="inlineStr">
        <is>
          <t>30 DE ERJ</t>
        </is>
      </c>
    </row>
    <row r="34">
      <c r="A34" s="25" t="inlineStr">
        <is>
          <t>KIT CAIXA G VERDE</t>
        </is>
      </c>
      <c r="B34" s="139" t="n">
        <v>50</v>
      </c>
      <c r="C34" s="632" t="n">
        <v>346.84</v>
      </c>
      <c r="D34" s="240" t="n"/>
      <c r="F34" s="39" t="n">
        <v>3</v>
      </c>
      <c r="G34" s="39" t="n">
        <v>3</v>
      </c>
      <c r="H34" s="39" t="n">
        <v>3</v>
      </c>
      <c r="I34" s="39" t="n">
        <v>3</v>
      </c>
      <c r="J34" s="39" t="n">
        <v>3</v>
      </c>
      <c r="K34" s="39" t="n">
        <v>3</v>
      </c>
      <c r="L34" s="39" t="n">
        <v>3</v>
      </c>
      <c r="M34" s="39" t="n">
        <v>3</v>
      </c>
      <c r="N34" s="39" t="n">
        <v>3</v>
      </c>
      <c r="O34" s="39" t="n">
        <v>3</v>
      </c>
      <c r="P34" s="39" t="n">
        <v>3</v>
      </c>
      <c r="Q34" s="39" t="n">
        <v>3</v>
      </c>
      <c r="R34" s="39" t="n">
        <v>3</v>
      </c>
      <c r="S34" s="39" t="n">
        <v>2</v>
      </c>
      <c r="T34" s="39" t="n">
        <v>2</v>
      </c>
      <c r="U34" s="39" t="n">
        <v>2</v>
      </c>
      <c r="V34" s="39" t="n"/>
      <c r="W34" s="39" t="n"/>
      <c r="X34" s="39" t="n"/>
      <c r="Y34" s="39" t="n"/>
      <c r="Z34" s="39" t="n"/>
      <c r="AA34" s="39" t="n">
        <v>2</v>
      </c>
      <c r="AB34" s="39" t="n">
        <v>2</v>
      </c>
      <c r="AC34" s="6" t="n">
        <v>2</v>
      </c>
      <c r="AD34" s="6" t="n">
        <v>2</v>
      </c>
      <c r="AE34" s="6" t="n">
        <v>2</v>
      </c>
      <c r="AF34" s="380">
        <f>AD34+IF(NOT(ISBLANK(OFFSET(AF34,0,6))),N(OFFSET(AF34,0,6)),N(OFFSET(AF34,0,7)))-AE34</f>
        <v/>
      </c>
      <c r="AH34" s="78" t="n"/>
      <c r="AI34" s="78" t="n"/>
      <c r="AJ34" s="1" t="n"/>
      <c r="AK34" s="32" t="n"/>
      <c r="AL34" s="628" t="n">
        <v>0</v>
      </c>
      <c r="AM34" s="19" t="n">
        <v>0</v>
      </c>
      <c r="AN34" s="19" t="n">
        <v>0</v>
      </c>
      <c r="AO34" s="19" t="n">
        <v>0</v>
      </c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19" t="n"/>
      <c r="BD34" s="119" t="n"/>
      <c r="BE34" s="251" t="inlineStr">
        <is>
          <t>20 DE ERJ</t>
        </is>
      </c>
      <c r="BF34" s="19" t="n"/>
      <c r="BG34" s="283" t="inlineStr">
        <is>
          <t>10 DE CDJ</t>
        </is>
      </c>
      <c r="BH34" s="260" t="inlineStr">
        <is>
          <t>03 DE ERJ</t>
        </is>
      </c>
      <c r="BI34" s="258" t="inlineStr">
        <is>
          <t>40 DE ERJ</t>
        </is>
      </c>
    </row>
    <row r="35" hidden="1">
      <c r="A35" s="23" t="n"/>
      <c r="B35" s="1" t="n"/>
      <c r="C35" s="630" t="n"/>
      <c r="D35" s="630" t="n"/>
      <c r="F35" s="2" t="n"/>
      <c r="G35" s="2" t="n"/>
      <c r="H35" s="2" t="n"/>
      <c r="I35" s="2" t="n"/>
      <c r="J35" s="2" t="n"/>
      <c r="K35" s="2" t="n"/>
      <c r="L35" s="2" t="n"/>
      <c r="M35" s="2" t="n"/>
      <c r="N35" s="2" t="n"/>
      <c r="O35" s="2" t="n"/>
      <c r="P35" s="2" t="n"/>
      <c r="Q35" s="2" t="n"/>
      <c r="R35" s="2" t="n"/>
      <c r="S35" s="2" t="n"/>
      <c r="T35" s="2" t="n"/>
      <c r="U35" s="2" t="n"/>
      <c r="V35" s="2" t="n"/>
      <c r="W35" s="2" t="n"/>
      <c r="X35" s="2" t="n"/>
      <c r="Y35" s="2" t="n"/>
      <c r="Z35" s="2" t="n"/>
      <c r="AA35" s="2" t="n"/>
      <c r="AB35" s="2" t="n"/>
      <c r="AC35" s="1" t="n"/>
      <c r="AD35" s="1" t="n"/>
      <c r="AE35" s="1" t="n"/>
      <c r="AJ35" s="1" t="n"/>
      <c r="AK35" s="33" t="n"/>
      <c r="AL35" s="396" t="n"/>
      <c r="AM35" s="75" t="n"/>
      <c r="AN35" s="75" t="n"/>
      <c r="AO35" s="75" t="n"/>
      <c r="AP35" s="75" t="n"/>
      <c r="AQ35" s="75" t="n"/>
      <c r="AR35" s="75" t="n"/>
      <c r="AS35" s="75" t="n"/>
      <c r="AT35" s="75" t="n"/>
      <c r="AU35" s="75" t="n"/>
      <c r="AV35" s="75" t="n"/>
      <c r="AW35" s="75" t="n"/>
      <c r="AX35" s="75" t="n"/>
      <c r="AY35" s="75" t="n"/>
      <c r="AZ35" s="75" t="n"/>
      <c r="BA35" s="75" t="n"/>
      <c r="BB35" s="75" t="n"/>
      <c r="BC35" s="206" t="n"/>
      <c r="BD35" s="206" t="n"/>
      <c r="BE35" s="251" t="inlineStr">
        <is>
          <t>70 DE ERJ</t>
        </is>
      </c>
      <c r="BF35" s="75" t="n"/>
      <c r="BG35" s="75" t="n"/>
      <c r="BH35" s="206" t="n"/>
      <c r="BI35" s="75" t="n"/>
    </row>
    <row r="36" hidden="1">
      <c r="A36" s="548" t="inlineStr">
        <is>
          <t xml:space="preserve">SACOLAS OMNI </t>
        </is>
      </c>
      <c r="B36" s="12" t="inlineStr">
        <is>
          <t>PC</t>
        </is>
      </c>
      <c r="C36" s="12" t="n"/>
      <c r="D36" s="12" t="inlineStr">
        <is>
          <t>Estoque Ideal</t>
        </is>
      </c>
      <c r="F36" s="619" t="n"/>
      <c r="G36" s="619" t="n"/>
      <c r="H36" s="619" t="n"/>
      <c r="I36" s="619" t="n"/>
      <c r="J36" s="619" t="n"/>
      <c r="K36" s="619" t="n"/>
      <c r="L36" s="619" t="n"/>
      <c r="M36" s="619" t="n"/>
      <c r="N36" s="619" t="n"/>
      <c r="O36" s="619" t="n"/>
      <c r="P36" s="619" t="n"/>
      <c r="Q36" s="619" t="n"/>
      <c r="R36" s="619" t="n"/>
      <c r="S36" s="619" t="n"/>
      <c r="T36" s="619" t="n"/>
      <c r="U36" s="619" t="n"/>
      <c r="V36" s="619" t="n"/>
      <c r="W36" s="619" t="n"/>
      <c r="X36" s="619" t="n"/>
      <c r="Y36" s="619" t="n"/>
      <c r="Z36" s="619" t="n"/>
      <c r="AA36" s="619" t="n"/>
      <c r="AB36" s="619" t="n"/>
      <c r="AC36" s="619" t="n"/>
      <c r="AD36" s="619" t="n"/>
      <c r="AE36" s="619" t="n"/>
      <c r="AF36" s="621" t="inlineStr">
        <is>
          <t>USOU</t>
        </is>
      </c>
      <c r="AH36" s="29" t="inlineStr">
        <is>
          <t>Pendências</t>
        </is>
      </c>
      <c r="AI36" s="29" t="inlineStr">
        <is>
          <t>Pendências</t>
        </is>
      </c>
      <c r="AJ36" s="1" t="n"/>
      <c r="AK36" s="9" t="inlineStr">
        <is>
          <t>Novo Pedido</t>
        </is>
      </c>
      <c r="AL36" s="674" t="n"/>
      <c r="AM36" s="674" t="n"/>
      <c r="AN36" s="674" t="n"/>
      <c r="AO36" s="674" t="n"/>
      <c r="AP36" s="674" t="n"/>
      <c r="AQ36" s="674" t="n"/>
      <c r="AR36" s="674" t="n"/>
      <c r="AS36" s="674" t="n"/>
      <c r="AT36" s="674" t="n"/>
      <c r="AU36" s="674" t="n"/>
      <c r="AV36" s="674" t="n"/>
      <c r="AW36" s="674" t="n"/>
      <c r="AX36" s="674" t="n">
        <v>45994</v>
      </c>
      <c r="AY36" s="674" t="n">
        <v>45986</v>
      </c>
      <c r="AZ36" s="674" t="n">
        <v>45980</v>
      </c>
      <c r="BA36" s="674" t="n">
        <v>45980</v>
      </c>
      <c r="BB36" s="674" t="n">
        <v>45973</v>
      </c>
      <c r="BC36" s="677" t="n">
        <v>45982</v>
      </c>
      <c r="BD36" s="677" t="n">
        <v>45979</v>
      </c>
      <c r="BE36" s="693" t="n">
        <v>45974</v>
      </c>
      <c r="BF36" s="693" t="n">
        <v>45972</v>
      </c>
      <c r="BG36" s="691" t="n">
        <v>45968</v>
      </c>
      <c r="BH36" s="677" t="n">
        <v>45967</v>
      </c>
      <c r="BI36" s="692" t="n">
        <v>45964</v>
      </c>
    </row>
    <row r="37" hidden="1">
      <c r="A37" s="25" t="inlineStr">
        <is>
          <t>KIT OVERBAG OMNI P</t>
        </is>
      </c>
      <c r="B37" s="6" t="n">
        <v>25</v>
      </c>
      <c r="C37" s="632" t="n">
        <v>41.75</v>
      </c>
      <c r="D37" s="240" t="n"/>
      <c r="F37" s="72" t="n"/>
      <c r="G37" s="72" t="n"/>
      <c r="H37" s="72" t="n"/>
      <c r="I37" s="72" t="n"/>
      <c r="J37" s="72" t="n"/>
      <c r="K37" s="72" t="n"/>
      <c r="L37" s="72" t="n"/>
      <c r="M37" s="72" t="n"/>
      <c r="N37" s="72" t="n"/>
      <c r="O37" s="72" t="n"/>
      <c r="P37" s="72" t="n"/>
      <c r="Q37" s="72" t="n"/>
      <c r="R37" s="72" t="n"/>
      <c r="S37" s="72" t="n"/>
      <c r="T37" s="72" t="n"/>
      <c r="U37" s="72" t="n"/>
      <c r="V37" s="72" t="n"/>
      <c r="W37" s="72" t="n"/>
      <c r="X37" s="72" t="n"/>
      <c r="Y37" s="72" t="n"/>
      <c r="Z37" s="72" t="n"/>
      <c r="AA37" s="72" t="n"/>
      <c r="AB37" s="72" t="n"/>
      <c r="AC37" s="72" t="n"/>
      <c r="AD37" s="72" t="n"/>
      <c r="AE37" s="72" t="n"/>
      <c r="AF37" s="26">
        <f>AD37+IF(NOT(ISBLANK(OFFSET(AF37,0,6))),N(OFFSET(AF37,0,6)),N(OFFSET(AF37,0,7)))-AE37</f>
        <v/>
      </c>
      <c r="AH37" s="78" t="n"/>
      <c r="AI37" s="78" t="n"/>
      <c r="AJ37" s="1" t="n"/>
      <c r="AK37" s="32" t="n"/>
      <c r="AL37" s="628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19" t="n"/>
      <c r="BD37" s="119" t="n"/>
      <c r="BE37" s="119" t="n"/>
      <c r="BF37" s="19" t="n"/>
      <c r="BG37" s="19" t="n"/>
      <c r="BH37" s="119" t="n"/>
      <c r="BI37" s="19" t="n"/>
    </row>
    <row r="38" hidden="1">
      <c r="A38" s="25" t="inlineStr">
        <is>
          <t>KIT OVERBAG OMNI M</t>
        </is>
      </c>
      <c r="B38" s="6" t="n">
        <v>25</v>
      </c>
      <c r="C38" s="632" t="n">
        <v>57</v>
      </c>
      <c r="D38" s="240" t="n"/>
      <c r="F38" s="72" t="n"/>
      <c r="G38" s="72" t="n"/>
      <c r="H38" s="72" t="n"/>
      <c r="I38" s="72" t="n"/>
      <c r="J38" s="72" t="n"/>
      <c r="K38" s="72" t="n"/>
      <c r="L38" s="72" t="n"/>
      <c r="M38" s="72" t="n"/>
      <c r="N38" s="72" t="n"/>
      <c r="O38" s="72" t="n"/>
      <c r="P38" s="72" t="n"/>
      <c r="Q38" s="72" t="n"/>
      <c r="R38" s="72" t="n"/>
      <c r="S38" s="72" t="n"/>
      <c r="T38" s="72" t="n"/>
      <c r="U38" s="72" t="n"/>
      <c r="V38" s="72" t="n"/>
      <c r="W38" s="72" t="n"/>
      <c r="X38" s="72" t="n"/>
      <c r="Y38" s="72" t="n"/>
      <c r="Z38" s="72" t="n"/>
      <c r="AA38" s="72" t="n"/>
      <c r="AB38" s="72" t="n"/>
      <c r="AC38" s="72" t="n"/>
      <c r="AD38" s="72" t="n"/>
      <c r="AE38" s="72" t="n"/>
      <c r="AF38" s="26">
        <f>AD38+IF(NOT(ISBLANK(OFFSET(AF38,0,6))),N(OFFSET(AF38,0,6)),N(OFFSET(AF38,0,7)))-AE38</f>
        <v/>
      </c>
      <c r="AH38" s="78" t="n"/>
      <c r="AI38" s="78" t="n"/>
      <c r="AJ38" s="1" t="n"/>
      <c r="AK38" s="32" t="n"/>
      <c r="AL38" s="628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19" t="n"/>
      <c r="BD38" s="119" t="n"/>
      <c r="BE38" s="119" t="n"/>
      <c r="BF38" s="19" t="n"/>
      <c r="BG38" s="19" t="n"/>
      <c r="BH38" s="119" t="n"/>
      <c r="BI38" s="19" t="n"/>
    </row>
    <row r="39">
      <c r="A39" s="23" t="n"/>
      <c r="B39" s="1" t="n"/>
      <c r="C39" s="630" t="n"/>
      <c r="D39" s="630" t="n"/>
      <c r="F39" s="2" t="n"/>
      <c r="G39" s="2" t="n"/>
      <c r="H39" s="2" t="n"/>
      <c r="I39" s="2" t="n"/>
      <c r="J39" s="2" t="n"/>
      <c r="K39" s="2" t="n"/>
      <c r="L39" s="2" t="n"/>
      <c r="M39" s="2" t="n"/>
      <c r="N39" s="2" t="n"/>
      <c r="O39" s="2" t="n"/>
      <c r="P39" s="2" t="n"/>
      <c r="Q39" s="2" t="n"/>
      <c r="R39" s="2" t="n"/>
      <c r="S39" s="2" t="n"/>
      <c r="T39" s="2" t="n"/>
      <c r="U39" s="2" t="n"/>
      <c r="V39" s="2" t="n"/>
      <c r="W39" s="2" t="n"/>
      <c r="X39" s="2" t="n"/>
      <c r="Y39" s="2" t="n"/>
      <c r="Z39" s="2" t="n"/>
      <c r="AA39" s="2" t="n"/>
      <c r="AB39" s="2" t="n"/>
      <c r="AC39" s="1" t="n"/>
      <c r="AD39" s="1" t="n"/>
      <c r="AE39" s="1" t="n"/>
      <c r="AH39" s="10" t="n"/>
      <c r="AI39" s="10" t="n"/>
      <c r="AJ39" s="1" t="n"/>
      <c r="AK39" s="33" t="n"/>
      <c r="AL39" s="396" t="n"/>
      <c r="AM39" s="75" t="n"/>
      <c r="AN39" s="75" t="n"/>
      <c r="AO39" s="75" t="n"/>
      <c r="AP39" s="75" t="n"/>
      <c r="AQ39" s="75" t="n"/>
      <c r="AR39" s="75" t="n"/>
      <c r="AS39" s="75" t="n"/>
      <c r="AT39" s="75" t="n"/>
      <c r="AU39" s="75" t="n"/>
      <c r="AV39" s="75" t="n"/>
      <c r="AW39" s="75" t="n"/>
      <c r="AX39" s="75" t="n"/>
      <c r="AY39" s="75" t="n"/>
      <c r="AZ39" s="75" t="n"/>
      <c r="BA39" s="75" t="n"/>
      <c r="BB39" s="75" t="n"/>
      <c r="BC39" s="206" t="n"/>
      <c r="BD39" s="206" t="n"/>
      <c r="BE39" s="206" t="n"/>
      <c r="BF39" s="75" t="n"/>
      <c r="BG39" s="75" t="n"/>
      <c r="BH39" s="206" t="n"/>
      <c r="BI39" s="75" t="n"/>
    </row>
    <row r="40">
      <c r="A40" s="147" t="inlineStr">
        <is>
          <t>SACOLAS/SACO/DIVERSOS OUI</t>
        </is>
      </c>
      <c r="B40" s="148" t="n"/>
      <c r="C40" s="148" t="n"/>
      <c r="D40" s="148" t="n"/>
      <c r="E40" s="1" t="n"/>
      <c r="F40" s="619" t="n">
        <v>46006</v>
      </c>
      <c r="G40" s="619" t="n">
        <v>46013</v>
      </c>
      <c r="H40" s="619" t="n">
        <v>46020</v>
      </c>
      <c r="I40" s="619" t="n">
        <v>46027</v>
      </c>
      <c r="J40" s="619" t="n">
        <v>46034</v>
      </c>
      <c r="K40" s="619" t="n">
        <v>46041</v>
      </c>
      <c r="L40" s="619" t="n">
        <v>46048</v>
      </c>
      <c r="M40" s="619" t="n">
        <v>46055</v>
      </c>
      <c r="N40" s="619" t="n">
        <v>46062</v>
      </c>
      <c r="O40" s="619" t="n">
        <v>46069</v>
      </c>
      <c r="P40" s="619" t="n">
        <v>46076</v>
      </c>
      <c r="Q40" s="619" t="n">
        <v>46083</v>
      </c>
      <c r="R40" s="619" t="n">
        <v>46090</v>
      </c>
      <c r="S40" s="619" t="n">
        <v>46097</v>
      </c>
      <c r="T40" s="619" t="n">
        <v>46104</v>
      </c>
      <c r="U40" s="619" t="n">
        <v>46111</v>
      </c>
      <c r="V40" s="619" t="n">
        <v>46118</v>
      </c>
      <c r="W40" s="619" t="n">
        <v>46125</v>
      </c>
      <c r="X40" s="619" t="n">
        <v>46132</v>
      </c>
      <c r="Y40" s="619" t="n">
        <v>46139</v>
      </c>
      <c r="Z40" s="619" t="n">
        <v>46146</v>
      </c>
      <c r="AA40" s="619" t="n">
        <v>46154</v>
      </c>
      <c r="AB40" s="619" t="n">
        <v>46160</v>
      </c>
      <c r="AC40" s="620" t="n">
        <v>46161.48013633102</v>
      </c>
      <c r="AD40" s="620" t="n">
        <v>46161.48080996528</v>
      </c>
      <c r="AE40" s="620" t="n">
        <v>46161.48296746994</v>
      </c>
      <c r="AF40" s="621" t="inlineStr">
        <is>
          <t>USOU</t>
        </is>
      </c>
      <c r="AG40" s="41" t="n"/>
      <c r="AH40" s="29" t="inlineStr">
        <is>
          <t>Pendências</t>
        </is>
      </c>
      <c r="AI40" s="29" t="inlineStr">
        <is>
          <t>Pendências</t>
        </is>
      </c>
      <c r="AK40" s="9" t="inlineStr">
        <is>
          <t>Novo Pedido</t>
        </is>
      </c>
      <c r="AL40" s="673" t="n">
        <v>46161.48296620794</v>
      </c>
      <c r="AM40" s="674" t="n">
        <v>46149</v>
      </c>
      <c r="AN40" s="674" t="n">
        <v>46142</v>
      </c>
      <c r="AO40" s="674" t="n">
        <v>46114</v>
      </c>
      <c r="AP40" s="674" t="n">
        <v>46099</v>
      </c>
      <c r="AQ40" s="675" t="n">
        <v>46065</v>
      </c>
      <c r="AR40" s="674" t="n">
        <v>46077</v>
      </c>
      <c r="AS40" s="676" t="n">
        <v>46045</v>
      </c>
      <c r="AT40" s="674" t="n">
        <v>46056</v>
      </c>
      <c r="AU40" s="674" t="n">
        <v>46017</v>
      </c>
      <c r="AV40" s="674" t="n">
        <v>46007</v>
      </c>
      <c r="AW40" s="674" t="n">
        <v>46001</v>
      </c>
      <c r="AX40" s="674" t="n">
        <v>45994</v>
      </c>
      <c r="AY40" s="674" t="n">
        <v>45986</v>
      </c>
      <c r="AZ40" s="674" t="n">
        <v>45980</v>
      </c>
      <c r="BA40" s="674" t="n">
        <v>45980</v>
      </c>
      <c r="BB40" s="674" t="n">
        <v>45973</v>
      </c>
      <c r="BC40" s="677" t="n">
        <v>45982</v>
      </c>
      <c r="BD40" s="677" t="n">
        <v>45979</v>
      </c>
      <c r="BE40" s="693" t="n">
        <v>45974</v>
      </c>
      <c r="BF40" s="693" t="n">
        <v>45972</v>
      </c>
      <c r="BG40" s="691" t="n">
        <v>45968</v>
      </c>
      <c r="BH40" s="677" t="n">
        <v>45967</v>
      </c>
      <c r="BI40" s="692" t="n">
        <v>45964</v>
      </c>
    </row>
    <row r="41">
      <c r="A41" s="25" t="inlineStr">
        <is>
          <t>SACOLA P OUI</t>
        </is>
      </c>
      <c r="B41" s="72" t="n">
        <v>150</v>
      </c>
      <c r="C41" s="639" t="n">
        <v>453.38</v>
      </c>
      <c r="D41" s="240" t="n"/>
      <c r="E41" s="41" t="n"/>
      <c r="F41" s="72" t="n">
        <v>3</v>
      </c>
      <c r="G41" s="72" t="n">
        <v>3</v>
      </c>
      <c r="H41" s="72" t="n">
        <v>3</v>
      </c>
      <c r="I41" s="72" t="n">
        <v>3</v>
      </c>
      <c r="J41" s="72" t="n">
        <v>3</v>
      </c>
      <c r="K41" s="72" t="n">
        <v>3</v>
      </c>
      <c r="L41" s="72" t="n">
        <v>3</v>
      </c>
      <c r="M41" s="72" t="n">
        <v>3</v>
      </c>
      <c r="N41" s="72" t="n">
        <v>3</v>
      </c>
      <c r="O41" s="72" t="n">
        <v>3</v>
      </c>
      <c r="P41" s="72" t="n">
        <v>3</v>
      </c>
      <c r="Q41" s="72" t="n">
        <v>3</v>
      </c>
      <c r="R41" s="72" t="n">
        <v>3</v>
      </c>
      <c r="S41" s="72" t="n">
        <v>3</v>
      </c>
      <c r="T41" s="72" t="n">
        <v>3</v>
      </c>
      <c r="U41" s="72" t="n">
        <v>3</v>
      </c>
      <c r="V41" s="72" t="n"/>
      <c r="W41" s="72" t="n"/>
      <c r="X41" s="72" t="n"/>
      <c r="Y41" s="72" t="n"/>
      <c r="Z41" s="72" t="n"/>
      <c r="AA41" s="72" t="n">
        <v>2</v>
      </c>
      <c r="AB41" s="72" t="n">
        <v>2</v>
      </c>
      <c r="AC41" s="72" t="n">
        <v>2</v>
      </c>
      <c r="AD41" s="72" t="n">
        <v>2</v>
      </c>
      <c r="AE41" s="72" t="n">
        <v>2</v>
      </c>
      <c r="AF41" s="380">
        <f>AD41+IF(NOT(ISBLANK(OFFSET(AF41,0,6))),N(OFFSET(AF41,0,6)),N(OFFSET(AF41,0,7)))-AE41</f>
        <v/>
      </c>
      <c r="AG41" s="41" t="n"/>
      <c r="AH41" s="138" t="n"/>
      <c r="AI41" s="138" t="n"/>
      <c r="AJ41" s="1" t="n"/>
      <c r="AK41" s="32" t="n"/>
      <c r="AL41" s="628" t="n">
        <v>0</v>
      </c>
      <c r="AM41" s="19" t="n">
        <v>0</v>
      </c>
      <c r="AN41" s="19" t="n">
        <v>0</v>
      </c>
      <c r="AO41" s="19" t="n">
        <v>0</v>
      </c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19" t="n"/>
      <c r="BD41" s="119" t="n"/>
      <c r="BE41" s="119" t="n"/>
      <c r="BF41" s="19" t="n"/>
      <c r="BG41" s="19" t="n"/>
      <c r="BH41" s="260" t="inlineStr">
        <is>
          <t>04 DE CDJ</t>
        </is>
      </c>
      <c r="BI41" s="19" t="n"/>
    </row>
    <row r="42">
      <c r="A42" s="25" t="inlineStr">
        <is>
          <t>SACOLA M OUI</t>
        </is>
      </c>
      <c r="B42" s="72" t="n">
        <v>100</v>
      </c>
      <c r="C42" s="639" t="n">
        <v>355.78</v>
      </c>
      <c r="D42" s="240" t="n"/>
      <c r="E42" s="41" t="n"/>
      <c r="F42" s="72" t="n">
        <v>0</v>
      </c>
      <c r="G42" s="72" t="n">
        <v>0</v>
      </c>
      <c r="H42" s="72" t="n">
        <v>0</v>
      </c>
      <c r="I42" s="72" t="n">
        <v>0</v>
      </c>
      <c r="J42" s="72" t="n">
        <v>0</v>
      </c>
      <c r="K42" s="72" t="n">
        <v>0</v>
      </c>
      <c r="L42" s="72" t="n">
        <v>0</v>
      </c>
      <c r="M42" s="72" t="n">
        <v>0</v>
      </c>
      <c r="N42" s="72" t="n">
        <v>0</v>
      </c>
      <c r="O42" s="72" t="n">
        <v>0</v>
      </c>
      <c r="P42" s="72" t="n">
        <v>0</v>
      </c>
      <c r="Q42" s="72" t="n">
        <v>0</v>
      </c>
      <c r="R42" s="72" t="n">
        <v>0</v>
      </c>
      <c r="S42" s="72" t="n">
        <v>0</v>
      </c>
      <c r="T42" s="72" t="n">
        <v>0</v>
      </c>
      <c r="U42" s="72" t="n">
        <v>0</v>
      </c>
      <c r="V42" s="72" t="n"/>
      <c r="W42" s="72" t="n"/>
      <c r="X42" s="72" t="n"/>
      <c r="Y42" s="72" t="n"/>
      <c r="Z42" s="72" t="n"/>
      <c r="AA42" s="72" t="n">
        <v>0</v>
      </c>
      <c r="AB42" s="72" t="n">
        <v>0</v>
      </c>
      <c r="AC42" s="72" t="n">
        <v>0</v>
      </c>
      <c r="AD42" s="72" t="n">
        <v>0</v>
      </c>
      <c r="AE42" s="72" t="n">
        <v>0</v>
      </c>
      <c r="AF42" s="380">
        <f>AD42+IF(NOT(ISBLANK(OFFSET(AF42,0,6))),N(OFFSET(AF42,0,6)),N(OFFSET(AF42,0,7)))-AE42</f>
        <v/>
      </c>
      <c r="AG42" s="41" t="n"/>
      <c r="AH42" s="78" t="n"/>
      <c r="AI42" s="78" t="n"/>
      <c r="AJ42" s="1" t="n"/>
      <c r="AK42" s="32" t="n"/>
      <c r="AL42" s="628" t="n">
        <v>0</v>
      </c>
      <c r="AM42" s="19" t="n">
        <v>0</v>
      </c>
      <c r="AN42" s="19" t="n">
        <v>0</v>
      </c>
      <c r="AO42" s="19" t="n">
        <v>0</v>
      </c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19" t="n"/>
      <c r="BD42" s="119" t="n"/>
      <c r="BE42" s="119" t="n"/>
      <c r="BF42" s="19" t="n"/>
      <c r="BG42" s="19" t="n"/>
      <c r="BH42" s="260" t="inlineStr">
        <is>
          <t>05 DE ERJ</t>
        </is>
      </c>
      <c r="BI42" s="19" t="n"/>
    </row>
    <row r="43">
      <c r="A43" s="25" t="inlineStr">
        <is>
          <t>SACOLA G OUI</t>
        </is>
      </c>
      <c r="B43" s="72" t="n">
        <v>50</v>
      </c>
      <c r="C43" s="639" t="n">
        <v>249.26</v>
      </c>
      <c r="D43" s="240" t="n"/>
      <c r="E43" s="41" t="n"/>
      <c r="F43" s="72" t="n">
        <v>5</v>
      </c>
      <c r="G43" s="72" t="n">
        <v>5</v>
      </c>
      <c r="H43" s="72" t="n">
        <v>5</v>
      </c>
      <c r="I43" s="72" t="n">
        <v>5</v>
      </c>
      <c r="J43" s="72" t="n">
        <v>5</v>
      </c>
      <c r="K43" s="72" t="n">
        <v>5</v>
      </c>
      <c r="L43" s="72" t="n">
        <v>5</v>
      </c>
      <c r="M43" s="72" t="n">
        <v>5</v>
      </c>
      <c r="N43" s="72" t="n">
        <v>5</v>
      </c>
      <c r="O43" s="72" t="n">
        <v>5</v>
      </c>
      <c r="P43" s="72" t="n">
        <v>5</v>
      </c>
      <c r="Q43" s="72" t="n">
        <v>5</v>
      </c>
      <c r="R43" s="72" t="n">
        <v>5</v>
      </c>
      <c r="S43" s="72" t="n">
        <v>5</v>
      </c>
      <c r="T43" s="72" t="n">
        <v>4</v>
      </c>
      <c r="U43" s="72" t="n">
        <v>4</v>
      </c>
      <c r="V43" s="72" t="n"/>
      <c r="W43" s="72" t="n"/>
      <c r="X43" s="72" t="n"/>
      <c r="Y43" s="72" t="n"/>
      <c r="Z43" s="72" t="n"/>
      <c r="AA43" s="72" t="n">
        <v>3</v>
      </c>
      <c r="AB43" s="72" t="n">
        <v>3</v>
      </c>
      <c r="AC43" s="72" t="n">
        <v>3</v>
      </c>
      <c r="AD43" s="72" t="n">
        <v>3</v>
      </c>
      <c r="AE43" s="72" t="n">
        <v>3</v>
      </c>
      <c r="AF43" s="380">
        <f>AD43+IF(NOT(ISBLANK(OFFSET(AF43,0,6))),N(OFFSET(AF43,0,6)),N(OFFSET(AF43,0,7)))-AE43</f>
        <v/>
      </c>
      <c r="AG43" s="41" t="n"/>
      <c r="AH43" s="138" t="n"/>
      <c r="AI43" s="138" t="n"/>
      <c r="AJ43" s="3" t="n"/>
      <c r="AK43" s="32" t="n"/>
      <c r="AL43" s="628" t="n">
        <v>0</v>
      </c>
      <c r="AM43" s="19" t="n">
        <v>0</v>
      </c>
      <c r="AN43" s="19" t="n">
        <v>0</v>
      </c>
      <c r="AO43" s="19" t="n">
        <v>0</v>
      </c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19" t="n"/>
      <c r="BD43" s="119" t="n"/>
      <c r="BE43" s="119" t="n"/>
      <c r="BF43" s="19" t="n"/>
      <c r="BG43" s="19" t="n"/>
      <c r="BH43" s="260" t="inlineStr">
        <is>
          <t>05 DE ERJ</t>
        </is>
      </c>
      <c r="BI43" s="19" t="n"/>
    </row>
    <row r="44">
      <c r="A44" s="25" t="inlineStr">
        <is>
          <t>PAPEL DE SEDA O.U.I.</t>
        </is>
      </c>
      <c r="B44" s="6" t="n">
        <v>500</v>
      </c>
      <c r="C44" s="632" t="n">
        <v>138.53</v>
      </c>
      <c r="D44" s="240" t="n"/>
      <c r="E44" s="1" t="n"/>
      <c r="F44" s="72" t="n">
        <v>0</v>
      </c>
      <c r="G44" s="72" t="n">
        <v>1</v>
      </c>
      <c r="H44" s="72" t="n">
        <v>1</v>
      </c>
      <c r="I44" s="72" t="n">
        <v>1</v>
      </c>
      <c r="J44" s="72" t="n">
        <v>1</v>
      </c>
      <c r="K44" s="72" t="n">
        <v>1</v>
      </c>
      <c r="L44" s="72" t="n">
        <v>1</v>
      </c>
      <c r="M44" s="72" t="n">
        <v>1</v>
      </c>
      <c r="N44" s="72" t="n">
        <v>1</v>
      </c>
      <c r="O44" s="72" t="n">
        <v>1</v>
      </c>
      <c r="P44" s="72" t="n">
        <v>1</v>
      </c>
      <c r="Q44" s="72" t="n">
        <v>1</v>
      </c>
      <c r="R44" s="72" t="n">
        <v>1</v>
      </c>
      <c r="S44" s="72" t="n">
        <v>1</v>
      </c>
      <c r="T44" s="72" t="n">
        <v>1</v>
      </c>
      <c r="U44" s="72" t="n">
        <v>1</v>
      </c>
      <c r="V44" s="72" t="n">
        <v>1</v>
      </c>
      <c r="W44" s="72" t="n">
        <v>1</v>
      </c>
      <c r="X44" s="72" t="n">
        <v>1</v>
      </c>
      <c r="Y44" s="72" t="n">
        <v>1</v>
      </c>
      <c r="Z44" s="72" t="n">
        <v>1</v>
      </c>
      <c r="AA44" s="72" t="n">
        <v>1</v>
      </c>
      <c r="AB44" s="72" t="n"/>
      <c r="AC44" s="72" t="n"/>
      <c r="AD44" s="72" t="n"/>
      <c r="AE44" s="72" t="n"/>
      <c r="AF44" s="380">
        <f>AD44+IF(NOT(ISBLANK(OFFSET(AF44,0,6))),N(OFFSET(AF44,0,6)),N(OFFSET(AF44,0,7)))-AE44</f>
        <v/>
      </c>
      <c r="AG44" s="41" t="n"/>
      <c r="AH44" s="138" t="n"/>
      <c r="AI44" s="138" t="n"/>
      <c r="AJ44" s="608" t="n"/>
      <c r="AK44" s="32" t="n"/>
      <c r="AL44" s="628" t="n">
        <v>0</v>
      </c>
      <c r="AM44" s="19" t="n">
        <v>0</v>
      </c>
      <c r="AN44" s="19" t="n">
        <v>0</v>
      </c>
      <c r="AO44" s="19" t="n">
        <v>0</v>
      </c>
      <c r="AP44" s="19" t="n"/>
      <c r="AQ44" s="19" t="n"/>
      <c r="AR44" s="19" t="n"/>
      <c r="AS44" s="19" t="n"/>
      <c r="AT44" s="19" t="n"/>
      <c r="AU44" s="19" t="n"/>
      <c r="AV44" s="19" t="n">
        <v>1</v>
      </c>
      <c r="AW44" s="19" t="n"/>
      <c r="AX44" s="19" t="n"/>
      <c r="AY44" s="19" t="n"/>
      <c r="AZ44" s="19" t="n"/>
      <c r="BA44" s="19" t="n"/>
      <c r="BB44" s="19" t="n"/>
      <c r="BC44" s="119" t="n"/>
      <c r="BD44" s="119" t="n"/>
      <c r="BE44" s="119" t="n"/>
      <c r="BF44" s="19" t="n"/>
      <c r="BG44" s="19" t="n"/>
      <c r="BH44" s="119" t="n"/>
      <c r="BI44" s="19" t="n"/>
    </row>
    <row r="45">
      <c r="A45" s="25" t="inlineStr">
        <is>
          <t>ETIQUETA O.U.I.</t>
        </is>
      </c>
      <c r="B45" s="84" t="n">
        <v>1000</v>
      </c>
      <c r="C45" s="632" t="n">
        <v>181.15</v>
      </c>
      <c r="D45" s="240" t="n"/>
      <c r="E45" s="1" t="n"/>
      <c r="F45" s="72" t="n">
        <v>0</v>
      </c>
      <c r="G45" s="72" t="n">
        <v>1</v>
      </c>
      <c r="H45" s="72" t="n">
        <v>1</v>
      </c>
      <c r="I45" s="72" t="n">
        <v>1</v>
      </c>
      <c r="J45" s="72" t="n">
        <v>1</v>
      </c>
      <c r="K45" s="72" t="n">
        <v>1</v>
      </c>
      <c r="L45" s="72" t="n">
        <v>1</v>
      </c>
      <c r="M45" s="72" t="n">
        <v>1</v>
      </c>
      <c r="N45" s="72" t="n">
        <v>1</v>
      </c>
      <c r="O45" s="72" t="n">
        <v>1</v>
      </c>
      <c r="P45" s="72" t="n">
        <v>1</v>
      </c>
      <c r="Q45" s="72" t="n">
        <v>1</v>
      </c>
      <c r="R45" s="72" t="n">
        <v>1</v>
      </c>
      <c r="S45" s="72" t="n">
        <v>1</v>
      </c>
      <c r="T45" s="72" t="n">
        <v>1</v>
      </c>
      <c r="U45" s="72" t="n">
        <v>1</v>
      </c>
      <c r="V45" s="72" t="n">
        <v>1</v>
      </c>
      <c r="W45" s="72" t="n">
        <v>1</v>
      </c>
      <c r="X45" s="72" t="n">
        <v>1</v>
      </c>
      <c r="Y45" s="72" t="n">
        <v>1</v>
      </c>
      <c r="Z45" s="72" t="n">
        <v>1</v>
      </c>
      <c r="AA45" s="72" t="n">
        <v>1</v>
      </c>
      <c r="AB45" s="72" t="n"/>
      <c r="AC45" s="72" t="n"/>
      <c r="AD45" s="72" t="n"/>
      <c r="AE45" s="72" t="n"/>
      <c r="AF45" s="380">
        <f>AD45+IF(NOT(ISBLANK(OFFSET(AF45,0,6))),N(OFFSET(AF45,0,6)),N(OFFSET(AF45,0,7)))-AE45</f>
        <v/>
      </c>
      <c r="AG45" s="41" t="n"/>
      <c r="AH45" s="78" t="n"/>
      <c r="AI45" s="78" t="n"/>
      <c r="AJ45" s="608" t="n"/>
      <c r="AK45" s="32" t="n"/>
      <c r="AL45" s="628" t="n">
        <v>0</v>
      </c>
      <c r="AM45" s="19" t="n">
        <v>0</v>
      </c>
      <c r="AN45" s="19" t="n">
        <v>0</v>
      </c>
      <c r="AO45" s="19" t="n">
        <v>0</v>
      </c>
      <c r="AP45" s="19" t="n"/>
      <c r="AQ45" s="19" t="n"/>
      <c r="AR45" s="19" t="n"/>
      <c r="AS45" s="19" t="n"/>
      <c r="AT45" s="19" t="n"/>
      <c r="AU45" s="19" t="n"/>
      <c r="AV45" s="19" t="n">
        <v>1</v>
      </c>
      <c r="AW45" s="19" t="n"/>
      <c r="AX45" s="19" t="n"/>
      <c r="AY45" s="19" t="n"/>
      <c r="AZ45" s="19" t="n"/>
      <c r="BA45" s="19" t="n"/>
      <c r="BB45" s="19" t="n"/>
      <c r="BC45" s="119" t="n"/>
      <c r="BD45" s="119" t="n"/>
      <c r="BE45" s="119" t="n"/>
      <c r="BF45" s="19" t="n"/>
      <c r="BG45" s="19" t="n"/>
      <c r="BH45" s="119" t="n"/>
      <c r="BI45" s="19" t="n"/>
    </row>
    <row r="46">
      <c r="A46" s="25" t="inlineStr">
        <is>
          <t>LÂMINA OLFATIVA O.U.I.</t>
        </is>
      </c>
      <c r="B46" s="6" t="n">
        <v>3000</v>
      </c>
      <c r="C46" s="632" t="n">
        <v>223.78</v>
      </c>
      <c r="D46" s="240" t="n"/>
      <c r="E46" s="1" t="n"/>
      <c r="F46" s="72" t="n">
        <v>0</v>
      </c>
      <c r="G46" s="72" t="n">
        <v>1</v>
      </c>
      <c r="H46" s="72" t="n">
        <v>1</v>
      </c>
      <c r="I46" s="72" t="n">
        <v>1</v>
      </c>
      <c r="J46" s="72" t="n">
        <v>1</v>
      </c>
      <c r="K46" s="72" t="n">
        <v>1</v>
      </c>
      <c r="L46" s="72" t="n">
        <v>1</v>
      </c>
      <c r="M46" s="72" t="n">
        <v>2</v>
      </c>
      <c r="N46" s="72" t="n">
        <v>2</v>
      </c>
      <c r="O46" s="72" t="n">
        <v>2</v>
      </c>
      <c r="P46" s="72" t="n">
        <v>2</v>
      </c>
      <c r="Q46" s="72" t="n">
        <v>2</v>
      </c>
      <c r="R46" s="72" t="n">
        <v>2</v>
      </c>
      <c r="S46" s="72" t="n">
        <v>2</v>
      </c>
      <c r="T46" s="72" t="n">
        <v>2</v>
      </c>
      <c r="U46" s="72" t="n">
        <v>2</v>
      </c>
      <c r="V46" s="72" t="n">
        <v>2</v>
      </c>
      <c r="W46" s="72" t="n">
        <v>2</v>
      </c>
      <c r="X46" s="72" t="n">
        <v>2</v>
      </c>
      <c r="Y46" s="72" t="n">
        <v>2</v>
      </c>
      <c r="Z46" s="72" t="n">
        <v>2</v>
      </c>
      <c r="AA46" s="72" t="n">
        <v>2</v>
      </c>
      <c r="AB46" s="72" t="n"/>
      <c r="AC46" s="72" t="n"/>
      <c r="AD46" s="72" t="n"/>
      <c r="AE46" s="72" t="n"/>
      <c r="AF46" s="380">
        <f>AD46+IF(NOT(ISBLANK(OFFSET(AF46,0,6))),N(OFFSET(AF46,0,6)),N(OFFSET(AF46,0,7)))-AE46</f>
        <v/>
      </c>
      <c r="AG46" s="41" t="n"/>
      <c r="AH46" s="138" t="n"/>
      <c r="AI46" s="138" t="n"/>
      <c r="AJ46" s="608" t="n"/>
      <c r="AK46" s="32" t="n"/>
      <c r="AL46" s="628" t="n">
        <v>0</v>
      </c>
      <c r="AM46" s="19" t="n">
        <v>0</v>
      </c>
      <c r="AN46" s="19" t="n">
        <v>0</v>
      </c>
      <c r="AO46" s="19" t="n">
        <v>0</v>
      </c>
      <c r="AP46" s="19" t="n"/>
      <c r="AQ46" s="19" t="n"/>
      <c r="AR46" s="19" t="n"/>
      <c r="AS46" s="19" t="n"/>
      <c r="AT46" s="19" t="n"/>
      <c r="AU46" s="19" t="n"/>
      <c r="AV46" s="19" t="n">
        <v>1</v>
      </c>
      <c r="AW46" s="19" t="n"/>
      <c r="AX46" s="19" t="n"/>
      <c r="AY46" s="19" t="n"/>
      <c r="AZ46" s="19" t="n"/>
      <c r="BA46" s="19" t="n"/>
      <c r="BB46" s="19" t="n"/>
      <c r="BC46" s="119" t="n"/>
      <c r="BD46" s="119" t="n"/>
      <c r="BE46" s="119" t="n"/>
      <c r="BF46" s="19" t="n"/>
      <c r="BG46" s="19" t="n"/>
      <c r="BH46" s="119" t="n"/>
      <c r="BI46" s="19" t="n"/>
    </row>
    <row r="47">
      <c r="A47" s="25" t="inlineStr">
        <is>
          <t>SACO M OUI (BRINDE)</t>
        </is>
      </c>
      <c r="B47" s="6" t="n">
        <v>200</v>
      </c>
      <c r="C47" s="632" t="n">
        <v>249.78</v>
      </c>
      <c r="D47" s="240" t="n"/>
      <c r="E47" s="1" t="n"/>
      <c r="F47" s="72" t="n">
        <v>160</v>
      </c>
      <c r="G47" s="72" t="n">
        <v>153</v>
      </c>
      <c r="H47" s="72" t="n">
        <v>149</v>
      </c>
      <c r="I47" s="72" t="n">
        <v>149</v>
      </c>
      <c r="J47" s="72" t="n">
        <v>149</v>
      </c>
      <c r="K47" s="72" t="n">
        <v>137</v>
      </c>
      <c r="L47" s="72" t="n">
        <v>124</v>
      </c>
      <c r="M47" s="72" t="n">
        <v>123</v>
      </c>
      <c r="N47" s="72" t="n">
        <v>120</v>
      </c>
      <c r="O47" s="72" t="n">
        <v>120</v>
      </c>
      <c r="P47" s="72" t="n">
        <v>149</v>
      </c>
      <c r="Q47" s="72" t="n">
        <v>101</v>
      </c>
      <c r="R47" s="72" t="n">
        <v>92</v>
      </c>
      <c r="S47" s="72" t="n">
        <v>96</v>
      </c>
      <c r="T47" s="72" t="n">
        <v>89</v>
      </c>
      <c r="U47" s="72" t="n">
        <v>67</v>
      </c>
      <c r="V47" s="72" t="n">
        <v>58</v>
      </c>
      <c r="W47" s="72" t="n">
        <v>50</v>
      </c>
      <c r="X47" s="72" t="n">
        <v>46</v>
      </c>
      <c r="Y47" s="72" t="n">
        <v>42</v>
      </c>
      <c r="Z47" s="72" t="n">
        <v>42</v>
      </c>
      <c r="AA47" s="72" t="n">
        <v>42</v>
      </c>
      <c r="AB47" s="72" t="n"/>
      <c r="AC47" s="72" t="n"/>
      <c r="AD47" s="72" t="n"/>
      <c r="AE47" s="72" t="n"/>
      <c r="AF47" s="380">
        <f>AD47+IF(NOT(ISBLANK(OFFSET(AF47,0,6))),N(OFFSET(AF47,0,6)),N(OFFSET(AF47,0,7)))-AE47</f>
        <v/>
      </c>
      <c r="AG47" s="41" t="n"/>
      <c r="AH47" s="138" t="n"/>
      <c r="AI47" s="138" t="n"/>
      <c r="AJ47" s="608" t="n"/>
      <c r="AK47" s="32" t="n"/>
      <c r="AL47" s="628" t="n">
        <v>0</v>
      </c>
      <c r="AM47" s="19" t="n">
        <v>0</v>
      </c>
      <c r="AN47" s="19" t="n">
        <v>0</v>
      </c>
      <c r="AO47" s="19" t="n">
        <v>0</v>
      </c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19" t="n"/>
      <c r="BD47" s="119" t="n"/>
      <c r="BE47" s="119" t="n"/>
      <c r="BF47" s="19" t="n"/>
      <c r="BG47" s="19" t="n"/>
      <c r="BH47" s="260" t="inlineStr">
        <is>
          <t>200 DE ERJ</t>
        </is>
      </c>
      <c r="BI47" s="19" t="n"/>
    </row>
    <row r="48">
      <c r="B48" s="41" t="n"/>
      <c r="E48" s="41" t="n"/>
      <c r="F48" s="41" t="n"/>
      <c r="G48" s="41" t="n"/>
      <c r="H48" s="41" t="n"/>
      <c r="I48" s="41" t="n"/>
      <c r="J48" s="41" t="n"/>
      <c r="K48" s="41" t="n"/>
      <c r="L48" s="41" t="n"/>
      <c r="M48" s="41" t="n"/>
      <c r="N48" s="41" t="n"/>
      <c r="O48" s="41" t="n"/>
      <c r="P48" s="41" t="n"/>
      <c r="Q48" s="41" t="n"/>
      <c r="R48" s="41" t="n"/>
      <c r="S48" s="41" t="n"/>
      <c r="T48" s="41" t="n"/>
      <c r="U48" s="41" t="n"/>
      <c r="V48" s="41" t="n"/>
      <c r="W48" s="41" t="n"/>
      <c r="X48" s="41" t="n"/>
      <c r="Y48" s="41" t="n"/>
      <c r="Z48" s="41" t="n"/>
      <c r="AA48" s="41" t="n"/>
      <c r="AB48" s="41" t="n"/>
      <c r="AC48" s="41" t="n"/>
      <c r="AD48" s="41" t="n"/>
      <c r="AE48" s="41" t="n"/>
      <c r="AG48" s="41" t="n"/>
      <c r="AJ48" s="41" t="n"/>
      <c r="AL48" s="41" t="n"/>
    </row>
    <row r="49">
      <c r="A49" s="147" t="inlineStr">
        <is>
          <t>CAIXAS OUI</t>
        </is>
      </c>
      <c r="B49" s="148" t="n"/>
      <c r="C49" s="148" t="n"/>
      <c r="D49" s="148" t="n"/>
      <c r="E49" s="1" t="n"/>
      <c r="F49" s="619" t="n">
        <v>46006</v>
      </c>
      <c r="G49" s="619" t="n">
        <v>46013</v>
      </c>
      <c r="H49" s="619" t="n">
        <v>46020</v>
      </c>
      <c r="I49" s="619" t="n">
        <v>46027</v>
      </c>
      <c r="J49" s="619" t="n">
        <v>46034</v>
      </c>
      <c r="K49" s="619" t="n">
        <v>46041</v>
      </c>
      <c r="L49" s="619" t="n">
        <v>46048</v>
      </c>
      <c r="M49" s="619" t="n">
        <v>46055</v>
      </c>
      <c r="N49" s="619" t="n">
        <v>46062</v>
      </c>
      <c r="O49" s="619" t="n">
        <v>46069</v>
      </c>
      <c r="P49" s="619" t="n">
        <v>46076</v>
      </c>
      <c r="Q49" s="619" t="n">
        <v>46083</v>
      </c>
      <c r="R49" s="619" t="n">
        <v>46090</v>
      </c>
      <c r="S49" s="619" t="n">
        <v>46097</v>
      </c>
      <c r="T49" s="619" t="n">
        <v>46104</v>
      </c>
      <c r="U49" s="619" t="n">
        <v>46111</v>
      </c>
      <c r="V49" s="619" t="n">
        <v>46118</v>
      </c>
      <c r="W49" s="619" t="n">
        <v>46125</v>
      </c>
      <c r="X49" s="619" t="n">
        <v>46132</v>
      </c>
      <c r="Y49" s="619" t="n">
        <v>46139</v>
      </c>
      <c r="Z49" s="619" t="n">
        <v>46146</v>
      </c>
      <c r="AA49" s="619" t="n">
        <v>46154</v>
      </c>
      <c r="AB49" s="619" t="n">
        <v>46160</v>
      </c>
      <c r="AC49" s="620" t="n">
        <v>46161.48013633102</v>
      </c>
      <c r="AD49" s="620" t="n">
        <v>46161.48080996528</v>
      </c>
      <c r="AE49" s="620" t="n">
        <v>46161.48296747015</v>
      </c>
      <c r="AF49" s="621" t="inlineStr">
        <is>
          <t>USOU</t>
        </is>
      </c>
      <c r="AG49" s="41" t="n"/>
      <c r="AH49" s="29" t="inlineStr">
        <is>
          <t>Pendências</t>
        </is>
      </c>
      <c r="AI49" s="29" t="inlineStr">
        <is>
          <t>Pendências</t>
        </is>
      </c>
      <c r="AK49" s="9" t="inlineStr">
        <is>
          <t>Novo Pedido</t>
        </is>
      </c>
      <c r="AL49" s="673" t="n">
        <v>46161.48296620836</v>
      </c>
      <c r="AM49" s="674" t="n">
        <v>46149</v>
      </c>
      <c r="AN49" s="674" t="n">
        <v>46142</v>
      </c>
      <c r="AO49" s="674" t="n">
        <v>46114</v>
      </c>
      <c r="AP49" s="674" t="n">
        <v>46099</v>
      </c>
      <c r="AQ49" s="675" t="n">
        <v>46065</v>
      </c>
      <c r="AR49" s="674" t="n">
        <v>46077</v>
      </c>
      <c r="AS49" s="676" t="n">
        <v>46045</v>
      </c>
      <c r="AT49" s="674" t="n">
        <v>46056</v>
      </c>
      <c r="AU49" s="674" t="n">
        <v>46017</v>
      </c>
      <c r="AV49" s="674" t="n">
        <v>46007</v>
      </c>
      <c r="AW49" s="674" t="n">
        <v>46001</v>
      </c>
      <c r="AX49" s="674" t="n">
        <v>45994</v>
      </c>
      <c r="AY49" s="674" t="n">
        <v>45986</v>
      </c>
      <c r="AZ49" s="674" t="n">
        <v>45980</v>
      </c>
      <c r="BA49" s="674" t="n">
        <v>45980</v>
      </c>
      <c r="BB49" s="674" t="n">
        <v>45973</v>
      </c>
      <c r="BC49" s="677" t="n">
        <v>45982</v>
      </c>
      <c r="BD49" s="677" t="n">
        <v>45979</v>
      </c>
      <c r="BE49" s="693" t="n">
        <v>45974</v>
      </c>
      <c r="BF49" s="693" t="n">
        <v>45972</v>
      </c>
      <c r="BG49" s="691" t="n">
        <v>45968</v>
      </c>
      <c r="BH49" s="677" t="n">
        <v>45967</v>
      </c>
      <c r="BI49" s="692" t="n">
        <v>45964</v>
      </c>
    </row>
    <row r="50">
      <c r="A50" s="25" t="inlineStr">
        <is>
          <t>KIT CAIXA P OUI</t>
        </is>
      </c>
      <c r="B50" s="72" t="n">
        <v>100</v>
      </c>
      <c r="C50" s="639" t="n">
        <v>539.7</v>
      </c>
      <c r="D50" s="240" t="n"/>
      <c r="E50" s="41" t="n"/>
      <c r="F50" s="72" t="n">
        <v>8</v>
      </c>
      <c r="G50" s="72" t="n">
        <v>8</v>
      </c>
      <c r="H50" s="72" t="n">
        <v>8</v>
      </c>
      <c r="I50" s="72" t="n">
        <v>8</v>
      </c>
      <c r="J50" s="72" t="n">
        <v>8</v>
      </c>
      <c r="K50" s="72" t="n">
        <v>8</v>
      </c>
      <c r="L50" s="72" t="n">
        <v>8</v>
      </c>
      <c r="M50" s="72" t="n">
        <v>8</v>
      </c>
      <c r="N50" s="72" t="n">
        <v>2</v>
      </c>
      <c r="O50" s="72" t="n">
        <v>2</v>
      </c>
      <c r="P50" s="72" t="n">
        <v>2</v>
      </c>
      <c r="Q50" s="72" t="n">
        <v>2</v>
      </c>
      <c r="R50" s="72" t="n">
        <v>2</v>
      </c>
      <c r="S50" s="303" t="n">
        <v>6</v>
      </c>
      <c r="T50" s="72" t="n">
        <v>6</v>
      </c>
      <c r="U50" s="72" t="n">
        <v>6</v>
      </c>
      <c r="V50" s="72" t="n"/>
      <c r="W50" s="72" t="n"/>
      <c r="X50" s="72" t="n"/>
      <c r="Y50" s="72" t="n"/>
      <c r="Z50" s="72" t="n"/>
      <c r="AA50" s="72" t="n">
        <v>6</v>
      </c>
      <c r="AB50" s="72" t="n">
        <v>6</v>
      </c>
      <c r="AC50" s="72" t="n">
        <v>6</v>
      </c>
      <c r="AD50" s="72" t="n">
        <v>6</v>
      </c>
      <c r="AE50" s="72" t="n">
        <v>6</v>
      </c>
      <c r="AF50" s="380">
        <f>AD50+IF(NOT(ISBLANK(OFFSET(AF50,0,6))),N(OFFSET(AF50,0,6)),N(OFFSET(AF50,0,7)))-AE50</f>
        <v/>
      </c>
      <c r="AG50" s="41" t="n"/>
      <c r="AH50" s="138" t="n"/>
      <c r="AI50" s="138" t="n"/>
      <c r="AJ50" s="608" t="n"/>
      <c r="AK50" s="32" t="n"/>
      <c r="AL50" s="628" t="n">
        <v>0</v>
      </c>
      <c r="AM50" s="19" t="n">
        <v>0</v>
      </c>
      <c r="AN50" s="19" t="n">
        <v>0</v>
      </c>
      <c r="AO50" s="19" t="n">
        <v>0</v>
      </c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19" t="n"/>
      <c r="BD50" s="119" t="n"/>
      <c r="BE50" s="119" t="n"/>
      <c r="BF50" s="19" t="n"/>
      <c r="BG50" s="19" t="n"/>
      <c r="BH50" s="260" t="inlineStr">
        <is>
          <t>10 DE CDJ</t>
        </is>
      </c>
      <c r="BI50" s="19" t="n"/>
    </row>
    <row r="51">
      <c r="A51" s="25" t="inlineStr">
        <is>
          <t>KIT CAIXA M OUI</t>
        </is>
      </c>
      <c r="B51" s="72" t="n">
        <v>100</v>
      </c>
      <c r="C51" s="639" t="n">
        <v>652.05</v>
      </c>
      <c r="D51" s="240" t="n"/>
      <c r="E51" s="41" t="n"/>
      <c r="F51" s="72" t="n">
        <v>10</v>
      </c>
      <c r="G51" s="72" t="n">
        <v>10</v>
      </c>
      <c r="H51" s="72" t="n">
        <v>10</v>
      </c>
      <c r="I51" s="72" t="n">
        <v>10</v>
      </c>
      <c r="J51" s="72" t="n">
        <v>10</v>
      </c>
      <c r="K51" s="72" t="n">
        <v>10</v>
      </c>
      <c r="L51" s="72" t="n">
        <v>10</v>
      </c>
      <c r="M51" s="72" t="n">
        <v>10</v>
      </c>
      <c r="N51" s="72" t="n">
        <v>9</v>
      </c>
      <c r="O51" s="72" t="n">
        <v>9</v>
      </c>
      <c r="P51" s="72" t="n">
        <v>9</v>
      </c>
      <c r="Q51" s="72" t="n">
        <v>9</v>
      </c>
      <c r="R51" s="72" t="n">
        <v>9</v>
      </c>
      <c r="S51" s="72" t="n">
        <v>8</v>
      </c>
      <c r="T51" s="72" t="n">
        <v>8</v>
      </c>
      <c r="U51" s="72" t="n">
        <v>8</v>
      </c>
      <c r="V51" s="72" t="n"/>
      <c r="W51" s="72" t="n"/>
      <c r="X51" s="72" t="n"/>
      <c r="Y51" s="72" t="n"/>
      <c r="Z51" s="72" t="n"/>
      <c r="AA51" s="72" t="n">
        <v>6</v>
      </c>
      <c r="AB51" s="72" t="n">
        <v>6</v>
      </c>
      <c r="AC51" s="72" t="n">
        <v>6</v>
      </c>
      <c r="AD51" s="72" t="n">
        <v>6</v>
      </c>
      <c r="AE51" s="72" t="n">
        <v>6</v>
      </c>
      <c r="AF51" s="380">
        <f>AD51+IF(NOT(ISBLANK(OFFSET(AF51,0,6))),N(OFFSET(AF51,0,6)),N(OFFSET(AF51,0,7)))-AE51</f>
        <v/>
      </c>
      <c r="AG51" s="41" t="n"/>
      <c r="AH51" s="138" t="n"/>
      <c r="AI51" s="138" t="n"/>
      <c r="AJ51" s="1" t="n"/>
      <c r="AK51" s="32" t="n"/>
      <c r="AL51" s="628" t="n">
        <v>0</v>
      </c>
      <c r="AM51" s="19" t="n">
        <v>0</v>
      </c>
      <c r="AN51" s="19" t="n">
        <v>0</v>
      </c>
      <c r="AO51" s="19" t="n">
        <v>0</v>
      </c>
      <c r="AP51" s="19" t="n"/>
      <c r="AQ51" s="19" t="n"/>
      <c r="AR51" s="19" t="n"/>
      <c r="AS51" s="19" t="n"/>
      <c r="AT51" s="19" t="n"/>
      <c r="AU51" s="19" t="n"/>
      <c r="AV51" s="19" t="n"/>
      <c r="AW51" s="19" t="n"/>
      <c r="AX51" s="19" t="n"/>
      <c r="AY51" s="19" t="n"/>
      <c r="AZ51" s="19" t="n"/>
      <c r="BA51" s="19" t="n"/>
      <c r="BB51" s="19" t="n"/>
      <c r="BC51" s="119" t="n"/>
      <c r="BD51" s="119" t="n"/>
      <c r="BE51" s="119" t="n"/>
      <c r="BF51" s="19" t="n"/>
      <c r="BG51" s="19" t="n"/>
      <c r="BH51" s="260" t="inlineStr">
        <is>
          <t>10 DE CDJ</t>
        </is>
      </c>
      <c r="BI51" s="19" t="n"/>
    </row>
    <row r="52">
      <c r="A52" s="25" t="inlineStr">
        <is>
          <t>KIT CAIXA G OUI</t>
        </is>
      </c>
      <c r="B52" s="72" t="n">
        <v>50</v>
      </c>
      <c r="C52" s="639" t="n">
        <v>567.53</v>
      </c>
      <c r="D52" s="240" t="n"/>
      <c r="E52" s="41" t="n"/>
      <c r="F52" s="72" t="n">
        <v>10</v>
      </c>
      <c r="G52" s="72" t="n">
        <v>10</v>
      </c>
      <c r="H52" s="72" t="n">
        <v>10</v>
      </c>
      <c r="I52" s="72" t="n">
        <v>10</v>
      </c>
      <c r="J52" s="72" t="n">
        <v>10</v>
      </c>
      <c r="K52" s="72" t="n">
        <v>10</v>
      </c>
      <c r="L52" s="72" t="n">
        <v>10</v>
      </c>
      <c r="M52" s="72" t="n">
        <v>10</v>
      </c>
      <c r="N52" s="72" t="n">
        <v>10</v>
      </c>
      <c r="O52" s="72" t="n">
        <v>10</v>
      </c>
      <c r="P52" s="72" t="n">
        <v>10</v>
      </c>
      <c r="Q52" s="72" t="n">
        <v>10</v>
      </c>
      <c r="R52" s="72" t="n">
        <v>10</v>
      </c>
      <c r="S52" s="72" t="n">
        <v>10</v>
      </c>
      <c r="T52" s="72" t="n">
        <v>10</v>
      </c>
      <c r="U52" s="72" t="n">
        <v>10</v>
      </c>
      <c r="V52" s="72" t="n"/>
      <c r="W52" s="72" t="n"/>
      <c r="X52" s="72" t="n"/>
      <c r="Y52" s="72" t="n"/>
      <c r="Z52" s="72" t="n"/>
      <c r="AA52" s="72" t="n">
        <v>9</v>
      </c>
      <c r="AB52" s="72" t="n">
        <v>9</v>
      </c>
      <c r="AC52" s="72" t="n">
        <v>9</v>
      </c>
      <c r="AD52" s="72" t="n">
        <v>9</v>
      </c>
      <c r="AE52" s="72" t="n">
        <v>9</v>
      </c>
      <c r="AF52" s="380">
        <f>AD52+IF(NOT(ISBLANK(OFFSET(AF52,0,6))),N(OFFSET(AF52,0,6)),N(OFFSET(AF52,0,7)))-AE52</f>
        <v/>
      </c>
      <c r="AG52" s="41" t="n"/>
      <c r="AH52" s="138" t="n"/>
      <c r="AI52" s="138" t="n"/>
      <c r="AJ52" s="1" t="n"/>
      <c r="AK52" s="32" t="n"/>
      <c r="AL52" s="628" t="n">
        <v>0</v>
      </c>
      <c r="AM52" s="19" t="n">
        <v>0</v>
      </c>
      <c r="AN52" s="19" t="n">
        <v>0</v>
      </c>
      <c r="AO52" s="19" t="n">
        <v>0</v>
      </c>
      <c r="AP52" s="19" t="n"/>
      <c r="AQ52" s="19" t="n"/>
      <c r="AR52" s="19" t="n"/>
      <c r="AS52" s="19" t="n"/>
      <c r="AT52" s="19" t="n"/>
      <c r="AU52" s="19" t="n"/>
      <c r="AV52" s="19" t="n"/>
      <c r="AW52" s="19" t="n"/>
      <c r="AX52" s="19" t="n"/>
      <c r="AY52" s="19" t="n"/>
      <c r="AZ52" s="19" t="n"/>
      <c r="BA52" s="19" t="n"/>
      <c r="BB52" s="19" t="n"/>
      <c r="BC52" s="119" t="n"/>
      <c r="BD52" s="119" t="n"/>
      <c r="BE52" s="119" t="n"/>
      <c r="BF52" s="19" t="n"/>
      <c r="BG52" s="19" t="n"/>
      <c r="BH52" s="260" t="inlineStr">
        <is>
          <t>10 DE CDJ</t>
        </is>
      </c>
      <c r="BI52" s="19" t="n"/>
    </row>
    <row r="53">
      <c r="B53" s="41" t="n"/>
      <c r="C53" s="41" t="n"/>
      <c r="D53" s="41" t="n"/>
      <c r="E53" s="41" t="n"/>
      <c r="F53" s="41" t="n"/>
      <c r="G53" s="41" t="n"/>
      <c r="H53" s="41" t="n"/>
      <c r="I53" s="41" t="n"/>
      <c r="J53" s="41" t="n"/>
      <c r="K53" s="41" t="n"/>
      <c r="L53" s="41" t="n"/>
      <c r="M53" s="41" t="n"/>
      <c r="N53" s="41" t="n"/>
      <c r="O53" s="41" t="n"/>
      <c r="P53" s="41" t="n"/>
      <c r="Q53" s="41" t="n"/>
      <c r="R53" s="41" t="n"/>
      <c r="S53" s="41" t="n"/>
      <c r="T53" s="41" t="n"/>
      <c r="U53" s="41" t="n"/>
      <c r="V53" s="41" t="n"/>
      <c r="W53" s="41" t="n"/>
      <c r="X53" s="41" t="n"/>
      <c r="Y53" s="41" t="n"/>
      <c r="Z53" s="41" t="n"/>
      <c r="AA53" s="41" t="n"/>
      <c r="AB53" s="41" t="n"/>
      <c r="AC53" s="41" t="n"/>
      <c r="AD53" s="41" t="n"/>
      <c r="AE53" s="41" t="n"/>
      <c r="AF53" s="41" t="n"/>
      <c r="AG53" s="41" t="n"/>
      <c r="AJ53" s="41" t="n"/>
      <c r="AL53" s="648" t="n"/>
      <c r="AM53" s="648" t="n"/>
      <c r="AN53" s="648" t="n"/>
      <c r="AO53" s="648" t="n"/>
      <c r="AP53" s="648" t="n"/>
      <c r="AQ53" s="648" t="n"/>
      <c r="AR53" s="648" t="n"/>
      <c r="AS53" s="648" t="n"/>
      <c r="AT53" s="648" t="n"/>
      <c r="AU53" s="648" t="n"/>
      <c r="AV53" s="648" t="n"/>
      <c r="AW53" s="648" t="n"/>
      <c r="AX53" s="648" t="n"/>
      <c r="AY53" s="648" t="n"/>
      <c r="AZ53" s="648" t="n"/>
      <c r="BA53" s="648" t="n"/>
      <c r="BB53" s="648" t="n"/>
      <c r="BC53" s="648" t="n"/>
      <c r="BD53" s="648" t="n"/>
      <c r="BE53" s="648" t="n"/>
      <c r="BF53" s="648" t="n"/>
      <c r="BG53" s="648" t="n"/>
      <c r="BH53" s="648" t="n"/>
      <c r="BI53" s="648" t="n"/>
    </row>
    <row r="54">
      <c r="A54" s="149" t="inlineStr">
        <is>
          <t>SACOLAS E CAIXAS QDB</t>
        </is>
      </c>
      <c r="B54" s="150" t="n"/>
      <c r="C54" s="150" t="n"/>
      <c r="D54" s="150" t="n"/>
      <c r="E54" s="1" t="n"/>
      <c r="F54" s="619" t="n">
        <v>46006</v>
      </c>
      <c r="G54" s="619" t="n">
        <v>46013</v>
      </c>
      <c r="H54" s="619" t="n">
        <v>46020</v>
      </c>
      <c r="I54" s="619" t="n">
        <v>46027</v>
      </c>
      <c r="J54" s="619" t="n">
        <v>46034</v>
      </c>
      <c r="K54" s="619" t="n">
        <v>46041</v>
      </c>
      <c r="L54" s="619" t="n">
        <v>46048</v>
      </c>
      <c r="M54" s="619" t="n">
        <v>46055</v>
      </c>
      <c r="N54" s="619" t="n">
        <v>46062</v>
      </c>
      <c r="O54" s="619" t="n">
        <v>46069</v>
      </c>
      <c r="P54" s="619" t="n">
        <v>46076</v>
      </c>
      <c r="Q54" s="619" t="n">
        <v>46083</v>
      </c>
      <c r="R54" s="619" t="n">
        <v>46090</v>
      </c>
      <c r="S54" s="619" t="n">
        <v>46097</v>
      </c>
      <c r="T54" s="619" t="n">
        <v>46104</v>
      </c>
      <c r="U54" s="619" t="n">
        <v>46111</v>
      </c>
      <c r="V54" s="619" t="n">
        <v>46118</v>
      </c>
      <c r="W54" s="619" t="n">
        <v>46125</v>
      </c>
      <c r="X54" s="619" t="n">
        <v>46132</v>
      </c>
      <c r="Y54" s="619" t="n">
        <v>46139</v>
      </c>
      <c r="Z54" s="619" t="n">
        <v>46146</v>
      </c>
      <c r="AA54" s="619" t="n">
        <v>46154</v>
      </c>
      <c r="AB54" s="619" t="n">
        <v>46160</v>
      </c>
      <c r="AC54" s="620" t="n">
        <v>46161.48013633102</v>
      </c>
      <c r="AD54" s="620" t="n">
        <v>46161.48080996528</v>
      </c>
      <c r="AE54" s="620" t="n">
        <v>46161.48296747034</v>
      </c>
      <c r="AF54" s="621" t="inlineStr">
        <is>
          <t>USOU</t>
        </is>
      </c>
      <c r="AG54" s="41" t="n"/>
      <c r="AH54" s="29" t="inlineStr">
        <is>
          <t>Pendências</t>
        </is>
      </c>
      <c r="AI54" s="29" t="inlineStr">
        <is>
          <t>Pendências</t>
        </is>
      </c>
      <c r="AK54" s="9" t="inlineStr">
        <is>
          <t>Novo Pedido</t>
        </is>
      </c>
      <c r="AL54" s="673" t="n">
        <v>46161.4829662086</v>
      </c>
      <c r="AM54" s="674" t="n">
        <v>46149</v>
      </c>
      <c r="AN54" s="674" t="n">
        <v>46142</v>
      </c>
      <c r="AO54" s="674" t="n">
        <v>46114</v>
      </c>
      <c r="AP54" s="674" t="n">
        <v>46099</v>
      </c>
      <c r="AQ54" s="675" t="n">
        <v>46065</v>
      </c>
      <c r="AR54" s="674" t="n">
        <v>46077</v>
      </c>
      <c r="AS54" s="676" t="n">
        <v>46045</v>
      </c>
      <c r="AT54" s="674" t="n">
        <v>46056</v>
      </c>
      <c r="AU54" s="674" t="n">
        <v>46017</v>
      </c>
      <c r="AV54" s="674" t="n">
        <v>46007</v>
      </c>
      <c r="AW54" s="674" t="n">
        <v>46001</v>
      </c>
      <c r="AX54" s="674" t="n">
        <v>45994</v>
      </c>
      <c r="AY54" s="674" t="n">
        <v>45986</v>
      </c>
      <c r="AZ54" s="674" t="n">
        <v>45980</v>
      </c>
      <c r="BA54" s="674" t="n">
        <v>45980</v>
      </c>
      <c r="BB54" s="674" t="n">
        <v>45973</v>
      </c>
      <c r="BC54" s="677" t="n">
        <v>45982</v>
      </c>
      <c r="BD54" s="677" t="n">
        <v>45979</v>
      </c>
      <c r="BE54" s="693" t="n">
        <v>45974</v>
      </c>
      <c r="BF54" s="693" t="n">
        <v>45972</v>
      </c>
      <c r="BG54" s="691" t="n">
        <v>45968</v>
      </c>
      <c r="BH54" s="677" t="n">
        <v>45967</v>
      </c>
      <c r="BI54" s="692" t="n">
        <v>45964</v>
      </c>
    </row>
    <row r="55">
      <c r="A55" s="25" t="inlineStr">
        <is>
          <t>SACOLA P - QDB</t>
        </is>
      </c>
      <c r="B55" s="6" t="n">
        <v>300</v>
      </c>
      <c r="C55" s="632" t="n">
        <v>169.8</v>
      </c>
      <c r="D55" s="240" t="n"/>
      <c r="E55" s="1" t="n"/>
      <c r="F55" s="39" t="n">
        <v>0</v>
      </c>
      <c r="G55" s="39" t="n">
        <v>0</v>
      </c>
      <c r="H55" s="39" t="n">
        <v>0</v>
      </c>
      <c r="I55" s="39" t="n">
        <v>0</v>
      </c>
      <c r="J55" s="39" t="n">
        <v>0</v>
      </c>
      <c r="K55" s="39" t="n">
        <v>0</v>
      </c>
      <c r="L55" s="39" t="n">
        <v>0</v>
      </c>
      <c r="M55" s="39" t="n">
        <v>0</v>
      </c>
      <c r="N55" s="39" t="n">
        <v>0</v>
      </c>
      <c r="O55" s="39" t="n">
        <v>0</v>
      </c>
      <c r="P55" s="39" t="n">
        <v>0</v>
      </c>
      <c r="Q55" s="39" t="n">
        <v>0</v>
      </c>
      <c r="R55" s="39" t="n">
        <v>0</v>
      </c>
      <c r="S55" s="39" t="n">
        <v>0</v>
      </c>
      <c r="T55" s="39" t="n">
        <v>0</v>
      </c>
      <c r="U55" s="39" t="n">
        <v>0</v>
      </c>
      <c r="V55" s="39" t="n">
        <v>0</v>
      </c>
      <c r="W55" s="39" t="n">
        <v>0</v>
      </c>
      <c r="X55" s="39" t="n">
        <v>0</v>
      </c>
      <c r="Y55" s="39" t="n">
        <v>0</v>
      </c>
      <c r="Z55" s="39" t="n">
        <v>0</v>
      </c>
      <c r="AA55" s="39" t="n">
        <v>0</v>
      </c>
      <c r="AB55" s="39" t="n"/>
      <c r="AC55" s="6" t="n"/>
      <c r="AD55" s="6" t="n"/>
      <c r="AE55" s="6" t="n"/>
      <c r="AF55" s="380">
        <f>AD55+IF(NOT(ISBLANK(OFFSET(AF55,0,6))),N(OFFSET(AF55,0,6)),N(OFFSET(AF55,0,7)))-AE55</f>
        <v/>
      </c>
      <c r="AG55" s="41" t="n"/>
      <c r="AH55" s="138" t="n"/>
      <c r="AI55" s="138" t="n"/>
      <c r="AK55" s="76" t="n"/>
      <c r="AL55" s="628" t="n">
        <v>0</v>
      </c>
      <c r="AM55" s="19" t="n">
        <v>0</v>
      </c>
      <c r="AN55" s="19" t="n">
        <v>0</v>
      </c>
      <c r="AO55" s="19" t="n">
        <v>0</v>
      </c>
      <c r="AP55" s="19" t="n"/>
      <c r="AQ55" s="19" t="n"/>
      <c r="AR55" s="19" t="n"/>
      <c r="AS55" s="19" t="n"/>
      <c r="AT55" s="19" t="n"/>
      <c r="AU55" s="19" t="n"/>
      <c r="AV55" s="19" t="n"/>
      <c r="AW55" s="19" t="n"/>
      <c r="AX55" s="19" t="n"/>
      <c r="AY55" s="19" t="n"/>
      <c r="AZ55" s="19" t="n"/>
      <c r="BA55" s="19" t="n"/>
      <c r="BB55" s="19" t="n"/>
      <c r="BC55" s="119" t="n"/>
      <c r="BD55" s="119" t="n"/>
      <c r="BE55" s="119" t="n"/>
      <c r="BF55" s="19" t="n"/>
      <c r="BG55" s="19" t="n"/>
      <c r="BH55" s="119" t="n"/>
      <c r="BI55" s="19" t="n"/>
    </row>
    <row r="56">
      <c r="A56" s="25" t="inlineStr">
        <is>
          <t>SACOLA M - QDB</t>
        </is>
      </c>
      <c r="B56" s="6" t="n">
        <v>200</v>
      </c>
      <c r="C56" s="632" t="n">
        <v>175.22</v>
      </c>
      <c r="D56" s="240" t="n"/>
      <c r="E56" s="1" t="n"/>
      <c r="F56" s="39" t="n">
        <v>0</v>
      </c>
      <c r="G56" s="39" t="n">
        <v>0</v>
      </c>
      <c r="H56" s="39" t="n">
        <v>0</v>
      </c>
      <c r="I56" s="39" t="n">
        <v>0</v>
      </c>
      <c r="J56" s="39" t="n">
        <v>0</v>
      </c>
      <c r="K56" s="39" t="n">
        <v>0</v>
      </c>
      <c r="L56" s="39" t="n">
        <v>0</v>
      </c>
      <c r="M56" s="39" t="n">
        <v>0</v>
      </c>
      <c r="N56" s="39" t="n">
        <v>0</v>
      </c>
      <c r="O56" s="39" t="n">
        <v>0</v>
      </c>
      <c r="P56" s="39" t="n">
        <v>0</v>
      </c>
      <c r="Q56" s="39" t="n">
        <v>0</v>
      </c>
      <c r="R56" s="39" t="n">
        <v>0</v>
      </c>
      <c r="S56" s="39" t="n">
        <v>0</v>
      </c>
      <c r="T56" s="39" t="n">
        <v>0</v>
      </c>
      <c r="U56" s="39" t="n">
        <v>0</v>
      </c>
      <c r="V56" s="39" t="n">
        <v>0</v>
      </c>
      <c r="W56" s="39" t="n">
        <v>0</v>
      </c>
      <c r="X56" s="39" t="n">
        <v>0</v>
      </c>
      <c r="Y56" s="39" t="n">
        <v>0</v>
      </c>
      <c r="Z56" s="39" t="n">
        <v>0</v>
      </c>
      <c r="AA56" s="39" t="n">
        <v>0</v>
      </c>
      <c r="AB56" s="39" t="n"/>
      <c r="AC56" s="6" t="n"/>
      <c r="AD56" s="6" t="n"/>
      <c r="AE56" s="6" t="n"/>
      <c r="AF56" s="380">
        <f>AD56+IF(NOT(ISBLANK(OFFSET(AF56,0,6))),N(OFFSET(AF56,0,6)),N(OFFSET(AF56,0,7)))-AE56</f>
        <v/>
      </c>
      <c r="AG56" s="41" t="n"/>
      <c r="AH56" s="138" t="n"/>
      <c r="AI56" s="138" t="n"/>
      <c r="AK56" s="76" t="n"/>
      <c r="AL56" s="628" t="n">
        <v>0</v>
      </c>
      <c r="AM56" s="19" t="n">
        <v>0</v>
      </c>
      <c r="AN56" s="19" t="n">
        <v>0</v>
      </c>
      <c r="AO56" s="19" t="n">
        <v>0</v>
      </c>
      <c r="AP56" s="19" t="n"/>
      <c r="AQ56" s="19" t="n"/>
      <c r="AR56" s="19" t="n"/>
      <c r="AS56" s="19" t="n"/>
      <c r="AT56" s="19" t="n"/>
      <c r="AU56" s="19" t="n"/>
      <c r="AV56" s="19" t="n"/>
      <c r="AW56" s="19" t="n"/>
      <c r="AX56" s="19" t="n"/>
      <c r="AY56" s="19" t="n"/>
      <c r="AZ56" s="19" t="n"/>
      <c r="BA56" s="19" t="n"/>
      <c r="BB56" s="19" t="n"/>
      <c r="BC56" s="119" t="n"/>
      <c r="BD56" s="119" t="n"/>
      <c r="BE56" s="119" t="n"/>
      <c r="BF56" s="19" t="n"/>
      <c r="BG56" s="19" t="n"/>
      <c r="BH56" s="119" t="n"/>
      <c r="BI56" s="19" t="n"/>
    </row>
    <row r="57">
      <c r="A57" s="25" t="inlineStr">
        <is>
          <t>SACOLA G - QDB</t>
        </is>
      </c>
      <c r="B57" s="6" t="n">
        <v>200</v>
      </c>
      <c r="C57" s="632" t="n">
        <v>230.34</v>
      </c>
      <c r="D57" s="240" t="n"/>
      <c r="E57" s="1" t="n"/>
      <c r="F57" s="39" t="n">
        <v>0</v>
      </c>
      <c r="G57" s="39" t="n">
        <v>0</v>
      </c>
      <c r="H57" s="39" t="n">
        <v>0</v>
      </c>
      <c r="I57" s="39" t="n">
        <v>0</v>
      </c>
      <c r="J57" s="39" t="n">
        <v>0</v>
      </c>
      <c r="K57" s="39" t="n">
        <v>0</v>
      </c>
      <c r="L57" s="39" t="n">
        <v>0</v>
      </c>
      <c r="M57" s="39" t="n">
        <v>0</v>
      </c>
      <c r="N57" s="39" t="n">
        <v>0</v>
      </c>
      <c r="O57" s="39" t="n">
        <v>0</v>
      </c>
      <c r="P57" s="39" t="n">
        <v>0</v>
      </c>
      <c r="Q57" s="39" t="n">
        <v>0</v>
      </c>
      <c r="R57" s="39" t="n">
        <v>0</v>
      </c>
      <c r="S57" s="39" t="n">
        <v>0</v>
      </c>
      <c r="T57" s="39" t="n">
        <v>0</v>
      </c>
      <c r="U57" s="39" t="n">
        <v>0</v>
      </c>
      <c r="V57" s="39" t="n">
        <v>0</v>
      </c>
      <c r="W57" s="39" t="n">
        <v>0</v>
      </c>
      <c r="X57" s="39" t="n">
        <v>0</v>
      </c>
      <c r="Y57" s="39" t="n">
        <v>0</v>
      </c>
      <c r="Z57" s="39" t="n">
        <v>0</v>
      </c>
      <c r="AA57" s="39" t="n">
        <v>0</v>
      </c>
      <c r="AB57" s="39" t="n"/>
      <c r="AC57" s="6" t="n"/>
      <c r="AD57" s="6" t="n"/>
      <c r="AE57" s="6" t="n"/>
      <c r="AF57" s="380">
        <f>AD57+IF(NOT(ISBLANK(OFFSET(AF57,0,6))),N(OFFSET(AF57,0,6)),N(OFFSET(AF57,0,7)))-AE57</f>
        <v/>
      </c>
      <c r="AG57" s="41" t="n"/>
      <c r="AH57" s="138" t="n"/>
      <c r="AI57" s="138" t="n"/>
      <c r="AK57" s="76" t="n"/>
      <c r="AL57" s="628" t="n">
        <v>0</v>
      </c>
      <c r="AM57" s="19" t="n">
        <v>0</v>
      </c>
      <c r="AN57" s="19" t="n">
        <v>0</v>
      </c>
      <c r="AO57" s="19" t="n">
        <v>0</v>
      </c>
      <c r="AP57" s="19" t="n"/>
      <c r="AQ57" s="19" t="n"/>
      <c r="AR57" s="19" t="n"/>
      <c r="AS57" s="19" t="n"/>
      <c r="AT57" s="19" t="n"/>
      <c r="AU57" s="19" t="n"/>
      <c r="AV57" s="19" t="n"/>
      <c r="AW57" s="19" t="n"/>
      <c r="AX57" s="19" t="n"/>
      <c r="AY57" s="19" t="n"/>
      <c r="AZ57" s="19" t="n"/>
      <c r="BA57" s="19" t="n"/>
      <c r="BB57" s="19" t="n"/>
      <c r="BC57" s="119" t="n"/>
      <c r="BD57" s="119" t="n"/>
      <c r="BE57" s="119" t="n"/>
      <c r="BF57" s="19" t="n"/>
      <c r="BG57" s="19" t="n"/>
      <c r="BH57" s="119" t="n"/>
      <c r="BI57" s="19" t="n"/>
    </row>
    <row r="58">
      <c r="A58" s="538" t="inlineStr">
        <is>
          <t>PAPEL DE SEDA QDB</t>
        </is>
      </c>
      <c r="B58" s="72" t="n">
        <v>100</v>
      </c>
      <c r="C58" s="639" t="n">
        <v>22.98</v>
      </c>
      <c r="D58" s="240" t="n"/>
      <c r="F58" s="39" t="n">
        <v>0</v>
      </c>
      <c r="G58" s="39" t="n">
        <v>0</v>
      </c>
      <c r="H58" s="39" t="n">
        <v>0</v>
      </c>
      <c r="I58" s="39" t="n">
        <v>0</v>
      </c>
      <c r="J58" s="39" t="n">
        <v>0</v>
      </c>
      <c r="K58" s="39" t="n">
        <v>0</v>
      </c>
      <c r="L58" s="39" t="n">
        <v>0</v>
      </c>
      <c r="M58" s="39" t="n">
        <v>0</v>
      </c>
      <c r="N58" s="39" t="n">
        <v>0</v>
      </c>
      <c r="O58" s="39" t="n">
        <v>0</v>
      </c>
      <c r="P58" s="39" t="n">
        <v>0</v>
      </c>
      <c r="Q58" s="39" t="n">
        <v>0</v>
      </c>
      <c r="R58" s="39" t="n">
        <v>0</v>
      </c>
      <c r="S58" s="39" t="n">
        <v>0</v>
      </c>
      <c r="T58" s="39" t="n">
        <v>0</v>
      </c>
      <c r="U58" s="39" t="n">
        <v>0</v>
      </c>
      <c r="V58" s="39" t="n">
        <v>0</v>
      </c>
      <c r="W58" s="39" t="n">
        <v>0</v>
      </c>
      <c r="X58" s="39" t="n">
        <v>0</v>
      </c>
      <c r="Y58" s="39" t="n">
        <v>0</v>
      </c>
      <c r="Z58" s="39" t="n">
        <v>0</v>
      </c>
      <c r="AA58" s="39" t="n">
        <v>0</v>
      </c>
      <c r="AB58" s="39" t="n"/>
      <c r="AC58" s="6" t="n"/>
      <c r="AD58" s="6" t="n"/>
      <c r="AE58" s="6" t="n"/>
      <c r="AF58" s="380">
        <f>AD58+IF(NOT(ISBLANK(OFFSET(AF58,0,6))),N(OFFSET(AF58,0,6)),N(OFFSET(AF58,0,7)))-AE58</f>
        <v/>
      </c>
      <c r="AH58" s="138" t="n"/>
      <c r="AI58" s="138" t="n"/>
      <c r="AJ58" s="1" t="n"/>
      <c r="AK58" s="32" t="n"/>
      <c r="AL58" s="628" t="n">
        <v>0</v>
      </c>
      <c r="AM58" s="19" t="n">
        <v>0</v>
      </c>
      <c r="AN58" s="19" t="n">
        <v>0</v>
      </c>
      <c r="AO58" s="19" t="n">
        <v>0</v>
      </c>
      <c r="AP58" s="19" t="n"/>
      <c r="AQ58" s="19" t="n"/>
      <c r="AR58" s="19" t="n"/>
      <c r="AS58" s="19" t="n"/>
      <c r="AT58" s="19" t="n"/>
      <c r="AU58" s="19" t="n"/>
      <c r="AV58" s="19" t="n"/>
      <c r="AW58" s="19" t="n"/>
      <c r="AX58" s="19" t="n"/>
      <c r="AY58" s="19" t="n"/>
      <c r="AZ58" s="19" t="n"/>
      <c r="BA58" s="19" t="n"/>
      <c r="BB58" s="19" t="n"/>
      <c r="BC58" s="119" t="n"/>
      <c r="BD58" s="119" t="n"/>
      <c r="BE58" s="119" t="n"/>
      <c r="BF58" s="19" t="n"/>
      <c r="BG58" s="19" t="n"/>
      <c r="BH58" s="119" t="n"/>
      <c r="BI58" s="19" t="n"/>
    </row>
    <row r="59">
      <c r="A59" s="25" t="inlineStr">
        <is>
          <t>ETIQUETA QDB</t>
        </is>
      </c>
      <c r="B59" s="6" t="n">
        <v>1000</v>
      </c>
      <c r="C59" s="632" t="n">
        <v>7.75</v>
      </c>
      <c r="D59" s="240" t="n"/>
      <c r="E59" s="1" t="n"/>
      <c r="F59" s="39" t="n">
        <v>0</v>
      </c>
      <c r="G59" s="39" t="n">
        <v>0</v>
      </c>
      <c r="H59" s="39" t="n">
        <v>0</v>
      </c>
      <c r="I59" s="39" t="n">
        <v>0</v>
      </c>
      <c r="J59" s="39" t="n">
        <v>0</v>
      </c>
      <c r="K59" s="39" t="n">
        <v>0</v>
      </c>
      <c r="L59" s="39" t="n">
        <v>0</v>
      </c>
      <c r="M59" s="39" t="n">
        <v>0</v>
      </c>
      <c r="N59" s="39" t="n">
        <v>0</v>
      </c>
      <c r="O59" s="39" t="n">
        <v>0</v>
      </c>
      <c r="P59" s="39" t="n">
        <v>0</v>
      </c>
      <c r="Q59" s="39" t="n">
        <v>0</v>
      </c>
      <c r="R59" s="39" t="n">
        <v>0</v>
      </c>
      <c r="S59" s="39" t="n">
        <v>0</v>
      </c>
      <c r="T59" s="39" t="n">
        <v>0</v>
      </c>
      <c r="U59" s="39" t="n">
        <v>0</v>
      </c>
      <c r="V59" s="39" t="n">
        <v>0</v>
      </c>
      <c r="W59" s="39" t="n">
        <v>0</v>
      </c>
      <c r="X59" s="39" t="n">
        <v>0</v>
      </c>
      <c r="Y59" s="39" t="n">
        <v>0</v>
      </c>
      <c r="Z59" s="39" t="n">
        <v>0</v>
      </c>
      <c r="AA59" s="39" t="n">
        <v>0</v>
      </c>
      <c r="AB59" s="39" t="n"/>
      <c r="AC59" s="6" t="n"/>
      <c r="AD59" s="6" t="n"/>
      <c r="AE59" s="6" t="n"/>
      <c r="AF59" s="380">
        <f>AD59+IF(NOT(ISBLANK(OFFSET(AF59,0,6))),N(OFFSET(AF59,0,6)),N(OFFSET(AF59,0,7)))-AE59</f>
        <v/>
      </c>
      <c r="AG59" s="41" t="n"/>
      <c r="AH59" s="138" t="n"/>
      <c r="AI59" s="138" t="n"/>
      <c r="AK59" s="76" t="n"/>
      <c r="AL59" s="628" t="n">
        <v>0</v>
      </c>
      <c r="AM59" s="19" t="n">
        <v>0</v>
      </c>
      <c r="AN59" s="19" t="n">
        <v>0</v>
      </c>
      <c r="AO59" s="19" t="n">
        <v>0</v>
      </c>
      <c r="AP59" s="19" t="n"/>
      <c r="AQ59" s="19" t="n"/>
      <c r="AR59" s="19" t="n"/>
      <c r="AS59" s="19" t="n"/>
      <c r="AT59" s="19" t="n"/>
      <c r="AU59" s="19" t="n"/>
      <c r="AV59" s="19" t="n"/>
      <c r="AW59" s="19" t="n"/>
      <c r="AX59" s="19" t="n"/>
      <c r="AY59" s="19" t="n"/>
      <c r="AZ59" s="19" t="n"/>
      <c r="BA59" s="19" t="n"/>
      <c r="BB59" s="19" t="n"/>
      <c r="BC59" s="119" t="n"/>
      <c r="BD59" s="119" t="n"/>
      <c r="BE59" s="119" t="n"/>
      <c r="BF59" s="19" t="n"/>
      <c r="BG59" s="19" t="n"/>
      <c r="BH59" s="119" t="n"/>
      <c r="BI59" s="19" t="n"/>
    </row>
    <row r="60">
      <c r="A60" s="25" t="inlineStr">
        <is>
          <t>TAG QDB</t>
        </is>
      </c>
      <c r="B60" s="6" t="n">
        <v>300</v>
      </c>
      <c r="C60" s="632" t="n">
        <v>53.97</v>
      </c>
      <c r="D60" s="240" t="n"/>
      <c r="E60" s="1" t="n"/>
      <c r="F60" s="39" t="n">
        <v>0</v>
      </c>
      <c r="G60" s="39" t="n">
        <v>0</v>
      </c>
      <c r="H60" s="39" t="n">
        <v>0</v>
      </c>
      <c r="I60" s="39" t="n">
        <v>0</v>
      </c>
      <c r="J60" s="39" t="n">
        <v>0</v>
      </c>
      <c r="K60" s="39" t="n">
        <v>0</v>
      </c>
      <c r="L60" s="39" t="n">
        <v>0</v>
      </c>
      <c r="M60" s="39" t="n">
        <v>0</v>
      </c>
      <c r="N60" s="39" t="n">
        <v>0</v>
      </c>
      <c r="O60" s="39" t="n">
        <v>0</v>
      </c>
      <c r="P60" s="39" t="n">
        <v>0</v>
      </c>
      <c r="Q60" s="39" t="n">
        <v>0</v>
      </c>
      <c r="R60" s="39" t="n">
        <v>0</v>
      </c>
      <c r="S60" s="39" t="n">
        <v>0</v>
      </c>
      <c r="T60" s="39" t="n">
        <v>0</v>
      </c>
      <c r="U60" s="39" t="n">
        <v>0</v>
      </c>
      <c r="V60" s="39" t="n">
        <v>0</v>
      </c>
      <c r="W60" s="39" t="n">
        <v>0</v>
      </c>
      <c r="X60" s="39" t="n">
        <v>0</v>
      </c>
      <c r="Y60" s="39" t="n">
        <v>0</v>
      </c>
      <c r="Z60" s="39" t="n">
        <v>0</v>
      </c>
      <c r="AA60" s="39" t="n">
        <v>0</v>
      </c>
      <c r="AB60" s="39" t="n"/>
      <c r="AC60" s="6" t="n"/>
      <c r="AD60" s="6" t="n"/>
      <c r="AE60" s="6" t="n"/>
      <c r="AF60" s="380">
        <f>AD60+IF(NOT(ISBLANK(OFFSET(AF60,0,6))),N(OFFSET(AF60,0,6)),N(OFFSET(AF60,0,7)))-AE60</f>
        <v/>
      </c>
      <c r="AG60" s="41" t="n"/>
      <c r="AH60" s="138" t="n"/>
      <c r="AI60" s="138" t="n"/>
      <c r="AK60" s="76" t="n"/>
      <c r="AL60" s="628" t="n">
        <v>0</v>
      </c>
      <c r="AM60" s="19" t="n">
        <v>0</v>
      </c>
      <c r="AN60" s="19" t="n">
        <v>0</v>
      </c>
      <c r="AO60" s="19" t="n">
        <v>0</v>
      </c>
      <c r="AP60" s="19" t="n"/>
      <c r="AQ60" s="19" t="n"/>
      <c r="AR60" s="19" t="n"/>
      <c r="AS60" s="19" t="n"/>
      <c r="AT60" s="19" t="n"/>
      <c r="AU60" s="19" t="n"/>
      <c r="AV60" s="19" t="n"/>
      <c r="AW60" s="19" t="n"/>
      <c r="AX60" s="19" t="n"/>
      <c r="AY60" s="19" t="n"/>
      <c r="AZ60" s="19" t="n"/>
      <c r="BA60" s="19" t="n"/>
      <c r="BB60" s="19" t="n"/>
      <c r="BC60" s="119" t="n"/>
      <c r="BD60" s="119" t="n"/>
      <c r="BE60" s="119" t="n"/>
      <c r="BF60" s="19" t="n"/>
      <c r="BG60" s="19" t="n"/>
      <c r="BH60" s="119" t="n"/>
      <c r="BI60" s="19" t="n"/>
    </row>
    <row r="61">
      <c r="A61" s="25" t="inlineStr">
        <is>
          <t>LÂMINA OLFATIVA QDB</t>
        </is>
      </c>
      <c r="B61" s="6" t="n">
        <v>3000</v>
      </c>
      <c r="C61" s="632" t="n">
        <v>213</v>
      </c>
      <c r="D61" s="240" t="n"/>
      <c r="E61" s="1" t="n"/>
      <c r="F61" s="39" t="n">
        <v>0</v>
      </c>
      <c r="G61" s="39" t="n">
        <v>0</v>
      </c>
      <c r="H61" s="39" t="n">
        <v>0</v>
      </c>
      <c r="I61" s="39" t="n">
        <v>0</v>
      </c>
      <c r="J61" s="39" t="n">
        <v>0</v>
      </c>
      <c r="K61" s="39" t="n">
        <v>0</v>
      </c>
      <c r="L61" s="39" t="n">
        <v>0</v>
      </c>
      <c r="M61" s="39" t="n">
        <v>0</v>
      </c>
      <c r="N61" s="39" t="n">
        <v>0</v>
      </c>
      <c r="O61" s="39" t="n">
        <v>0</v>
      </c>
      <c r="P61" s="39" t="n">
        <v>0</v>
      </c>
      <c r="Q61" s="39" t="n">
        <v>0</v>
      </c>
      <c r="R61" s="39" t="n">
        <v>0</v>
      </c>
      <c r="S61" s="39" t="n">
        <v>0</v>
      </c>
      <c r="T61" s="39" t="n">
        <v>0</v>
      </c>
      <c r="U61" s="39" t="n">
        <v>0</v>
      </c>
      <c r="V61" s="39" t="n">
        <v>0</v>
      </c>
      <c r="W61" s="39" t="n">
        <v>0</v>
      </c>
      <c r="X61" s="39" t="n">
        <v>0</v>
      </c>
      <c r="Y61" s="39" t="n">
        <v>0</v>
      </c>
      <c r="Z61" s="39" t="n">
        <v>0</v>
      </c>
      <c r="AA61" s="39" t="n">
        <v>0</v>
      </c>
      <c r="AB61" s="39" t="n"/>
      <c r="AC61" s="6" t="n"/>
      <c r="AD61" s="6" t="n"/>
      <c r="AE61" s="6" t="n"/>
      <c r="AF61" s="380">
        <f>AD61+IF(NOT(ISBLANK(OFFSET(AF61,0,6))),N(OFFSET(AF61,0,6)),N(OFFSET(AF61,0,7)))-AE61</f>
        <v/>
      </c>
      <c r="AG61" s="41" t="n"/>
      <c r="AH61" s="138" t="n"/>
      <c r="AI61" s="138" t="n"/>
      <c r="AK61" s="76" t="n"/>
      <c r="AL61" s="628" t="n">
        <v>0</v>
      </c>
      <c r="AM61" s="19" t="n">
        <v>0</v>
      </c>
      <c r="AN61" s="19" t="n">
        <v>0</v>
      </c>
      <c r="AO61" s="19" t="n">
        <v>0</v>
      </c>
      <c r="AP61" s="19" t="n"/>
      <c r="AQ61" s="19" t="n"/>
      <c r="AR61" s="19" t="n"/>
      <c r="AS61" s="19" t="n"/>
      <c r="AT61" s="19" t="n"/>
      <c r="AU61" s="19" t="n"/>
      <c r="AV61" s="19" t="n"/>
      <c r="AW61" s="19" t="n"/>
      <c r="AX61" s="19" t="n"/>
      <c r="AY61" s="19" t="n"/>
      <c r="AZ61" s="19" t="n"/>
      <c r="BA61" s="19" t="n"/>
      <c r="BB61" s="19" t="n"/>
      <c r="BC61" s="119" t="n"/>
      <c r="BD61" s="119" t="n"/>
      <c r="BE61" s="119" t="n"/>
      <c r="BF61" s="19" t="n"/>
      <c r="BG61" s="19" t="n"/>
      <c r="BH61" s="119" t="n"/>
      <c r="BI61" s="19" t="n"/>
    </row>
    <row r="62">
      <c r="A62" s="25" t="inlineStr">
        <is>
          <t>CAIXA P QDB</t>
        </is>
      </c>
      <c r="B62" s="6" t="n">
        <v>150</v>
      </c>
      <c r="C62" s="632" t="n">
        <v>306</v>
      </c>
      <c r="D62" s="240" t="n"/>
      <c r="E62" s="1" t="n"/>
      <c r="F62" s="39" t="n">
        <v>20</v>
      </c>
      <c r="G62" s="39" t="n">
        <v>19</v>
      </c>
      <c r="H62" s="39" t="n">
        <v>19</v>
      </c>
      <c r="I62" s="39" t="n">
        <v>19</v>
      </c>
      <c r="J62" s="39" t="n">
        <v>19</v>
      </c>
      <c r="K62" s="39" t="n">
        <v>19</v>
      </c>
      <c r="L62" s="39" t="n">
        <v>19</v>
      </c>
      <c r="M62" s="39" t="n">
        <v>19</v>
      </c>
      <c r="N62" s="39" t="n">
        <v>19</v>
      </c>
      <c r="O62" s="39" t="n">
        <v>19</v>
      </c>
      <c r="P62" s="39" t="n">
        <v>19</v>
      </c>
      <c r="Q62" s="39" t="n">
        <v>19</v>
      </c>
      <c r="R62" s="39" t="n">
        <v>19</v>
      </c>
      <c r="S62" s="39" t="n">
        <v>19</v>
      </c>
      <c r="T62" s="39" t="n">
        <v>19</v>
      </c>
      <c r="U62" s="39" t="n">
        <v>18</v>
      </c>
      <c r="V62" s="39" t="n"/>
      <c r="W62" s="39" t="n"/>
      <c r="X62" s="39" t="n"/>
      <c r="Y62" s="39" t="n"/>
      <c r="Z62" s="39" t="n"/>
      <c r="AA62" s="39" t="n">
        <v>17</v>
      </c>
      <c r="AB62" s="39" t="n">
        <v>17</v>
      </c>
      <c r="AC62" s="6" t="n">
        <v>17</v>
      </c>
      <c r="AD62" s="6" t="n">
        <v>17</v>
      </c>
      <c r="AE62" s="6" t="n">
        <v>17</v>
      </c>
      <c r="AF62" s="380">
        <f>AD62+IF(NOT(ISBLANK(OFFSET(AF62,0,6))),N(OFFSET(AF62,0,6)),N(OFFSET(AF62,0,7)))-AE62</f>
        <v/>
      </c>
      <c r="AG62" s="41" t="n"/>
      <c r="AH62" s="138" t="n"/>
      <c r="AI62" s="138" t="n"/>
      <c r="AK62" s="76" t="n"/>
      <c r="AL62" s="628" t="n">
        <v>0</v>
      </c>
      <c r="AM62" s="19" t="n">
        <v>0</v>
      </c>
      <c r="AN62" s="19" t="n">
        <v>0</v>
      </c>
      <c r="AO62" s="19" t="n">
        <v>0</v>
      </c>
      <c r="AP62" s="163" t="n"/>
      <c r="AQ62" s="163" t="n"/>
      <c r="AR62" s="163" t="n"/>
      <c r="AS62" s="163" t="n"/>
      <c r="AT62" s="163" t="n"/>
      <c r="AU62" s="163" t="n"/>
      <c r="AV62" s="163" t="n"/>
      <c r="AW62" s="163" t="n"/>
      <c r="AX62" s="163" t="n"/>
      <c r="AY62" s="163" t="n"/>
      <c r="AZ62" s="163" t="n"/>
      <c r="BA62" s="163" t="n"/>
      <c r="BB62" s="163" t="n"/>
      <c r="BC62" s="163" t="n"/>
      <c r="BD62" s="163" t="n"/>
      <c r="BE62" s="163" t="n"/>
      <c r="BF62" s="163" t="n"/>
      <c r="BG62" s="163" t="n"/>
      <c r="BH62" s="262" t="inlineStr">
        <is>
          <t>10 DE ERJ</t>
        </is>
      </c>
      <c r="BI62" s="163" t="n"/>
    </row>
    <row r="63">
      <c r="A63" s="25" t="inlineStr">
        <is>
          <t>CAIXA M QDB</t>
        </is>
      </c>
      <c r="B63" s="6" t="n">
        <v>75</v>
      </c>
      <c r="C63" s="632" t="n">
        <v>216.38</v>
      </c>
      <c r="D63" s="240" t="n"/>
      <c r="E63" s="1" t="n"/>
      <c r="F63" s="39" t="n">
        <v>10</v>
      </c>
      <c r="G63" s="39" t="n">
        <v>9</v>
      </c>
      <c r="H63" s="39" t="n">
        <v>9</v>
      </c>
      <c r="I63" s="39" t="n">
        <v>9</v>
      </c>
      <c r="J63" s="39" t="n">
        <v>9</v>
      </c>
      <c r="K63" s="39" t="n">
        <v>9</v>
      </c>
      <c r="L63" s="39" t="n">
        <v>9</v>
      </c>
      <c r="M63" s="39" t="n">
        <v>9</v>
      </c>
      <c r="N63" s="39" t="n">
        <v>9</v>
      </c>
      <c r="O63" s="39" t="n">
        <v>9</v>
      </c>
      <c r="P63" s="39" t="n">
        <v>9</v>
      </c>
      <c r="Q63" s="39" t="n">
        <v>9</v>
      </c>
      <c r="R63" s="39" t="n">
        <v>9</v>
      </c>
      <c r="S63" s="39" t="n">
        <v>9</v>
      </c>
      <c r="T63" s="39" t="n">
        <v>9</v>
      </c>
      <c r="U63" s="39" t="n">
        <v>9</v>
      </c>
      <c r="V63" s="39" t="n"/>
      <c r="W63" s="39" t="n"/>
      <c r="X63" s="39" t="n"/>
      <c r="Y63" s="39" t="n"/>
      <c r="Z63" s="39" t="n"/>
      <c r="AA63" s="39" t="n">
        <v>9</v>
      </c>
      <c r="AB63" s="39" t="n">
        <v>9</v>
      </c>
      <c r="AC63" s="6" t="n">
        <v>9</v>
      </c>
      <c r="AD63" s="6" t="n">
        <v>9</v>
      </c>
      <c r="AE63" s="6" t="n">
        <v>9</v>
      </c>
      <c r="AF63" s="380">
        <f>AD63+IF(NOT(ISBLANK(OFFSET(AF63,0,6))),N(OFFSET(AF63,0,6)),N(OFFSET(AF63,0,7)))-AE63</f>
        <v/>
      </c>
      <c r="AG63" s="41" t="n"/>
      <c r="AH63" s="138" t="n"/>
      <c r="AI63" s="138" t="n"/>
      <c r="AK63" s="76" t="n"/>
      <c r="AL63" s="628" t="n">
        <v>0</v>
      </c>
      <c r="AM63" s="19" t="n">
        <v>0</v>
      </c>
      <c r="AN63" s="19" t="n">
        <v>0</v>
      </c>
      <c r="AO63" s="19" t="n">
        <v>0</v>
      </c>
      <c r="AP63" s="19" t="n"/>
      <c r="AQ63" s="19" t="n"/>
      <c r="AR63" s="19" t="n"/>
      <c r="AS63" s="19" t="n"/>
      <c r="AT63" s="19" t="n"/>
      <c r="AU63" s="19" t="n"/>
      <c r="AV63" s="19" t="n"/>
      <c r="AW63" s="19" t="n"/>
      <c r="AX63" s="19" t="n"/>
      <c r="AY63" s="19" t="n"/>
      <c r="AZ63" s="19" t="n"/>
      <c r="BA63" s="19" t="n"/>
      <c r="BB63" s="19" t="n"/>
      <c r="BC63" s="119" t="n"/>
      <c r="BD63" s="119" t="n"/>
      <c r="BE63" s="119" t="n"/>
      <c r="BF63" s="19" t="n"/>
      <c r="BG63" s="19" t="n"/>
      <c r="BH63" s="260" t="inlineStr">
        <is>
          <t>10 DE CDJ</t>
        </is>
      </c>
      <c r="BI63" s="19" t="n"/>
    </row>
    <row r="64">
      <c r="A64" s="25" t="inlineStr">
        <is>
          <t>CAIXA G QDB</t>
        </is>
      </c>
      <c r="B64" s="6" t="n">
        <v>100</v>
      </c>
      <c r="C64" s="632" t="n">
        <v>306</v>
      </c>
      <c r="D64" s="240" t="n"/>
      <c r="E64" s="1" t="n"/>
      <c r="F64" s="39" t="n">
        <v>5</v>
      </c>
      <c r="G64" s="39" t="n">
        <v>5</v>
      </c>
      <c r="H64" s="39" t="n">
        <v>5</v>
      </c>
      <c r="I64" s="39" t="n">
        <v>5</v>
      </c>
      <c r="J64" s="39" t="n">
        <v>5</v>
      </c>
      <c r="K64" s="39" t="n">
        <v>5</v>
      </c>
      <c r="L64" s="39" t="n">
        <v>5</v>
      </c>
      <c r="M64" s="39" t="n">
        <v>5</v>
      </c>
      <c r="N64" s="39" t="n">
        <v>5</v>
      </c>
      <c r="O64" s="39" t="n">
        <v>5</v>
      </c>
      <c r="P64" s="39" t="n">
        <v>5</v>
      </c>
      <c r="Q64" s="39" t="n">
        <v>5</v>
      </c>
      <c r="R64" s="39" t="n">
        <v>5</v>
      </c>
      <c r="S64" s="39" t="n">
        <v>3</v>
      </c>
      <c r="T64" s="39" t="n">
        <v>2</v>
      </c>
      <c r="U64" s="39" t="n">
        <v>2</v>
      </c>
      <c r="V64" s="39" t="n"/>
      <c r="W64" s="39" t="n"/>
      <c r="X64" s="39" t="n"/>
      <c r="Y64" s="39" t="n"/>
      <c r="Z64" s="39" t="n"/>
      <c r="AA64" s="39" t="n">
        <v>0</v>
      </c>
      <c r="AB64" s="39" t="n">
        <v>0</v>
      </c>
      <c r="AC64" s="6" t="n">
        <v>0</v>
      </c>
      <c r="AD64" s="6" t="n">
        <v>0</v>
      </c>
      <c r="AE64" s="6" t="n">
        <v>0</v>
      </c>
      <c r="AF64" s="380">
        <f>AD64+IF(NOT(ISBLANK(OFFSET(AF64,0,6))),N(OFFSET(AF64,0,6)),N(OFFSET(AF64,0,7)))-AE64</f>
        <v/>
      </c>
      <c r="AG64" s="41" t="n"/>
      <c r="AH64" s="138" t="n"/>
      <c r="AI64" s="138" t="n"/>
      <c r="AK64" s="76" t="n"/>
      <c r="AL64" s="628" t="n">
        <v>0</v>
      </c>
      <c r="AM64" s="19" t="n">
        <v>0</v>
      </c>
      <c r="AN64" s="19" t="n">
        <v>0</v>
      </c>
      <c r="AO64" s="19" t="n">
        <v>0</v>
      </c>
      <c r="AP64" s="163" t="n"/>
      <c r="AQ64" s="163" t="n"/>
      <c r="AR64" s="163" t="n"/>
      <c r="AS64" s="163" t="n"/>
      <c r="AT64" s="163" t="n"/>
      <c r="AU64" s="163" t="n"/>
      <c r="AV64" s="163" t="n"/>
      <c r="AW64" s="163" t="n"/>
      <c r="AX64" s="163" t="n"/>
      <c r="AY64" s="163" t="n"/>
      <c r="AZ64" s="163" t="n"/>
      <c r="BA64" s="163" t="n"/>
      <c r="BB64" s="163" t="n"/>
      <c r="BC64" s="163" t="n"/>
      <c r="BD64" s="163" t="n"/>
      <c r="BE64" s="163" t="n"/>
      <c r="BF64" s="163" t="n"/>
      <c r="BG64" s="163" t="n"/>
      <c r="BH64" s="262" t="inlineStr">
        <is>
          <t>05 DE CDJ</t>
        </is>
      </c>
      <c r="BI64" s="163" t="n"/>
    </row>
    <row r="65">
      <c r="B65" s="41" t="n"/>
      <c r="C65" s="684" t="n"/>
      <c r="D65" s="684" t="n"/>
      <c r="F65" s="2" t="n"/>
      <c r="G65" s="2" t="n"/>
      <c r="H65" s="2" t="n"/>
      <c r="I65" s="2" t="n"/>
      <c r="J65" s="2" t="n"/>
      <c r="K65" s="2" t="n"/>
      <c r="L65" s="2" t="n"/>
      <c r="M65" s="2" t="n"/>
      <c r="N65" s="2" t="n"/>
      <c r="O65" s="2" t="n"/>
      <c r="P65" s="2" t="n"/>
      <c r="Q65" s="2" t="n"/>
      <c r="R65" s="2" t="n"/>
      <c r="S65" s="2" t="n"/>
      <c r="T65" s="2" t="n"/>
      <c r="U65" s="2" t="n"/>
      <c r="V65" s="2" t="n"/>
      <c r="W65" s="2" t="n"/>
      <c r="X65" s="2" t="n"/>
      <c r="Y65" s="2" t="n"/>
      <c r="Z65" s="2" t="n"/>
      <c r="AA65" s="2" t="n"/>
      <c r="AB65" s="2" t="n"/>
      <c r="AC65" s="1" t="n"/>
      <c r="AD65" s="1" t="n"/>
      <c r="AE65" s="1" t="n"/>
      <c r="AF65" s="2" t="n"/>
      <c r="AH65" s="75" t="n"/>
      <c r="AJ65" s="1" t="n"/>
      <c r="AK65" s="15" t="n"/>
      <c r="AL65" s="396" t="n"/>
      <c r="AM65" s="75" t="n"/>
      <c r="AN65" s="75" t="n"/>
      <c r="AO65" s="75" t="n"/>
      <c r="AP65" s="75" t="n"/>
      <c r="AQ65" s="75" t="n"/>
      <c r="AR65" s="75" t="n"/>
      <c r="AS65" s="75" t="n"/>
      <c r="AT65" s="75" t="n"/>
      <c r="AU65" s="75" t="n"/>
      <c r="AV65" s="75" t="n"/>
      <c r="AW65" s="75" t="n"/>
      <c r="AX65" s="75" t="n"/>
      <c r="AY65" s="75" t="n"/>
      <c r="AZ65" s="75" t="n"/>
      <c r="BA65" s="75" t="n"/>
      <c r="BB65" s="75" t="n"/>
      <c r="BC65" s="206" t="n"/>
      <c r="BD65" s="206" t="n"/>
      <c r="BE65" s="206" t="n"/>
      <c r="BF65" s="75" t="n"/>
      <c r="BG65" s="75" t="n"/>
      <c r="BH65" s="206" t="n"/>
      <c r="BI65" s="75" t="n"/>
    </row>
    <row r="66">
      <c r="A66" s="220" t="inlineStr">
        <is>
          <t>SACOLAS E CAIXAS EUDORA</t>
        </is>
      </c>
      <c r="B66" s="221" t="n"/>
      <c r="C66" s="221" t="n"/>
      <c r="D66" s="221" t="n"/>
      <c r="F66" s="619" t="n">
        <v>46006</v>
      </c>
      <c r="G66" s="619" t="n">
        <v>46013</v>
      </c>
      <c r="H66" s="619" t="n">
        <v>46020</v>
      </c>
      <c r="I66" s="619" t="n">
        <v>46027</v>
      </c>
      <c r="J66" s="619" t="n">
        <v>46034</v>
      </c>
      <c r="K66" s="619" t="n">
        <v>46041</v>
      </c>
      <c r="L66" s="619" t="n">
        <v>46048</v>
      </c>
      <c r="M66" s="619" t="n">
        <v>46055</v>
      </c>
      <c r="N66" s="619" t="n">
        <v>46062</v>
      </c>
      <c r="O66" s="619" t="n">
        <v>46069</v>
      </c>
      <c r="P66" s="619" t="n">
        <v>46076</v>
      </c>
      <c r="Q66" s="619" t="n">
        <v>46083</v>
      </c>
      <c r="R66" s="619" t="n">
        <v>46090</v>
      </c>
      <c r="S66" s="619" t="n">
        <v>46097</v>
      </c>
      <c r="T66" s="619" t="n">
        <v>46104</v>
      </c>
      <c r="U66" s="619" t="n">
        <v>46111</v>
      </c>
      <c r="V66" s="619" t="n">
        <v>46118</v>
      </c>
      <c r="W66" s="619" t="n">
        <v>46125</v>
      </c>
      <c r="X66" s="619" t="n">
        <v>46132</v>
      </c>
      <c r="Y66" s="619" t="n">
        <v>46139</v>
      </c>
      <c r="Z66" s="619" t="n">
        <v>46146</v>
      </c>
      <c r="AA66" s="619" t="n">
        <v>46154</v>
      </c>
      <c r="AB66" s="619" t="n">
        <v>46160</v>
      </c>
      <c r="AC66" s="620" t="n">
        <v>46161.48013633102</v>
      </c>
      <c r="AD66" s="620" t="n">
        <v>46161.48080996528</v>
      </c>
      <c r="AE66" s="620" t="n">
        <v>46161.48296747055</v>
      </c>
      <c r="AF66" s="621" t="inlineStr">
        <is>
          <t>USOU</t>
        </is>
      </c>
      <c r="AH66" s="29" t="inlineStr">
        <is>
          <t>Pendências</t>
        </is>
      </c>
      <c r="AI66" s="29" t="inlineStr">
        <is>
          <t>Pendências</t>
        </is>
      </c>
      <c r="AJ66" s="1" t="n"/>
      <c r="AK66" s="9" t="inlineStr">
        <is>
          <t>Novo Pedido</t>
        </is>
      </c>
      <c r="AL66" s="673" t="n">
        <v>46161.48296620911</v>
      </c>
      <c r="AM66" s="674" t="n">
        <v>46149</v>
      </c>
      <c r="AN66" s="674" t="n">
        <v>46142</v>
      </c>
      <c r="AO66" s="674" t="n">
        <v>46114</v>
      </c>
      <c r="AP66" s="674" t="n">
        <v>46099</v>
      </c>
      <c r="AQ66" s="675" t="n">
        <v>46065</v>
      </c>
      <c r="AR66" s="674" t="n">
        <v>46077</v>
      </c>
      <c r="AS66" s="676" t="n">
        <v>46045</v>
      </c>
      <c r="AT66" s="674" t="n">
        <v>46056</v>
      </c>
      <c r="AU66" s="674" t="n">
        <v>46017</v>
      </c>
      <c r="AV66" s="674" t="n">
        <v>46007</v>
      </c>
      <c r="AW66" s="674" t="n">
        <v>46001</v>
      </c>
      <c r="AX66" s="674" t="n">
        <v>45994</v>
      </c>
      <c r="AY66" s="674" t="n">
        <v>45986</v>
      </c>
      <c r="AZ66" s="674" t="n">
        <v>45980</v>
      </c>
      <c r="BA66" s="674" t="n">
        <v>45980</v>
      </c>
      <c r="BB66" s="674" t="n">
        <v>45973</v>
      </c>
      <c r="BC66" s="677" t="n">
        <v>45982</v>
      </c>
      <c r="BD66" s="677" t="n">
        <v>45979</v>
      </c>
      <c r="BE66" s="693" t="n">
        <v>45974</v>
      </c>
      <c r="BF66" s="693" t="n">
        <v>45972</v>
      </c>
      <c r="BG66" s="691" t="n">
        <v>45968</v>
      </c>
      <c r="BH66" s="677" t="n">
        <v>45967</v>
      </c>
      <c r="BI66" s="692" t="n">
        <v>45964</v>
      </c>
    </row>
    <row r="67">
      <c r="A67" s="25" t="inlineStr">
        <is>
          <t>SACOLA P EUDORA</t>
        </is>
      </c>
      <c r="B67" s="6" t="n">
        <v>200</v>
      </c>
      <c r="C67" s="632" t="n">
        <v>183.24</v>
      </c>
      <c r="D67" s="240" t="n"/>
      <c r="F67" s="39" t="n">
        <v>821</v>
      </c>
      <c r="G67" s="39" t="n">
        <v>1221</v>
      </c>
      <c r="H67" s="39" t="n">
        <v>1808</v>
      </c>
      <c r="I67" s="39" t="n">
        <v>1808</v>
      </c>
      <c r="J67" s="39" t="n">
        <v>1278</v>
      </c>
      <c r="K67" s="39" t="n">
        <v>1346</v>
      </c>
      <c r="L67" s="39" t="n">
        <v>1208</v>
      </c>
      <c r="M67" s="39" t="n">
        <v>1144</v>
      </c>
      <c r="N67" s="39" t="n">
        <v>1088</v>
      </c>
      <c r="O67" s="39" t="n">
        <v>1020</v>
      </c>
      <c r="P67" s="39" t="n">
        <v>1007</v>
      </c>
      <c r="Q67" s="39" t="n">
        <v>940</v>
      </c>
      <c r="R67" s="39" t="n">
        <v>823</v>
      </c>
      <c r="S67" s="39" t="n">
        <v>740</v>
      </c>
      <c r="T67" s="39" t="n">
        <v>655</v>
      </c>
      <c r="U67" s="39" t="n">
        <v>541</v>
      </c>
      <c r="V67" s="39" t="n">
        <v>490</v>
      </c>
      <c r="W67" s="39" t="n">
        <v>400</v>
      </c>
      <c r="X67" s="39" t="n">
        <v>288</v>
      </c>
      <c r="Y67" s="39" t="n">
        <v>252</v>
      </c>
      <c r="Z67" s="39" t="n">
        <v>0</v>
      </c>
      <c r="AA67" s="39">
        <f>0+AJ67</f>
        <v/>
      </c>
      <c r="AB67" s="39" t="n"/>
      <c r="AC67" s="6" t="n"/>
      <c r="AD67" s="6" t="n"/>
      <c r="AE67" s="6" t="n"/>
      <c r="AF67" s="380">
        <f>AD67+IF(NOT(ISBLANK(OFFSET(AF67,0,6))),N(OFFSET(AF67,0,6)),N(OFFSET(AF67,0,7)))-AE67</f>
        <v/>
      </c>
      <c r="AH67" s="138" t="n"/>
      <c r="AI67" s="138" t="n"/>
      <c r="AJ67" s="1" t="n"/>
      <c r="AK67" s="76" t="n"/>
      <c r="AL67" s="628" t="n">
        <v>0</v>
      </c>
      <c r="AM67" s="19" t="n">
        <v>400</v>
      </c>
      <c r="AN67" s="19" t="n">
        <v>0</v>
      </c>
      <c r="AO67" s="19" t="n">
        <v>0</v>
      </c>
      <c r="AP67" s="19" t="n"/>
      <c r="AQ67" s="19" t="n"/>
      <c r="AR67" s="19" t="n"/>
      <c r="AS67" s="19" t="n"/>
      <c r="AT67" s="19" t="n"/>
      <c r="AU67" s="19" t="n"/>
      <c r="AV67" s="19" t="n"/>
      <c r="AW67" s="19" t="n">
        <v>400</v>
      </c>
      <c r="AX67" s="19" t="n">
        <v>400</v>
      </c>
      <c r="AY67" s="19" t="n">
        <v>200</v>
      </c>
      <c r="AZ67" s="19" t="n">
        <v>400</v>
      </c>
      <c r="BA67" s="19" t="n"/>
      <c r="BB67" s="19" t="n"/>
      <c r="BC67" s="119" t="n"/>
      <c r="BD67" s="119" t="n"/>
      <c r="BE67" s="119" t="n"/>
      <c r="BF67" s="19" t="n"/>
      <c r="BG67" s="19" t="n"/>
      <c r="BH67" s="119" t="n"/>
      <c r="BI67" s="19" t="n"/>
    </row>
    <row r="68">
      <c r="A68" s="25" t="inlineStr">
        <is>
          <t>SACOLA M EUDORA</t>
        </is>
      </c>
      <c r="B68" s="6" t="n">
        <v>200</v>
      </c>
      <c r="C68" s="632" t="n">
        <v>240.83</v>
      </c>
      <c r="D68" s="240" t="n"/>
      <c r="F68" s="39" t="n">
        <v>295</v>
      </c>
      <c r="G68" s="39" t="n">
        <v>502</v>
      </c>
      <c r="H68" s="39" t="n">
        <v>635</v>
      </c>
      <c r="I68" s="39">
        <f>628+AR68</f>
        <v/>
      </c>
      <c r="J68" s="39" t="n">
        <v>804</v>
      </c>
      <c r="K68" s="39" t="n">
        <v>800</v>
      </c>
      <c r="L68" s="39" t="n">
        <v>800</v>
      </c>
      <c r="M68" s="39" t="n">
        <v>760</v>
      </c>
      <c r="N68" s="39" t="n">
        <v>915</v>
      </c>
      <c r="O68" s="39" t="n">
        <v>680</v>
      </c>
      <c r="P68" s="39" t="n">
        <v>619</v>
      </c>
      <c r="Q68" s="39" t="n">
        <v>619</v>
      </c>
      <c r="R68" s="39" t="n">
        <v>486</v>
      </c>
      <c r="S68" s="39" t="n">
        <v>414</v>
      </c>
      <c r="T68" s="39">
        <f>351+AM68</f>
        <v/>
      </c>
      <c r="U68" s="39" t="n">
        <v>734</v>
      </c>
      <c r="V68" s="39" t="n">
        <v>701</v>
      </c>
      <c r="W68" s="39" t="n">
        <v>600</v>
      </c>
      <c r="X68" s="39" t="n">
        <v>380</v>
      </c>
      <c r="Y68" s="39" t="n">
        <v>320</v>
      </c>
      <c r="Z68" s="39" t="n">
        <v>200</v>
      </c>
      <c r="AA68" s="39" t="n">
        <v>200</v>
      </c>
      <c r="AB68" s="39" t="n"/>
      <c r="AC68" s="6" t="n"/>
      <c r="AD68" s="6" t="n"/>
      <c r="AE68" s="6" t="n"/>
      <c r="AF68" s="380">
        <f>AD68+IF(NOT(ISBLANK(OFFSET(AF68,0,6))),N(OFFSET(AF68,0,6)),N(OFFSET(AF68,0,7)))-AE68</f>
        <v/>
      </c>
      <c r="AH68" s="138" t="n"/>
      <c r="AI68" s="138" t="n"/>
      <c r="AJ68" s="1" t="n"/>
      <c r="AK68" s="76" t="n"/>
      <c r="AL68" s="628" t="n">
        <v>0</v>
      </c>
      <c r="AM68" s="19" t="n">
        <v>0</v>
      </c>
      <c r="AN68" s="19" t="n">
        <v>0</v>
      </c>
      <c r="AO68" s="19" t="n">
        <v>0</v>
      </c>
      <c r="AP68" s="19" t="n">
        <v>400</v>
      </c>
      <c r="AQ68" s="19" t="n"/>
      <c r="AR68" s="19" t="n"/>
      <c r="AS68" s="19" t="n"/>
      <c r="AT68" s="19" t="n"/>
      <c r="AU68" s="19" t="n">
        <v>200</v>
      </c>
      <c r="AV68" s="19" t="n">
        <v>200</v>
      </c>
      <c r="AW68" s="19" t="n">
        <v>200</v>
      </c>
      <c r="AX68" s="19" t="n"/>
      <c r="AY68" s="19" t="n">
        <v>200</v>
      </c>
      <c r="AZ68" s="19" t="n"/>
      <c r="BA68" s="19" t="n">
        <v>200</v>
      </c>
      <c r="BB68" s="19" t="n"/>
      <c r="BC68" s="119" t="n"/>
      <c r="BD68" s="119" t="n"/>
      <c r="BE68" s="119" t="n"/>
      <c r="BF68" s="19" t="n"/>
      <c r="BG68" s="19" t="n"/>
      <c r="BH68" s="119" t="n"/>
      <c r="BI68" s="19" t="n"/>
    </row>
    <row r="69">
      <c r="A69" s="25" t="inlineStr">
        <is>
          <t>SACOLA G EUDORA</t>
        </is>
      </c>
      <c r="B69" s="6" t="n">
        <v>100</v>
      </c>
      <c r="C69" s="632" t="n">
        <v>175.13</v>
      </c>
      <c r="D69" s="240" t="n"/>
      <c r="F69" s="39" t="n">
        <v>81</v>
      </c>
      <c r="G69" s="39" t="n">
        <v>81</v>
      </c>
      <c r="H69" s="39" t="n">
        <v>4</v>
      </c>
      <c r="I69" s="39" t="n">
        <v>204</v>
      </c>
      <c r="J69" s="39" t="n">
        <v>200</v>
      </c>
      <c r="K69" s="39" t="n">
        <v>200</v>
      </c>
      <c r="L69" s="39" t="n">
        <v>200</v>
      </c>
      <c r="M69" s="39" t="n">
        <v>483</v>
      </c>
      <c r="N69" s="39" t="n">
        <v>302</v>
      </c>
      <c r="O69" s="39" t="n">
        <v>263</v>
      </c>
      <c r="P69" s="39" t="n">
        <v>216</v>
      </c>
      <c r="Q69" s="39" t="n">
        <v>204</v>
      </c>
      <c r="R69" s="39" t="n">
        <v>162</v>
      </c>
      <c r="S69" s="39" t="n">
        <v>141</v>
      </c>
      <c r="T69" s="39" t="n">
        <v>103</v>
      </c>
      <c r="U69" s="39" t="n">
        <v>69</v>
      </c>
      <c r="V69" s="39" t="n">
        <v>152</v>
      </c>
      <c r="W69" s="39" t="n">
        <v>110</v>
      </c>
      <c r="X69" s="39" t="n">
        <v>0</v>
      </c>
      <c r="Y69" s="39" t="n">
        <v>0</v>
      </c>
      <c r="Z69" s="39" t="n">
        <v>0</v>
      </c>
      <c r="AA69" s="39" t="n">
        <v>0</v>
      </c>
      <c r="AB69" s="39" t="n"/>
      <c r="AC69" s="6" t="n"/>
      <c r="AD69" s="6" t="n"/>
      <c r="AE69" s="6" t="n"/>
      <c r="AF69" s="380">
        <f>AD69+IF(NOT(ISBLANK(OFFSET(AF69,0,6))),N(OFFSET(AF69,0,6)),N(OFFSET(AF69,0,7)))-AE69</f>
        <v/>
      </c>
      <c r="AH69" s="138" t="inlineStr">
        <is>
          <t>100 DE CDJ</t>
        </is>
      </c>
      <c r="AI69" s="138" t="n"/>
      <c r="AJ69" s="1" t="n"/>
      <c r="AK69" s="76" t="n"/>
      <c r="AL69" s="628" t="n">
        <v>0</v>
      </c>
      <c r="AM69" s="19" t="n">
        <v>0</v>
      </c>
      <c r="AN69" s="19" t="n">
        <v>0</v>
      </c>
      <c r="AO69" s="19" t="n">
        <v>0</v>
      </c>
      <c r="AP69" s="19" t="n"/>
      <c r="AQ69" s="19" t="n"/>
      <c r="AR69" s="19" t="n"/>
      <c r="AS69" s="19" t="n"/>
      <c r="AT69" s="19" t="n"/>
      <c r="AU69" s="19" t="n">
        <v>200</v>
      </c>
      <c r="AV69" s="19" t="n">
        <v>100</v>
      </c>
      <c r="AW69" s="19" t="n">
        <v>100</v>
      </c>
      <c r="AX69" s="19" t="n">
        <v>100</v>
      </c>
      <c r="AY69" s="19" t="n"/>
      <c r="AZ69" s="19" t="n"/>
      <c r="BA69" s="19" t="n">
        <v>100</v>
      </c>
      <c r="BB69" s="19" t="n"/>
      <c r="BC69" s="119" t="n"/>
      <c r="BD69" s="119" t="n"/>
      <c r="BE69" s="119" t="n"/>
      <c r="BF69" s="19" t="n"/>
      <c r="BG69" s="19" t="n"/>
      <c r="BH69" s="260" t="inlineStr">
        <is>
          <t>100 DE CDJ</t>
        </is>
      </c>
      <c r="BI69" s="19" t="n"/>
    </row>
    <row r="70">
      <c r="A70" s="538" t="inlineStr">
        <is>
          <t>PAPEL DE SEDA EUDORA</t>
        </is>
      </c>
      <c r="B70" s="223" t="n">
        <v>200</v>
      </c>
      <c r="C70" s="683" t="n">
        <v>29.77</v>
      </c>
      <c r="D70" s="240" t="n"/>
      <c r="F70" s="39" t="n">
        <v>1</v>
      </c>
      <c r="G70" s="39" t="n">
        <v>1</v>
      </c>
      <c r="H70" s="39" t="n">
        <v>3</v>
      </c>
      <c r="I70" s="39" t="n">
        <v>3</v>
      </c>
      <c r="J70" s="39" t="n">
        <v>3</v>
      </c>
      <c r="K70" s="39" t="n">
        <v>3</v>
      </c>
      <c r="L70" s="39" t="n">
        <v>3</v>
      </c>
      <c r="M70" s="39" t="n">
        <v>3</v>
      </c>
      <c r="N70" s="39" t="n">
        <v>3</v>
      </c>
      <c r="O70" s="39" t="n">
        <v>3</v>
      </c>
      <c r="P70" s="39" t="n">
        <v>3</v>
      </c>
      <c r="Q70" s="39" t="n">
        <v>3</v>
      </c>
      <c r="R70" s="39" t="n">
        <v>3</v>
      </c>
      <c r="S70" s="39" t="n">
        <v>3</v>
      </c>
      <c r="T70" s="39" t="n">
        <v>3</v>
      </c>
      <c r="U70" s="39" t="n">
        <v>3</v>
      </c>
      <c r="V70" s="39" t="n">
        <v>3</v>
      </c>
      <c r="W70" s="39" t="n">
        <v>3</v>
      </c>
      <c r="X70" s="39" t="n">
        <v>3</v>
      </c>
      <c r="Y70" s="39" t="n">
        <v>3</v>
      </c>
      <c r="Z70" s="39" t="n">
        <v>3</v>
      </c>
      <c r="AA70" s="39" t="n">
        <v>3</v>
      </c>
      <c r="AB70" s="39" t="n"/>
      <c r="AC70" s="6" t="n"/>
      <c r="AD70" s="6" t="n"/>
      <c r="AE70" s="6" t="n"/>
      <c r="AF70" s="380">
        <f>AD70+IF(NOT(ISBLANK(OFFSET(AF70,0,6))),N(OFFSET(AF70,0,6)),N(OFFSET(AF70,0,7)))-AE70</f>
        <v/>
      </c>
      <c r="AH70" s="138" t="n"/>
      <c r="AI70" s="138" t="n"/>
      <c r="AJ70" s="1" t="n"/>
      <c r="AK70" s="32" t="n"/>
      <c r="AL70" s="628" t="n">
        <v>0</v>
      </c>
      <c r="AM70" s="19" t="n">
        <v>0</v>
      </c>
      <c r="AN70" s="19" t="n">
        <v>0</v>
      </c>
      <c r="AO70" s="19" t="n">
        <v>0</v>
      </c>
      <c r="AP70" s="19" t="n"/>
      <c r="AQ70" s="19" t="n"/>
      <c r="AR70" s="19" t="n"/>
      <c r="AS70" s="19" t="n"/>
      <c r="AT70" s="19" t="n"/>
      <c r="AU70" s="19" t="n"/>
      <c r="AV70" s="19" t="n"/>
      <c r="AW70" s="19" t="n">
        <v>1</v>
      </c>
      <c r="AX70" s="19" t="n"/>
      <c r="AY70" s="19" t="n"/>
      <c r="AZ70" s="19" t="n"/>
      <c r="BA70" s="19" t="n">
        <v>2</v>
      </c>
      <c r="BB70" s="19" t="n"/>
      <c r="BC70" s="119" t="n"/>
      <c r="BD70" s="119" t="n"/>
      <c r="BE70" s="119" t="n"/>
      <c r="BF70" s="19" t="n"/>
      <c r="BG70" s="19" t="n"/>
      <c r="BH70" s="119" t="n"/>
      <c r="BI70" s="19" t="n"/>
    </row>
    <row r="71">
      <c r="A71" s="538" t="inlineStr">
        <is>
          <t>ADESIVOS EUDORA</t>
        </is>
      </c>
      <c r="B71" s="223" t="n">
        <v>1000</v>
      </c>
      <c r="C71" s="683" t="n">
        <v>70</v>
      </c>
      <c r="D71" s="240" t="n"/>
      <c r="F71" s="39" t="n">
        <v>1</v>
      </c>
      <c r="G71" s="39" t="n">
        <v>1</v>
      </c>
      <c r="H71" s="39" t="n">
        <v>2</v>
      </c>
      <c r="I71" s="39" t="n">
        <v>2</v>
      </c>
      <c r="J71" s="39" t="n">
        <v>2</v>
      </c>
      <c r="K71" s="39" t="n">
        <v>2</v>
      </c>
      <c r="L71" s="39" t="n">
        <v>2</v>
      </c>
      <c r="M71" s="39" t="n">
        <v>2</v>
      </c>
      <c r="N71" s="39" t="n">
        <v>2</v>
      </c>
      <c r="O71" s="39" t="n">
        <v>2</v>
      </c>
      <c r="P71" s="39" t="n">
        <v>2</v>
      </c>
      <c r="Q71" s="39" t="n">
        <v>2</v>
      </c>
      <c r="R71" s="39" t="n">
        <v>2</v>
      </c>
      <c r="S71" s="39" t="n">
        <v>2</v>
      </c>
      <c r="T71" s="39" t="n">
        <v>2</v>
      </c>
      <c r="U71" s="39" t="n">
        <v>2</v>
      </c>
      <c r="V71" s="39" t="n">
        <v>2</v>
      </c>
      <c r="W71" s="39" t="n">
        <v>2</v>
      </c>
      <c r="X71" s="39" t="n">
        <v>2</v>
      </c>
      <c r="Y71" s="39" t="n">
        <v>2</v>
      </c>
      <c r="Z71" s="39" t="n">
        <v>2</v>
      </c>
      <c r="AA71" s="39" t="n">
        <v>2</v>
      </c>
      <c r="AB71" s="39" t="n"/>
      <c r="AC71" s="6" t="n"/>
      <c r="AD71" s="6" t="n"/>
      <c r="AE71" s="6" t="n"/>
      <c r="AF71" s="380">
        <f>AD71+IF(NOT(ISBLANK(OFFSET(AF71,0,6))),N(OFFSET(AF71,0,6)),N(OFFSET(AF71,0,7)))-AE71</f>
        <v/>
      </c>
      <c r="AH71" s="138" t="n"/>
      <c r="AI71" s="138" t="n"/>
      <c r="AJ71" s="1" t="n"/>
      <c r="AK71" s="76" t="n"/>
      <c r="AL71" s="628" t="n">
        <v>0</v>
      </c>
      <c r="AM71" s="19" t="n">
        <v>0</v>
      </c>
      <c r="AN71" s="19" t="n">
        <v>0</v>
      </c>
      <c r="AO71" s="19" t="n">
        <v>0</v>
      </c>
      <c r="AP71" s="19" t="n"/>
      <c r="AQ71" s="19" t="n"/>
      <c r="AR71" s="19" t="n"/>
      <c r="AS71" s="19" t="n"/>
      <c r="AT71" s="19" t="n"/>
      <c r="AU71" s="19" t="n"/>
      <c r="AV71" s="19" t="n"/>
      <c r="AW71" s="19" t="n">
        <v>1</v>
      </c>
      <c r="AX71" s="19" t="n"/>
      <c r="AY71" s="19" t="n"/>
      <c r="AZ71" s="19" t="n"/>
      <c r="BA71" s="19" t="n">
        <v>2</v>
      </c>
      <c r="BB71" s="19" t="n"/>
      <c r="BC71" s="119" t="n"/>
      <c r="BD71" s="119" t="n"/>
      <c r="BE71" s="119" t="n"/>
      <c r="BF71" s="19" t="n"/>
      <c r="BG71" s="19" t="n"/>
      <c r="BH71" s="119" t="n"/>
      <c r="BI71" s="19" t="n"/>
    </row>
    <row r="72">
      <c r="A72" s="538" t="inlineStr">
        <is>
          <t>LÂMINA OLFATIVA EUDORA</t>
        </is>
      </c>
      <c r="B72" s="225" t="n">
        <v>2000</v>
      </c>
      <c r="C72" s="683" t="n">
        <v>71</v>
      </c>
      <c r="D72" s="240" t="n"/>
      <c r="F72" s="39" t="n">
        <v>0</v>
      </c>
      <c r="G72" s="39" t="n">
        <v>0</v>
      </c>
      <c r="H72" s="39" t="n">
        <v>0</v>
      </c>
      <c r="I72" s="39" t="n">
        <v>0</v>
      </c>
      <c r="J72" s="39" t="n">
        <v>0</v>
      </c>
      <c r="K72" s="39" t="n">
        <v>0</v>
      </c>
      <c r="L72" s="39" t="n">
        <v>0</v>
      </c>
      <c r="M72" s="39" t="n">
        <v>0</v>
      </c>
      <c r="N72" s="39" t="n">
        <v>0</v>
      </c>
      <c r="O72" s="39" t="n">
        <v>0</v>
      </c>
      <c r="P72" s="39" t="n">
        <v>0</v>
      </c>
      <c r="Q72" s="39" t="n">
        <v>0</v>
      </c>
      <c r="R72" s="39" t="n">
        <v>0</v>
      </c>
      <c r="S72" s="39" t="n">
        <v>0</v>
      </c>
      <c r="T72" s="39" t="n">
        <v>0</v>
      </c>
      <c r="U72" s="39" t="n">
        <v>0</v>
      </c>
      <c r="V72" s="39" t="n">
        <v>0</v>
      </c>
      <c r="W72" s="39" t="n">
        <v>0</v>
      </c>
      <c r="X72" s="39" t="n">
        <v>0</v>
      </c>
      <c r="Y72" s="39" t="n">
        <v>0</v>
      </c>
      <c r="Z72" s="39" t="n">
        <v>0</v>
      </c>
      <c r="AA72" s="39" t="n">
        <v>0</v>
      </c>
      <c r="AB72" s="39" t="n"/>
      <c r="AC72" s="6" t="n"/>
      <c r="AD72" s="6" t="n"/>
      <c r="AE72" s="6" t="n"/>
      <c r="AF72" s="380">
        <f>AD72+IF(NOT(ISBLANK(OFFSET(AF72,0,6))),N(OFFSET(AF72,0,6)),N(OFFSET(AF72,0,7)))-AE72</f>
        <v/>
      </c>
      <c r="AH72" s="138" t="n"/>
      <c r="AI72" s="138" t="n"/>
      <c r="AJ72" s="1" t="n"/>
      <c r="AK72" s="76" t="n"/>
      <c r="AL72" s="628" t="n">
        <v>0</v>
      </c>
      <c r="AM72" s="19" t="n">
        <v>0</v>
      </c>
      <c r="AN72" s="19" t="n">
        <v>0</v>
      </c>
      <c r="AO72" s="19" t="n">
        <v>0</v>
      </c>
      <c r="AP72" s="19" t="n"/>
      <c r="AQ72" s="19" t="n"/>
      <c r="AR72" s="19" t="n"/>
      <c r="AS72" s="19" t="n"/>
      <c r="AT72" s="19" t="n"/>
      <c r="AU72" s="19" t="n"/>
      <c r="AV72" s="19" t="n"/>
      <c r="AW72" s="19" t="n"/>
      <c r="AX72" s="19" t="n"/>
      <c r="AY72" s="19" t="n"/>
      <c r="AZ72" s="19" t="n"/>
      <c r="BA72" s="19" t="n"/>
      <c r="BB72" s="19" t="n"/>
      <c r="BC72" s="119" t="n"/>
      <c r="BD72" s="119" t="n"/>
      <c r="BE72" s="119" t="n"/>
      <c r="BF72" s="19" t="n"/>
      <c r="BG72" s="19" t="n"/>
      <c r="BH72" s="119" t="n"/>
      <c r="BI72" s="19" t="n"/>
    </row>
    <row r="73">
      <c r="A73" s="538" t="inlineStr">
        <is>
          <t>KIT SACOLA P EUDORA (C/ 10)</t>
        </is>
      </c>
      <c r="B73" s="223" t="n">
        <v>200</v>
      </c>
      <c r="C73" s="683" t="n">
        <v>184.13</v>
      </c>
      <c r="D73" s="240" t="n"/>
      <c r="F73" s="39" t="n">
        <v>1</v>
      </c>
      <c r="G73" s="39" t="n">
        <v>1</v>
      </c>
      <c r="H73" s="39" t="n">
        <v>1</v>
      </c>
      <c r="I73" s="39" t="n">
        <v>1</v>
      </c>
      <c r="J73" s="39" t="n">
        <v>1</v>
      </c>
      <c r="K73" s="39" t="n">
        <v>1</v>
      </c>
      <c r="L73" s="39" t="n">
        <v>1</v>
      </c>
      <c r="M73" s="39" t="n">
        <v>1</v>
      </c>
      <c r="N73" s="39" t="n">
        <v>0</v>
      </c>
      <c r="O73" s="39" t="n">
        <v>0</v>
      </c>
      <c r="P73" s="39" t="n">
        <v>0</v>
      </c>
      <c r="Q73" s="39" t="n">
        <v>0</v>
      </c>
      <c r="R73" s="39" t="n">
        <v>0</v>
      </c>
      <c r="S73" s="39" t="n">
        <v>0</v>
      </c>
      <c r="T73" s="39" t="n">
        <v>0</v>
      </c>
      <c r="U73" s="39" t="n">
        <v>0</v>
      </c>
      <c r="V73" s="39" t="n"/>
      <c r="W73" s="39" t="n"/>
      <c r="X73" s="39" t="n"/>
      <c r="Y73" s="39" t="n"/>
      <c r="Z73" s="39" t="n"/>
      <c r="AA73" s="39" t="n">
        <v>0</v>
      </c>
      <c r="AB73" s="39" t="n">
        <v>0</v>
      </c>
      <c r="AC73" s="6" t="n">
        <v>0</v>
      </c>
      <c r="AD73" s="6" t="n">
        <v>0</v>
      </c>
      <c r="AE73" s="6" t="n">
        <v>0</v>
      </c>
      <c r="AF73" s="380">
        <f>AD73+IF(NOT(ISBLANK(OFFSET(AF73,0,6))),N(OFFSET(AF73,0,6)),N(OFFSET(AF73,0,7)))-AE73</f>
        <v/>
      </c>
      <c r="AH73" s="138" t="n"/>
      <c r="AI73" s="138" t="n"/>
      <c r="AJ73" s="1" t="n"/>
      <c r="AK73" s="76" t="n"/>
      <c r="AL73" s="628" t="n">
        <v>0</v>
      </c>
      <c r="AM73" s="19" t="n">
        <v>0</v>
      </c>
      <c r="AN73" s="19" t="n">
        <v>0</v>
      </c>
      <c r="AO73" s="19" t="n">
        <v>0</v>
      </c>
      <c r="AP73" s="19" t="n"/>
      <c r="AQ73" s="19" t="n"/>
      <c r="AR73" s="19" t="n"/>
      <c r="AS73" s="19" t="n"/>
      <c r="AT73" s="19" t="n"/>
      <c r="AU73" s="19" t="n"/>
      <c r="AV73" s="19" t="n"/>
      <c r="AW73" s="19" t="n"/>
      <c r="AX73" s="19" t="n"/>
      <c r="AY73" s="19" t="n"/>
      <c r="AZ73" s="19" t="n"/>
      <c r="BA73" s="19" t="n"/>
      <c r="BB73" s="19" t="n"/>
      <c r="BC73" s="119" t="n"/>
      <c r="BD73" s="119" t="n"/>
      <c r="BE73" s="119" t="n"/>
      <c r="BF73" s="19" t="n"/>
      <c r="BG73" s="19" t="n"/>
      <c r="BH73" s="260" t="inlineStr">
        <is>
          <t>05 DE CDJ</t>
        </is>
      </c>
      <c r="BI73" s="19" t="n"/>
    </row>
    <row r="74">
      <c r="A74" s="538" t="inlineStr">
        <is>
          <t>KIT SACOLA M EUDORA (C/ 10)</t>
        </is>
      </c>
      <c r="B74" s="223" t="n">
        <v>150</v>
      </c>
      <c r="C74" s="683" t="n">
        <v>181.4</v>
      </c>
      <c r="D74" s="240" t="n"/>
      <c r="F74" s="39" t="n">
        <v>3</v>
      </c>
      <c r="G74" s="39" t="n">
        <v>3</v>
      </c>
      <c r="H74" s="39" t="n">
        <v>3</v>
      </c>
      <c r="I74" s="39" t="n">
        <v>3</v>
      </c>
      <c r="J74" s="39" t="n">
        <v>3</v>
      </c>
      <c r="K74" s="39" t="n">
        <v>3</v>
      </c>
      <c r="L74" s="39" t="n">
        <v>3</v>
      </c>
      <c r="M74" s="39" t="n">
        <v>3</v>
      </c>
      <c r="N74" s="39" t="n">
        <v>2</v>
      </c>
      <c r="O74" s="39" t="n">
        <v>2</v>
      </c>
      <c r="P74" s="39" t="n">
        <v>2</v>
      </c>
      <c r="Q74" s="39" t="n">
        <v>2</v>
      </c>
      <c r="R74" s="39" t="n">
        <v>2</v>
      </c>
      <c r="S74" s="39" t="n">
        <v>2</v>
      </c>
      <c r="T74" s="39" t="n">
        <v>2</v>
      </c>
      <c r="U74" s="39" t="n">
        <v>2</v>
      </c>
      <c r="V74" s="39" t="n"/>
      <c r="W74" s="39" t="n"/>
      <c r="X74" s="39" t="n"/>
      <c r="Y74" s="39" t="n"/>
      <c r="Z74" s="39" t="n"/>
      <c r="AA74" s="39" t="n">
        <v>2</v>
      </c>
      <c r="AB74" s="39" t="n">
        <v>2</v>
      </c>
      <c r="AC74" s="6" t="n">
        <v>2</v>
      </c>
      <c r="AD74" s="6" t="n">
        <v>2</v>
      </c>
      <c r="AE74" s="6" t="n">
        <v>2</v>
      </c>
      <c r="AF74" s="380">
        <f>AD74+IF(NOT(ISBLANK(OFFSET(AF74,0,6))),N(OFFSET(AF74,0,6)),N(OFFSET(AF74,0,7)))-AE74</f>
        <v/>
      </c>
      <c r="AH74" s="138" t="n"/>
      <c r="AI74" s="138" t="n"/>
      <c r="AJ74" s="1" t="n"/>
      <c r="AK74" s="76" t="n"/>
      <c r="AL74" s="628" t="n">
        <v>0</v>
      </c>
      <c r="AM74" s="19" t="n">
        <v>0</v>
      </c>
      <c r="AN74" s="19" t="n">
        <v>0</v>
      </c>
      <c r="AO74" s="19" t="n">
        <v>0</v>
      </c>
      <c r="AP74" s="19" t="n"/>
      <c r="AQ74" s="19" t="n"/>
      <c r="AR74" s="19" t="n"/>
      <c r="AS74" s="19" t="n"/>
      <c r="AT74" s="19" t="n"/>
      <c r="AU74" s="19" t="n"/>
      <c r="AV74" s="19" t="n"/>
      <c r="AW74" s="19" t="n"/>
      <c r="AX74" s="19" t="n"/>
      <c r="AY74" s="19" t="n"/>
      <c r="AZ74" s="19" t="n"/>
      <c r="BA74" s="19" t="n"/>
      <c r="BB74" s="19" t="n"/>
      <c r="BC74" s="119" t="n"/>
      <c r="BD74" s="119" t="n"/>
      <c r="BE74" s="119" t="n"/>
      <c r="BF74" s="19" t="n"/>
      <c r="BG74" s="19" t="n"/>
      <c r="BH74" s="260" t="inlineStr">
        <is>
          <t>05 DE ERJ</t>
        </is>
      </c>
      <c r="BI74" s="19" t="n"/>
    </row>
    <row r="75">
      <c r="A75" s="538" t="inlineStr">
        <is>
          <t>KIT SACOLA G EUDORA (C/ 10)</t>
        </is>
      </c>
      <c r="B75" s="223" t="inlineStr">
        <is>
          <t>-</t>
        </is>
      </c>
      <c r="C75" s="683" t="inlineStr">
        <is>
          <t>-</t>
        </is>
      </c>
      <c r="D75" s="240" t="n"/>
      <c r="F75" s="39" t="n">
        <v>0</v>
      </c>
      <c r="G75" s="39" t="n">
        <v>0</v>
      </c>
      <c r="H75" s="39" t="n">
        <v>0</v>
      </c>
      <c r="I75" s="39" t="n">
        <v>0</v>
      </c>
      <c r="J75" s="39" t="n">
        <v>0</v>
      </c>
      <c r="K75" s="39" t="n">
        <v>0</v>
      </c>
      <c r="L75" s="39" t="n">
        <v>0</v>
      </c>
      <c r="M75" s="39" t="n">
        <v>0</v>
      </c>
      <c r="N75" s="39" t="n">
        <v>0</v>
      </c>
      <c r="O75" s="39" t="n">
        <v>0</v>
      </c>
      <c r="P75" s="39" t="n">
        <v>0</v>
      </c>
      <c r="Q75" s="39" t="n">
        <v>0</v>
      </c>
      <c r="R75" s="39" t="n">
        <v>0</v>
      </c>
      <c r="S75" s="39" t="n">
        <v>0</v>
      </c>
      <c r="T75" s="39" t="n">
        <v>0</v>
      </c>
      <c r="U75" s="39" t="n">
        <v>0</v>
      </c>
      <c r="V75" s="39" t="n"/>
      <c r="W75" s="39" t="n"/>
      <c r="X75" s="39" t="n"/>
      <c r="Y75" s="39" t="n"/>
      <c r="Z75" s="39" t="n"/>
      <c r="AA75" s="39" t="n">
        <v>0</v>
      </c>
      <c r="AB75" s="39" t="n">
        <v>0</v>
      </c>
      <c r="AC75" s="6" t="n">
        <v>0</v>
      </c>
      <c r="AD75" s="6" t="n">
        <v>0</v>
      </c>
      <c r="AE75" s="6" t="n">
        <v>0</v>
      </c>
      <c r="AF75" s="380">
        <f>AD75+IF(NOT(ISBLANK(OFFSET(AF75,0,6))),N(OFFSET(AF75,0,6)),N(OFFSET(AF75,0,7)))-AE75</f>
        <v/>
      </c>
      <c r="AH75" s="138" t="n"/>
      <c r="AI75" s="138" t="n"/>
      <c r="AJ75" s="1" t="n"/>
      <c r="AK75" s="76" t="n"/>
      <c r="AL75" s="628" t="n">
        <v>0</v>
      </c>
      <c r="AM75" s="19" t="n">
        <v>0</v>
      </c>
      <c r="AN75" s="19" t="n">
        <v>0</v>
      </c>
      <c r="AO75" s="19" t="n">
        <v>0</v>
      </c>
      <c r="AP75" s="19" t="n"/>
      <c r="AQ75" s="19" t="n"/>
      <c r="AR75" s="19" t="n"/>
      <c r="AS75" s="19" t="n"/>
      <c r="AT75" s="19" t="n"/>
      <c r="AU75" s="19" t="n"/>
      <c r="AV75" s="19" t="n"/>
      <c r="AW75" s="19" t="n"/>
      <c r="AX75" s="19" t="n"/>
      <c r="AY75" s="19" t="n"/>
      <c r="AZ75" s="19" t="n"/>
      <c r="BA75" s="19" t="n"/>
      <c r="BB75" s="19" t="n"/>
      <c r="BC75" s="119" t="n"/>
      <c r="BD75" s="119" t="n"/>
      <c r="BE75" s="119" t="n"/>
      <c r="BF75" s="19" t="n"/>
      <c r="BG75" s="19" t="n"/>
      <c r="BH75" s="119" t="n"/>
      <c r="BI75" s="19" t="n"/>
    </row>
    <row r="76">
      <c r="A76" s="538" t="inlineStr">
        <is>
          <t>CAIXA P EUDORA</t>
        </is>
      </c>
      <c r="B76" s="223" t="n">
        <v>150</v>
      </c>
      <c r="C76" s="683" t="n">
        <v>400.5</v>
      </c>
      <c r="D76" s="240" t="n"/>
      <c r="F76" s="39" t="n">
        <v>0</v>
      </c>
      <c r="G76" s="39" t="n">
        <v>0</v>
      </c>
      <c r="H76" s="39" t="n">
        <v>0</v>
      </c>
      <c r="I76" s="39" t="n">
        <v>0</v>
      </c>
      <c r="J76" s="39" t="n">
        <v>0</v>
      </c>
      <c r="K76" s="39" t="n">
        <v>0</v>
      </c>
      <c r="L76" s="39" t="n">
        <v>0</v>
      </c>
      <c r="M76" s="39" t="n">
        <v>0</v>
      </c>
      <c r="N76" s="211" t="n">
        <v>9</v>
      </c>
      <c r="O76" s="39" t="n">
        <v>9</v>
      </c>
      <c r="P76" s="39" t="n">
        <v>9</v>
      </c>
      <c r="Q76" s="39" t="n">
        <v>9</v>
      </c>
      <c r="R76" s="39" t="n">
        <v>9</v>
      </c>
      <c r="S76" s="39" t="n">
        <v>6</v>
      </c>
      <c r="T76" s="39" t="n">
        <v>6</v>
      </c>
      <c r="U76" s="39" t="n">
        <v>6</v>
      </c>
      <c r="V76" s="39" t="n"/>
      <c r="W76" s="39" t="n"/>
      <c r="X76" s="39" t="n"/>
      <c r="Y76" s="39" t="n"/>
      <c r="Z76" s="39" t="n"/>
      <c r="AA76" s="39" t="n">
        <v>6</v>
      </c>
      <c r="AB76" s="39" t="n">
        <v>6</v>
      </c>
      <c r="AC76" s="6" t="n">
        <v>6</v>
      </c>
      <c r="AD76" s="6" t="n">
        <v>6</v>
      </c>
      <c r="AE76" s="6" t="n">
        <v>6</v>
      </c>
      <c r="AF76" s="380">
        <f>AD76+IF(NOT(ISBLANK(OFFSET(AF76,0,6))),N(OFFSET(AF76,0,6)),N(OFFSET(AF76,0,7)))-AE76</f>
        <v/>
      </c>
      <c r="AH76" s="138" t="inlineStr">
        <is>
          <t>15 DE CD</t>
        </is>
      </c>
      <c r="AI76" s="138" t="n"/>
      <c r="AJ76" s="1" t="n"/>
      <c r="AK76" s="76" t="n"/>
      <c r="AL76" s="628" t="n">
        <v>0</v>
      </c>
      <c r="AM76" s="19" t="n">
        <v>0</v>
      </c>
      <c r="AN76" s="19" t="n">
        <v>0</v>
      </c>
      <c r="AO76" s="19" t="n">
        <v>0</v>
      </c>
      <c r="AP76" s="19" t="n"/>
      <c r="AQ76" s="19" t="n"/>
      <c r="AR76" s="19" t="n"/>
      <c r="AS76" s="19" t="n"/>
      <c r="AT76" s="19" t="n"/>
      <c r="AU76" s="19" t="n"/>
      <c r="AV76" s="19" t="n"/>
      <c r="AW76" s="19" t="n"/>
      <c r="AX76" s="19" t="n"/>
      <c r="AY76" s="19" t="n"/>
      <c r="AZ76" s="19" t="n"/>
      <c r="BA76" s="19" t="n"/>
      <c r="BB76" s="19" t="n"/>
      <c r="BC76" s="119" t="n"/>
      <c r="BD76" s="119" t="n"/>
      <c r="BE76" s="119" t="n"/>
      <c r="BF76" s="19" t="n"/>
      <c r="BG76" s="19" t="n"/>
      <c r="BH76" s="260" t="inlineStr">
        <is>
          <t>10 DE CDJ</t>
        </is>
      </c>
      <c r="BI76" s="19" t="n"/>
    </row>
    <row r="77">
      <c r="A77" s="538" t="inlineStr">
        <is>
          <t>CAIXA M EUDORA</t>
        </is>
      </c>
      <c r="B77" s="223" t="n">
        <v>100</v>
      </c>
      <c r="C77" s="683" t="n">
        <v>365</v>
      </c>
      <c r="D77" s="240" t="n"/>
      <c r="F77" s="39" t="n">
        <v>0</v>
      </c>
      <c r="G77" s="39" t="n">
        <v>0</v>
      </c>
      <c r="H77" s="39" t="n">
        <v>0</v>
      </c>
      <c r="I77" s="39" t="n">
        <v>0</v>
      </c>
      <c r="J77" s="39" t="n">
        <v>0</v>
      </c>
      <c r="K77" s="39" t="n">
        <v>0</v>
      </c>
      <c r="L77" s="39" t="n">
        <v>0</v>
      </c>
      <c r="M77" s="39" t="n">
        <v>0</v>
      </c>
      <c r="N77" s="39" t="n">
        <v>0</v>
      </c>
      <c r="O77" s="39" t="n">
        <v>0</v>
      </c>
      <c r="P77" s="39" t="n">
        <v>0</v>
      </c>
      <c r="Q77" s="39" t="n">
        <v>0</v>
      </c>
      <c r="R77" s="39" t="n">
        <v>0</v>
      </c>
      <c r="S77" s="39" t="n">
        <v>0</v>
      </c>
      <c r="T77" s="39" t="n">
        <v>0</v>
      </c>
      <c r="U77" s="39" t="n">
        <v>0</v>
      </c>
      <c r="V77" s="39" t="n"/>
      <c r="W77" s="39" t="n"/>
      <c r="X77" s="39" t="n"/>
      <c r="Y77" s="39" t="n"/>
      <c r="Z77" s="39" t="n"/>
      <c r="AA77" s="39" t="n">
        <v>0</v>
      </c>
      <c r="AB77" s="39" t="n">
        <v>0</v>
      </c>
      <c r="AC77" s="6" t="n">
        <v>0</v>
      </c>
      <c r="AD77" s="6" t="n">
        <v>0</v>
      </c>
      <c r="AE77" s="6" t="n">
        <v>0</v>
      </c>
      <c r="AF77" s="380">
        <f>AD77+IF(NOT(ISBLANK(OFFSET(AF77,0,6))),N(OFFSET(AF77,0,6)),N(OFFSET(AF77,0,7)))-AE77</f>
        <v/>
      </c>
      <c r="AH77" s="138" t="n"/>
      <c r="AI77" s="138" t="n"/>
      <c r="AJ77" s="1" t="n"/>
      <c r="AK77" s="76" t="n"/>
      <c r="AL77" s="628" t="n">
        <v>0</v>
      </c>
      <c r="AM77" s="19" t="n">
        <v>0</v>
      </c>
      <c r="AN77" s="19" t="n">
        <v>0</v>
      </c>
      <c r="AO77" s="19" t="n">
        <v>0</v>
      </c>
      <c r="AP77" s="19" t="n"/>
      <c r="AQ77" s="19" t="n"/>
      <c r="AR77" s="19" t="n"/>
      <c r="AS77" s="19" t="n"/>
      <c r="AT77" s="19" t="n"/>
      <c r="AU77" s="19" t="n"/>
      <c r="AV77" s="19" t="n"/>
      <c r="AW77" s="19" t="n"/>
      <c r="AX77" s="19" t="n"/>
      <c r="AY77" s="19" t="n"/>
      <c r="AZ77" s="19" t="n"/>
      <c r="BA77" s="19" t="n"/>
      <c r="BB77" s="19" t="n"/>
      <c r="BC77" s="119" t="n"/>
      <c r="BD77" s="119" t="n"/>
      <c r="BE77" s="119" t="n"/>
      <c r="BF77" s="19" t="n"/>
      <c r="BG77" s="19" t="n"/>
      <c r="BH77" s="119" t="n"/>
      <c r="BI77" s="19" t="n"/>
    </row>
    <row r="78">
      <c r="A78" s="538" t="inlineStr">
        <is>
          <t>CAIXA G EUDORA</t>
        </is>
      </c>
      <c r="B78" s="223" t="n">
        <v>75</v>
      </c>
      <c r="C78" s="683" t="n">
        <v>438.75</v>
      </c>
      <c r="D78" s="240" t="n"/>
      <c r="F78" s="39" t="n">
        <v>10</v>
      </c>
      <c r="G78" s="39" t="n">
        <v>10</v>
      </c>
      <c r="H78" s="39" t="n">
        <v>10</v>
      </c>
      <c r="I78" s="39" t="n">
        <v>10</v>
      </c>
      <c r="J78" s="39" t="n">
        <v>10</v>
      </c>
      <c r="K78" s="39" t="n">
        <v>10</v>
      </c>
      <c r="L78" s="39" t="n">
        <v>10</v>
      </c>
      <c r="M78" s="39" t="n">
        <v>10</v>
      </c>
      <c r="N78" s="39" t="n">
        <v>10</v>
      </c>
      <c r="O78" s="39" t="n">
        <v>10</v>
      </c>
      <c r="P78" s="39" t="n">
        <v>10</v>
      </c>
      <c r="Q78" s="39" t="n">
        <v>10</v>
      </c>
      <c r="R78" s="39" t="n">
        <v>10</v>
      </c>
      <c r="S78" s="39" t="n">
        <v>10</v>
      </c>
      <c r="T78" s="39" t="n">
        <v>10</v>
      </c>
      <c r="U78" s="39" t="n">
        <v>10</v>
      </c>
      <c r="V78" s="39" t="n"/>
      <c r="W78" s="39" t="n"/>
      <c r="X78" s="39" t="n"/>
      <c r="Y78" s="39" t="n"/>
      <c r="Z78" s="39" t="n"/>
      <c r="AA78" s="39" t="n">
        <v>10</v>
      </c>
      <c r="AB78" s="39" t="n">
        <v>10</v>
      </c>
      <c r="AC78" s="6" t="n">
        <v>10</v>
      </c>
      <c r="AD78" s="6" t="n">
        <v>10</v>
      </c>
      <c r="AE78" s="6" t="n">
        <v>10</v>
      </c>
      <c r="AF78" s="380">
        <f>AD78+IF(NOT(ISBLANK(OFFSET(AF78,0,6))),N(OFFSET(AF78,0,6)),N(OFFSET(AF78,0,7)))-AE78</f>
        <v/>
      </c>
      <c r="AH78" s="138" t="n"/>
      <c r="AI78" s="138" t="n"/>
      <c r="AJ78" s="1" t="n"/>
      <c r="AK78" s="76" t="n"/>
      <c r="AL78" s="628" t="n">
        <v>0</v>
      </c>
      <c r="AM78" s="19" t="n">
        <v>0</v>
      </c>
      <c r="AN78" s="19" t="n">
        <v>0</v>
      </c>
      <c r="AO78" s="19" t="n">
        <v>0</v>
      </c>
      <c r="AP78" s="19" t="n"/>
      <c r="AQ78" s="19" t="n"/>
      <c r="AR78" s="19" t="n"/>
      <c r="AS78" s="19" t="n"/>
      <c r="AT78" s="19" t="n"/>
      <c r="AU78" s="19" t="n"/>
      <c r="AV78" s="19" t="n"/>
      <c r="AW78" s="19" t="n"/>
      <c r="AX78" s="19" t="n"/>
      <c r="AY78" s="19" t="n"/>
      <c r="AZ78" s="19" t="n"/>
      <c r="BA78" s="19" t="n"/>
      <c r="BB78" s="19" t="n"/>
      <c r="BC78" s="119" t="n"/>
      <c r="BD78" s="119" t="n"/>
      <c r="BE78" s="119" t="n"/>
      <c r="BF78" s="19" t="n"/>
      <c r="BG78" s="19" t="n"/>
      <c r="BH78" s="260" t="inlineStr">
        <is>
          <t>10 DE CDJ</t>
        </is>
      </c>
      <c r="BI78" s="19" t="n"/>
    </row>
    <row r="79">
      <c r="B79" s="41" t="n"/>
      <c r="C79" s="684" t="n"/>
      <c r="D79" s="684" t="n"/>
      <c r="F79" s="2" t="n"/>
      <c r="G79" s="2" t="n"/>
      <c r="H79" s="2" t="n"/>
      <c r="I79" s="2" t="n"/>
      <c r="J79" s="2" t="n"/>
      <c r="K79" s="2" t="n"/>
      <c r="L79" s="2" t="n"/>
      <c r="M79" s="2" t="n"/>
      <c r="N79" s="2" t="n"/>
      <c r="O79" s="2" t="n"/>
      <c r="P79" s="2" t="n"/>
      <c r="Q79" s="2" t="n"/>
      <c r="R79" s="2" t="n"/>
      <c r="S79" s="2" t="n"/>
      <c r="T79" s="2" t="n"/>
      <c r="U79" s="2" t="n"/>
      <c r="V79" s="2" t="n"/>
      <c r="W79" s="2" t="n"/>
      <c r="X79" s="2" t="n"/>
      <c r="Y79" s="2" t="n"/>
      <c r="Z79" s="2" t="n"/>
      <c r="AA79" s="2" t="n"/>
      <c r="AB79" s="2" t="n"/>
      <c r="AC79" s="1" t="n"/>
      <c r="AD79" s="1" t="n"/>
      <c r="AE79" s="1" t="n"/>
      <c r="AF79" s="2" t="n"/>
      <c r="AH79" s="75" t="n"/>
      <c r="AI79" s="75" t="n"/>
      <c r="AJ79" s="1" t="n"/>
      <c r="AK79" s="15" t="n"/>
      <c r="AL79" s="396" t="n"/>
      <c r="AM79" s="75" t="n"/>
      <c r="AN79" s="75" t="n"/>
      <c r="AO79" s="75" t="n"/>
      <c r="AP79" s="75" t="n"/>
      <c r="AQ79" s="75" t="n"/>
      <c r="AR79" s="75" t="n"/>
      <c r="AS79" s="75" t="n"/>
      <c r="AT79" s="75" t="n"/>
      <c r="AU79" s="75" t="n"/>
      <c r="AV79" s="75" t="n"/>
      <c r="AW79" s="75" t="n"/>
      <c r="AX79" s="75" t="n"/>
      <c r="AY79" s="75" t="n"/>
      <c r="AZ79" s="75" t="n"/>
      <c r="BA79" s="75" t="n"/>
      <c r="BB79" s="75" t="n"/>
      <c r="BC79" s="206" t="n"/>
      <c r="BD79" s="206" t="n"/>
      <c r="BE79" s="206" t="n"/>
      <c r="BF79" s="75" t="n"/>
      <c r="BG79" s="75" t="n"/>
      <c r="BH79" s="206" t="n"/>
      <c r="BI79" s="75" t="n"/>
    </row>
    <row r="80">
      <c r="A80" s="278" t="inlineStr">
        <is>
          <t>EUDORA NATAL/25</t>
        </is>
      </c>
      <c r="B80" s="279" t="inlineStr">
        <is>
          <t>PC</t>
        </is>
      </c>
      <c r="C80" s="279" t="inlineStr">
        <is>
          <t>R$</t>
        </is>
      </c>
      <c r="D80" s="279" t="n"/>
      <c r="F80" s="619" t="n">
        <v>46006</v>
      </c>
      <c r="G80" s="619" t="n">
        <v>46013</v>
      </c>
      <c r="H80" s="619" t="n">
        <v>46020</v>
      </c>
      <c r="I80" s="619" t="n">
        <v>46027</v>
      </c>
      <c r="J80" s="619" t="n">
        <v>46034</v>
      </c>
      <c r="K80" s="619" t="n">
        <v>46041</v>
      </c>
      <c r="L80" s="619" t="n">
        <v>46048</v>
      </c>
      <c r="M80" s="619" t="n">
        <v>46055</v>
      </c>
      <c r="N80" s="619" t="n">
        <v>46062</v>
      </c>
      <c r="O80" s="619" t="n">
        <v>46069</v>
      </c>
      <c r="P80" s="619" t="n">
        <v>46076</v>
      </c>
      <c r="Q80" s="619" t="n">
        <v>46083</v>
      </c>
      <c r="R80" s="619" t="n">
        <v>46090</v>
      </c>
      <c r="S80" s="619" t="n">
        <v>46097</v>
      </c>
      <c r="T80" s="619" t="n">
        <v>46104</v>
      </c>
      <c r="U80" s="619" t="n">
        <v>46111</v>
      </c>
      <c r="V80" s="619" t="n">
        <v>46118</v>
      </c>
      <c r="W80" s="619" t="n">
        <v>46125</v>
      </c>
      <c r="X80" s="619" t="n">
        <v>46132</v>
      </c>
      <c r="Y80" s="619" t="n">
        <v>46139</v>
      </c>
      <c r="Z80" s="619" t="n">
        <v>46146</v>
      </c>
      <c r="AA80" s="619" t="n">
        <v>46154</v>
      </c>
      <c r="AB80" s="619" t="n">
        <v>46160</v>
      </c>
      <c r="AC80" s="620" t="n">
        <v>46161.48013633102</v>
      </c>
      <c r="AD80" s="620" t="n">
        <v>46161.48080996528</v>
      </c>
      <c r="AE80" s="620" t="n">
        <v>46161.48296747083</v>
      </c>
      <c r="AF80" s="621" t="inlineStr">
        <is>
          <t>USOU</t>
        </is>
      </c>
      <c r="BC80" s="209" t="n"/>
      <c r="BD80" s="209" t="n"/>
      <c r="BE80" s="209" t="n"/>
      <c r="BH80" s="209" t="n"/>
    </row>
    <row r="81">
      <c r="A81" s="25" t="inlineStr">
        <is>
          <t xml:space="preserve">SACOLA M </t>
        </is>
      </c>
      <c r="B81" s="6" t="n">
        <v>200</v>
      </c>
      <c r="C81" s="632" t="n">
        <v>336</v>
      </c>
      <c r="D81" s="240" t="n"/>
      <c r="F81" s="39" t="n">
        <v>124</v>
      </c>
      <c r="G81" s="39" t="n">
        <v>124</v>
      </c>
      <c r="H81" s="39" t="n">
        <v>124</v>
      </c>
      <c r="I81" s="39" t="n">
        <v>124</v>
      </c>
      <c r="J81" s="39" t="n">
        <v>124</v>
      </c>
      <c r="K81" s="39" t="n">
        <v>124</v>
      </c>
      <c r="L81" s="39" t="n">
        <v>124</v>
      </c>
      <c r="M81" s="39" t="n">
        <v>124</v>
      </c>
      <c r="N81" s="39" t="n">
        <v>142</v>
      </c>
      <c r="O81" s="39" t="n">
        <v>142</v>
      </c>
      <c r="P81" s="39" t="n">
        <v>142</v>
      </c>
      <c r="Q81" s="39" t="n">
        <v>142</v>
      </c>
      <c r="R81" s="39" t="n">
        <v>131</v>
      </c>
      <c r="S81" s="39" t="n">
        <v>123</v>
      </c>
      <c r="T81" s="39" t="n">
        <v>123</v>
      </c>
      <c r="U81" s="39" t="n">
        <v>123</v>
      </c>
      <c r="V81" s="39" t="n"/>
      <c r="W81" s="39" t="n"/>
      <c r="X81" s="39" t="n"/>
      <c r="Y81" s="39" t="n"/>
      <c r="Z81" s="39" t="n"/>
      <c r="AA81" s="39" t="n">
        <v>24</v>
      </c>
      <c r="AB81" s="39" t="n">
        <v>13</v>
      </c>
      <c r="AC81" s="6" t="n">
        <v>13</v>
      </c>
      <c r="AD81" s="6" t="n">
        <v>13</v>
      </c>
      <c r="AE81" s="6" t="n">
        <v>13</v>
      </c>
      <c r="AF81" s="380">
        <f>AD81+IF(NOT(ISBLANK(OFFSET(AF81,0,6))),N(OFFSET(AF81,0,6)),N(OFFSET(AF81,0,7)))-AE81</f>
        <v/>
      </c>
      <c r="BC81" s="209" t="n"/>
      <c r="BD81" s="209" t="n"/>
      <c r="BE81" s="209" t="n"/>
      <c r="BH81" s="209" t="n"/>
    </row>
    <row r="82">
      <c r="A82" s="25" t="inlineStr">
        <is>
          <t>PAPEL DE SEDA</t>
        </is>
      </c>
      <c r="B82" s="6" t="n">
        <v>200</v>
      </c>
      <c r="C82" s="632" t="n">
        <v>54</v>
      </c>
      <c r="D82" s="240" t="n"/>
      <c r="F82" s="39" t="n">
        <v>138</v>
      </c>
      <c r="G82" s="39" t="n">
        <v>137</v>
      </c>
      <c r="H82" s="39" t="n">
        <v>137</v>
      </c>
      <c r="I82" s="39" t="n">
        <v>137</v>
      </c>
      <c r="J82" s="39" t="n">
        <v>137</v>
      </c>
      <c r="K82" s="39" t="n">
        <v>137</v>
      </c>
      <c r="L82" s="39" t="n">
        <v>137</v>
      </c>
      <c r="M82" s="39" t="n">
        <v>137</v>
      </c>
      <c r="N82" s="39" t="n">
        <v>143</v>
      </c>
      <c r="O82" s="39" t="n">
        <v>143</v>
      </c>
      <c r="P82" s="39" t="n">
        <v>143</v>
      </c>
      <c r="Q82" s="39" t="n">
        <v>143</v>
      </c>
      <c r="R82" s="39" t="n">
        <v>143</v>
      </c>
      <c r="S82" s="39" t="n">
        <v>140</v>
      </c>
      <c r="T82" s="39" t="n">
        <v>140</v>
      </c>
      <c r="U82" s="39" t="n">
        <v>140</v>
      </c>
      <c r="V82" s="39" t="n"/>
      <c r="W82" s="39" t="n"/>
      <c r="X82" s="39" t="n"/>
      <c r="Y82" s="39" t="n"/>
      <c r="Z82" s="39" t="n"/>
      <c r="AA82" s="39" t="n">
        <v>130</v>
      </c>
      <c r="AB82" s="39" t="n">
        <v>130</v>
      </c>
      <c r="AC82" s="6" t="n">
        <v>130</v>
      </c>
      <c r="AD82" s="6" t="n">
        <v>130</v>
      </c>
      <c r="AE82" s="6" t="n">
        <v>130</v>
      </c>
      <c r="AF82" s="380">
        <f>AD82+IF(NOT(ISBLANK(OFFSET(AF82,0,6))),N(OFFSET(AF82,0,6)),N(OFFSET(AF82,0,7)))-AE82</f>
        <v/>
      </c>
      <c r="AG82" s="11" t="n"/>
      <c r="AH82" s="75" t="n"/>
      <c r="AI82" s="75" t="n"/>
      <c r="AJ82" s="1" t="n"/>
      <c r="AK82" s="15" t="n"/>
      <c r="AL82" s="396" t="n"/>
      <c r="AM82" s="75" t="n"/>
      <c r="AN82" s="75" t="n"/>
      <c r="AO82" s="75" t="n"/>
      <c r="AP82" s="75" t="n"/>
      <c r="AQ82" s="75" t="n"/>
      <c r="AR82" s="75" t="n"/>
      <c r="AS82" s="75" t="n"/>
      <c r="AT82" s="75" t="n"/>
      <c r="AU82" s="75" t="n"/>
      <c r="AV82" s="75" t="n"/>
      <c r="AW82" s="75" t="n"/>
      <c r="AX82" s="75" t="n"/>
      <c r="AY82" s="75" t="n"/>
      <c r="AZ82" s="75" t="n"/>
      <c r="BA82" s="75" t="n"/>
      <c r="BB82" s="75" t="n"/>
      <c r="BC82" s="206" t="n"/>
      <c r="BD82" s="206" t="n"/>
      <c r="BE82" s="206" t="n"/>
      <c r="BF82" s="75" t="n"/>
      <c r="BG82" s="75" t="n"/>
      <c r="BH82" s="206" t="n"/>
      <c r="BI82" s="75" t="n"/>
    </row>
    <row r="83">
      <c r="A83" s="25" t="inlineStr">
        <is>
          <t>KIT TAG 10 C/ 20</t>
        </is>
      </c>
      <c r="B83" s="6" t="n">
        <v>200</v>
      </c>
      <c r="C83" s="632" t="n">
        <v>40</v>
      </c>
      <c r="D83" s="240" t="n"/>
      <c r="F83" s="39" t="n">
        <v>2</v>
      </c>
      <c r="G83" s="39" t="n">
        <v>2</v>
      </c>
      <c r="H83" s="39" t="n">
        <v>2</v>
      </c>
      <c r="I83" s="39" t="n">
        <v>2</v>
      </c>
      <c r="J83" s="39" t="n">
        <v>2</v>
      </c>
      <c r="K83" s="39" t="n">
        <v>2</v>
      </c>
      <c r="L83" s="39" t="n">
        <v>1</v>
      </c>
      <c r="M83" s="39" t="n">
        <v>1</v>
      </c>
      <c r="N83" s="39" t="n">
        <v>1</v>
      </c>
      <c r="O83" s="39" t="n">
        <v>1</v>
      </c>
      <c r="P83" s="39" t="n">
        <v>1</v>
      </c>
      <c r="Q83" s="39" t="n">
        <v>1</v>
      </c>
      <c r="R83" s="39" t="n">
        <v>1</v>
      </c>
      <c r="S83" s="39" t="n">
        <v>1</v>
      </c>
      <c r="T83" s="39" t="n">
        <v>1</v>
      </c>
      <c r="U83" s="39" t="n">
        <v>0</v>
      </c>
      <c r="V83" s="39" t="n"/>
      <c r="W83" s="39" t="n"/>
      <c r="X83" s="39" t="n"/>
      <c r="Y83" s="39" t="n"/>
      <c r="Z83" s="39" t="n"/>
      <c r="AA83" s="39" t="n">
        <v>0</v>
      </c>
      <c r="AB83" s="39" t="n">
        <v>0</v>
      </c>
      <c r="AC83" s="6" t="n">
        <v>0</v>
      </c>
      <c r="AD83" s="6" t="n">
        <v>0</v>
      </c>
      <c r="AE83" s="6" t="n">
        <v>0</v>
      </c>
      <c r="AF83" s="380">
        <f>AD83+IF(NOT(ISBLANK(OFFSET(AF83,0,6))),N(OFFSET(AF83,0,6)),N(OFFSET(AF83,0,7)))-AE83</f>
        <v/>
      </c>
      <c r="AG83" s="11" t="n"/>
      <c r="AH83" s="75" t="n"/>
      <c r="AI83" s="75" t="n"/>
      <c r="AJ83" s="1" t="n"/>
      <c r="AK83" s="15" t="n"/>
      <c r="AL83" s="396" t="n"/>
      <c r="AM83" s="75" t="n"/>
      <c r="AN83" s="75" t="n"/>
      <c r="AO83" s="75" t="n"/>
      <c r="AP83" s="75" t="n"/>
      <c r="AQ83" s="75" t="n"/>
      <c r="AR83" s="75" t="n"/>
      <c r="AS83" s="75" t="n"/>
      <c r="AT83" s="75" t="n"/>
      <c r="AU83" s="75" t="n"/>
      <c r="AV83" s="75" t="n"/>
      <c r="AW83" s="75" t="n"/>
      <c r="AX83" s="75" t="n"/>
      <c r="AY83" s="75" t="n"/>
      <c r="AZ83" s="75" t="n"/>
      <c r="BA83" s="75" t="n"/>
      <c r="BB83" s="75" t="n"/>
      <c r="BC83" s="206" t="n"/>
      <c r="BD83" s="206" t="n"/>
      <c r="BE83" s="206" t="n"/>
      <c r="BF83" s="75" t="n"/>
      <c r="BG83" s="75" t="n"/>
      <c r="BH83" s="206" t="n"/>
      <c r="BI83" s="75" t="n"/>
    </row>
    <row r="84">
      <c r="A84" s="157" t="inlineStr">
        <is>
          <t>CAIXA M</t>
        </is>
      </c>
      <c r="B84" s="72" t="n">
        <v>100</v>
      </c>
      <c r="C84" s="639" t="n">
        <v>904</v>
      </c>
      <c r="D84" s="72" t="n"/>
      <c r="F84" s="39" t="n">
        <v>28</v>
      </c>
      <c r="G84" s="39" t="n">
        <v>25</v>
      </c>
      <c r="H84" s="39" t="n">
        <v>25</v>
      </c>
      <c r="I84" s="39" t="n">
        <v>25</v>
      </c>
      <c r="J84" s="39" t="n">
        <v>25</v>
      </c>
      <c r="K84" s="39" t="n">
        <v>25</v>
      </c>
      <c r="L84" s="39" t="n">
        <v>25</v>
      </c>
      <c r="M84" s="39" t="n">
        <v>25</v>
      </c>
      <c r="N84" s="39" t="n">
        <v>25</v>
      </c>
      <c r="O84" s="39" t="n">
        <v>25</v>
      </c>
      <c r="P84" s="39" t="n">
        <v>25</v>
      </c>
      <c r="Q84" s="39" t="n">
        <v>25</v>
      </c>
      <c r="R84" s="39" t="n">
        <v>25</v>
      </c>
      <c r="S84" s="39" t="n">
        <v>24</v>
      </c>
      <c r="T84" s="39" t="n">
        <v>24</v>
      </c>
      <c r="U84" s="39" t="n">
        <v>24</v>
      </c>
      <c r="V84" s="39" t="n"/>
      <c r="W84" s="39" t="n"/>
      <c r="X84" s="39" t="n"/>
      <c r="Y84" s="39" t="n"/>
      <c r="Z84" s="39" t="n"/>
      <c r="AA84" s="39" t="n">
        <v>23</v>
      </c>
      <c r="AB84" s="39" t="n">
        <v>23</v>
      </c>
      <c r="AC84" s="6" t="n">
        <v>23</v>
      </c>
      <c r="AD84" s="6" t="n">
        <v>23</v>
      </c>
      <c r="AE84" s="6" t="n">
        <v>23</v>
      </c>
      <c r="AF84" s="380">
        <f>AD84+IF(NOT(ISBLANK(OFFSET(AF84,0,6))),N(OFFSET(AF84,0,6)),N(OFFSET(AF84,0,7)))-AE84</f>
        <v/>
      </c>
    </row>
    <row r="85">
      <c r="A85" s="157" t="inlineStr">
        <is>
          <t>CARTUCHO P</t>
        </is>
      </c>
      <c r="B85" s="72" t="n">
        <v>200</v>
      </c>
      <c r="C85" s="639" t="n">
        <v>464</v>
      </c>
      <c r="D85" s="72" t="n"/>
      <c r="F85" s="39" t="n">
        <v>30</v>
      </c>
      <c r="G85" s="39" t="n">
        <v>30</v>
      </c>
      <c r="H85" s="39" t="n">
        <v>29</v>
      </c>
      <c r="I85" s="39" t="n">
        <v>29</v>
      </c>
      <c r="J85" s="39" t="n">
        <v>29</v>
      </c>
      <c r="K85" s="39" t="n">
        <v>29</v>
      </c>
      <c r="L85" s="39" t="n">
        <v>29</v>
      </c>
      <c r="M85" s="39" t="n">
        <v>29</v>
      </c>
      <c r="N85" s="39" t="n">
        <v>29</v>
      </c>
      <c r="O85" s="39" t="n">
        <v>29</v>
      </c>
      <c r="P85" s="39" t="n">
        <v>29</v>
      </c>
      <c r="Q85" s="39" t="n">
        <v>29</v>
      </c>
      <c r="R85" s="39" t="n">
        <v>29</v>
      </c>
      <c r="S85" s="39" t="n">
        <v>28</v>
      </c>
      <c r="T85" s="39" t="n">
        <v>28</v>
      </c>
      <c r="U85" s="39" t="n">
        <v>28</v>
      </c>
      <c r="V85" s="39" t="n"/>
      <c r="W85" s="39" t="n"/>
      <c r="X85" s="39" t="n"/>
      <c r="Y85" s="39" t="n"/>
      <c r="Z85" s="39" t="n"/>
      <c r="AA85" s="39" t="n">
        <v>21</v>
      </c>
      <c r="AB85" s="39" t="n">
        <v>21</v>
      </c>
      <c r="AC85" s="6" t="n">
        <v>21</v>
      </c>
      <c r="AD85" s="6" t="n">
        <v>21</v>
      </c>
      <c r="AE85" s="6" t="n">
        <v>21</v>
      </c>
      <c r="AF85" s="380">
        <f>AD85+IF(NOT(ISBLANK(OFFSET(AF85,0,6))),N(OFFSET(AF85,0,6)),N(OFFSET(AF85,0,7)))-AE85</f>
        <v/>
      </c>
    </row>
    <row r="86"/>
    <row r="87">
      <c r="A87" s="280" t="inlineStr">
        <is>
          <t>BOTICÁRIO NATAL/25</t>
        </is>
      </c>
      <c r="B87" s="255" t="inlineStr">
        <is>
          <t>PC</t>
        </is>
      </c>
      <c r="C87" s="255" t="inlineStr">
        <is>
          <t>R$</t>
        </is>
      </c>
      <c r="D87" s="255" t="n"/>
      <c r="F87" s="619" t="n">
        <v>46006</v>
      </c>
      <c r="G87" s="619" t="n">
        <v>46013</v>
      </c>
      <c r="H87" s="619" t="n">
        <v>46020</v>
      </c>
      <c r="I87" s="619" t="n">
        <v>46027</v>
      </c>
      <c r="J87" s="619" t="n">
        <v>46034</v>
      </c>
      <c r="K87" s="619" t="n">
        <v>46041</v>
      </c>
      <c r="L87" s="619" t="n">
        <v>46048</v>
      </c>
      <c r="M87" s="619" t="n">
        <v>46055</v>
      </c>
      <c r="N87" s="619" t="n">
        <v>46062</v>
      </c>
      <c r="O87" s="619" t="n">
        <v>46069</v>
      </c>
      <c r="P87" s="619" t="n">
        <v>46076</v>
      </c>
      <c r="Q87" s="619" t="n">
        <v>46083</v>
      </c>
      <c r="R87" s="619" t="n">
        <v>46090</v>
      </c>
      <c r="S87" s="619" t="n">
        <v>46097</v>
      </c>
      <c r="T87" s="619" t="n">
        <v>46104</v>
      </c>
      <c r="U87" s="619" t="n">
        <v>46111</v>
      </c>
      <c r="V87" s="619" t="n">
        <v>46118</v>
      </c>
      <c r="W87" s="619" t="n">
        <v>46125</v>
      </c>
      <c r="X87" s="619" t="n">
        <v>46132</v>
      </c>
      <c r="Y87" s="619" t="n">
        <v>46139</v>
      </c>
      <c r="Z87" s="619" t="n">
        <v>46146</v>
      </c>
      <c r="AA87" s="619" t="n">
        <v>46154</v>
      </c>
      <c r="AB87" s="619" t="n">
        <v>46160</v>
      </c>
      <c r="AC87" s="620" t="n">
        <v>46161.48013633102</v>
      </c>
      <c r="AD87" s="620" t="n">
        <v>46161.48080996528</v>
      </c>
      <c r="AE87" s="620" t="n">
        <v>46161.48296747106</v>
      </c>
      <c r="AF87" s="621" t="inlineStr">
        <is>
          <t>USOU</t>
        </is>
      </c>
    </row>
    <row r="88" hidden="1">
      <c r="A88" s="25" t="inlineStr">
        <is>
          <t>SACOLA P</t>
        </is>
      </c>
      <c r="B88" s="6" t="n">
        <v>200</v>
      </c>
      <c r="C88" s="632" t="n">
        <v>274.2</v>
      </c>
      <c r="D88" s="240" t="n"/>
      <c r="F88" s="39" t="n">
        <v>99</v>
      </c>
      <c r="G88" s="39" t="n">
        <v>54</v>
      </c>
      <c r="H88" s="39" t="n">
        <v>40</v>
      </c>
      <c r="I88" s="39" t="n">
        <v>38</v>
      </c>
      <c r="J88" s="39" t="n">
        <v>28</v>
      </c>
      <c r="K88" s="39" t="n">
        <v>0</v>
      </c>
      <c r="L88" s="39" t="n">
        <v>0</v>
      </c>
      <c r="M88" s="39" t="n">
        <v>0</v>
      </c>
      <c r="N88" s="39" t="n">
        <v>0</v>
      </c>
      <c r="O88" s="39" t="n">
        <v>0</v>
      </c>
      <c r="P88" s="39" t="n">
        <v>0</v>
      </c>
      <c r="Q88" s="39" t="n">
        <v>0</v>
      </c>
      <c r="R88" s="39" t="n">
        <v>0</v>
      </c>
      <c r="S88" s="39" t="n">
        <v>0</v>
      </c>
      <c r="T88" s="39" t="n"/>
      <c r="U88" s="39" t="n"/>
      <c r="V88" s="39" t="n"/>
      <c r="W88" s="39" t="n"/>
      <c r="X88" s="39" t="n"/>
      <c r="Y88" s="39" t="n"/>
      <c r="Z88" s="39" t="n"/>
      <c r="AA88" s="39" t="n"/>
      <c r="AB88" s="39" t="n"/>
      <c r="AC88" s="6" t="n"/>
      <c r="AD88" s="6" t="n"/>
      <c r="AE88" s="6" t="n"/>
      <c r="AF88" s="26">
        <f>AD88+IF(NOT(ISBLANK(OFFSET(AF88,0,6))),N(OFFSET(AF88,0,6)),N(OFFSET(AF88,0,7)))-AE88</f>
        <v/>
      </c>
    </row>
    <row r="89" hidden="1">
      <c r="A89" s="25" t="inlineStr">
        <is>
          <t>SACOLA M</t>
        </is>
      </c>
      <c r="B89" s="6" t="n">
        <v>200</v>
      </c>
      <c r="C89" s="632" t="n">
        <v>347.8</v>
      </c>
      <c r="D89" s="240" t="n"/>
      <c r="F89" s="39" t="n">
        <v>158</v>
      </c>
      <c r="G89" s="39" t="n">
        <v>141</v>
      </c>
      <c r="H89" s="39" t="n">
        <v>121</v>
      </c>
      <c r="I89" s="39" t="n">
        <v>121</v>
      </c>
      <c r="J89" s="39" t="n">
        <v>121</v>
      </c>
      <c r="K89" s="39" t="n">
        <v>0</v>
      </c>
      <c r="L89" s="39" t="n">
        <v>0</v>
      </c>
      <c r="M89" s="39" t="n">
        <v>0</v>
      </c>
      <c r="N89" s="39" t="n">
        <v>0</v>
      </c>
      <c r="O89" s="39" t="n">
        <v>0</v>
      </c>
      <c r="P89" s="39" t="n">
        <v>0</v>
      </c>
      <c r="Q89" s="39" t="n">
        <v>0</v>
      </c>
      <c r="R89" s="39" t="n">
        <v>0</v>
      </c>
      <c r="S89" s="39" t="n">
        <v>0</v>
      </c>
      <c r="T89" s="39" t="n"/>
      <c r="U89" s="39" t="n"/>
      <c r="V89" s="39" t="n"/>
      <c r="W89" s="39" t="n"/>
      <c r="X89" s="39" t="n"/>
      <c r="Y89" s="39" t="n"/>
      <c r="Z89" s="39" t="n"/>
      <c r="AA89" s="39" t="n"/>
      <c r="AB89" s="39" t="n"/>
      <c r="AC89" s="6" t="n"/>
      <c r="AD89" s="6" t="n"/>
      <c r="AE89" s="6" t="n"/>
      <c r="AF89" s="26">
        <f>AD89+IF(NOT(ISBLANK(OFFSET(AF89,0,6))),N(OFFSET(AF89,0,6)),N(OFFSET(AF89,0,7)))-AE89</f>
        <v/>
      </c>
    </row>
    <row r="90" hidden="1">
      <c r="A90" s="25" t="inlineStr">
        <is>
          <t>SACOLA G</t>
        </is>
      </c>
      <c r="B90" s="6" t="n">
        <v>100</v>
      </c>
      <c r="C90" s="632" t="n">
        <v>267</v>
      </c>
      <c r="D90" s="240" t="n"/>
      <c r="F90" s="39" t="n">
        <v>32</v>
      </c>
      <c r="G90" s="39" t="n">
        <v>28</v>
      </c>
      <c r="H90" s="39" t="n">
        <v>28</v>
      </c>
      <c r="I90" s="39" t="n">
        <v>27</v>
      </c>
      <c r="J90" s="39" t="n">
        <v>27</v>
      </c>
      <c r="K90" s="39" t="n">
        <v>0</v>
      </c>
      <c r="L90" s="39" t="n">
        <v>0</v>
      </c>
      <c r="M90" s="39" t="n">
        <v>0</v>
      </c>
      <c r="N90" s="39" t="n">
        <v>0</v>
      </c>
      <c r="O90" s="39" t="n">
        <v>0</v>
      </c>
      <c r="P90" s="39" t="n">
        <v>0</v>
      </c>
      <c r="Q90" s="39" t="n">
        <v>0</v>
      </c>
      <c r="R90" s="39" t="n">
        <v>0</v>
      </c>
      <c r="S90" s="39" t="n">
        <v>0</v>
      </c>
      <c r="T90" s="39" t="n"/>
      <c r="U90" s="39" t="n"/>
      <c r="V90" s="39" t="n"/>
      <c r="W90" s="39" t="n"/>
      <c r="X90" s="39" t="n"/>
      <c r="Y90" s="39" t="n"/>
      <c r="Z90" s="39" t="n"/>
      <c r="AA90" s="39" t="n"/>
      <c r="AB90" s="39" t="n"/>
      <c r="AC90" s="6" t="n"/>
      <c r="AD90" s="6" t="n"/>
      <c r="AE90" s="6" t="n"/>
      <c r="AF90" s="26">
        <f>AD90+IF(NOT(ISBLANK(OFFSET(AF90,0,6))),N(OFFSET(AF90,0,6)),N(OFFSET(AF90,0,7)))-AE90</f>
        <v/>
      </c>
    </row>
    <row r="91" hidden="1">
      <c r="A91" s="157" t="inlineStr">
        <is>
          <t>KIT PAPEL DE SEDA 10 C/ 20</t>
        </is>
      </c>
      <c r="B91" s="72" t="n">
        <v>200</v>
      </c>
      <c r="C91" s="639" t="n">
        <v>44.4</v>
      </c>
      <c r="D91" s="72" t="n"/>
      <c r="F91" s="39" t="n">
        <v>0</v>
      </c>
      <c r="G91" s="39" t="n">
        <v>0</v>
      </c>
      <c r="H91" s="39" t="n">
        <v>0</v>
      </c>
      <c r="I91" s="39" t="n">
        <v>0</v>
      </c>
      <c r="J91" s="39" t="n">
        <v>0</v>
      </c>
      <c r="K91" s="39" t="n">
        <v>0</v>
      </c>
      <c r="L91" s="39" t="n">
        <v>0</v>
      </c>
      <c r="M91" s="39" t="n">
        <v>0</v>
      </c>
      <c r="N91" s="39" t="n">
        <v>0</v>
      </c>
      <c r="O91" s="39" t="n">
        <v>0</v>
      </c>
      <c r="P91" s="39" t="n">
        <v>0</v>
      </c>
      <c r="Q91" s="39" t="n">
        <v>0</v>
      </c>
      <c r="R91" s="39" t="n">
        <v>0</v>
      </c>
      <c r="S91" s="39" t="n">
        <v>0</v>
      </c>
      <c r="T91" s="39" t="n"/>
      <c r="U91" s="39" t="n"/>
      <c r="V91" s="39" t="n"/>
      <c r="W91" s="39" t="n"/>
      <c r="X91" s="39" t="n"/>
      <c r="Y91" s="39" t="n"/>
      <c r="Z91" s="39" t="n"/>
      <c r="AA91" s="39" t="n"/>
      <c r="AB91" s="39" t="n"/>
      <c r="AC91" s="6" t="n"/>
      <c r="AD91" s="6" t="n"/>
      <c r="AE91" s="6" t="n"/>
      <c r="AF91" s="26">
        <f>AD91+IF(NOT(ISBLANK(OFFSET(AF91,0,6))),N(OFFSET(AF91,0,6)),N(OFFSET(AF91,0,7)))-AE91</f>
        <v/>
      </c>
    </row>
    <row r="92">
      <c r="A92" s="157" t="inlineStr">
        <is>
          <t>CAIXA P</t>
        </is>
      </c>
      <c r="B92" s="72" t="n">
        <v>150</v>
      </c>
      <c r="C92" s="639" t="n">
        <v>805.35</v>
      </c>
      <c r="D92" s="72" t="n"/>
      <c r="F92" s="39" t="n">
        <v>32</v>
      </c>
      <c r="G92" s="39" t="n">
        <v>19</v>
      </c>
      <c r="H92" s="39" t="n">
        <v>18</v>
      </c>
      <c r="I92" s="39" t="n">
        <v>18</v>
      </c>
      <c r="J92" s="39" t="n">
        <v>18</v>
      </c>
      <c r="K92" s="39" t="n">
        <v>18</v>
      </c>
      <c r="L92" s="39" t="n">
        <v>18</v>
      </c>
      <c r="M92" s="39" t="n">
        <v>18</v>
      </c>
      <c r="N92" s="39" t="n">
        <v>16</v>
      </c>
      <c r="O92" s="39" t="n">
        <v>16</v>
      </c>
      <c r="P92" s="39" t="n">
        <v>16</v>
      </c>
      <c r="Q92" s="39" t="n">
        <v>16</v>
      </c>
      <c r="R92" s="39" t="n">
        <v>16</v>
      </c>
      <c r="S92" s="39" t="n">
        <v>16</v>
      </c>
      <c r="T92" s="39" t="n">
        <v>16</v>
      </c>
      <c r="U92" s="39" t="n">
        <v>16</v>
      </c>
      <c r="V92" s="39" t="n"/>
      <c r="W92" s="39" t="n"/>
      <c r="X92" s="39" t="n"/>
      <c r="Y92" s="39" t="n"/>
      <c r="Z92" s="39" t="n"/>
      <c r="AA92" s="39" t="n">
        <v>15</v>
      </c>
      <c r="AB92" s="39" t="n">
        <v>15</v>
      </c>
      <c r="AC92" s="6" t="n">
        <v>15</v>
      </c>
      <c r="AD92" s="6" t="n">
        <v>15</v>
      </c>
      <c r="AE92" s="6" t="n">
        <v>15</v>
      </c>
      <c r="AF92" s="380">
        <f>AD92+IF(NOT(ISBLANK(OFFSET(AF92,0,6))),N(OFFSET(AF92,0,6)),N(OFFSET(AF92,0,7)))-AE92</f>
        <v/>
      </c>
    </row>
    <row r="93">
      <c r="A93" s="157" t="inlineStr">
        <is>
          <t>CAIXA M</t>
        </is>
      </c>
      <c r="B93" s="72" t="n">
        <v>100</v>
      </c>
      <c r="C93" s="639" t="n">
        <v>792.2</v>
      </c>
      <c r="D93" s="72" t="n"/>
      <c r="F93" s="39" t="n">
        <v>58</v>
      </c>
      <c r="G93" s="39" t="n">
        <v>34</v>
      </c>
      <c r="H93" s="39" t="n">
        <v>34</v>
      </c>
      <c r="I93" s="39" t="n">
        <v>33</v>
      </c>
      <c r="J93" s="39" t="n">
        <v>33</v>
      </c>
      <c r="K93" s="39" t="n">
        <v>33</v>
      </c>
      <c r="L93" s="39" t="n">
        <v>33</v>
      </c>
      <c r="M93" s="39" t="n">
        <v>33</v>
      </c>
      <c r="N93" s="39" t="n">
        <v>23</v>
      </c>
      <c r="O93" s="39" t="n">
        <v>23</v>
      </c>
      <c r="P93" s="39" t="n">
        <v>23</v>
      </c>
      <c r="Q93" s="39" t="n">
        <v>23</v>
      </c>
      <c r="R93" s="39" t="n">
        <v>23</v>
      </c>
      <c r="S93" s="39" t="n">
        <v>22</v>
      </c>
      <c r="T93" s="39" t="n">
        <v>22</v>
      </c>
      <c r="U93" s="39" t="n">
        <v>22</v>
      </c>
      <c r="V93" s="39" t="n"/>
      <c r="W93" s="39" t="n"/>
      <c r="X93" s="39" t="n"/>
      <c r="Y93" s="39" t="n"/>
      <c r="Z93" s="39" t="n"/>
      <c r="AA93" s="39" t="n">
        <v>22</v>
      </c>
      <c r="AB93" s="39" t="n">
        <v>22</v>
      </c>
      <c r="AC93" s="6" t="n">
        <v>22</v>
      </c>
      <c r="AD93" s="6" t="n">
        <v>22</v>
      </c>
      <c r="AE93" s="6" t="n">
        <v>22</v>
      </c>
      <c r="AF93" s="380">
        <f>AD93+IF(NOT(ISBLANK(OFFSET(AF93,0,6))),N(OFFSET(AF93,0,6)),N(OFFSET(AF93,0,7)))-AE93</f>
        <v/>
      </c>
    </row>
    <row r="94">
      <c r="A94" s="157" t="inlineStr">
        <is>
          <t>CARTUCHO P</t>
        </is>
      </c>
      <c r="B94" s="72" t="n">
        <v>200</v>
      </c>
      <c r="C94" s="639" t="n">
        <v>487.2</v>
      </c>
      <c r="D94" s="72" t="n"/>
      <c r="F94" s="39" t="n">
        <v>6</v>
      </c>
      <c r="G94" s="39" t="n">
        <v>6</v>
      </c>
      <c r="H94" s="39" t="n">
        <v>6</v>
      </c>
      <c r="I94" s="39" t="n">
        <v>6</v>
      </c>
      <c r="J94" s="39" t="n">
        <v>6</v>
      </c>
      <c r="K94" s="39" t="n">
        <v>6</v>
      </c>
      <c r="L94" s="39" t="n">
        <v>6</v>
      </c>
      <c r="M94" s="39" t="n">
        <v>6</v>
      </c>
      <c r="N94" s="39" t="n">
        <v>1</v>
      </c>
      <c r="O94" s="39" t="n">
        <v>1</v>
      </c>
      <c r="P94" s="39" t="n">
        <v>1</v>
      </c>
      <c r="Q94" s="39" t="n">
        <v>1</v>
      </c>
      <c r="R94" s="39" t="n">
        <v>1</v>
      </c>
      <c r="S94" s="39" t="n">
        <v>1</v>
      </c>
      <c r="T94" s="39" t="n">
        <v>1</v>
      </c>
      <c r="U94" s="39" t="n">
        <v>1</v>
      </c>
      <c r="V94" s="39" t="n"/>
      <c r="W94" s="39" t="n"/>
      <c r="X94" s="39" t="n"/>
      <c r="Y94" s="39" t="n"/>
      <c r="Z94" s="39" t="n"/>
      <c r="AA94" s="39" t="n">
        <v>1</v>
      </c>
      <c r="AB94" s="39" t="n">
        <v>1</v>
      </c>
      <c r="AC94" s="6" t="n">
        <v>1</v>
      </c>
      <c r="AD94" s="6" t="n">
        <v>1</v>
      </c>
      <c r="AE94" s="6" t="n">
        <v>1</v>
      </c>
      <c r="AF94" s="380">
        <f>AD94+IF(NOT(ISBLANK(OFFSET(AF94,0,6))),N(OFFSET(AF94,0,6)),N(OFFSET(AF94,0,7)))-AE94</f>
        <v/>
      </c>
    </row>
    <row r="95">
      <c r="A95" s="157" t="inlineStr">
        <is>
          <t>CARTUCHO M</t>
        </is>
      </c>
      <c r="B95" s="72" t="n">
        <v>150</v>
      </c>
      <c r="C95" s="639" t="n">
        <v>460.35</v>
      </c>
      <c r="D95" s="72" t="n"/>
      <c r="F95" s="39" t="n">
        <v>52</v>
      </c>
      <c r="G95" s="39" t="n">
        <v>35</v>
      </c>
      <c r="H95" s="39" t="n">
        <v>34</v>
      </c>
      <c r="I95" s="39" t="n">
        <v>30</v>
      </c>
      <c r="J95" s="39" t="n">
        <v>30</v>
      </c>
      <c r="K95" s="39" t="n">
        <v>30</v>
      </c>
      <c r="L95" s="39" t="n">
        <v>30</v>
      </c>
      <c r="M95" s="39" t="n">
        <v>30</v>
      </c>
      <c r="N95" s="39" t="n">
        <v>30</v>
      </c>
      <c r="O95" s="39" t="n">
        <v>30</v>
      </c>
      <c r="P95" s="39" t="n">
        <v>30</v>
      </c>
      <c r="Q95" s="39" t="n">
        <v>30</v>
      </c>
      <c r="R95" s="39" t="n">
        <v>30</v>
      </c>
      <c r="S95" s="39" t="n">
        <v>31</v>
      </c>
      <c r="T95" s="39" t="n">
        <v>31</v>
      </c>
      <c r="U95" s="39" t="n">
        <v>31</v>
      </c>
      <c r="V95" s="39" t="n"/>
      <c r="W95" s="39" t="n"/>
      <c r="X95" s="39" t="n"/>
      <c r="Y95" s="39" t="n"/>
      <c r="Z95" s="39" t="n"/>
      <c r="AA95" s="39" t="n">
        <v>30</v>
      </c>
      <c r="AB95" s="39" t="n">
        <v>30</v>
      </c>
      <c r="AC95" s="6" t="n">
        <v>30</v>
      </c>
      <c r="AD95" s="6" t="n">
        <v>30</v>
      </c>
      <c r="AE95" s="6" t="n">
        <v>30</v>
      </c>
      <c r="AF95" s="380">
        <f>AD95+IF(NOT(ISBLANK(OFFSET(AF95,0,6))),N(OFFSET(AF95,0,6)),N(OFFSET(AF95,0,7)))-AE95</f>
        <v/>
      </c>
    </row>
    <row r="96"/>
    <row r="97">
      <c r="A97" s="263" t="inlineStr">
        <is>
          <t>HARRY POTTER/25</t>
        </is>
      </c>
      <c r="B97" s="264" t="inlineStr">
        <is>
          <t>PC</t>
        </is>
      </c>
      <c r="C97" s="264" t="inlineStr">
        <is>
          <t>R$</t>
        </is>
      </c>
      <c r="D97" s="264" t="n"/>
      <c r="F97" s="619" t="n">
        <v>46006</v>
      </c>
      <c r="G97" s="619" t="n">
        <v>46013</v>
      </c>
      <c r="H97" s="619" t="n">
        <v>46020</v>
      </c>
      <c r="I97" s="619" t="n">
        <v>46027</v>
      </c>
      <c r="J97" s="619" t="n">
        <v>46034</v>
      </c>
      <c r="K97" s="619" t="n">
        <v>46041</v>
      </c>
      <c r="L97" s="619" t="n">
        <v>46048</v>
      </c>
      <c r="M97" s="619" t="n">
        <v>46055</v>
      </c>
      <c r="N97" s="619" t="n">
        <v>46062</v>
      </c>
      <c r="O97" s="619" t="n">
        <v>46069</v>
      </c>
      <c r="P97" s="619" t="n">
        <v>46076</v>
      </c>
      <c r="Q97" s="619" t="n">
        <v>46083</v>
      </c>
      <c r="R97" s="619" t="n">
        <v>46090</v>
      </c>
      <c r="S97" s="619" t="n">
        <v>46097</v>
      </c>
      <c r="T97" s="619" t="n">
        <v>46104</v>
      </c>
      <c r="U97" s="619" t="n">
        <v>46111</v>
      </c>
      <c r="V97" s="619" t="n">
        <v>46118</v>
      </c>
      <c r="W97" s="619" t="n">
        <v>46125</v>
      </c>
      <c r="X97" s="619" t="n">
        <v>46132</v>
      </c>
      <c r="Y97" s="619" t="n">
        <v>46139</v>
      </c>
      <c r="Z97" s="619" t="n">
        <v>46146</v>
      </c>
      <c r="AA97" s="619" t="n">
        <v>46154</v>
      </c>
      <c r="AB97" s="619" t="n">
        <v>46160</v>
      </c>
      <c r="AC97" s="620" t="n">
        <v>46161.48013634259</v>
      </c>
      <c r="AD97" s="620" t="n">
        <v>46161.48080996528</v>
      </c>
      <c r="AE97" s="620" t="n">
        <v>46161.48296747131</v>
      </c>
      <c r="AF97" s="621" t="inlineStr">
        <is>
          <t>USOU</t>
        </is>
      </c>
    </row>
    <row r="98" hidden="1">
      <c r="A98" s="25" t="inlineStr">
        <is>
          <t>SACOLA G HP/25</t>
        </is>
      </c>
      <c r="B98" s="6" t="n">
        <v>100</v>
      </c>
      <c r="C98" s="632" t="n">
        <v>316</v>
      </c>
      <c r="D98" s="240" t="n"/>
      <c r="F98" s="39" t="n">
        <v>0</v>
      </c>
      <c r="G98" s="39" t="n">
        <v>0</v>
      </c>
      <c r="H98" s="39" t="n">
        <v>0</v>
      </c>
      <c r="I98" s="39" t="n">
        <v>0</v>
      </c>
      <c r="J98" s="39" t="n">
        <v>0</v>
      </c>
      <c r="K98" s="39" t="n">
        <v>0</v>
      </c>
      <c r="L98" s="39" t="n"/>
      <c r="M98" s="39" t="n"/>
      <c r="N98" s="39" t="n"/>
      <c r="O98" s="39" t="n"/>
      <c r="P98" s="39" t="n"/>
      <c r="Q98" s="39" t="n"/>
      <c r="R98" s="39" t="n"/>
      <c r="S98" s="39" t="n"/>
      <c r="T98" s="39" t="n"/>
      <c r="U98" s="39" t="n"/>
      <c r="V98" s="39" t="n"/>
      <c r="W98" s="39" t="n"/>
      <c r="X98" s="39" t="n"/>
      <c r="Y98" s="39" t="n"/>
      <c r="Z98" s="39" t="n"/>
      <c r="AA98" s="39" t="n"/>
      <c r="AB98" s="39" t="n"/>
      <c r="AC98" s="6" t="n"/>
      <c r="AD98" s="6" t="n"/>
      <c r="AE98" s="6" t="n"/>
      <c r="AF98" s="26">
        <f>AD98+IF(NOT(ISBLANK(OFFSET(AF98,0,6))),N(OFFSET(AF98,0,6)),N(OFFSET(AF98,0,7)))-AE98</f>
        <v/>
      </c>
    </row>
    <row r="99" hidden="1">
      <c r="A99" s="25" t="inlineStr">
        <is>
          <t>TAG HP/25</t>
        </is>
      </c>
      <c r="B99" s="6" t="n">
        <v>100</v>
      </c>
      <c r="C99" s="632" t="n">
        <v>41</v>
      </c>
      <c r="D99" s="240" t="n"/>
      <c r="F99" s="39" t="n">
        <v>0</v>
      </c>
      <c r="G99" s="39" t="n">
        <v>0</v>
      </c>
      <c r="H99" s="39" t="n">
        <v>0</v>
      </c>
      <c r="I99" s="39" t="n">
        <v>0</v>
      </c>
      <c r="J99" s="39" t="n">
        <v>0</v>
      </c>
      <c r="K99" s="39" t="n">
        <v>0</v>
      </c>
      <c r="L99" s="39" t="n"/>
      <c r="M99" s="39" t="n"/>
      <c r="N99" s="39" t="n"/>
      <c r="O99" s="39" t="n"/>
      <c r="P99" s="39" t="n"/>
      <c r="Q99" s="39" t="n"/>
      <c r="R99" s="39" t="n"/>
      <c r="S99" s="39" t="n"/>
      <c r="T99" s="39" t="n"/>
      <c r="U99" s="39" t="n"/>
      <c r="V99" s="39" t="n"/>
      <c r="W99" s="39" t="n"/>
      <c r="X99" s="39" t="n"/>
      <c r="Y99" s="39" t="n"/>
      <c r="Z99" s="39" t="n"/>
      <c r="AA99" s="39" t="n"/>
      <c r="AB99" s="39" t="n"/>
      <c r="AC99" s="6" t="n"/>
      <c r="AD99" s="6" t="n"/>
      <c r="AE99" s="6" t="n"/>
      <c r="AF99" s="26">
        <f>AD99+IF(NOT(ISBLANK(OFFSET(AF99,0,6))),N(OFFSET(AF99,0,6)),N(OFFSET(AF99,0,7)))-AE99</f>
        <v/>
      </c>
    </row>
    <row r="100">
      <c r="A100" s="25" t="inlineStr">
        <is>
          <t>CARTUCHO P HP/25</t>
        </is>
      </c>
      <c r="B100" s="6" t="n">
        <v>150</v>
      </c>
      <c r="C100" s="632" t="n">
        <v>478.5</v>
      </c>
      <c r="D100" s="240" t="n"/>
      <c r="F100" s="39" t="n">
        <v>10</v>
      </c>
      <c r="G100" s="39" t="n">
        <v>10</v>
      </c>
      <c r="H100" s="39" t="n">
        <v>10</v>
      </c>
      <c r="I100" s="39" t="n">
        <v>10</v>
      </c>
      <c r="J100" s="39" t="n">
        <v>10</v>
      </c>
      <c r="K100" s="39" t="n">
        <v>10</v>
      </c>
      <c r="L100" s="39" t="n">
        <v>10</v>
      </c>
      <c r="M100" s="39" t="n">
        <v>10</v>
      </c>
      <c r="N100" s="39" t="n">
        <v>10</v>
      </c>
      <c r="O100" s="39" t="n">
        <v>10</v>
      </c>
      <c r="P100" s="39" t="n">
        <v>10</v>
      </c>
      <c r="Q100" s="39" t="n">
        <v>10</v>
      </c>
      <c r="R100" s="39" t="n">
        <v>10</v>
      </c>
      <c r="S100" s="39" t="n">
        <v>10</v>
      </c>
      <c r="T100" s="39" t="n">
        <v>10</v>
      </c>
      <c r="U100" s="39" t="n">
        <v>10</v>
      </c>
      <c r="V100" s="39" t="n"/>
      <c r="W100" s="39" t="n"/>
      <c r="X100" s="39" t="n"/>
      <c r="Y100" s="39" t="n"/>
      <c r="Z100" s="39" t="n"/>
      <c r="AA100" s="39" t="n">
        <v>10</v>
      </c>
      <c r="AB100" s="39" t="n">
        <v>10</v>
      </c>
      <c r="AC100" s="6" t="n">
        <v>0</v>
      </c>
      <c r="AD100" s="6" t="n">
        <v>0</v>
      </c>
      <c r="AE100" s="6" t="n">
        <v>0</v>
      </c>
      <c r="AF100" s="380">
        <f>AD100+IF(NOT(ISBLANK(OFFSET(AF100,0,6))),N(OFFSET(AF100,0,6)),N(OFFSET(AF100,0,7)))-AE100</f>
        <v/>
      </c>
    </row>
    <row r="101" ht="19.5" customHeight="1" thickBot="1"/>
    <row r="102" ht="24" customHeight="1" thickBot="1">
      <c r="A102" s="496" t="n">
        <v>2026</v>
      </c>
      <c r="B102" s="686" t="n"/>
      <c r="C102" s="686" t="n"/>
      <c r="D102" s="686" t="n"/>
      <c r="E102" s="686" t="n"/>
      <c r="F102" s="686" t="n"/>
      <c r="G102" s="686" t="n"/>
      <c r="H102" s="686" t="n"/>
      <c r="I102" s="686" t="n"/>
      <c r="J102" s="686" t="n"/>
      <c r="K102" s="686" t="n"/>
      <c r="L102" s="686" t="n"/>
      <c r="M102" s="686" t="n"/>
      <c r="N102" s="686" t="n"/>
      <c r="O102" s="686" t="n"/>
      <c r="P102" s="686" t="n"/>
      <c r="Q102" s="686" t="n"/>
      <c r="R102" s="686" t="n"/>
      <c r="S102" s="686" t="n"/>
      <c r="T102" s="686" t="n"/>
      <c r="U102" s="686" t="n"/>
      <c r="V102" s="686" t="n"/>
      <c r="W102" s="686" t="n"/>
      <c r="X102" s="686" t="n"/>
      <c r="Y102" s="686" t="n"/>
      <c r="Z102" s="686" t="n"/>
      <c r="AA102" s="686" t="n"/>
      <c r="AB102" s="686" t="n"/>
      <c r="AC102" s="687" t="n"/>
      <c r="AD102" s="687" t="n"/>
      <c r="AE102" s="687" t="n"/>
      <c r="AF102" s="500" t="n"/>
    </row>
    <row r="103"/>
    <row r="104">
      <c r="A104" s="278" t="inlineStr">
        <is>
          <t>EUDORA MÃES/26</t>
        </is>
      </c>
      <c r="B104" s="279" t="inlineStr">
        <is>
          <t>PC</t>
        </is>
      </c>
      <c r="C104" s="279" t="inlineStr">
        <is>
          <t>R$</t>
        </is>
      </c>
      <c r="D104" s="279" t="n"/>
      <c r="N104" s="619" t="n">
        <v>46062</v>
      </c>
      <c r="O104" s="619" t="n">
        <v>46069</v>
      </c>
      <c r="P104" s="619" t="n">
        <v>46076</v>
      </c>
      <c r="Q104" s="619" t="n">
        <v>46083</v>
      </c>
      <c r="R104" s="619" t="n">
        <v>46090</v>
      </c>
      <c r="S104" s="619" t="n">
        <v>46097</v>
      </c>
      <c r="T104" s="619" t="n">
        <v>46104</v>
      </c>
      <c r="U104" s="619" t="n">
        <v>46111</v>
      </c>
      <c r="V104" s="619" t="n">
        <v>46118</v>
      </c>
      <c r="W104" s="619" t="n">
        <v>46125</v>
      </c>
      <c r="X104" s="619" t="n">
        <v>46132</v>
      </c>
      <c r="Y104" s="619" t="n">
        <v>46139</v>
      </c>
      <c r="Z104" s="619" t="n">
        <v>46146</v>
      </c>
      <c r="AA104" s="619" t="n">
        <v>46154</v>
      </c>
      <c r="AB104" s="619" t="n">
        <v>46160</v>
      </c>
      <c r="AC104" s="620" t="n">
        <v>46161.48013634259</v>
      </c>
      <c r="AD104" s="620" t="n">
        <v>46161.48080996528</v>
      </c>
      <c r="AE104" s="620" t="n">
        <v>46161.48296747143</v>
      </c>
      <c r="AF104" s="621" t="inlineStr">
        <is>
          <t>USOU</t>
        </is>
      </c>
    </row>
    <row r="105">
      <c r="A105" s="25" t="inlineStr">
        <is>
          <t xml:space="preserve">SACOLA M </t>
        </is>
      </c>
      <c r="B105" s="6" t="n">
        <v>150</v>
      </c>
      <c r="C105" s="632" t="n"/>
      <c r="D105" s="240" t="n"/>
      <c r="N105" s="39" t="n">
        <v>0</v>
      </c>
      <c r="O105" s="39" t="n">
        <v>0</v>
      </c>
      <c r="P105" s="39" t="n">
        <v>0</v>
      </c>
      <c r="Q105" s="39" t="n">
        <v>0</v>
      </c>
      <c r="R105" s="39">
        <f>AP10</f>
        <v/>
      </c>
      <c r="S105" s="39" t="n">
        <v>150</v>
      </c>
      <c r="T105" s="39" t="n">
        <v>120</v>
      </c>
      <c r="U105" s="39" t="n">
        <v>117</v>
      </c>
      <c r="V105" s="39" t="n">
        <v>111</v>
      </c>
      <c r="W105" s="39" t="n">
        <v>95</v>
      </c>
      <c r="X105" s="39" t="n">
        <v>95</v>
      </c>
      <c r="Y105" s="39" t="n">
        <v>73</v>
      </c>
      <c r="Z105" s="39" t="n">
        <v>65</v>
      </c>
      <c r="AA105" s="39" t="n">
        <v>65</v>
      </c>
      <c r="AB105" s="39" t="n"/>
      <c r="AC105" s="6" t="n"/>
      <c r="AD105" s="6" t="n"/>
      <c r="AE105" s="6" t="n"/>
      <c r="AF105" s="380">
        <f>AD105+IF(NOT(ISBLANK(OFFSET(AF105,0,6))),N(OFFSET(AF105,0,6)),N(OFFSET(AF105,0,7)))-AE105</f>
        <v/>
      </c>
    </row>
    <row r="106">
      <c r="A106" s="25" t="inlineStr">
        <is>
          <t>ADESIVO</t>
        </is>
      </c>
      <c r="B106" s="6" t="n">
        <v>1000</v>
      </c>
      <c r="C106" s="632" t="n"/>
      <c r="D106" s="240" t="n"/>
      <c r="N106" s="39" t="n">
        <v>0</v>
      </c>
      <c r="O106" s="39" t="n">
        <v>0</v>
      </c>
      <c r="P106" s="39" t="n">
        <v>0</v>
      </c>
      <c r="Q106" s="39" t="n">
        <v>0</v>
      </c>
      <c r="R106" s="39">
        <f>AP17</f>
        <v/>
      </c>
      <c r="S106" s="39" t="n">
        <v>1</v>
      </c>
      <c r="T106" s="39" t="n">
        <v>1</v>
      </c>
      <c r="U106" s="39" t="n">
        <v>1</v>
      </c>
      <c r="V106" s="39" t="n">
        <v>1</v>
      </c>
      <c r="W106" s="39" t="n">
        <v>1</v>
      </c>
      <c r="X106" s="39" t="n">
        <v>1</v>
      </c>
      <c r="Y106" s="39" t="n">
        <v>1</v>
      </c>
      <c r="Z106" s="39" t="n">
        <v>1</v>
      </c>
      <c r="AA106" s="39" t="n">
        <v>1</v>
      </c>
      <c r="AB106" s="39" t="n"/>
      <c r="AC106" s="6" t="n"/>
      <c r="AD106" s="6" t="n"/>
      <c r="AE106" s="6" t="n"/>
      <c r="AF106" s="380">
        <f>AD106+IF(NOT(ISBLANK(OFFSET(AF106,0,6))),N(OFFSET(AF106,0,6)),N(OFFSET(AF106,0,7)))-AE106</f>
        <v/>
      </c>
    </row>
    <row r="107">
      <c r="A107" s="25" t="inlineStr">
        <is>
          <t>PAPEL DE SEDA</t>
        </is>
      </c>
      <c r="B107" s="6" t="n">
        <v>200</v>
      </c>
      <c r="C107" s="632" t="n"/>
      <c r="D107" s="240" t="n"/>
      <c r="N107" s="39" t="n">
        <v>0</v>
      </c>
      <c r="O107" s="39" t="n">
        <v>0</v>
      </c>
      <c r="P107" s="39" t="n">
        <v>0</v>
      </c>
      <c r="Q107" s="39" t="n">
        <v>0</v>
      </c>
      <c r="R107" s="39">
        <f>AP16</f>
        <v/>
      </c>
      <c r="S107" s="39" t="n">
        <v>200</v>
      </c>
      <c r="T107" s="39" t="n">
        <v>200</v>
      </c>
      <c r="U107" s="39" t="n">
        <v>1</v>
      </c>
      <c r="V107" s="39" t="n">
        <v>200</v>
      </c>
      <c r="W107" s="39" t="n">
        <v>200</v>
      </c>
      <c r="X107" s="39" t="n">
        <v>200</v>
      </c>
      <c r="Y107" s="39" t="n">
        <v>200</v>
      </c>
      <c r="Z107" s="39" t="n">
        <v>200</v>
      </c>
      <c r="AA107" s="39" t="n">
        <v>200</v>
      </c>
      <c r="AB107" s="39" t="n"/>
      <c r="AC107" s="6" t="n"/>
      <c r="AD107" s="6" t="n"/>
      <c r="AE107" s="6" t="n"/>
      <c r="AF107" s="380">
        <f>AD107+IF(NOT(ISBLANK(OFFSET(AF107,0,6))),N(OFFSET(AF107,0,6)),N(OFFSET(AF107,0,7)))-AE107</f>
        <v/>
      </c>
    </row>
    <row r="108">
      <c r="A108" s="25" t="inlineStr">
        <is>
          <t>SACOLA M VENDA</t>
        </is>
      </c>
      <c r="B108" s="6" t="n">
        <v>150</v>
      </c>
      <c r="C108" s="632" t="n"/>
      <c r="D108" s="240" t="n"/>
      <c r="N108" s="39" t="n">
        <v>0</v>
      </c>
      <c r="O108" s="39" t="n">
        <v>0</v>
      </c>
      <c r="P108" s="39" t="n">
        <v>0</v>
      </c>
      <c r="Q108" s="39" t="n">
        <v>0</v>
      </c>
      <c r="R108" s="39" t="n">
        <v>0</v>
      </c>
      <c r="S108" s="39" t="n">
        <v>150</v>
      </c>
      <c r="T108" s="39" t="n">
        <v>130</v>
      </c>
      <c r="U108" s="39" t="n">
        <v>122</v>
      </c>
      <c r="V108" s="39" t="n"/>
      <c r="W108" s="39" t="n"/>
      <c r="X108" s="39" t="n"/>
      <c r="Y108" s="39" t="n"/>
      <c r="Z108" s="39" t="n"/>
      <c r="AA108" s="39" t="n">
        <v>33</v>
      </c>
      <c r="AB108" s="39" t="n">
        <v>32</v>
      </c>
      <c r="AC108" s="6" t="n">
        <v>32</v>
      </c>
      <c r="AD108" s="6" t="n">
        <v>32</v>
      </c>
      <c r="AE108" s="6" t="n">
        <v>32</v>
      </c>
      <c r="AF108" s="380">
        <f>AD108+IF(NOT(ISBLANK(OFFSET(AF108,0,6))),N(OFFSET(AF108,0,6)),N(OFFSET(AF108,0,7)))-AE108</f>
        <v/>
      </c>
    </row>
    <row r="109">
      <c r="A109" s="25" t="inlineStr">
        <is>
          <t>KIT TAG 10 C/ 20</t>
        </is>
      </c>
      <c r="B109" s="6" t="n">
        <v>200</v>
      </c>
      <c r="C109" s="632" t="n"/>
      <c r="D109" s="240" t="n"/>
      <c r="N109" s="39" t="n">
        <v>0</v>
      </c>
      <c r="O109" s="39" t="n">
        <v>0</v>
      </c>
      <c r="P109" s="39" t="n">
        <v>0</v>
      </c>
      <c r="Q109" s="39" t="n">
        <v>0</v>
      </c>
      <c r="R109" s="39" t="n">
        <v>0</v>
      </c>
      <c r="S109" s="39" t="n">
        <v>2</v>
      </c>
      <c r="T109" s="39" t="n">
        <v>3</v>
      </c>
      <c r="U109" s="39" t="n">
        <v>3</v>
      </c>
      <c r="V109" s="39" t="n"/>
      <c r="W109" s="39" t="n"/>
      <c r="X109" s="39" t="n"/>
      <c r="Y109" s="39" t="n"/>
      <c r="Z109" s="39" t="n"/>
      <c r="AA109" s="39" t="n">
        <v>3</v>
      </c>
      <c r="AB109" s="39" t="n">
        <v>3</v>
      </c>
      <c r="AC109" s="6" t="n">
        <v>3</v>
      </c>
      <c r="AD109" s="6" t="n">
        <v>3</v>
      </c>
      <c r="AE109" s="6" t="n">
        <v>3</v>
      </c>
      <c r="AF109" s="380">
        <f>AD109+IF(NOT(ISBLANK(OFFSET(AF109,0,6))),N(OFFSET(AF109,0,6)),N(OFFSET(AF109,0,7)))-AE109</f>
        <v/>
      </c>
    </row>
    <row r="110">
      <c r="A110" s="157" t="inlineStr">
        <is>
          <t>CAIXA M</t>
        </is>
      </c>
      <c r="B110" s="72" t="n">
        <v>100</v>
      </c>
      <c r="C110" s="639" t="n"/>
      <c r="D110" s="72" t="n"/>
      <c r="N110" s="39" t="n">
        <v>0</v>
      </c>
      <c r="O110" s="39" t="n">
        <v>0</v>
      </c>
      <c r="P110" s="39" t="n">
        <v>0</v>
      </c>
      <c r="Q110" s="39" t="n">
        <v>0</v>
      </c>
      <c r="R110" s="39" t="n">
        <v>0</v>
      </c>
      <c r="S110" s="39" t="n">
        <v>50</v>
      </c>
      <c r="T110" s="39" t="n">
        <v>50</v>
      </c>
      <c r="U110" s="39" t="n">
        <v>50</v>
      </c>
      <c r="V110" s="39" t="n"/>
      <c r="W110" s="39" t="n"/>
      <c r="X110" s="39" t="n"/>
      <c r="Y110" s="39" t="n"/>
      <c r="Z110" s="39" t="n"/>
      <c r="AA110" s="39" t="n">
        <v>49</v>
      </c>
      <c r="AB110" s="39" t="n">
        <v>49</v>
      </c>
      <c r="AC110" s="6" t="n">
        <v>49</v>
      </c>
      <c r="AD110" s="6" t="n">
        <v>49</v>
      </c>
      <c r="AE110" s="6" t="n">
        <v>49</v>
      </c>
      <c r="AF110" s="380">
        <f>AD110+IF(NOT(ISBLANK(OFFSET(AF110,0,6))),N(OFFSET(AF110,0,6)),N(OFFSET(AF110,0,7)))-AE110</f>
        <v/>
      </c>
    </row>
    <row r="111">
      <c r="A111" s="157" t="inlineStr">
        <is>
          <t>CARTUCHO P</t>
        </is>
      </c>
      <c r="B111" s="72" t="n">
        <v>200</v>
      </c>
      <c r="C111" s="639" t="n"/>
      <c r="D111" s="72" t="n"/>
      <c r="N111" s="39" t="n">
        <v>0</v>
      </c>
      <c r="O111" s="39" t="n">
        <v>0</v>
      </c>
      <c r="P111" s="39" t="n">
        <v>0</v>
      </c>
      <c r="Q111" s="39" t="n">
        <v>0</v>
      </c>
      <c r="R111" s="39" t="n">
        <v>0</v>
      </c>
      <c r="S111" s="39" t="n">
        <v>50</v>
      </c>
      <c r="T111" s="39" t="n">
        <v>50</v>
      </c>
      <c r="U111" s="39" t="n">
        <v>50</v>
      </c>
      <c r="V111" s="39" t="n"/>
      <c r="W111" s="39" t="n"/>
      <c r="X111" s="39" t="n"/>
      <c r="Y111" s="39" t="n"/>
      <c r="Z111" s="39" t="n"/>
      <c r="AA111" s="39" t="n">
        <v>49</v>
      </c>
      <c r="AB111" s="39" t="n">
        <v>49</v>
      </c>
      <c r="AC111" s="6" t="n">
        <v>49</v>
      </c>
      <c r="AD111" s="6" t="n">
        <v>49</v>
      </c>
      <c r="AE111" s="6" t="n">
        <v>49</v>
      </c>
      <c r="AF111" s="380">
        <f>AD111+IF(NOT(ISBLANK(OFFSET(AF111,0,6))),N(OFFSET(AF111,0,6)),N(OFFSET(AF111,0,7)))-AE111</f>
        <v/>
      </c>
    </row>
    <row r="112"/>
    <row r="113">
      <c r="A113" s="280" t="inlineStr">
        <is>
          <t>BOTICÁRIO MÃES/26</t>
        </is>
      </c>
      <c r="B113" s="255" t="inlineStr">
        <is>
          <t>PC</t>
        </is>
      </c>
      <c r="C113" s="255" t="inlineStr">
        <is>
          <t>R$</t>
        </is>
      </c>
      <c r="D113" s="255" t="n"/>
      <c r="N113" s="619" t="n">
        <v>46062</v>
      </c>
      <c r="O113" s="619" t="n">
        <v>46069</v>
      </c>
      <c r="P113" s="619" t="n">
        <v>46076</v>
      </c>
      <c r="Q113" s="619" t="n">
        <v>46083</v>
      </c>
      <c r="R113" s="619" t="n">
        <v>46090</v>
      </c>
      <c r="S113" s="619" t="n">
        <v>46097</v>
      </c>
      <c r="T113" s="619" t="n">
        <v>46104</v>
      </c>
      <c r="U113" s="619" t="n">
        <v>46111</v>
      </c>
      <c r="V113" s="619" t="n">
        <v>46118</v>
      </c>
      <c r="W113" s="619" t="n">
        <v>46125</v>
      </c>
      <c r="X113" s="619" t="n">
        <v>46132</v>
      </c>
      <c r="Y113" s="619" t="n">
        <v>46139</v>
      </c>
      <c r="Z113" s="619" t="n">
        <v>46146</v>
      </c>
      <c r="AA113" s="619" t="n">
        <v>46154</v>
      </c>
      <c r="AB113" s="619" t="n">
        <v>46160</v>
      </c>
      <c r="AC113" s="620" t="n">
        <v>46161.48013634259</v>
      </c>
      <c r="AD113" s="620" t="n">
        <v>46161.48080996528</v>
      </c>
      <c r="AE113" s="620" t="n">
        <v>46161.48296747165</v>
      </c>
      <c r="AF113" s="621" t="inlineStr">
        <is>
          <t>USOU</t>
        </is>
      </c>
    </row>
    <row r="114">
      <c r="A114" s="25" t="inlineStr">
        <is>
          <t>SACOLA P</t>
        </is>
      </c>
      <c r="B114" s="6" t="n">
        <v>200</v>
      </c>
      <c r="C114" s="632" t="n"/>
      <c r="D114" s="240" t="n"/>
      <c r="N114" s="39" t="n">
        <v>0</v>
      </c>
      <c r="O114" s="39" t="n">
        <v>0</v>
      </c>
      <c r="P114" s="39" t="n">
        <v>0</v>
      </c>
      <c r="Q114" s="39" t="n">
        <v>0</v>
      </c>
      <c r="R114" s="39" t="n">
        <v>0</v>
      </c>
      <c r="S114" s="39" t="n">
        <v>0</v>
      </c>
      <c r="T114" s="39">
        <f>AN9</f>
        <v/>
      </c>
      <c r="U114" s="39" t="n">
        <v>400</v>
      </c>
      <c r="V114" s="39" t="n">
        <v>400</v>
      </c>
      <c r="W114" s="39" t="n">
        <v>290</v>
      </c>
      <c r="X114" s="39" t="n">
        <v>200</v>
      </c>
      <c r="Y114" s="39" t="n">
        <v>200</v>
      </c>
      <c r="Z114" s="39" t="n">
        <v>170</v>
      </c>
      <c r="AA114" s="39" t="n">
        <v>0</v>
      </c>
      <c r="AB114" s="39" t="n"/>
      <c r="AC114" s="6" t="n"/>
      <c r="AD114" s="6" t="n"/>
      <c r="AE114" s="6" t="n"/>
      <c r="AF114" s="380">
        <f>AD114+IF(NOT(ISBLANK(OFFSET(AF114,0,6))),N(OFFSET(AF114,0,6)),N(OFFSET(AF114,0,7)))-AE114</f>
        <v/>
      </c>
    </row>
    <row r="115">
      <c r="A115" s="25" t="inlineStr">
        <is>
          <t>SACOLA M</t>
        </is>
      </c>
      <c r="B115" s="6" t="n">
        <v>200</v>
      </c>
      <c r="C115" s="632" t="n"/>
      <c r="D115" s="240" t="n"/>
      <c r="N115" s="39" t="n">
        <v>0</v>
      </c>
      <c r="O115" s="39" t="n">
        <v>0</v>
      </c>
      <c r="P115" s="39" t="n">
        <v>0</v>
      </c>
      <c r="Q115" s="39" t="n">
        <v>0</v>
      </c>
      <c r="R115" s="39" t="n">
        <v>0</v>
      </c>
      <c r="S115" s="39" t="n">
        <v>0</v>
      </c>
      <c r="T115" s="39">
        <f>AN10</f>
        <v/>
      </c>
      <c r="U115" s="39" t="n">
        <v>200</v>
      </c>
      <c r="V115" s="39" t="n">
        <v>0</v>
      </c>
      <c r="W115" s="39" t="n">
        <v>0</v>
      </c>
      <c r="X115" s="39" t="n">
        <v>0</v>
      </c>
      <c r="Y115" s="39" t="n">
        <v>0</v>
      </c>
      <c r="Z115" s="39" t="n">
        <v>190</v>
      </c>
      <c r="AA115" s="39" t="n">
        <v>50</v>
      </c>
      <c r="AB115" s="39" t="n"/>
      <c r="AC115" s="6" t="n"/>
      <c r="AD115" s="6" t="n"/>
      <c r="AE115" s="6" t="n"/>
      <c r="AF115" s="380">
        <f>AD115+IF(NOT(ISBLANK(OFFSET(AF115,0,6))),N(OFFSET(AF115,0,6)),N(OFFSET(AF115,0,7)))-AE115</f>
        <v/>
      </c>
    </row>
    <row r="116">
      <c r="A116" s="25" t="inlineStr">
        <is>
          <t>SACOLA G</t>
        </is>
      </c>
      <c r="B116" s="6" t="n">
        <v>100</v>
      </c>
      <c r="C116" s="632" t="n"/>
      <c r="D116" s="240" t="n"/>
      <c r="N116" s="39" t="n">
        <v>0</v>
      </c>
      <c r="O116" s="39" t="n">
        <v>0</v>
      </c>
      <c r="P116" s="39" t="n">
        <v>0</v>
      </c>
      <c r="Q116" s="39" t="n">
        <v>0</v>
      </c>
      <c r="R116" s="39" t="n">
        <v>0</v>
      </c>
      <c r="S116" s="39" t="n">
        <v>0</v>
      </c>
      <c r="T116" s="39">
        <f>AN11</f>
        <v/>
      </c>
      <c r="U116" s="39" t="n">
        <v>100</v>
      </c>
      <c r="V116" s="39" t="n">
        <v>0</v>
      </c>
      <c r="W116" s="39" t="n">
        <v>0</v>
      </c>
      <c r="X116" s="39" t="n">
        <v>0</v>
      </c>
      <c r="Y116" s="39" t="n">
        <v>0</v>
      </c>
      <c r="Z116" s="39" t="n">
        <v>65</v>
      </c>
      <c r="AA116" s="39" t="n">
        <v>0</v>
      </c>
      <c r="AB116" s="39" t="n"/>
      <c r="AC116" s="6" t="n"/>
      <c r="AD116" s="6" t="n"/>
      <c r="AE116" s="6" t="n"/>
      <c r="AF116" s="380">
        <f>AD116+IF(NOT(ISBLANK(OFFSET(AF116,0,6))),N(OFFSET(AF116,0,6)),N(OFFSET(AF116,0,7)))-AE116</f>
        <v/>
      </c>
    </row>
    <row r="117">
      <c r="A117" s="25" t="inlineStr">
        <is>
          <t>SACOLA P VENDA</t>
        </is>
      </c>
      <c r="B117" s="6" t="n">
        <v>200</v>
      </c>
      <c r="C117" s="632" t="n"/>
      <c r="D117" s="240" t="n"/>
      <c r="N117" s="39" t="n">
        <v>0</v>
      </c>
      <c r="O117" s="39" t="n">
        <v>0</v>
      </c>
      <c r="P117" s="39" t="n">
        <v>0</v>
      </c>
      <c r="Q117" s="39" t="n">
        <v>0</v>
      </c>
      <c r="R117" s="39" t="n">
        <v>0</v>
      </c>
      <c r="S117" s="39" t="n">
        <v>0</v>
      </c>
      <c r="T117" s="39" t="n">
        <v>0</v>
      </c>
      <c r="U117" s="39" t="n">
        <v>50</v>
      </c>
      <c r="V117" s="39" t="n"/>
      <c r="W117" s="39" t="n"/>
      <c r="X117" s="39" t="n"/>
      <c r="Y117" s="39" t="n"/>
      <c r="Z117" s="39" t="n"/>
      <c r="AA117" s="39" t="n">
        <v>0</v>
      </c>
      <c r="AB117" s="39" t="n">
        <v>0</v>
      </c>
      <c r="AC117" s="6" t="n">
        <v>0</v>
      </c>
      <c r="AD117" s="6" t="n">
        <v>0</v>
      </c>
      <c r="AE117" s="6" t="n">
        <v>0</v>
      </c>
      <c r="AF117" s="380">
        <f>AD117+IF(NOT(ISBLANK(OFFSET(AF117,0,6))),N(OFFSET(AF117,0,6)),N(OFFSET(AF117,0,7)))-AE117</f>
        <v/>
      </c>
    </row>
    <row r="118">
      <c r="A118" s="25" t="inlineStr">
        <is>
          <t>SACOLA M VENDA</t>
        </is>
      </c>
      <c r="B118" s="6" t="n">
        <v>200</v>
      </c>
      <c r="C118" s="632" t="n"/>
      <c r="D118" s="240" t="n"/>
      <c r="N118" s="39" t="n">
        <v>0</v>
      </c>
      <c r="O118" s="39" t="n">
        <v>0</v>
      </c>
      <c r="P118" s="39" t="n">
        <v>0</v>
      </c>
      <c r="Q118" s="39" t="n">
        <v>0</v>
      </c>
      <c r="R118" s="39" t="n">
        <v>0</v>
      </c>
      <c r="S118" s="39" t="n">
        <v>0</v>
      </c>
      <c r="T118" s="39" t="n">
        <v>0</v>
      </c>
      <c r="U118" s="39" t="n">
        <v>50</v>
      </c>
      <c r="V118" s="39" t="n"/>
      <c r="W118" s="39" t="n"/>
      <c r="X118" s="39" t="n"/>
      <c r="Y118" s="39" t="n"/>
      <c r="Z118" s="39" t="n"/>
      <c r="AA118" s="39" t="n">
        <v>0</v>
      </c>
      <c r="AB118" s="39" t="n">
        <v>0</v>
      </c>
      <c r="AC118" s="6" t="n">
        <v>0</v>
      </c>
      <c r="AD118" s="6" t="n">
        <v>0</v>
      </c>
      <c r="AE118" s="6" t="n">
        <v>0</v>
      </c>
      <c r="AF118" s="380">
        <f>AD118+IF(NOT(ISBLANK(OFFSET(AF118,0,6))),N(OFFSET(AF118,0,6)),N(OFFSET(AF118,0,7)))-AE118</f>
        <v/>
      </c>
    </row>
    <row r="119">
      <c r="A119" s="157" t="inlineStr">
        <is>
          <t>KIT PAPEL DE SEDA 10 C/ 20</t>
        </is>
      </c>
      <c r="B119" s="72" t="n">
        <v>200</v>
      </c>
      <c r="C119" s="639" t="n"/>
      <c r="D119" s="72" t="n"/>
      <c r="N119" s="39" t="n">
        <v>0</v>
      </c>
      <c r="O119" s="39" t="n">
        <v>0</v>
      </c>
      <c r="P119" s="39" t="n">
        <v>0</v>
      </c>
      <c r="Q119" s="39" t="n">
        <v>0</v>
      </c>
      <c r="R119" s="39" t="n">
        <v>0</v>
      </c>
      <c r="S119" s="39" t="n">
        <v>0</v>
      </c>
      <c r="T119" s="39" t="n">
        <v>0</v>
      </c>
      <c r="U119" s="39" t="n">
        <v>2</v>
      </c>
      <c r="V119" s="39" t="n"/>
      <c r="W119" s="39" t="n"/>
      <c r="X119" s="39" t="n"/>
      <c r="Y119" s="39" t="n"/>
      <c r="Z119" s="39" t="n"/>
      <c r="AA119" s="39" t="n">
        <v>1</v>
      </c>
      <c r="AB119" s="39" t="n">
        <v>1</v>
      </c>
      <c r="AC119" s="6" t="n">
        <v>1</v>
      </c>
      <c r="AD119" s="6" t="n">
        <v>1</v>
      </c>
      <c r="AE119" s="6" t="n">
        <v>1</v>
      </c>
      <c r="AF119" s="380">
        <f>AD119+IF(NOT(ISBLANK(OFFSET(AF119,0,6))),N(OFFSET(AF119,0,6)),N(OFFSET(AF119,0,7)))-AE119</f>
        <v/>
      </c>
    </row>
    <row r="120">
      <c r="A120" s="157" t="inlineStr">
        <is>
          <t>CAIXA P</t>
        </is>
      </c>
      <c r="B120" s="72" t="n">
        <v>150</v>
      </c>
      <c r="C120" s="639" t="n"/>
      <c r="D120" s="72" t="n"/>
      <c r="N120" s="39" t="n">
        <v>0</v>
      </c>
      <c r="O120" s="39" t="n">
        <v>0</v>
      </c>
      <c r="P120" s="39" t="n">
        <v>0</v>
      </c>
      <c r="Q120" s="39" t="n">
        <v>0</v>
      </c>
      <c r="R120" s="39" t="n">
        <v>0</v>
      </c>
      <c r="S120" s="39" t="n">
        <v>0</v>
      </c>
      <c r="T120" s="39" t="n">
        <v>0</v>
      </c>
      <c r="U120" s="39" t="n">
        <v>20</v>
      </c>
      <c r="V120" s="39" t="n"/>
      <c r="W120" s="39" t="n"/>
      <c r="X120" s="39" t="n"/>
      <c r="Y120" s="39" t="n"/>
      <c r="Z120" s="39" t="n"/>
      <c r="AA120" s="39" t="n">
        <v>0</v>
      </c>
      <c r="AB120" s="39" t="n">
        <v>0</v>
      </c>
      <c r="AC120" s="6" t="n">
        <v>0</v>
      </c>
      <c r="AD120" s="6" t="n">
        <v>0</v>
      </c>
      <c r="AE120" s="6" t="n">
        <v>0</v>
      </c>
      <c r="AF120" s="380">
        <f>AD120+IF(NOT(ISBLANK(OFFSET(AF120,0,6))),N(OFFSET(AF120,0,6)),N(OFFSET(AF120,0,7)))-AE120</f>
        <v/>
      </c>
    </row>
    <row r="121">
      <c r="A121" s="157" t="inlineStr">
        <is>
          <t>CAIXA M</t>
        </is>
      </c>
      <c r="B121" s="72" t="n">
        <v>100</v>
      </c>
      <c r="C121" s="639" t="n"/>
      <c r="D121" s="72" t="n"/>
      <c r="N121" s="39" t="n">
        <v>0</v>
      </c>
      <c r="O121" s="39" t="n">
        <v>0</v>
      </c>
      <c r="P121" s="39" t="n">
        <v>0</v>
      </c>
      <c r="Q121" s="39" t="n">
        <v>0</v>
      </c>
      <c r="R121" s="39" t="n">
        <v>0</v>
      </c>
      <c r="S121" s="39" t="n">
        <v>0</v>
      </c>
      <c r="T121" s="39" t="n">
        <v>0</v>
      </c>
      <c r="U121" s="39" t="n">
        <v>30</v>
      </c>
      <c r="V121" s="39" t="n"/>
      <c r="W121" s="39" t="n"/>
      <c r="X121" s="39" t="n"/>
      <c r="Y121" s="39" t="n"/>
      <c r="Z121" s="39" t="n"/>
      <c r="AA121" s="39" t="n">
        <v>13</v>
      </c>
      <c r="AB121" s="39" t="n">
        <v>13</v>
      </c>
      <c r="AC121" s="6" t="n">
        <v>13</v>
      </c>
      <c r="AD121" s="6" t="n">
        <v>13</v>
      </c>
      <c r="AE121" s="6" t="n">
        <v>13</v>
      </c>
      <c r="AF121" s="380">
        <f>AD121+IF(NOT(ISBLANK(OFFSET(AF121,0,6))),N(OFFSET(AF121,0,6)),N(OFFSET(AF121,0,7)))-AE121</f>
        <v/>
      </c>
    </row>
    <row r="122">
      <c r="A122" s="157" t="inlineStr">
        <is>
          <t>CARTUCHO M</t>
        </is>
      </c>
      <c r="B122" s="72" t="n">
        <v>150</v>
      </c>
      <c r="C122" s="639" t="n"/>
      <c r="D122" s="72" t="n"/>
      <c r="N122" s="39" t="n">
        <v>0</v>
      </c>
      <c r="O122" s="39" t="n">
        <v>0</v>
      </c>
      <c r="P122" s="39" t="n">
        <v>0</v>
      </c>
      <c r="Q122" s="39" t="n">
        <v>0</v>
      </c>
      <c r="R122" s="39" t="n">
        <v>0</v>
      </c>
      <c r="S122" s="39" t="n">
        <v>0</v>
      </c>
      <c r="T122" s="39" t="n">
        <v>0</v>
      </c>
      <c r="U122" s="39" t="n">
        <v>50</v>
      </c>
      <c r="V122" s="39" t="n"/>
      <c r="W122" s="39" t="n"/>
      <c r="X122" s="39" t="n"/>
      <c r="Y122" s="39" t="n"/>
      <c r="Z122" s="39" t="n"/>
      <c r="AA122" s="39" t="n">
        <v>30</v>
      </c>
      <c r="AB122" s="39" t="n">
        <v>30</v>
      </c>
      <c r="AC122" s="6" t="n">
        <v>30</v>
      </c>
      <c r="AD122" s="6" t="n">
        <v>30</v>
      </c>
      <c r="AE122" s="6" t="n">
        <v>30</v>
      </c>
      <c r="AF122" s="380">
        <f>AD122+IF(NOT(ISBLANK(OFFSET(AF122,0,6))),N(OFFSET(AF122,0,6)),N(OFFSET(AF122,0,7)))-AE122</f>
        <v/>
      </c>
    </row>
    <row r="123"/>
    <row r="124">
      <c r="A124" s="415" t="inlineStr">
        <is>
          <t>HOMEM ARANHA/25</t>
        </is>
      </c>
      <c r="B124" s="416" t="inlineStr">
        <is>
          <t>PC</t>
        </is>
      </c>
      <c r="C124" s="416" t="inlineStr">
        <is>
          <t>R$</t>
        </is>
      </c>
      <c r="D124" s="416" t="n"/>
      <c r="S124" s="619" t="n">
        <v>46097</v>
      </c>
      <c r="T124" s="619" t="n">
        <v>46104</v>
      </c>
      <c r="U124" s="619" t="n">
        <v>46111</v>
      </c>
      <c r="V124" s="619" t="n">
        <v>46118</v>
      </c>
      <c r="W124" s="619" t="n">
        <v>46125</v>
      </c>
      <c r="X124" s="619" t="n">
        <v>46132</v>
      </c>
      <c r="Y124" s="619" t="n">
        <v>46139</v>
      </c>
      <c r="Z124" s="619" t="n">
        <v>46146</v>
      </c>
      <c r="AA124" s="619" t="n">
        <v>46154</v>
      </c>
      <c r="AB124" s="619" t="n">
        <v>46160</v>
      </c>
      <c r="AC124" s="620" t="n">
        <v>46161.48013634259</v>
      </c>
      <c r="AD124" s="620" t="n">
        <v>46161.48080996528</v>
      </c>
      <c r="AE124" s="620" t="n">
        <v>46161.48296747188</v>
      </c>
      <c r="AF124" s="621" t="inlineStr">
        <is>
          <t>USOU</t>
        </is>
      </c>
    </row>
    <row r="125">
      <c r="A125" s="25" t="inlineStr">
        <is>
          <t>CAIXA M</t>
        </is>
      </c>
      <c r="B125" s="6" t="n">
        <v>100</v>
      </c>
      <c r="C125" s="632" t="n">
        <v>1490</v>
      </c>
      <c r="D125" s="240" t="n"/>
      <c r="S125" s="39" t="n"/>
      <c r="T125" s="39" t="n"/>
      <c r="U125" s="39" t="n"/>
      <c r="V125" s="39" t="n"/>
      <c r="W125" s="39" t="n"/>
      <c r="X125" s="39" t="n"/>
      <c r="Y125" s="39" t="n"/>
      <c r="Z125" s="39" t="n"/>
      <c r="AA125" s="39" t="n">
        <v>30</v>
      </c>
      <c r="AB125" s="39" t="n">
        <v>30</v>
      </c>
      <c r="AC125" s="6" t="n">
        <v>14</v>
      </c>
      <c r="AD125" s="6" t="n">
        <v>14</v>
      </c>
      <c r="AE125" s="6" t="n">
        <v>14</v>
      </c>
      <c r="AF125" s="380">
        <f>AD125+IF(NOT(ISBLANK(OFFSET(AF125,0,6))),N(OFFSET(AF125,0,6)),N(OFFSET(AF125,0,7)))-AE125</f>
        <v/>
      </c>
    </row>
  </sheetData>
  <mergeCells count="9">
    <mergeCell ref="A5:A6"/>
    <mergeCell ref="B3:D3"/>
    <mergeCell ref="A1:AC1"/>
    <mergeCell ref="A102:AB102"/>
    <mergeCell ref="C5:C6"/>
    <mergeCell ref="F5:AB5"/>
    <mergeCell ref="B5:B6"/>
    <mergeCell ref="B2:D2"/>
    <mergeCell ref="D5:D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49" horizontalDpi="4294967295" verticalDpi="4294967295"/>
  <legacyDrawing xmlns:r="http://schemas.openxmlformats.org/officeDocument/2006/relationships" r:id="anysvml"/>
</worksheet>
</file>

<file path=xl/worksheets/sheet32.xml><?xml version="1.0" encoding="utf-8"?>
<worksheet xmlns="http://schemas.openxmlformats.org/spreadsheetml/2006/main">
  <sheetPr codeName="Planilha66">
    <tabColor theme="8"/>
    <outlinePr summaryBelow="1" summaryRight="1"/>
    <pageSetUpPr fitToPage="1"/>
  </sheetPr>
  <dimension ref="A1:BE125"/>
  <sheetViews>
    <sheetView showGridLines="0" topLeftCell="A51" zoomScale="80" zoomScaleNormal="80" zoomScaleSheetLayoutView="50" workbookViewId="0">
      <selection activeCell="AB67" sqref="AB67:AB72"/>
    </sheetView>
  </sheetViews>
  <sheetFormatPr baseColWidth="8" defaultColWidth="9.140625" defaultRowHeight="18.75"/>
  <cols>
    <col width="38.42578125" customWidth="1" style="62" min="1" max="1"/>
    <col width="8.140625" customWidth="1" style="11" min="2" max="2"/>
    <col width="16.85546875" customWidth="1" style="11" min="3" max="4"/>
    <col width="2" customWidth="1" style="11" min="5" max="5"/>
    <col hidden="1" width="8.28515625" customWidth="1" style="11" min="6" max="25"/>
    <col width="8.28515625" customWidth="1" style="11" min="26" max="27"/>
    <col width="9.5703125" bestFit="1" customWidth="1" style="11" min="28" max="28"/>
    <col width="1.42578125" customWidth="1" style="11" min="29" max="29"/>
    <col width="14.28515625" bestFit="1" customWidth="1" style="71" min="30" max="31"/>
    <col width="1.7109375" customWidth="1" style="11" min="32" max="32"/>
    <col width="15.85546875" bestFit="1" customWidth="1" style="34" min="33" max="33"/>
    <col width="1.28515625" customWidth="1" style="11" min="34" max="34"/>
    <col width="9.140625" customWidth="1" style="34" min="35" max="41"/>
    <col hidden="1" width="9.140625" customWidth="1" style="34" min="42" max="50"/>
    <col hidden="1" width="13.5703125" customWidth="1" style="207" min="51" max="52"/>
    <col hidden="1" width="14.28515625" customWidth="1" style="207" min="53" max="53"/>
    <col hidden="1" width="12.28515625" customWidth="1" style="34" min="54" max="55"/>
    <col hidden="1" width="14.28515625" customWidth="1" style="207" min="56" max="56"/>
    <col hidden="1" width="18.85546875" customWidth="1" style="34" min="57" max="57"/>
    <col width="9.140625" customWidth="1" style="11" min="58" max="16384"/>
  </cols>
  <sheetData>
    <row r="1" ht="23.25" customHeight="1">
      <c r="A1" s="501" t="inlineStr">
        <is>
          <t>Controle de Contagem Semanal - Antilhas</t>
        </is>
      </c>
      <c r="AF1" s="34" t="n"/>
      <c r="AG1" s="11" t="n"/>
      <c r="AH1" s="34" t="n"/>
    </row>
    <row r="2">
      <c r="A2" s="63" t="inlineStr">
        <is>
          <t>LOJA:</t>
        </is>
      </c>
      <c r="B2" s="604" t="inlineStr">
        <is>
          <t>ER SÃO MANUEL</t>
        </is>
      </c>
      <c r="C2" s="605" t="n"/>
      <c r="D2" s="606" t="n"/>
      <c r="AF2" s="34" t="n"/>
      <c r="AG2" s="11" t="n"/>
      <c r="AH2" s="34" t="n"/>
    </row>
    <row r="3">
      <c r="A3" s="63" t="inlineStr">
        <is>
          <t>Responsável:</t>
        </is>
      </c>
      <c r="B3" s="607" t="inlineStr">
        <is>
          <t>SABRINA</t>
        </is>
      </c>
      <c r="C3" s="605" t="n"/>
      <c r="D3" s="606" t="n"/>
      <c r="E3" s="608" t="n"/>
      <c r="F3" s="608" t="n"/>
      <c r="G3" s="608" t="n"/>
      <c r="H3" s="608" t="n"/>
      <c r="I3" s="608" t="n"/>
      <c r="J3" s="608" t="n"/>
      <c r="K3" s="608" t="n"/>
      <c r="L3" s="608" t="n"/>
      <c r="M3" s="608" t="n"/>
      <c r="N3" s="608" t="n"/>
      <c r="O3" s="608" t="n"/>
      <c r="P3" s="608" t="n"/>
      <c r="Q3" s="608" t="n"/>
      <c r="R3" s="608" t="n"/>
      <c r="S3" s="608" t="n"/>
      <c r="T3" s="608" t="n"/>
      <c r="U3" s="608" t="n"/>
      <c r="V3" s="608" t="n"/>
      <c r="W3" s="608" t="n"/>
      <c r="X3" s="608" t="n"/>
      <c r="Y3" s="608" t="n"/>
      <c r="Z3" s="608" t="n"/>
      <c r="AA3" s="608" t="n"/>
      <c r="AB3" s="608" t="n"/>
      <c r="AC3" s="608" t="n"/>
      <c r="AF3" s="34" t="n"/>
    </row>
    <row r="4">
      <c r="AD4" s="41" t="n"/>
      <c r="AE4" s="41" t="n"/>
      <c r="AG4" s="11" t="n"/>
      <c r="AI4" s="11" t="n"/>
      <c r="AJ4" s="11" t="n"/>
      <c r="AK4" s="11" t="n"/>
      <c r="AL4" s="11" t="n"/>
      <c r="AM4" s="11" t="n"/>
      <c r="AN4" s="11" t="n"/>
      <c r="AO4" s="11" t="n"/>
      <c r="AP4" s="11" t="n"/>
      <c r="AQ4" s="11" t="n"/>
      <c r="AR4" s="11" t="n"/>
      <c r="AS4" s="11" t="n"/>
      <c r="AT4" s="11" t="n"/>
      <c r="AU4" s="11" t="n"/>
      <c r="AV4" s="11" t="n"/>
      <c r="AW4" s="11" t="n"/>
      <c r="AX4" s="11" t="n"/>
      <c r="AY4" s="208" t="n"/>
      <c r="AZ4" s="208" t="n"/>
      <c r="BA4" s="208" t="n"/>
      <c r="BB4" s="11" t="n"/>
      <c r="BC4" s="11" t="n"/>
      <c r="BD4" s="208" t="n"/>
      <c r="BE4" s="11" t="n"/>
    </row>
    <row r="5" ht="24.75" customHeight="1">
      <c r="A5" s="610" t="inlineStr">
        <is>
          <t>Descrição</t>
        </is>
      </c>
      <c r="B5" s="611" t="inlineStr">
        <is>
          <t>PCT</t>
        </is>
      </c>
      <c r="C5" s="611" t="inlineStr">
        <is>
          <t xml:space="preserve">R$ </t>
        </is>
      </c>
      <c r="D5" s="612" t="inlineStr">
        <is>
          <t>Estoque Ideal</t>
        </is>
      </c>
      <c r="F5" s="647" t="n"/>
      <c r="G5" s="625" t="n"/>
      <c r="H5" s="625" t="n"/>
      <c r="I5" s="625" t="n"/>
      <c r="J5" s="625" t="n"/>
      <c r="K5" s="625" t="n"/>
      <c r="L5" s="625" t="n"/>
      <c r="M5" s="625" t="n"/>
      <c r="N5" s="625" t="n"/>
      <c r="O5" s="625" t="n"/>
      <c r="P5" s="625" t="n"/>
      <c r="Q5" s="625" t="n"/>
      <c r="R5" s="625" t="n"/>
      <c r="S5" s="625" t="n"/>
      <c r="T5" s="625" t="n"/>
      <c r="U5" s="625" t="n"/>
      <c r="V5" s="625" t="n"/>
      <c r="W5" s="625" t="n"/>
      <c r="X5" s="625" t="n"/>
      <c r="Y5" s="625" t="n"/>
      <c r="Z5" s="625" t="n"/>
      <c r="AA5" s="625" t="n"/>
      <c r="AB5" s="641" t="n"/>
      <c r="AD5" s="29" t="inlineStr">
        <is>
          <t>Pendências</t>
        </is>
      </c>
      <c r="AE5" s="29" t="inlineStr">
        <is>
          <t>Pendências</t>
        </is>
      </c>
      <c r="AG5" s="9" t="inlineStr">
        <is>
          <t>Novo Pedido</t>
        </is>
      </c>
      <c r="AI5" s="674" t="n">
        <v>46149</v>
      </c>
      <c r="AJ5" s="674" t="n">
        <v>46142</v>
      </c>
      <c r="AK5" s="674" t="n">
        <v>46114</v>
      </c>
      <c r="AL5" s="674" t="n">
        <v>46099</v>
      </c>
      <c r="AM5" s="675" t="n">
        <v>46065</v>
      </c>
      <c r="AN5" s="674" t="n">
        <v>46077</v>
      </c>
      <c r="AO5" s="676" t="n">
        <v>46045</v>
      </c>
      <c r="AP5" s="674" t="n">
        <v>46056</v>
      </c>
      <c r="AQ5" s="674" t="n">
        <v>46017</v>
      </c>
      <c r="AR5" s="674" t="n">
        <v>46007</v>
      </c>
      <c r="AS5" s="674" t="n">
        <v>46001</v>
      </c>
      <c r="AT5" s="674" t="n">
        <v>45994</v>
      </c>
      <c r="AU5" s="674" t="n">
        <v>45986</v>
      </c>
      <c r="AV5" s="674" t="n">
        <v>45980</v>
      </c>
      <c r="AW5" s="674" t="n">
        <v>45980</v>
      </c>
      <c r="AX5" s="674" t="n">
        <v>45973</v>
      </c>
      <c r="AY5" s="677" t="inlineStr">
        <is>
          <t>TRANSF.</t>
        </is>
      </c>
      <c r="AZ5" s="677" t="inlineStr">
        <is>
          <t>TRANSF.</t>
        </is>
      </c>
      <c r="BA5" s="690" t="inlineStr">
        <is>
          <t>TRANSF.</t>
        </is>
      </c>
      <c r="BB5" s="690" t="inlineStr">
        <is>
          <t>TRANSF.</t>
        </is>
      </c>
      <c r="BC5" s="691" t="inlineStr">
        <is>
          <t>TRANSF.</t>
        </is>
      </c>
      <c r="BD5" s="677" t="inlineStr">
        <is>
          <t>TRANSF.</t>
        </is>
      </c>
      <c r="BE5" s="692" t="inlineStr">
        <is>
          <t>TRANSF.</t>
        </is>
      </c>
    </row>
    <row r="6" customFormat="1" s="3">
      <c r="A6" s="618" t="n"/>
      <c r="B6" s="618" t="n"/>
      <c r="C6" s="618" t="n"/>
      <c r="D6" s="618" t="n"/>
      <c r="E6" s="30" t="n"/>
      <c r="F6" s="619" t="n">
        <v>46006</v>
      </c>
      <c r="G6" s="619" t="n">
        <v>46013</v>
      </c>
      <c r="H6" s="619" t="n">
        <v>46020</v>
      </c>
      <c r="I6" s="619" t="n">
        <v>46027</v>
      </c>
      <c r="J6" s="619" t="n">
        <v>46034</v>
      </c>
      <c r="K6" s="619" t="n">
        <v>46041</v>
      </c>
      <c r="L6" s="619" t="n">
        <v>46048</v>
      </c>
      <c r="M6" s="619" t="n">
        <v>46055</v>
      </c>
      <c r="N6" s="619" t="n">
        <v>46062</v>
      </c>
      <c r="O6" s="619" t="n">
        <v>46069</v>
      </c>
      <c r="P6" s="619" t="n">
        <v>46076</v>
      </c>
      <c r="Q6" s="619" t="n">
        <v>46083</v>
      </c>
      <c r="R6" s="619" t="n">
        <v>46090</v>
      </c>
      <c r="S6" s="619" t="n">
        <v>46097</v>
      </c>
      <c r="T6" s="619" t="n">
        <v>46104</v>
      </c>
      <c r="U6" s="619" t="n">
        <v>46111</v>
      </c>
      <c r="V6" s="619" t="n">
        <v>46118</v>
      </c>
      <c r="W6" s="619" t="n">
        <v>46125</v>
      </c>
      <c r="X6" s="619" t="n">
        <v>46132</v>
      </c>
      <c r="Y6" s="619" t="n">
        <v>46139</v>
      </c>
      <c r="Z6" s="619" t="n">
        <v>46146</v>
      </c>
      <c r="AA6" s="619" t="n">
        <v>46154</v>
      </c>
      <c r="AB6" s="678" t="inlineStr">
        <is>
          <t>USOU</t>
        </is>
      </c>
      <c r="AC6" s="30" t="n"/>
      <c r="AD6" s="664" t="n"/>
      <c r="AE6" s="664" t="n">
        <v>46149</v>
      </c>
      <c r="AF6" s="623" t="n"/>
      <c r="AG6" s="624" t="n">
        <v>46155</v>
      </c>
      <c r="AH6" s="623" t="n"/>
      <c r="AI6" s="674" t="n">
        <v>46154</v>
      </c>
      <c r="AJ6" s="674" t="n">
        <v>46149</v>
      </c>
      <c r="AK6" s="674" t="n">
        <v>46125</v>
      </c>
      <c r="AL6" s="674" t="n">
        <v>46104</v>
      </c>
      <c r="AM6" s="675" t="n">
        <v>46104</v>
      </c>
      <c r="AN6" s="674" t="n">
        <v>46086</v>
      </c>
      <c r="AO6" s="676" t="n">
        <v>46094</v>
      </c>
      <c r="AP6" s="674" t="n">
        <v>46062</v>
      </c>
      <c r="AQ6" s="674" t="n">
        <v>46027</v>
      </c>
      <c r="AR6" s="674" t="n">
        <v>46010</v>
      </c>
      <c r="AS6" s="674" t="n">
        <v>46010</v>
      </c>
      <c r="AT6" s="674" t="n">
        <v>46001</v>
      </c>
      <c r="AU6" s="674" t="n">
        <v>45996</v>
      </c>
      <c r="AV6" s="674" t="n">
        <v>45992</v>
      </c>
      <c r="AW6" s="674" t="n">
        <v>45988</v>
      </c>
      <c r="AX6" s="674" t="n">
        <v>45986</v>
      </c>
      <c r="AY6" s="677" t="n">
        <v>45982</v>
      </c>
      <c r="AZ6" s="677" t="n">
        <v>45979</v>
      </c>
      <c r="BA6" s="693" t="n">
        <v>45974</v>
      </c>
      <c r="BB6" s="693" t="n">
        <v>45972</v>
      </c>
      <c r="BC6" s="691" t="n">
        <v>45968</v>
      </c>
      <c r="BD6" s="677" t="n">
        <v>45967</v>
      </c>
      <c r="BE6" s="692" t="n">
        <v>45964</v>
      </c>
    </row>
    <row r="7" ht="21.75" customFormat="1" customHeight="1" s="3">
      <c r="A7" s="20" t="inlineStr">
        <is>
          <t>SACOLAS BOTICÁRIO</t>
        </is>
      </c>
      <c r="B7" s="4" t="n"/>
      <c r="C7" s="5" t="n"/>
      <c r="D7" s="239" t="n"/>
      <c r="E7" s="11" t="n"/>
      <c r="F7" s="12" t="n"/>
      <c r="G7" s="12" t="n"/>
      <c r="H7" s="12" t="n"/>
      <c r="I7" s="12" t="n"/>
      <c r="J7" s="12" t="n"/>
      <c r="K7" s="12" t="n"/>
      <c r="L7" s="12" t="n"/>
      <c r="M7" s="12" t="n"/>
      <c r="N7" s="12" t="n"/>
      <c r="O7" s="12" t="n"/>
      <c r="P7" s="12" t="n"/>
      <c r="Q7" s="12" t="n"/>
      <c r="R7" s="12" t="n"/>
      <c r="S7" s="12" t="n"/>
      <c r="T7" s="12" t="n"/>
      <c r="U7" s="12" t="n"/>
      <c r="V7" s="12" t="n"/>
      <c r="W7" s="12" t="n"/>
      <c r="X7" s="12" t="n"/>
      <c r="Y7" s="12" t="n"/>
      <c r="Z7" s="12" t="n"/>
      <c r="AA7" s="12" t="n"/>
      <c r="AB7" s="12" t="n"/>
      <c r="AC7" s="11" t="n"/>
      <c r="AD7" s="85" t="n"/>
      <c r="AE7" s="85" t="n"/>
      <c r="AF7" s="11" t="n"/>
      <c r="AG7" s="113" t="n"/>
      <c r="AH7" s="11" t="n"/>
      <c r="AI7" s="116" t="n"/>
      <c r="AJ7" s="116" t="n"/>
      <c r="AK7" s="116" t="n"/>
      <c r="AL7" s="116" t="n"/>
      <c r="AM7" s="116" t="inlineStr">
        <is>
          <t>MÃES</t>
        </is>
      </c>
      <c r="AN7" s="116" t="n"/>
      <c r="AO7" s="116" t="inlineStr">
        <is>
          <t>MÃES</t>
        </is>
      </c>
      <c r="AP7" s="116" t="n"/>
      <c r="AQ7" s="116" t="n"/>
      <c r="AR7" s="116" t="n"/>
      <c r="AS7" s="116" t="n"/>
      <c r="AT7" s="116" t="n"/>
      <c r="AU7" s="116" t="n"/>
      <c r="AV7" s="116" t="n"/>
      <c r="AW7" s="116" t="n"/>
      <c r="AX7" s="116" t="n"/>
      <c r="AY7" s="116" t="n"/>
      <c r="AZ7" s="116" t="n"/>
      <c r="BA7" s="116" t="inlineStr">
        <is>
          <t>VENDA</t>
        </is>
      </c>
      <c r="BB7" s="116" t="n"/>
      <c r="BC7" s="116" t="inlineStr">
        <is>
          <t>HP</t>
        </is>
      </c>
      <c r="BD7" s="116" t="n"/>
      <c r="BE7" s="116" t="inlineStr">
        <is>
          <t>VND. NAT. EUD</t>
        </is>
      </c>
    </row>
    <row r="8" customFormat="1" s="3">
      <c r="A8" s="21" t="inlineStr">
        <is>
          <t>SACOLA PP VERDE</t>
        </is>
      </c>
      <c r="B8" s="6" t="n">
        <v>300</v>
      </c>
      <c r="C8" s="627" t="n">
        <v>178.21</v>
      </c>
      <c r="D8" s="240" t="n"/>
      <c r="E8" s="11" t="n"/>
      <c r="F8" s="39" t="n">
        <v>370</v>
      </c>
      <c r="G8" s="39" t="n">
        <v>791</v>
      </c>
      <c r="H8" s="39" t="n">
        <v>753</v>
      </c>
      <c r="I8" s="39">
        <f>736+AQ8</f>
        <v/>
      </c>
      <c r="J8" s="39" t="n">
        <v>1212</v>
      </c>
      <c r="K8" s="39" t="n">
        <v>1171</v>
      </c>
      <c r="L8" s="39" t="n">
        <v>878</v>
      </c>
      <c r="M8" s="39" t="n">
        <v>508</v>
      </c>
      <c r="N8" s="39">
        <f>501+AP8</f>
        <v/>
      </c>
      <c r="O8" s="125" t="n">
        <v>1056</v>
      </c>
      <c r="P8" s="125" t="n">
        <v>733</v>
      </c>
      <c r="Q8" s="125">
        <f>646+AN8</f>
        <v/>
      </c>
      <c r="R8" s="125" t="n">
        <v>694</v>
      </c>
      <c r="S8" s="125" t="n">
        <v>484</v>
      </c>
      <c r="T8" s="125">
        <f>411+AL8</f>
        <v/>
      </c>
      <c r="U8" s="125" t="n">
        <v>526</v>
      </c>
      <c r="V8" s="125" t="n">
        <v>412</v>
      </c>
      <c r="W8" s="125" t="n">
        <v>0</v>
      </c>
      <c r="X8" s="125" t="n">
        <v>0</v>
      </c>
      <c r="Y8" s="125" t="n">
        <v>0</v>
      </c>
      <c r="Z8" s="125">
        <f>0+AJ8</f>
        <v/>
      </c>
      <c r="AA8" s="125" t="n">
        <v>100</v>
      </c>
      <c r="AB8" s="380">
        <f>Z8+IF(NOT(ISBLANK(OFFSET(AB8,0,6))),N(OFFSET(AB8,0,6)),N(OFFSET(AB8,0,7)))-AA8</f>
        <v/>
      </c>
      <c r="AC8" s="11" t="n"/>
      <c r="AD8" s="78" t="n"/>
      <c r="AE8" s="78" t="n"/>
      <c r="AF8" s="11" t="n"/>
      <c r="AG8" s="32" t="n">
        <v>300</v>
      </c>
      <c r="AH8" s="11" t="n"/>
      <c r="AI8" s="19" t="n">
        <v>0</v>
      </c>
      <c r="AJ8" s="19" t="n">
        <v>300</v>
      </c>
      <c r="AK8" s="19" t="n">
        <v>0</v>
      </c>
      <c r="AL8" s="19" t="n">
        <v>300</v>
      </c>
      <c r="AM8" s="19" t="n"/>
      <c r="AN8" s="19" t="n">
        <v>300</v>
      </c>
      <c r="AO8" s="19" t="n"/>
      <c r="AP8" s="19" t="n">
        <v>600</v>
      </c>
      <c r="AQ8" s="19" t="n">
        <v>600</v>
      </c>
      <c r="AR8" s="19" t="n">
        <v>300</v>
      </c>
      <c r="AS8" s="19" t="n">
        <v>300</v>
      </c>
      <c r="AT8" s="19" t="n">
        <v>300</v>
      </c>
      <c r="AU8" s="19" t="n"/>
      <c r="AV8" s="19" t="n">
        <v>300</v>
      </c>
      <c r="AW8" s="19" t="n"/>
      <c r="AX8" s="19" t="n">
        <v>300</v>
      </c>
      <c r="AY8" s="119" t="n"/>
      <c r="AZ8" s="119" t="n"/>
      <c r="BA8" s="119" t="n"/>
      <c r="BB8" s="19" t="n"/>
      <c r="BC8" s="19" t="n"/>
      <c r="BD8" s="119" t="n"/>
      <c r="BE8" s="119" t="n"/>
    </row>
    <row r="9" customFormat="1" s="3">
      <c r="A9" s="21" t="inlineStr">
        <is>
          <t xml:space="preserve">SACOLA P VERDE </t>
        </is>
      </c>
      <c r="B9" s="6" t="n">
        <v>200</v>
      </c>
      <c r="C9" s="627" t="n">
        <v>183.89</v>
      </c>
      <c r="D9" s="240" t="n"/>
      <c r="E9" s="11" t="n"/>
      <c r="F9" s="125" t="n">
        <v>936</v>
      </c>
      <c r="G9" s="125" t="n">
        <v>1164</v>
      </c>
      <c r="H9" s="125" t="n">
        <v>1148</v>
      </c>
      <c r="I9" s="125">
        <f>1003+AQ9</f>
        <v/>
      </c>
      <c r="J9" s="125" t="n">
        <v>1699</v>
      </c>
      <c r="K9" s="125" t="n">
        <v>1533</v>
      </c>
      <c r="L9" s="125" t="n">
        <v>1388</v>
      </c>
      <c r="M9" s="125" t="n">
        <v>1175</v>
      </c>
      <c r="N9" s="125" t="n">
        <v>1008</v>
      </c>
      <c r="O9" s="125" t="n">
        <v>880</v>
      </c>
      <c r="P9" s="125" t="n">
        <v>767</v>
      </c>
      <c r="Q9" s="125">
        <f>580+AN9</f>
        <v/>
      </c>
      <c r="R9" s="125" t="n">
        <v>592</v>
      </c>
      <c r="S9" s="125" t="n">
        <v>478</v>
      </c>
      <c r="T9" s="125" t="n">
        <v>340</v>
      </c>
      <c r="U9" s="125" t="n">
        <v>190</v>
      </c>
      <c r="V9" s="125" t="n">
        <v>85</v>
      </c>
      <c r="W9" s="125" t="n">
        <v>600</v>
      </c>
      <c r="X9" s="125" t="n">
        <v>462</v>
      </c>
      <c r="Y9" s="125" t="n">
        <v>244</v>
      </c>
      <c r="Z9" s="125">
        <f>20+AJ9</f>
        <v/>
      </c>
      <c r="AA9" s="125" t="n">
        <v>435</v>
      </c>
      <c r="AB9" s="380">
        <f>Z9+IF(NOT(ISBLANK(OFFSET(AB9,0,6))),N(OFFSET(AB9,0,6)),N(OFFSET(AB9,0,7)))-AA9</f>
        <v/>
      </c>
      <c r="AC9" s="11" t="n"/>
      <c r="AD9" s="78" t="n"/>
      <c r="AE9" s="78" t="n"/>
      <c r="AF9" s="11" t="n"/>
      <c r="AG9" s="32" t="n"/>
      <c r="AH9" s="11" t="n"/>
      <c r="AI9" s="19" t="n">
        <v>0</v>
      </c>
      <c r="AJ9" s="19" t="n">
        <v>600</v>
      </c>
      <c r="AK9" s="19" t="n">
        <v>600</v>
      </c>
      <c r="AL9" s="19" t="n"/>
      <c r="AM9" s="251" t="n">
        <v>400</v>
      </c>
      <c r="AN9" s="19" t="n">
        <v>200</v>
      </c>
      <c r="AO9" s="19" t="n"/>
      <c r="AP9" s="19" t="n"/>
      <c r="AQ9" s="19" t="n">
        <v>800</v>
      </c>
      <c r="AR9" s="19" t="n">
        <v>400</v>
      </c>
      <c r="AS9" s="19" t="n"/>
      <c r="AT9" s="19" t="n">
        <v>600</v>
      </c>
      <c r="AU9" s="19" t="n"/>
      <c r="AV9" s="19" t="n">
        <v>400</v>
      </c>
      <c r="AW9" s="19" t="n"/>
      <c r="AX9" s="19" t="n">
        <v>400</v>
      </c>
      <c r="AY9" s="260" t="inlineStr">
        <is>
          <t>200 DE SM</t>
        </is>
      </c>
      <c r="AZ9" s="119" t="n"/>
      <c r="BA9" s="251" t="inlineStr">
        <is>
          <t>200 DE ERJ</t>
        </is>
      </c>
      <c r="BB9" s="19" t="n"/>
      <c r="BC9" s="19" t="n"/>
      <c r="BD9" s="260" t="inlineStr">
        <is>
          <t>400 DE ERJ</t>
        </is>
      </c>
      <c r="BE9" s="119" t="n"/>
    </row>
    <row r="10" customFormat="1" s="3">
      <c r="A10" s="21" t="inlineStr">
        <is>
          <t>SACOLA M VERDE</t>
        </is>
      </c>
      <c r="B10" s="6" t="n">
        <v>200</v>
      </c>
      <c r="C10" s="627" t="n">
        <v>241.74</v>
      </c>
      <c r="D10" s="240" t="n"/>
      <c r="E10" s="11" t="n"/>
      <c r="F10" s="125" t="n">
        <v>329</v>
      </c>
      <c r="G10" s="125" t="n">
        <v>471</v>
      </c>
      <c r="H10" s="125" t="n">
        <v>400</v>
      </c>
      <c r="I10" s="125">
        <f>391+AQ10</f>
        <v/>
      </c>
      <c r="J10" s="125" t="n">
        <v>733</v>
      </c>
      <c r="K10" s="125" t="n">
        <v>679</v>
      </c>
      <c r="L10" s="125" t="n">
        <v>601</v>
      </c>
      <c r="M10" s="125" t="n">
        <v>450</v>
      </c>
      <c r="N10" s="125" t="n">
        <v>542</v>
      </c>
      <c r="O10" s="125" t="n">
        <v>539</v>
      </c>
      <c r="P10" s="125" t="n">
        <v>167</v>
      </c>
      <c r="Q10" s="125">
        <f>8+AN10</f>
        <v/>
      </c>
      <c r="R10" s="125" t="n">
        <v>110</v>
      </c>
      <c r="S10" s="125" t="n">
        <v>46</v>
      </c>
      <c r="T10" s="125">
        <f>5+AL10</f>
        <v/>
      </c>
      <c r="U10" s="125" t="n">
        <v>400</v>
      </c>
      <c r="V10" s="125" t="n">
        <v>499</v>
      </c>
      <c r="W10" s="125" t="n">
        <v>340</v>
      </c>
      <c r="X10" s="125" t="n">
        <v>200</v>
      </c>
      <c r="Y10" s="125" t="n">
        <v>163</v>
      </c>
      <c r="Z10" s="125">
        <f>0+AJ10</f>
        <v/>
      </c>
      <c r="AA10" s="125" t="n">
        <v>80</v>
      </c>
      <c r="AB10" s="380">
        <f>Z10+IF(NOT(ISBLANK(OFFSET(AB10,0,6))),N(OFFSET(AB10,0,6)),N(OFFSET(AB10,0,7)))-AA10</f>
        <v/>
      </c>
      <c r="AC10" s="11" t="n"/>
      <c r="AD10" s="78" t="n"/>
      <c r="AE10" s="78" t="n"/>
      <c r="AF10" s="11" t="n"/>
      <c r="AG10" s="32" t="n">
        <v>200</v>
      </c>
      <c r="AH10" s="11" t="n"/>
      <c r="AI10" s="19" t="n">
        <v>0</v>
      </c>
      <c r="AJ10" s="19" t="n">
        <v>200</v>
      </c>
      <c r="AK10" s="19" t="n">
        <v>0</v>
      </c>
      <c r="AL10" s="19" t="n">
        <v>400</v>
      </c>
      <c r="AM10" s="251" t="n">
        <v>200</v>
      </c>
      <c r="AN10" s="19" t="n">
        <v>200</v>
      </c>
      <c r="AO10" s="301" t="n">
        <v>150</v>
      </c>
      <c r="AP10" s="19" t="n"/>
      <c r="AQ10" s="19" t="n">
        <v>400</v>
      </c>
      <c r="AR10" s="19" t="n">
        <v>400</v>
      </c>
      <c r="AS10" s="19" t="n"/>
      <c r="AT10" s="19" t="n">
        <v>200</v>
      </c>
      <c r="AU10" s="19" t="n"/>
      <c r="AV10" s="19" t="n">
        <v>200</v>
      </c>
      <c r="AW10" s="19" t="n"/>
      <c r="AX10" s="19" t="n">
        <v>200</v>
      </c>
      <c r="AY10" s="119" t="n"/>
      <c r="AZ10" s="119" t="n"/>
      <c r="BA10" s="251" t="inlineStr">
        <is>
          <t>200 DE ERJ</t>
        </is>
      </c>
      <c r="BB10" s="19" t="n"/>
      <c r="BC10" s="19" t="n"/>
      <c r="BD10" s="260" t="inlineStr">
        <is>
          <t>200 DE ERJ</t>
        </is>
      </c>
      <c r="BE10" s="258" t="inlineStr">
        <is>
          <t>200 DE ERJ</t>
        </is>
      </c>
    </row>
    <row r="11" ht="19.5" customFormat="1" customHeight="1" s="3">
      <c r="A11" s="22" t="inlineStr">
        <is>
          <t xml:space="preserve">SACOLA G VERDE </t>
        </is>
      </c>
      <c r="B11" s="6" t="n">
        <v>100</v>
      </c>
      <c r="C11" s="627" t="n">
        <v>175.78</v>
      </c>
      <c r="D11" s="240" t="n"/>
      <c r="E11" s="11" t="n"/>
      <c r="F11" s="39" t="n">
        <v>0</v>
      </c>
      <c r="G11" s="39" t="n">
        <v>300</v>
      </c>
      <c r="H11" s="39" t="n">
        <v>281</v>
      </c>
      <c r="I11" s="39">
        <f>279+AQ11</f>
        <v/>
      </c>
      <c r="J11" s="39" t="n">
        <v>533</v>
      </c>
      <c r="K11" s="39" t="n">
        <v>503</v>
      </c>
      <c r="L11" s="39" t="n">
        <v>474</v>
      </c>
      <c r="M11" s="39" t="n">
        <v>432</v>
      </c>
      <c r="N11" s="39" t="n">
        <v>402</v>
      </c>
      <c r="O11" s="39" t="n">
        <v>350</v>
      </c>
      <c r="P11" s="39" t="n">
        <v>262</v>
      </c>
      <c r="Q11" s="39">
        <f>221+AN11</f>
        <v/>
      </c>
      <c r="R11" s="39" t="n">
        <v>262</v>
      </c>
      <c r="S11" s="39" t="n">
        <v>209</v>
      </c>
      <c r="T11" s="39" t="n">
        <v>190</v>
      </c>
      <c r="U11" s="39" t="n">
        <v>190</v>
      </c>
      <c r="V11" s="39" t="n">
        <v>267</v>
      </c>
      <c r="W11" s="39" t="n">
        <v>220</v>
      </c>
      <c r="X11" s="39" t="n">
        <v>178</v>
      </c>
      <c r="Y11" s="39" t="n">
        <v>133</v>
      </c>
      <c r="Z11" s="39">
        <f>0+AJ11</f>
        <v/>
      </c>
      <c r="AA11" s="39" t="n">
        <v>100</v>
      </c>
      <c r="AB11" s="380">
        <f>Z11+IF(NOT(ISBLANK(OFFSET(AB11,0,6))),N(OFFSET(AB11,0,6)),N(OFFSET(AB11,0,7)))-AA11</f>
        <v/>
      </c>
      <c r="AC11" s="11" t="n"/>
      <c r="AD11" s="78" t="n"/>
      <c r="AE11" s="78" t="n"/>
      <c r="AF11" s="11" t="n"/>
      <c r="AG11" s="32" t="n"/>
      <c r="AH11" s="11" t="n"/>
      <c r="AI11" s="19" t="n">
        <v>0</v>
      </c>
      <c r="AJ11" s="19" t="n">
        <v>100</v>
      </c>
      <c r="AK11" s="19" t="n">
        <v>0</v>
      </c>
      <c r="AL11" s="19" t="n"/>
      <c r="AM11" s="251" t="n">
        <v>100</v>
      </c>
      <c r="AN11" s="19" t="n">
        <v>100</v>
      </c>
      <c r="AO11" s="19" t="n"/>
      <c r="AP11" s="19" t="n"/>
      <c r="AQ11" s="19" t="n">
        <v>300</v>
      </c>
      <c r="AR11" s="19" t="n">
        <v>300</v>
      </c>
      <c r="AS11" s="19" t="n"/>
      <c r="AT11" s="19" t="n"/>
      <c r="AU11" s="19" t="n"/>
      <c r="AV11" s="19" t="n">
        <v>100</v>
      </c>
      <c r="AW11" s="19" t="n"/>
      <c r="AX11" s="19" t="n"/>
      <c r="AY11" s="119" t="n"/>
      <c r="AZ11" s="119" t="n"/>
      <c r="BA11" s="119" t="n"/>
      <c r="BB11" s="251" t="inlineStr">
        <is>
          <t>50 DE CDJ</t>
        </is>
      </c>
      <c r="BC11" s="19" t="n"/>
      <c r="BD11" s="260" t="inlineStr">
        <is>
          <t>100 DE ERJ</t>
        </is>
      </c>
      <c r="BE11" s="19" t="n"/>
    </row>
    <row r="12" hidden="1" ht="19.5" customFormat="1" customHeight="1" s="3">
      <c r="A12" s="144" t="inlineStr">
        <is>
          <t>SACOLA KRAFT M PARDA</t>
        </is>
      </c>
      <c r="B12" s="145" t="n">
        <v>200</v>
      </c>
      <c r="C12" s="694" t="n">
        <v>144.12</v>
      </c>
      <c r="D12" s="240" t="n"/>
      <c r="E12" s="11" t="n"/>
      <c r="F12" s="39" t="n">
        <v>0</v>
      </c>
      <c r="G12" s="39" t="n">
        <v>0</v>
      </c>
      <c r="H12" s="39" t="n">
        <v>0</v>
      </c>
      <c r="I12" s="39" t="n">
        <v>0</v>
      </c>
      <c r="J12" s="39" t="n"/>
      <c r="K12" s="39" t="n"/>
      <c r="L12" s="39" t="n"/>
      <c r="M12" s="39" t="n"/>
      <c r="N12" s="39" t="n"/>
      <c r="O12" s="39" t="n"/>
      <c r="P12" s="39" t="n"/>
      <c r="Q12" s="39" t="n"/>
      <c r="R12" s="39" t="n"/>
      <c r="S12" s="39" t="n"/>
      <c r="T12" s="39" t="n"/>
      <c r="U12" s="39" t="n"/>
      <c r="V12" s="39" t="n"/>
      <c r="W12" s="39" t="n"/>
      <c r="X12" s="39" t="n"/>
      <c r="Y12" s="39" t="n"/>
      <c r="Z12" s="39" t="n">
        <v>0</v>
      </c>
      <c r="AA12" s="39" t="n"/>
      <c r="AB12" s="126" t="n"/>
      <c r="AC12" s="11" t="n"/>
      <c r="AD12" s="250" t="n"/>
      <c r="AE12" s="250" t="n"/>
      <c r="AF12" s="11" t="n"/>
      <c r="AG12" s="32" t="n"/>
      <c r="AH12" s="11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19" t="n"/>
      <c r="AZ12" s="119" t="n"/>
      <c r="BA12" s="119" t="n"/>
      <c r="BB12" s="19" t="n"/>
      <c r="BC12" s="19" t="n"/>
      <c r="BD12" s="119" t="n"/>
      <c r="BE12" s="19" t="n"/>
    </row>
    <row r="13" hidden="1" ht="19.5" customFormat="1" customHeight="1" s="3">
      <c r="A13" s="144" t="inlineStr">
        <is>
          <t>SACOLA KRAFT G PARDA</t>
        </is>
      </c>
      <c r="B13" s="145" t="n">
        <v>100</v>
      </c>
      <c r="C13" s="694" t="n">
        <v>115.12</v>
      </c>
      <c r="D13" s="240" t="n"/>
      <c r="E13" s="11" t="n"/>
      <c r="F13" s="39" t="n">
        <v>0</v>
      </c>
      <c r="G13" s="39" t="n">
        <v>0</v>
      </c>
      <c r="H13" s="39" t="n">
        <v>0</v>
      </c>
      <c r="I13" s="39" t="n">
        <v>0</v>
      </c>
      <c r="J13" s="39" t="n"/>
      <c r="K13" s="39" t="n"/>
      <c r="L13" s="39" t="n"/>
      <c r="M13" s="39" t="n"/>
      <c r="N13" s="39" t="n"/>
      <c r="O13" s="39" t="n"/>
      <c r="P13" s="39" t="n"/>
      <c r="Q13" s="39" t="n"/>
      <c r="R13" s="39" t="n"/>
      <c r="S13" s="39" t="n"/>
      <c r="T13" s="39" t="n"/>
      <c r="U13" s="39" t="n"/>
      <c r="V13" s="39" t="n"/>
      <c r="W13" s="39" t="n"/>
      <c r="X13" s="39" t="n"/>
      <c r="Y13" s="39" t="n"/>
      <c r="Z13" s="39" t="n">
        <v>0</v>
      </c>
      <c r="AA13" s="39" t="n"/>
      <c r="AB13" s="126" t="n"/>
      <c r="AC13" s="11" t="n"/>
      <c r="AD13" s="250" t="n"/>
      <c r="AE13" s="250" t="n"/>
      <c r="AF13" s="11" t="n"/>
      <c r="AG13" s="32" t="n"/>
      <c r="AH13" s="11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19" t="n"/>
      <c r="AZ13" s="119" t="n"/>
      <c r="BA13" s="119" t="n"/>
      <c r="BB13" s="19" t="n"/>
      <c r="BC13" s="19" t="n"/>
      <c r="BD13" s="119" t="n"/>
      <c r="BE13" s="19" t="n"/>
    </row>
    <row r="14" ht="15" customHeight="1">
      <c r="AY14" s="209" t="n"/>
      <c r="AZ14" s="209" t="n"/>
      <c r="BA14" s="209" t="n"/>
      <c r="BD14" s="209" t="n"/>
    </row>
    <row r="15">
      <c r="A15" s="548" t="inlineStr">
        <is>
          <t>DIVERSOS</t>
        </is>
      </c>
      <c r="B15" s="12" t="n"/>
      <c r="C15" s="631" t="n"/>
      <c r="D15" s="631" t="n"/>
      <c r="F15" s="619" t="n">
        <v>46006</v>
      </c>
      <c r="G15" s="619" t="n">
        <v>46013</v>
      </c>
      <c r="H15" s="619" t="n">
        <v>46020</v>
      </c>
      <c r="I15" s="619" t="n">
        <v>46027</v>
      </c>
      <c r="J15" s="619" t="n">
        <v>46034</v>
      </c>
      <c r="K15" s="619" t="n">
        <v>46041</v>
      </c>
      <c r="L15" s="619" t="n">
        <v>46048</v>
      </c>
      <c r="M15" s="619" t="n">
        <v>46055</v>
      </c>
      <c r="N15" s="619" t="n">
        <v>46062</v>
      </c>
      <c r="O15" s="619" t="n">
        <v>46069</v>
      </c>
      <c r="P15" s="619" t="n">
        <v>46076</v>
      </c>
      <c r="Q15" s="619" t="n">
        <v>46083</v>
      </c>
      <c r="R15" s="619" t="n">
        <v>46090</v>
      </c>
      <c r="S15" s="619" t="n">
        <v>46097</v>
      </c>
      <c r="T15" s="619" t="n">
        <v>46104</v>
      </c>
      <c r="U15" s="619" t="n">
        <v>46111</v>
      </c>
      <c r="V15" s="619" t="n">
        <v>46118</v>
      </c>
      <c r="W15" s="619" t="n">
        <v>46125</v>
      </c>
      <c r="X15" s="619" t="n">
        <v>46132</v>
      </c>
      <c r="Y15" s="619" t="n">
        <v>46139</v>
      </c>
      <c r="Z15" s="619" t="n">
        <v>46146</v>
      </c>
      <c r="AA15" s="619" t="n">
        <v>46154</v>
      </c>
      <c r="AB15" s="678" t="inlineStr">
        <is>
          <t>USOU</t>
        </is>
      </c>
      <c r="AD15" s="29" t="inlineStr">
        <is>
          <t>Pendências</t>
        </is>
      </c>
      <c r="AE15" s="29" t="inlineStr">
        <is>
          <t>Pendências</t>
        </is>
      </c>
      <c r="AF15" s="11" t="n"/>
      <c r="AG15" s="9" t="inlineStr">
        <is>
          <t>Novo Pedido</t>
        </is>
      </c>
      <c r="AI15" s="674" t="n">
        <v>46149</v>
      </c>
      <c r="AJ15" s="674" t="n">
        <v>46142</v>
      </c>
      <c r="AK15" s="674" t="n">
        <v>46114</v>
      </c>
      <c r="AL15" s="674" t="n">
        <v>46099</v>
      </c>
      <c r="AM15" s="675" t="n">
        <v>46065</v>
      </c>
      <c r="AN15" s="674" t="n">
        <v>46077</v>
      </c>
      <c r="AO15" s="676" t="n">
        <v>46045</v>
      </c>
      <c r="AP15" s="674" t="n">
        <v>46056</v>
      </c>
      <c r="AQ15" s="674" t="n">
        <v>46017</v>
      </c>
      <c r="AR15" s="674" t="n">
        <v>46007</v>
      </c>
      <c r="AS15" s="674" t="n">
        <v>46001</v>
      </c>
      <c r="AT15" s="674" t="n">
        <v>45994</v>
      </c>
      <c r="AU15" s="674" t="n">
        <v>45986</v>
      </c>
      <c r="AV15" s="674" t="n">
        <v>45980</v>
      </c>
      <c r="AW15" s="674" t="n">
        <v>45980</v>
      </c>
      <c r="AX15" s="674" t="n">
        <v>45973</v>
      </c>
      <c r="AY15" s="677" t="n">
        <v>45982</v>
      </c>
      <c r="AZ15" s="677" t="n">
        <v>45979</v>
      </c>
      <c r="BA15" s="693" t="n">
        <v>45974</v>
      </c>
      <c r="BB15" s="693" t="n">
        <v>45972</v>
      </c>
      <c r="BC15" s="691" t="n">
        <v>45968</v>
      </c>
      <c r="BD15" s="677" t="n">
        <v>45967</v>
      </c>
      <c r="BE15" s="692" t="n">
        <v>45964</v>
      </c>
    </row>
    <row r="16">
      <c r="A16" s="25" t="inlineStr">
        <is>
          <t xml:space="preserve">PAPEL DE SEDA </t>
        </is>
      </c>
      <c r="B16" s="6" t="n">
        <v>500</v>
      </c>
      <c r="C16" s="632" t="n">
        <v>95.90000000000001</v>
      </c>
      <c r="D16" s="240" t="n"/>
      <c r="F16" s="6" t="n">
        <v>2</v>
      </c>
      <c r="G16" s="6" t="n">
        <v>3</v>
      </c>
      <c r="H16" s="6" t="n">
        <v>3</v>
      </c>
      <c r="I16" s="6">
        <f>3+AQ16</f>
        <v/>
      </c>
      <c r="J16" s="6" t="n">
        <v>5</v>
      </c>
      <c r="K16" s="6" t="n">
        <v>5</v>
      </c>
      <c r="L16" s="6" t="n">
        <v>5</v>
      </c>
      <c r="M16" s="6" t="n">
        <v>5</v>
      </c>
      <c r="N16" s="6" t="n">
        <v>4</v>
      </c>
      <c r="O16" s="6" t="n">
        <v>4</v>
      </c>
      <c r="P16" s="6" t="n">
        <v>4</v>
      </c>
      <c r="Q16" s="6" t="n">
        <v>4</v>
      </c>
      <c r="R16" s="6" t="n">
        <v>4</v>
      </c>
      <c r="S16" s="6" t="n">
        <v>4</v>
      </c>
      <c r="T16" s="6" t="n">
        <v>3</v>
      </c>
      <c r="U16" s="6" t="n">
        <v>3</v>
      </c>
      <c r="V16" s="6" t="n">
        <v>3</v>
      </c>
      <c r="W16" s="6" t="n">
        <v>3</v>
      </c>
      <c r="X16" s="6" t="n">
        <v>3</v>
      </c>
      <c r="Y16" s="6" t="n">
        <v>3</v>
      </c>
      <c r="Z16" s="6" t="n">
        <v>3</v>
      </c>
      <c r="AA16" s="6" t="n">
        <v>2</v>
      </c>
      <c r="AB16" s="380">
        <f>Z16+IF(NOT(ISBLANK(OFFSET(AB16,0,6))),N(OFFSET(AB16,0,6)),N(OFFSET(AB16,0,7)))-AA16</f>
        <v/>
      </c>
      <c r="AD16" s="138" t="n"/>
      <c r="AE16" s="138" t="n"/>
      <c r="AG16" s="32" t="n"/>
      <c r="AI16" s="19" t="n">
        <v>0</v>
      </c>
      <c r="AJ16" s="19" t="n">
        <v>0</v>
      </c>
      <c r="AK16" s="19" t="n">
        <v>0</v>
      </c>
      <c r="AL16" s="19" t="n"/>
      <c r="AM16" s="19" t="n"/>
      <c r="AN16" s="19" t="n"/>
      <c r="AO16" s="301" t="n">
        <v>200</v>
      </c>
      <c r="AP16" s="19" t="n"/>
      <c r="AQ16" s="19" t="n">
        <v>2</v>
      </c>
      <c r="AR16" s="19" t="n"/>
      <c r="AS16" s="19" t="n">
        <v>1</v>
      </c>
      <c r="AT16" s="19" t="n"/>
      <c r="AU16" s="19" t="n"/>
      <c r="AV16" s="19" t="n">
        <v>3</v>
      </c>
      <c r="AW16" s="19" t="n"/>
      <c r="AX16" s="19" t="n"/>
      <c r="AY16" s="119" t="n"/>
      <c r="AZ16" s="119" t="n"/>
      <c r="BA16" s="119" t="n"/>
      <c r="BB16" s="19" t="n"/>
      <c r="BC16" s="19" t="n"/>
      <c r="BD16" s="119" t="n"/>
      <c r="BE16" s="19" t="n"/>
    </row>
    <row r="17">
      <c r="A17" s="25" t="inlineStr">
        <is>
          <t>ETIQUETAS</t>
        </is>
      </c>
      <c r="B17" s="6" t="n">
        <v>2000</v>
      </c>
      <c r="C17" s="632" t="n">
        <v>53.49</v>
      </c>
      <c r="D17" s="240" t="n"/>
      <c r="F17" s="6" t="n">
        <v>1</v>
      </c>
      <c r="G17" s="6" t="n">
        <v>0</v>
      </c>
      <c r="H17" s="6" t="n">
        <v>0</v>
      </c>
      <c r="I17" s="6">
        <f>0+AQ17</f>
        <v/>
      </c>
      <c r="J17" s="6" t="n">
        <v>4</v>
      </c>
      <c r="K17" s="6" t="n">
        <v>4</v>
      </c>
      <c r="L17" s="6" t="n">
        <v>4</v>
      </c>
      <c r="M17" s="6" t="n">
        <v>8</v>
      </c>
      <c r="N17" s="6" t="n">
        <v>8</v>
      </c>
      <c r="O17" s="6" t="n">
        <v>7</v>
      </c>
      <c r="P17" s="6" t="n">
        <v>7</v>
      </c>
      <c r="Q17" s="6" t="n">
        <v>7</v>
      </c>
      <c r="R17" s="6" t="n">
        <v>7</v>
      </c>
      <c r="S17" s="6" t="n">
        <v>7</v>
      </c>
      <c r="T17" s="6" t="n">
        <v>6</v>
      </c>
      <c r="U17" s="6" t="n">
        <v>6</v>
      </c>
      <c r="V17" s="6" t="n">
        <v>5</v>
      </c>
      <c r="W17" s="6" t="n">
        <v>4</v>
      </c>
      <c r="X17" s="6" t="n">
        <v>3</v>
      </c>
      <c r="Y17" s="6" t="n">
        <v>2</v>
      </c>
      <c r="Z17" s="6" t="n">
        <v>2</v>
      </c>
      <c r="AA17" s="6" t="n">
        <v>0</v>
      </c>
      <c r="AB17" s="380">
        <f>Z17+IF(NOT(ISBLANK(OFFSET(AB17,0,6))),N(OFFSET(AB17,0,6)),N(OFFSET(AB17,0,7)))-AA17</f>
        <v/>
      </c>
      <c r="AD17" s="138" t="inlineStr">
        <is>
          <t>02 DE JC</t>
        </is>
      </c>
      <c r="AE17" s="138" t="n"/>
      <c r="AG17" s="32" t="n"/>
      <c r="AI17" s="19" t="n">
        <v>0</v>
      </c>
      <c r="AJ17" s="19" t="n">
        <v>0</v>
      </c>
      <c r="AK17" s="19" t="n">
        <v>0</v>
      </c>
      <c r="AL17" s="19" t="n"/>
      <c r="AM17" s="19" t="n"/>
      <c r="AN17" s="19" t="n"/>
      <c r="AO17" s="301" t="n">
        <v>1</v>
      </c>
      <c r="AP17" s="19" t="n"/>
      <c r="AQ17" s="19" t="n">
        <v>4</v>
      </c>
      <c r="AR17" s="19" t="n"/>
      <c r="AS17" s="19" t="n">
        <v>3</v>
      </c>
      <c r="AT17" s="19" t="n"/>
      <c r="AU17" s="19" t="n"/>
      <c r="AV17" s="19" t="n">
        <v>3</v>
      </c>
      <c r="AW17" s="19" t="n"/>
      <c r="AX17" s="19" t="n"/>
      <c r="AY17" s="119" t="n"/>
      <c r="AZ17" s="119" t="n"/>
      <c r="BA17" s="119" t="n"/>
      <c r="BB17" s="19" t="n"/>
      <c r="BC17" s="19" t="n"/>
      <c r="BD17" s="119" t="n"/>
      <c r="BE17" s="19" t="n"/>
    </row>
    <row r="18">
      <c r="A18" s="25" t="inlineStr">
        <is>
          <t xml:space="preserve">TAGS </t>
        </is>
      </c>
      <c r="B18" s="6" t="n">
        <v>200</v>
      </c>
      <c r="C18" s="632" t="n">
        <v>9.93</v>
      </c>
      <c r="D18" s="240" t="n"/>
      <c r="F18" s="6" t="n">
        <v>0</v>
      </c>
      <c r="G18" s="6" t="n">
        <v>0</v>
      </c>
      <c r="H18" s="6" t="n">
        <v>0</v>
      </c>
      <c r="I18" s="6" t="n">
        <v>0</v>
      </c>
      <c r="J18" s="6" t="n">
        <v>0</v>
      </c>
      <c r="K18" s="6" t="n">
        <v>0</v>
      </c>
      <c r="L18" s="6" t="n">
        <v>0</v>
      </c>
      <c r="M18" s="6" t="n">
        <v>0</v>
      </c>
      <c r="N18" s="6" t="n">
        <v>0</v>
      </c>
      <c r="O18" s="6" t="n">
        <v>0</v>
      </c>
      <c r="P18" s="6" t="n">
        <v>0</v>
      </c>
      <c r="Q18" s="6" t="n">
        <v>0</v>
      </c>
      <c r="R18" s="6" t="n">
        <v>0</v>
      </c>
      <c r="S18" s="6" t="n">
        <v>0</v>
      </c>
      <c r="T18" s="6" t="n">
        <v>0</v>
      </c>
      <c r="U18" s="6" t="n">
        <v>0</v>
      </c>
      <c r="V18" s="6" t="n">
        <v>0</v>
      </c>
      <c r="W18" s="6" t="n">
        <v>0</v>
      </c>
      <c r="X18" s="6" t="n">
        <v>0</v>
      </c>
      <c r="Y18" s="6" t="n">
        <v>0</v>
      </c>
      <c r="Z18" s="6" t="n">
        <v>0</v>
      </c>
      <c r="AA18" s="6" t="n">
        <v>0</v>
      </c>
      <c r="AB18" s="380">
        <f>Z18+IF(NOT(ISBLANK(OFFSET(AB18,0,6))),N(OFFSET(AB18,0,6)),N(OFFSET(AB18,0,7)))-AA18</f>
        <v/>
      </c>
      <c r="AD18" s="138" t="inlineStr">
        <is>
          <t>01 DE JSH</t>
        </is>
      </c>
      <c r="AE18" s="138" t="n"/>
      <c r="AG18" s="32" t="n"/>
      <c r="AI18" s="19" t="n">
        <v>0</v>
      </c>
      <c r="AJ18" s="19" t="n">
        <v>0</v>
      </c>
      <c r="AK18" s="19" t="n">
        <v>0</v>
      </c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19" t="n"/>
      <c r="AZ18" s="119" t="n"/>
      <c r="BA18" s="119" t="n"/>
      <c r="BB18" s="19" t="n"/>
      <c r="BC18" s="19" t="n"/>
      <c r="BD18" s="119" t="n"/>
      <c r="BE18" s="19" t="n"/>
    </row>
    <row r="19">
      <c r="A19" s="25" t="inlineStr">
        <is>
          <t>LÂMINA OLFATIVA</t>
        </is>
      </c>
      <c r="B19" s="6" t="n">
        <v>3000</v>
      </c>
      <c r="C19" s="632" t="n">
        <v>69.37</v>
      </c>
      <c r="D19" s="240" t="n"/>
      <c r="F19" s="84" t="n">
        <v>3</v>
      </c>
      <c r="G19" s="84" t="n">
        <v>3</v>
      </c>
      <c r="H19" s="84" t="n">
        <v>3</v>
      </c>
      <c r="I19" s="84" t="n">
        <v>3</v>
      </c>
      <c r="J19" s="84" t="n">
        <v>3</v>
      </c>
      <c r="K19" s="84" t="n">
        <v>3</v>
      </c>
      <c r="L19" s="84" t="n">
        <v>3</v>
      </c>
      <c r="M19" s="84" t="n">
        <v>3</v>
      </c>
      <c r="N19" s="84" t="n">
        <v>3</v>
      </c>
      <c r="O19" s="84" t="n">
        <v>3</v>
      </c>
      <c r="P19" s="84" t="n">
        <v>3</v>
      </c>
      <c r="Q19" s="84" t="n">
        <v>2</v>
      </c>
      <c r="R19" s="84" t="n">
        <v>2</v>
      </c>
      <c r="S19" s="84" t="n">
        <v>2</v>
      </c>
      <c r="T19" s="84" t="n">
        <v>2</v>
      </c>
      <c r="U19" s="84" t="n">
        <v>2</v>
      </c>
      <c r="V19" s="84" t="n">
        <v>2</v>
      </c>
      <c r="W19" s="84" t="n">
        <v>2</v>
      </c>
      <c r="X19" s="84" t="n">
        <v>2</v>
      </c>
      <c r="Y19" s="84" t="n">
        <v>2</v>
      </c>
      <c r="Z19" s="84" t="n">
        <v>2</v>
      </c>
      <c r="AA19" s="84" t="n">
        <v>2</v>
      </c>
      <c r="AB19" s="380">
        <f>Z19+IF(NOT(ISBLANK(OFFSET(AB19,0,6))),N(OFFSET(AB19,0,6)),N(OFFSET(AB19,0,7)))-AA19</f>
        <v/>
      </c>
      <c r="AD19" s="138" t="n"/>
      <c r="AE19" s="138" t="n"/>
      <c r="AG19" s="32" t="n"/>
      <c r="AI19" s="19" t="n">
        <v>0</v>
      </c>
      <c r="AJ19" s="19" t="n">
        <v>0</v>
      </c>
      <c r="AK19" s="19" t="n">
        <v>0</v>
      </c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>
        <v>3</v>
      </c>
      <c r="AW19" s="19" t="n"/>
      <c r="AX19" s="19" t="n"/>
      <c r="AY19" s="119" t="n"/>
      <c r="AZ19" s="119" t="n"/>
      <c r="BA19" s="119" t="n"/>
      <c r="BB19" s="19" t="n"/>
      <c r="BC19" s="19" t="n"/>
      <c r="BD19" s="119" t="n"/>
      <c r="BE19" s="19" t="n"/>
    </row>
    <row r="20" ht="19.5" customFormat="1" customHeight="1" s="3">
      <c r="A20" s="132" t="n"/>
      <c r="B20" s="133" t="n"/>
      <c r="C20" s="633" t="n"/>
      <c r="D20" s="633" t="n"/>
      <c r="E20" s="11" t="n"/>
      <c r="F20" s="2" t="n"/>
      <c r="G20" s="2" t="n"/>
      <c r="H20" s="2" t="n"/>
      <c r="I20" s="2" t="n"/>
      <c r="J20" s="2" t="n"/>
      <c r="K20" s="2" t="n"/>
      <c r="L20" s="2" t="n"/>
      <c r="M20" s="2" t="n"/>
      <c r="N20" s="2" t="n"/>
      <c r="O20" s="2" t="n"/>
      <c r="P20" s="2" t="n"/>
      <c r="Q20" s="2" t="n"/>
      <c r="R20" s="2" t="n"/>
      <c r="S20" s="2" t="n"/>
      <c r="T20" s="2" t="n"/>
      <c r="U20" s="2" t="n"/>
      <c r="V20" s="2" t="n"/>
      <c r="W20" s="2" t="n"/>
      <c r="X20" s="2" t="n"/>
      <c r="Y20" s="2" t="n"/>
      <c r="Z20" s="2" t="n"/>
      <c r="AA20" s="2" t="n"/>
      <c r="AB20" s="2" t="n"/>
      <c r="AC20" s="11" t="n"/>
      <c r="AD20" s="10" t="n"/>
      <c r="AE20" s="10" t="n"/>
      <c r="AF20" s="11" t="n"/>
      <c r="AG20" s="33" t="n"/>
      <c r="AH20" s="11" t="n"/>
      <c r="AI20" s="75" t="n"/>
      <c r="AJ20" s="75" t="n"/>
      <c r="AK20" s="75" t="n"/>
      <c r="AL20" s="75" t="n"/>
      <c r="AM20" s="75" t="n"/>
      <c r="AN20" s="75" t="n"/>
      <c r="AO20" s="75" t="n"/>
      <c r="AP20" s="75" t="n"/>
      <c r="AQ20" s="75" t="n"/>
      <c r="AR20" s="75" t="n"/>
      <c r="AS20" s="75" t="n"/>
      <c r="AT20" s="75" t="n"/>
      <c r="AU20" s="75" t="n"/>
      <c r="AV20" s="75" t="n"/>
      <c r="AW20" s="75" t="n"/>
      <c r="AX20" s="75" t="n"/>
      <c r="AY20" s="206" t="n"/>
      <c r="AZ20" s="206" t="n"/>
      <c r="BA20" s="206" t="n"/>
      <c r="BB20" s="75" t="n"/>
      <c r="BC20" s="75" t="n"/>
      <c r="BD20" s="206" t="n"/>
      <c r="BE20" s="75" t="n"/>
    </row>
    <row r="21" customFormat="1" s="3">
      <c r="A21" s="548" t="inlineStr">
        <is>
          <t>SACOLAS P/ VENDA EM UND</t>
        </is>
      </c>
      <c r="B21" s="12" t="inlineStr">
        <is>
          <t>PC</t>
        </is>
      </c>
      <c r="C21" s="631" t="inlineStr">
        <is>
          <t>R$</t>
        </is>
      </c>
      <c r="D21" s="12" t="inlineStr">
        <is>
          <t>Estoque Ideal</t>
        </is>
      </c>
      <c r="E21" s="608" t="n"/>
      <c r="F21" s="619" t="n">
        <v>46006</v>
      </c>
      <c r="G21" s="619" t="n">
        <v>46013</v>
      </c>
      <c r="H21" s="619" t="n">
        <v>46020</v>
      </c>
      <c r="I21" s="619" t="n">
        <v>46027</v>
      </c>
      <c r="J21" s="619" t="n">
        <v>46034</v>
      </c>
      <c r="K21" s="619" t="n">
        <v>46041</v>
      </c>
      <c r="L21" s="619" t="n">
        <v>46048</v>
      </c>
      <c r="M21" s="619" t="n">
        <v>46055</v>
      </c>
      <c r="N21" s="619" t="n">
        <v>46062</v>
      </c>
      <c r="O21" s="619" t="n">
        <v>46069</v>
      </c>
      <c r="P21" s="619" t="n">
        <v>46076</v>
      </c>
      <c r="Q21" s="619" t="n">
        <v>46083</v>
      </c>
      <c r="R21" s="619" t="n">
        <v>46090</v>
      </c>
      <c r="S21" s="619" t="n">
        <v>46097</v>
      </c>
      <c r="T21" s="619" t="n">
        <v>46104</v>
      </c>
      <c r="U21" s="619" t="n">
        <v>46111</v>
      </c>
      <c r="V21" s="619" t="n">
        <v>46118</v>
      </c>
      <c r="W21" s="619" t="n">
        <v>46125</v>
      </c>
      <c r="X21" s="619" t="n">
        <v>46132</v>
      </c>
      <c r="Y21" s="619" t="n">
        <v>46139</v>
      </c>
      <c r="Z21" s="619" t="n">
        <v>46146</v>
      </c>
      <c r="AA21" s="619" t="n">
        <v>46154</v>
      </c>
      <c r="AB21" s="678" t="inlineStr">
        <is>
          <t>USOU</t>
        </is>
      </c>
      <c r="AC21" s="11" t="n"/>
      <c r="AD21" s="29" t="inlineStr">
        <is>
          <t>Pendências</t>
        </is>
      </c>
      <c r="AE21" s="29" t="inlineStr">
        <is>
          <t>Pendências</t>
        </is>
      </c>
      <c r="AG21" s="9" t="inlineStr">
        <is>
          <t>Novo Pedido</t>
        </is>
      </c>
      <c r="AI21" s="674" t="n">
        <v>46149</v>
      </c>
      <c r="AJ21" s="674" t="n">
        <v>46142</v>
      </c>
      <c r="AK21" s="674" t="n">
        <v>46114</v>
      </c>
      <c r="AL21" s="674" t="n">
        <v>46099</v>
      </c>
      <c r="AM21" s="675" t="n">
        <v>46065</v>
      </c>
      <c r="AN21" s="674" t="n">
        <v>46077</v>
      </c>
      <c r="AO21" s="676" t="n">
        <v>46045</v>
      </c>
      <c r="AP21" s="674" t="n">
        <v>46056</v>
      </c>
      <c r="AQ21" s="674" t="n">
        <v>46017</v>
      </c>
      <c r="AR21" s="674" t="n">
        <v>46007</v>
      </c>
      <c r="AS21" s="674" t="n">
        <v>46001</v>
      </c>
      <c r="AT21" s="674" t="n">
        <v>45994</v>
      </c>
      <c r="AU21" s="674" t="n">
        <v>45986</v>
      </c>
      <c r="AV21" s="674" t="n">
        <v>45980</v>
      </c>
      <c r="AW21" s="674" t="n">
        <v>45980</v>
      </c>
      <c r="AX21" s="674" t="n">
        <v>45973</v>
      </c>
      <c r="AY21" s="677" t="n">
        <v>45982</v>
      </c>
      <c r="AZ21" s="677" t="n">
        <v>45979</v>
      </c>
      <c r="BA21" s="693" t="n">
        <v>45974</v>
      </c>
      <c r="BB21" s="693" t="n">
        <v>45972</v>
      </c>
      <c r="BC21" s="691" t="n">
        <v>45968</v>
      </c>
      <c r="BD21" s="677" t="n">
        <v>45967</v>
      </c>
      <c r="BE21" s="692" t="n">
        <v>45964</v>
      </c>
    </row>
    <row r="22" customFormat="1" s="3">
      <c r="A22" s="25" t="inlineStr">
        <is>
          <t>SACOLA PP 2025</t>
        </is>
      </c>
      <c r="B22" s="6" t="n">
        <v>300</v>
      </c>
      <c r="C22" s="632" t="n">
        <v>216</v>
      </c>
      <c r="D22" s="240" t="n"/>
      <c r="E22" s="695" t="n"/>
      <c r="F22" s="131" t="n">
        <v>65</v>
      </c>
      <c r="G22" s="131" t="n">
        <v>65</v>
      </c>
      <c r="H22" s="131" t="n">
        <v>65</v>
      </c>
      <c r="I22" s="131" t="n">
        <v>65</v>
      </c>
      <c r="J22" s="131" t="n">
        <v>65</v>
      </c>
      <c r="K22" s="131" t="n">
        <v>65</v>
      </c>
      <c r="L22" s="131" t="n">
        <v>65</v>
      </c>
      <c r="M22" s="131" t="n">
        <v>65</v>
      </c>
      <c r="N22" s="131" t="n">
        <v>65</v>
      </c>
      <c r="O22" s="131" t="n">
        <v>65</v>
      </c>
      <c r="P22" s="131" t="n">
        <v>65</v>
      </c>
      <c r="Q22" s="131" t="n">
        <v>65</v>
      </c>
      <c r="R22" s="131" t="n">
        <v>65</v>
      </c>
      <c r="S22" s="131" t="n">
        <v>61</v>
      </c>
      <c r="T22" s="131" t="n">
        <v>61</v>
      </c>
      <c r="U22" s="131" t="n">
        <v>61</v>
      </c>
      <c r="V22" s="131" t="n"/>
      <c r="W22" s="131" t="n"/>
      <c r="X22" s="131" t="n"/>
      <c r="Y22" s="131" t="n"/>
      <c r="Z22" s="131" t="n"/>
      <c r="AA22" s="131" t="n">
        <v>40</v>
      </c>
      <c r="AB22" s="380">
        <f>Z22+IF(NOT(ISBLANK(OFFSET(AB22,0,6))),N(OFFSET(AB22,0,6)),N(OFFSET(AB22,0,7)))-AA22</f>
        <v/>
      </c>
      <c r="AC22" s="128" t="n"/>
      <c r="AD22" s="78" t="n"/>
      <c r="AE22" s="78" t="n"/>
      <c r="AF22" s="129" t="n"/>
      <c r="AG22" s="32" t="n"/>
      <c r="AH22" s="129" t="n"/>
      <c r="AI22" s="19" t="n">
        <v>0</v>
      </c>
      <c r="AJ22" s="19" t="n">
        <v>0</v>
      </c>
      <c r="AK22" s="19" t="n">
        <v>0</v>
      </c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19" t="n"/>
      <c r="AZ22" s="260" t="inlineStr">
        <is>
          <t>100 DE CDJ</t>
        </is>
      </c>
      <c r="BA22" s="119" t="n"/>
      <c r="BB22" s="19" t="n"/>
      <c r="BC22" s="19" t="n"/>
      <c r="BD22" s="119" t="n"/>
      <c r="BE22" s="19" t="n"/>
    </row>
    <row r="23" customFormat="1" s="3">
      <c r="A23" s="25" t="inlineStr">
        <is>
          <t>SACOLA P 2025</t>
        </is>
      </c>
      <c r="B23" s="6" t="n">
        <v>200</v>
      </c>
      <c r="C23" s="632" t="n">
        <v>246.28</v>
      </c>
      <c r="D23" s="240" t="n"/>
      <c r="E23" s="1" t="n"/>
      <c r="F23" s="39" t="n">
        <v>0</v>
      </c>
      <c r="G23" s="39" t="n">
        <v>0</v>
      </c>
      <c r="H23" s="39" t="n">
        <v>0</v>
      </c>
      <c r="I23" s="39" t="n">
        <v>0</v>
      </c>
      <c r="J23" s="39" t="n">
        <v>0</v>
      </c>
      <c r="K23" s="39" t="n">
        <v>0</v>
      </c>
      <c r="L23" s="39" t="n">
        <v>0</v>
      </c>
      <c r="M23" s="39" t="n">
        <v>0</v>
      </c>
      <c r="N23" s="39" t="n">
        <v>0</v>
      </c>
      <c r="O23" s="39" t="n">
        <v>0</v>
      </c>
      <c r="P23" s="39" t="n">
        <v>0</v>
      </c>
      <c r="Q23" s="39" t="n">
        <v>0</v>
      </c>
      <c r="R23" s="39" t="n">
        <v>0</v>
      </c>
      <c r="S23" s="39" t="n">
        <v>0</v>
      </c>
      <c r="T23" s="39" t="n">
        <v>0</v>
      </c>
      <c r="U23" s="39" t="n">
        <v>0</v>
      </c>
      <c r="V23" s="39" t="n"/>
      <c r="W23" s="39" t="n"/>
      <c r="X23" s="39" t="n"/>
      <c r="Y23" s="39" t="n"/>
      <c r="Z23" s="39" t="n"/>
      <c r="AA23" s="39" t="n">
        <v>0</v>
      </c>
      <c r="AB23" s="380">
        <f>Z23+IF(NOT(ISBLANK(OFFSET(AB23,0,6))),N(OFFSET(AB23,0,6)),N(OFFSET(AB23,0,7)))-AA23</f>
        <v/>
      </c>
      <c r="AC23" s="128" t="n"/>
      <c r="AD23" s="78" t="inlineStr">
        <is>
          <t>100 DE ERJ</t>
        </is>
      </c>
      <c r="AE23" s="78" t="n"/>
      <c r="AF23" s="129" t="n"/>
      <c r="AG23" s="32" t="n"/>
      <c r="AH23" s="129" t="n"/>
      <c r="AI23" s="19" t="n">
        <v>0</v>
      </c>
      <c r="AJ23" s="19" t="n">
        <v>0</v>
      </c>
      <c r="AK23" s="19" t="n">
        <v>0</v>
      </c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19" t="n"/>
      <c r="AZ23" s="119" t="n"/>
      <c r="BA23" s="119" t="n"/>
      <c r="BB23" s="19" t="n"/>
      <c r="BC23" s="19" t="n"/>
      <c r="BD23" s="119" t="n"/>
      <c r="BE23" s="19" t="n"/>
    </row>
    <row r="24" customFormat="1" s="3">
      <c r="A24" s="25" t="inlineStr">
        <is>
          <t>SACOLA M 2025</t>
        </is>
      </c>
      <c r="B24" s="6" t="n">
        <v>200</v>
      </c>
      <c r="C24" s="632" t="n">
        <v>316.91</v>
      </c>
      <c r="D24" s="240" t="n"/>
      <c r="E24" s="1" t="n"/>
      <c r="F24" s="39" t="n">
        <v>0</v>
      </c>
      <c r="G24" s="39" t="n">
        <v>0</v>
      </c>
      <c r="H24" s="39" t="n">
        <v>0</v>
      </c>
      <c r="I24" s="39" t="n">
        <v>0</v>
      </c>
      <c r="J24" s="39" t="n">
        <v>0</v>
      </c>
      <c r="K24" s="39" t="n">
        <v>0</v>
      </c>
      <c r="L24" s="39" t="n">
        <v>0</v>
      </c>
      <c r="M24" s="39" t="n">
        <v>0</v>
      </c>
      <c r="N24" s="39" t="n">
        <v>0</v>
      </c>
      <c r="O24" s="39" t="n">
        <v>0</v>
      </c>
      <c r="P24" s="39" t="n">
        <v>0</v>
      </c>
      <c r="Q24" s="39" t="n">
        <v>0</v>
      </c>
      <c r="R24" s="39" t="n">
        <v>0</v>
      </c>
      <c r="S24" s="39" t="n">
        <v>0</v>
      </c>
      <c r="T24" s="39" t="n">
        <v>0</v>
      </c>
      <c r="U24" s="39" t="n">
        <v>0</v>
      </c>
      <c r="V24" s="39" t="n"/>
      <c r="W24" s="39" t="n"/>
      <c r="X24" s="39" t="n"/>
      <c r="Y24" s="39" t="n"/>
      <c r="Z24" s="39" t="n"/>
      <c r="AA24" s="39" t="n">
        <v>0</v>
      </c>
      <c r="AB24" s="380">
        <f>Z24+IF(NOT(ISBLANK(OFFSET(AB24,0,6))),N(OFFSET(AB24,0,6)),N(OFFSET(AB24,0,7)))-AA24</f>
        <v/>
      </c>
      <c r="AC24" s="128" t="n"/>
      <c r="AD24" s="78" t="inlineStr">
        <is>
          <t>100 DE ERJ</t>
        </is>
      </c>
      <c r="AE24" s="78" t="n"/>
      <c r="AF24" s="129" t="n"/>
      <c r="AG24" s="32" t="n"/>
      <c r="AH24" s="129" t="n"/>
      <c r="AI24" s="19" t="n">
        <v>0</v>
      </c>
      <c r="AJ24" s="19" t="n">
        <v>0</v>
      </c>
      <c r="AK24" s="19" t="n">
        <v>0</v>
      </c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19" t="n"/>
      <c r="AZ24" s="119" t="n"/>
      <c r="BA24" s="119" t="n"/>
      <c r="BB24" s="19" t="n"/>
      <c r="BC24" s="19" t="n"/>
      <c r="BD24" s="119" t="n"/>
      <c r="BE24" s="19" t="n"/>
    </row>
    <row r="25" ht="16.5" customFormat="1" customHeight="1" s="3">
      <c r="A25" s="23" t="n"/>
      <c r="B25" s="1" t="n"/>
      <c r="C25" s="630" t="n"/>
      <c r="D25" s="630" t="n"/>
      <c r="E25" s="11" t="n"/>
      <c r="F25" s="2" t="n"/>
      <c r="G25" s="2" t="n"/>
      <c r="H25" s="2" t="n"/>
      <c r="I25" s="2" t="n"/>
      <c r="J25" s="2" t="n"/>
      <c r="K25" s="2" t="n"/>
      <c r="L25" s="2" t="n"/>
      <c r="M25" s="2" t="n"/>
      <c r="N25" s="2" t="n"/>
      <c r="O25" s="2" t="n"/>
      <c r="P25" s="2" t="n"/>
      <c r="Q25" s="2" t="n"/>
      <c r="R25" s="2" t="n"/>
      <c r="S25" s="2" t="n"/>
      <c r="T25" s="2" t="n"/>
      <c r="U25" s="2" t="n"/>
      <c r="V25" s="2" t="n"/>
      <c r="W25" s="2" t="n"/>
      <c r="X25" s="2" t="n"/>
      <c r="Y25" s="2" t="n"/>
      <c r="Z25" s="2" t="n"/>
      <c r="AA25" s="2" t="n"/>
      <c r="AB25" s="2" t="n"/>
      <c r="AC25" s="11" t="n"/>
      <c r="AD25" s="10" t="n"/>
      <c r="AE25" s="10" t="n"/>
      <c r="AF25" s="11" t="n"/>
      <c r="AG25" s="33" t="n"/>
      <c r="AH25" s="11" t="n"/>
      <c r="AI25" s="15" t="n"/>
      <c r="AJ25" s="15" t="n"/>
      <c r="AK25" s="15" t="n"/>
      <c r="AL25" s="15" t="n"/>
      <c r="AM25" s="15" t="n"/>
      <c r="AN25" s="15" t="n"/>
      <c r="AO25" s="15" t="n"/>
      <c r="AP25" s="15" t="n"/>
      <c r="AQ25" s="15" t="n"/>
      <c r="AR25" s="15" t="n"/>
      <c r="AS25" s="15" t="n"/>
      <c r="AT25" s="15" t="n"/>
      <c r="AU25" s="15" t="n"/>
      <c r="AV25" s="15" t="n"/>
      <c r="AW25" s="15" t="n"/>
      <c r="AX25" s="15" t="n"/>
      <c r="AY25" s="206" t="n"/>
      <c r="AZ25" s="206" t="n"/>
      <c r="BA25" s="206" t="n"/>
      <c r="BB25" s="15" t="n"/>
      <c r="BC25" s="15" t="n"/>
      <c r="BD25" s="206" t="n"/>
      <c r="BE25" s="15" t="n"/>
    </row>
    <row r="26" customFormat="1" s="3">
      <c r="A26" s="548" t="inlineStr">
        <is>
          <t>DIVERSOS BOTICÁRIO</t>
        </is>
      </c>
      <c r="B26" s="12" t="n"/>
      <c r="C26" s="631" t="n"/>
      <c r="D26" s="631" t="n"/>
      <c r="E26" s="608" t="n"/>
      <c r="F26" s="619" t="n">
        <v>46006</v>
      </c>
      <c r="G26" s="619" t="n">
        <v>46013</v>
      </c>
      <c r="H26" s="619" t="n">
        <v>46020</v>
      </c>
      <c r="I26" s="619" t="n">
        <v>46027</v>
      </c>
      <c r="J26" s="619" t="n">
        <v>46034</v>
      </c>
      <c r="K26" s="619" t="n">
        <v>46041</v>
      </c>
      <c r="L26" s="619" t="n">
        <v>46048</v>
      </c>
      <c r="M26" s="619" t="n">
        <v>46055</v>
      </c>
      <c r="N26" s="619" t="n">
        <v>46062</v>
      </c>
      <c r="O26" s="619" t="n">
        <v>46069</v>
      </c>
      <c r="P26" s="619" t="n">
        <v>46076</v>
      </c>
      <c r="Q26" s="619" t="n">
        <v>46083</v>
      </c>
      <c r="R26" s="619" t="n">
        <v>46090</v>
      </c>
      <c r="S26" s="619" t="n">
        <v>46097</v>
      </c>
      <c r="T26" s="619" t="n">
        <v>46104</v>
      </c>
      <c r="U26" s="619" t="n">
        <v>46111</v>
      </c>
      <c r="V26" s="619" t="n">
        <v>46118</v>
      </c>
      <c r="W26" s="619" t="n">
        <v>46125</v>
      </c>
      <c r="X26" s="619" t="n">
        <v>46132</v>
      </c>
      <c r="Y26" s="619" t="n">
        <v>46139</v>
      </c>
      <c r="Z26" s="619" t="n">
        <v>46146</v>
      </c>
      <c r="AA26" s="619" t="n">
        <v>46154</v>
      </c>
      <c r="AB26" s="621" t="inlineStr">
        <is>
          <t>USOU</t>
        </is>
      </c>
      <c r="AC26" s="608" t="n"/>
      <c r="AD26" s="29" t="inlineStr">
        <is>
          <t>Pendências</t>
        </is>
      </c>
      <c r="AE26" s="29" t="inlineStr">
        <is>
          <t>Pendências</t>
        </is>
      </c>
      <c r="AF26" s="11" t="n"/>
      <c r="AG26" s="9" t="inlineStr">
        <is>
          <t>Novo Pedido</t>
        </is>
      </c>
      <c r="AH26" s="608" t="n"/>
      <c r="AI26" s="674" t="n">
        <v>46149</v>
      </c>
      <c r="AJ26" s="674" t="n">
        <v>46142</v>
      </c>
      <c r="AK26" s="674" t="n">
        <v>46114</v>
      </c>
      <c r="AL26" s="674" t="n">
        <v>46099</v>
      </c>
      <c r="AM26" s="675" t="n">
        <v>46065</v>
      </c>
      <c r="AN26" s="674" t="n">
        <v>46077</v>
      </c>
      <c r="AO26" s="676" t="n">
        <v>46045</v>
      </c>
      <c r="AP26" s="674" t="n">
        <v>46056</v>
      </c>
      <c r="AQ26" s="674" t="n">
        <v>46017</v>
      </c>
      <c r="AR26" s="674" t="n">
        <v>46007</v>
      </c>
      <c r="AS26" s="674" t="n">
        <v>46001</v>
      </c>
      <c r="AT26" s="674" t="n">
        <v>45994</v>
      </c>
      <c r="AU26" s="674" t="n">
        <v>45986</v>
      </c>
      <c r="AV26" s="674" t="n">
        <v>45980</v>
      </c>
      <c r="AW26" s="674" t="n">
        <v>45980</v>
      </c>
      <c r="AX26" s="674" t="n">
        <v>45973</v>
      </c>
      <c r="AY26" s="677" t="n">
        <v>45982</v>
      </c>
      <c r="AZ26" s="677" t="n">
        <v>45979</v>
      </c>
      <c r="BA26" s="693" t="n">
        <v>45974</v>
      </c>
      <c r="BB26" s="693" t="n">
        <v>45972</v>
      </c>
      <c r="BC26" s="691" t="n">
        <v>45968</v>
      </c>
      <c r="BD26" s="677" t="n">
        <v>45967</v>
      </c>
      <c r="BE26" s="692" t="n">
        <v>45964</v>
      </c>
    </row>
    <row r="27" customFormat="1" s="3">
      <c r="A27" s="25" t="inlineStr">
        <is>
          <t>PAPEL DE SEDA 2025</t>
        </is>
      </c>
      <c r="B27" s="6" t="n">
        <v>200</v>
      </c>
      <c r="C27" s="632" t="n">
        <v>38</v>
      </c>
      <c r="D27" s="240" t="n"/>
      <c r="E27" s="608" t="n"/>
      <c r="F27" s="39" t="n">
        <v>77</v>
      </c>
      <c r="G27" s="39" t="n">
        <v>77</v>
      </c>
      <c r="H27" s="39" t="n">
        <v>77</v>
      </c>
      <c r="I27" s="39" t="n">
        <v>77</v>
      </c>
      <c r="J27" s="39" t="n">
        <v>77</v>
      </c>
      <c r="K27" s="39" t="n">
        <v>77</v>
      </c>
      <c r="L27" s="39" t="n">
        <v>77</v>
      </c>
      <c r="M27" s="39" t="n">
        <v>77</v>
      </c>
      <c r="N27" s="39" t="n">
        <v>77</v>
      </c>
      <c r="O27" s="39" t="n">
        <v>77</v>
      </c>
      <c r="P27" s="39" t="n">
        <v>77</v>
      </c>
      <c r="Q27" s="39" t="n">
        <v>77</v>
      </c>
      <c r="R27" s="39" t="n">
        <v>77</v>
      </c>
      <c r="S27" s="39" t="n">
        <v>38</v>
      </c>
      <c r="T27" s="39" t="n">
        <v>38</v>
      </c>
      <c r="U27" s="39" t="n">
        <v>38</v>
      </c>
      <c r="V27" s="39" t="n"/>
      <c r="W27" s="39" t="n"/>
      <c r="X27" s="39" t="n"/>
      <c r="Y27" s="39" t="n"/>
      <c r="Z27" s="39" t="n"/>
      <c r="AA27" s="39" t="n">
        <v>38</v>
      </c>
      <c r="AB27" s="380">
        <f>Z27+IF(NOT(ISBLANK(OFFSET(AB27,0,6))),N(OFFSET(AB27,0,6)),N(OFFSET(AB27,0,7)))-AA27</f>
        <v/>
      </c>
      <c r="AC27" s="608" t="n"/>
      <c r="AD27" s="78" t="n"/>
      <c r="AE27" s="78" t="n"/>
      <c r="AF27" s="608" t="n"/>
      <c r="AG27" s="76" t="n"/>
      <c r="AH27" s="608" t="n"/>
      <c r="AI27" s="19" t="n">
        <v>0</v>
      </c>
      <c r="AJ27" s="19" t="n">
        <v>0</v>
      </c>
      <c r="AK27" s="19" t="n">
        <v>0</v>
      </c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19" t="n"/>
      <c r="AZ27" s="119" t="n"/>
      <c r="BA27" s="251" t="inlineStr">
        <is>
          <t>200 DE ERJ</t>
        </is>
      </c>
      <c r="BB27" s="19" t="n"/>
      <c r="BC27" s="19" t="n"/>
      <c r="BD27" s="260" t="inlineStr">
        <is>
          <t>100 DE CDJ</t>
        </is>
      </c>
      <c r="BE27" s="258" t="inlineStr">
        <is>
          <t>200 DE ERJ</t>
        </is>
      </c>
    </row>
    <row r="28" customFormat="1" s="3">
      <c r="A28" s="25" t="inlineStr">
        <is>
          <t>KIT ETIQUETAS (50 c/ 50 un)</t>
        </is>
      </c>
      <c r="B28" s="6" t="n">
        <v>2500</v>
      </c>
      <c r="C28" s="632" t="n">
        <v>66.87</v>
      </c>
      <c r="D28" s="240" t="n"/>
      <c r="E28" s="608" t="n"/>
      <c r="F28" s="211" t="n">
        <v>0</v>
      </c>
      <c r="G28" s="39" t="n">
        <v>0</v>
      </c>
      <c r="H28" s="39" t="n">
        <v>9</v>
      </c>
      <c r="I28" s="39" t="n">
        <v>9</v>
      </c>
      <c r="J28" s="39" t="n">
        <v>9</v>
      </c>
      <c r="K28" s="39" t="n">
        <v>4</v>
      </c>
      <c r="L28" s="39" t="n">
        <v>3</v>
      </c>
      <c r="M28" s="39" t="n">
        <v>3</v>
      </c>
      <c r="N28" s="39" t="n">
        <v>2</v>
      </c>
      <c r="O28" s="39" t="n">
        <v>2</v>
      </c>
      <c r="P28" s="39" t="n">
        <v>2</v>
      </c>
      <c r="Q28" s="39" t="n">
        <v>2</v>
      </c>
      <c r="R28" s="39" t="n">
        <v>2</v>
      </c>
      <c r="S28" s="39" t="n">
        <v>2</v>
      </c>
      <c r="T28" s="39" t="n">
        <v>1</v>
      </c>
      <c r="U28" s="39" t="n">
        <v>1</v>
      </c>
      <c r="V28" s="39" t="n"/>
      <c r="W28" s="39" t="n"/>
      <c r="X28" s="39" t="n"/>
      <c r="Y28" s="39" t="n"/>
      <c r="Z28" s="39" t="n"/>
      <c r="AA28" s="39" t="n">
        <v>0</v>
      </c>
      <c r="AB28" s="380">
        <f>Z28+IF(NOT(ISBLANK(OFFSET(AB28,0,6))),N(OFFSET(AB28,0,6)),N(OFFSET(AB28,0,7)))-AA28</f>
        <v/>
      </c>
      <c r="AC28" s="608" t="n"/>
      <c r="AD28" s="78" t="n"/>
      <c r="AE28" s="78" t="n"/>
      <c r="AF28" s="608" t="n"/>
      <c r="AG28" s="76" t="n"/>
      <c r="AH28" s="608" t="n"/>
      <c r="AI28" s="19" t="n">
        <v>0</v>
      </c>
      <c r="AJ28" s="19" t="n">
        <v>0</v>
      </c>
      <c r="AK28" s="19" t="n">
        <v>0</v>
      </c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19" t="n"/>
      <c r="AZ28" s="119" t="n"/>
      <c r="BA28" s="119" t="n"/>
      <c r="BB28" s="19" t="n"/>
      <c r="BC28" s="19" t="n"/>
      <c r="BD28" s="260" t="inlineStr">
        <is>
          <t>10 DE CDJ</t>
        </is>
      </c>
      <c r="BE28" s="19" t="n"/>
    </row>
    <row r="29" customFormat="1" s="3">
      <c r="A29" s="25" t="inlineStr">
        <is>
          <t>KIT TAGS  (21 c/ 50 un)</t>
        </is>
      </c>
      <c r="B29" s="6" t="n">
        <v>1050</v>
      </c>
      <c r="C29" s="632" t="n">
        <v>52.14</v>
      </c>
      <c r="D29" s="240" t="n"/>
      <c r="E29" s="1" t="n"/>
      <c r="F29" s="39" t="n">
        <v>8</v>
      </c>
      <c r="G29" s="39" t="n">
        <v>8</v>
      </c>
      <c r="H29" s="39" t="n">
        <v>0</v>
      </c>
      <c r="I29" s="39" t="n">
        <v>0</v>
      </c>
      <c r="J29" s="39" t="n">
        <v>0</v>
      </c>
      <c r="K29" s="39" t="n">
        <v>0</v>
      </c>
      <c r="L29" s="39" t="n">
        <v>0</v>
      </c>
      <c r="M29" s="39" t="n">
        <v>0</v>
      </c>
      <c r="N29" s="39" t="n">
        <v>0</v>
      </c>
      <c r="O29" s="39" t="n">
        <v>0</v>
      </c>
      <c r="P29" s="39" t="n">
        <v>0</v>
      </c>
      <c r="Q29" s="39" t="n">
        <v>0</v>
      </c>
      <c r="R29" s="39" t="n">
        <v>0</v>
      </c>
      <c r="S29" s="39" t="n">
        <v>0</v>
      </c>
      <c r="T29" s="39" t="n">
        <v>0</v>
      </c>
      <c r="U29" s="39" t="n">
        <v>0</v>
      </c>
      <c r="V29" s="39" t="n"/>
      <c r="W29" s="39" t="n"/>
      <c r="X29" s="39" t="n"/>
      <c r="Y29" s="39" t="n"/>
      <c r="Z29" s="39" t="n"/>
      <c r="AA29" s="39" t="n">
        <v>0</v>
      </c>
      <c r="AB29" s="380">
        <f>Z29+IF(NOT(ISBLANK(OFFSET(AB29,0,6))),N(OFFSET(AB29,0,6)),N(OFFSET(AB29,0,7)))-AA29</f>
        <v/>
      </c>
      <c r="AC29" s="1" t="n"/>
      <c r="AD29" s="78" t="n"/>
      <c r="AE29" s="78" t="n"/>
      <c r="AF29" s="1" t="n"/>
      <c r="AG29" s="76" t="n"/>
      <c r="AH29" s="1" t="n"/>
      <c r="AI29" s="19" t="n">
        <v>0</v>
      </c>
      <c r="AJ29" s="19" t="n">
        <v>0</v>
      </c>
      <c r="AK29" s="19" t="n">
        <v>0</v>
      </c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19" t="n"/>
      <c r="AZ29" s="119" t="n"/>
      <c r="BA29" s="119" t="n"/>
      <c r="BB29" s="19" t="n"/>
      <c r="BC29" s="19" t="n"/>
      <c r="BD29" s="260" t="inlineStr">
        <is>
          <t>08 DE ERJ</t>
        </is>
      </c>
      <c r="BE29" s="258" t="inlineStr">
        <is>
          <t>02 DE ERJ</t>
        </is>
      </c>
    </row>
    <row r="30" ht="17.25" customFormat="1" customHeight="1" s="3">
      <c r="A30" s="23" t="n"/>
      <c r="B30" s="1" t="n"/>
      <c r="C30" s="630" t="n"/>
      <c r="D30" s="630" t="n"/>
      <c r="E30" s="1" t="n"/>
      <c r="F30" s="2" t="n"/>
      <c r="G30" s="2" t="n"/>
      <c r="H30" s="2" t="n"/>
      <c r="I30" s="2" t="n"/>
      <c r="J30" s="2" t="n"/>
      <c r="K30" s="2" t="n"/>
      <c r="L30" s="2" t="n"/>
      <c r="M30" s="2" t="n"/>
      <c r="N30" s="2" t="n"/>
      <c r="O30" s="2" t="n"/>
      <c r="P30" s="2" t="n"/>
      <c r="Q30" s="2" t="n"/>
      <c r="R30" s="2" t="n"/>
      <c r="S30" s="2" t="n"/>
      <c r="T30" s="2" t="n"/>
      <c r="U30" s="2" t="n"/>
      <c r="V30" s="2" t="n"/>
      <c r="W30" s="2" t="n"/>
      <c r="X30" s="2" t="n"/>
      <c r="Y30" s="2" t="n"/>
      <c r="Z30" s="2" t="n"/>
      <c r="AA30" s="2" t="n"/>
      <c r="AC30" s="1" t="n"/>
      <c r="AD30" s="10" t="n"/>
      <c r="AE30" s="10" t="n"/>
      <c r="AF30" s="1" t="n"/>
      <c r="AG30" s="210" t="n"/>
      <c r="AH30" s="1" t="n"/>
      <c r="AI30" s="75" t="n"/>
      <c r="AJ30" s="75" t="n"/>
      <c r="AK30" s="75" t="n"/>
      <c r="AL30" s="75" t="n"/>
      <c r="AM30" s="75" t="n"/>
      <c r="AN30" s="75" t="n"/>
      <c r="AO30" s="75" t="n"/>
      <c r="AP30" s="75" t="n"/>
      <c r="AQ30" s="75" t="n"/>
      <c r="AR30" s="75" t="n"/>
      <c r="AS30" s="75" t="n"/>
      <c r="AT30" s="75" t="n"/>
      <c r="AU30" s="75" t="n"/>
      <c r="AV30" s="75" t="n"/>
      <c r="AW30" s="75" t="n"/>
      <c r="AX30" s="75" t="n"/>
      <c r="AY30" s="206" t="n"/>
      <c r="AZ30" s="206" t="n"/>
      <c r="BA30" s="206" t="n"/>
      <c r="BB30" s="75" t="n"/>
      <c r="BC30" s="75" t="n"/>
      <c r="BD30" s="206" t="n"/>
      <c r="BE30" s="75" t="n"/>
    </row>
    <row r="31" customFormat="1" s="3">
      <c r="A31" s="548" t="inlineStr">
        <is>
          <t>CAIXAS BOTICÁRIO</t>
        </is>
      </c>
      <c r="B31" s="12" t="n"/>
      <c r="C31" s="631" t="n"/>
      <c r="D31" s="631" t="n"/>
      <c r="E31" s="1" t="n"/>
      <c r="F31" s="619" t="n">
        <v>46006</v>
      </c>
      <c r="G31" s="619" t="n">
        <v>46013</v>
      </c>
      <c r="H31" s="619" t="n">
        <v>46020</v>
      </c>
      <c r="I31" s="619" t="n">
        <v>46027</v>
      </c>
      <c r="J31" s="619" t="n">
        <v>46034</v>
      </c>
      <c r="K31" s="619" t="n">
        <v>46041</v>
      </c>
      <c r="L31" s="619" t="n">
        <v>46048</v>
      </c>
      <c r="M31" s="619" t="n">
        <v>46055</v>
      </c>
      <c r="N31" s="619" t="n">
        <v>46062</v>
      </c>
      <c r="O31" s="619" t="n">
        <v>46069</v>
      </c>
      <c r="P31" s="619" t="n">
        <v>46076</v>
      </c>
      <c r="Q31" s="619" t="n">
        <v>46083</v>
      </c>
      <c r="R31" s="619" t="n">
        <v>46090</v>
      </c>
      <c r="S31" s="619" t="n">
        <v>46097</v>
      </c>
      <c r="T31" s="619" t="n">
        <v>46104</v>
      </c>
      <c r="U31" s="619" t="n">
        <v>46111</v>
      </c>
      <c r="V31" s="619" t="n">
        <v>46118</v>
      </c>
      <c r="W31" s="619" t="n">
        <v>46125</v>
      </c>
      <c r="X31" s="619" t="n">
        <v>46132</v>
      </c>
      <c r="Y31" s="619" t="n">
        <v>46139</v>
      </c>
      <c r="Z31" s="619" t="n">
        <v>46146</v>
      </c>
      <c r="AA31" s="619" t="n">
        <v>46154</v>
      </c>
      <c r="AB31" s="621" t="inlineStr">
        <is>
          <t>USOU</t>
        </is>
      </c>
      <c r="AC31" s="11" t="n"/>
      <c r="AD31" s="29" t="inlineStr">
        <is>
          <t>Pendências</t>
        </is>
      </c>
      <c r="AE31" s="29" t="inlineStr">
        <is>
          <t>Pendências</t>
        </is>
      </c>
      <c r="AF31" s="11" t="n"/>
      <c r="AG31" s="9" t="inlineStr">
        <is>
          <t>Novo Pedido</t>
        </is>
      </c>
      <c r="AH31" s="1" t="n"/>
      <c r="AI31" s="674" t="n">
        <v>46149</v>
      </c>
      <c r="AJ31" s="674" t="n">
        <v>46142</v>
      </c>
      <c r="AK31" s="674" t="n">
        <v>46114</v>
      </c>
      <c r="AL31" s="674" t="n">
        <v>46099</v>
      </c>
      <c r="AM31" s="675" t="n">
        <v>46065</v>
      </c>
      <c r="AN31" s="674" t="n">
        <v>46077</v>
      </c>
      <c r="AO31" s="676" t="n">
        <v>46045</v>
      </c>
      <c r="AP31" s="674" t="n">
        <v>46056</v>
      </c>
      <c r="AQ31" s="674" t="n">
        <v>46017</v>
      </c>
      <c r="AR31" s="674" t="n">
        <v>46007</v>
      </c>
      <c r="AS31" s="674" t="n">
        <v>46001</v>
      </c>
      <c r="AT31" s="674" t="n">
        <v>45994</v>
      </c>
      <c r="AU31" s="674" t="n">
        <v>45986</v>
      </c>
      <c r="AV31" s="674" t="n">
        <v>45980</v>
      </c>
      <c r="AW31" s="674" t="n">
        <v>45980</v>
      </c>
      <c r="AX31" s="674" t="n">
        <v>45973</v>
      </c>
      <c r="AY31" s="677" t="n">
        <v>45982</v>
      </c>
      <c r="AZ31" s="677" t="n">
        <v>45979</v>
      </c>
      <c r="BA31" s="693" t="n">
        <v>45974</v>
      </c>
      <c r="BB31" s="693" t="n">
        <v>45972</v>
      </c>
      <c r="BC31" s="691" t="n">
        <v>45968</v>
      </c>
      <c r="BD31" s="677" t="n">
        <v>45967</v>
      </c>
      <c r="BE31" s="692" t="n">
        <v>45942</v>
      </c>
    </row>
    <row r="32" customFormat="1" s="3">
      <c r="A32" s="25" t="inlineStr">
        <is>
          <t>KIT CAIXA P VERDE</t>
        </is>
      </c>
      <c r="B32" s="139" t="n">
        <v>75</v>
      </c>
      <c r="C32" s="634" t="n">
        <v>225.67</v>
      </c>
      <c r="D32" s="240" t="n"/>
      <c r="E32" s="1" t="n"/>
      <c r="F32" s="39" t="n">
        <v>5</v>
      </c>
      <c r="G32" s="39" t="n">
        <v>5</v>
      </c>
      <c r="H32" s="39" t="n">
        <v>5</v>
      </c>
      <c r="I32" s="39" t="n">
        <v>5</v>
      </c>
      <c r="J32" s="39" t="n">
        <v>5</v>
      </c>
      <c r="K32" s="39" t="n">
        <v>5</v>
      </c>
      <c r="L32" s="39" t="n">
        <v>5</v>
      </c>
      <c r="M32" s="39" t="n">
        <v>5</v>
      </c>
      <c r="N32" s="39" t="n">
        <v>5</v>
      </c>
      <c r="O32" s="39" t="n">
        <v>5</v>
      </c>
      <c r="P32" s="39" t="n">
        <v>5</v>
      </c>
      <c r="Q32" s="39" t="n">
        <v>5</v>
      </c>
      <c r="R32" s="39" t="n">
        <v>5</v>
      </c>
      <c r="S32" s="39" t="n">
        <v>5</v>
      </c>
      <c r="T32" s="39" t="n">
        <v>5</v>
      </c>
      <c r="U32" s="39" t="n">
        <v>5</v>
      </c>
      <c r="V32" s="39" t="n"/>
      <c r="W32" s="39" t="n"/>
      <c r="X32" s="39" t="n"/>
      <c r="Y32" s="39" t="n"/>
      <c r="Z32" s="39" t="n"/>
      <c r="AA32" s="39" t="n">
        <v>5</v>
      </c>
      <c r="AB32" s="380">
        <f>Z32+IF(NOT(ISBLANK(OFFSET(AB32,0,6))),N(OFFSET(AB32,0,6)),N(OFFSET(AB32,0,7)))-AA32</f>
        <v/>
      </c>
      <c r="AC32" s="11" t="n"/>
      <c r="AD32" s="78" t="n"/>
      <c r="AE32" s="78" t="n"/>
      <c r="AF32" s="1" t="n"/>
      <c r="AG32" s="32" t="n"/>
      <c r="AH32" s="1" t="n"/>
      <c r="AI32" s="19" t="n">
        <v>0</v>
      </c>
      <c r="AJ32" s="19" t="n">
        <v>0</v>
      </c>
      <c r="AK32" s="19" t="n">
        <v>0</v>
      </c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19" t="n"/>
      <c r="AZ32" s="119" t="n"/>
      <c r="BA32" s="251" t="inlineStr">
        <is>
          <t>50 DE ERJ</t>
        </is>
      </c>
      <c r="BB32" s="19" t="n"/>
      <c r="BC32" s="19" t="n"/>
      <c r="BD32" s="260" t="inlineStr">
        <is>
          <t>05 DE ERJ</t>
        </is>
      </c>
      <c r="BE32" s="19" t="n"/>
    </row>
    <row r="33" customFormat="1" s="3">
      <c r="A33" s="25" t="inlineStr">
        <is>
          <t>KIT CAIXA M VERDE</t>
        </is>
      </c>
      <c r="B33" s="139" t="n">
        <v>75</v>
      </c>
      <c r="C33" s="632" t="n">
        <v>294.59</v>
      </c>
      <c r="D33" s="240" t="n"/>
      <c r="E33" s="1" t="n"/>
      <c r="F33" s="39" t="n">
        <v>0</v>
      </c>
      <c r="G33" s="39" t="n">
        <v>0</v>
      </c>
      <c r="H33" s="39" t="n">
        <v>0</v>
      </c>
      <c r="I33" s="39" t="n">
        <v>0</v>
      </c>
      <c r="J33" s="39" t="n">
        <v>0</v>
      </c>
      <c r="K33" s="39" t="n">
        <v>0</v>
      </c>
      <c r="L33" s="39" t="n">
        <v>0</v>
      </c>
      <c r="M33" s="39" t="n">
        <v>0</v>
      </c>
      <c r="N33" s="39" t="n">
        <v>0</v>
      </c>
      <c r="O33" s="39" t="n">
        <v>0</v>
      </c>
      <c r="P33" s="39" t="n">
        <v>0</v>
      </c>
      <c r="Q33" s="39" t="n">
        <v>0</v>
      </c>
      <c r="R33" s="39" t="n">
        <v>0</v>
      </c>
      <c r="S33" s="39" t="n">
        <v>0</v>
      </c>
      <c r="T33" s="39" t="n">
        <v>0</v>
      </c>
      <c r="U33" s="39" t="n">
        <v>0</v>
      </c>
      <c r="V33" s="39" t="n"/>
      <c r="W33" s="39" t="n"/>
      <c r="X33" s="39" t="n"/>
      <c r="Y33" s="39" t="n"/>
      <c r="Z33" s="39" t="n"/>
      <c r="AA33" s="39" t="n">
        <v>0</v>
      </c>
      <c r="AB33" s="380">
        <f>Z33+IF(NOT(ISBLANK(OFFSET(AB33,0,6))),N(OFFSET(AB33,0,6)),N(OFFSET(AB33,0,7)))-AA33</f>
        <v/>
      </c>
      <c r="AC33" s="11" t="n"/>
      <c r="AD33" s="78" t="n"/>
      <c r="AE33" s="78" t="n"/>
      <c r="AG33" s="32" t="n"/>
      <c r="AI33" s="19" t="n">
        <v>0</v>
      </c>
      <c r="AJ33" s="19" t="n">
        <v>0</v>
      </c>
      <c r="AK33" s="19" t="n">
        <v>0</v>
      </c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19" t="n"/>
      <c r="AZ33" s="119" t="n"/>
      <c r="BA33" s="251" t="inlineStr">
        <is>
          <t>70 DE ERJ</t>
        </is>
      </c>
      <c r="BB33" s="19" t="n"/>
      <c r="BC33" s="19" t="n"/>
      <c r="BD33" s="119" t="n"/>
      <c r="BE33" s="258" t="inlineStr">
        <is>
          <t>30 DE ERJ</t>
        </is>
      </c>
    </row>
    <row r="34">
      <c r="A34" s="25" t="inlineStr">
        <is>
          <t>KIT CAIXA G VERDE</t>
        </is>
      </c>
      <c r="B34" s="139" t="n">
        <v>50</v>
      </c>
      <c r="C34" s="632" t="n">
        <v>346.84</v>
      </c>
      <c r="D34" s="240" t="n"/>
      <c r="F34" s="39" t="n">
        <v>3</v>
      </c>
      <c r="G34" s="39" t="n">
        <v>3</v>
      </c>
      <c r="H34" s="39" t="n">
        <v>3</v>
      </c>
      <c r="I34" s="39" t="n">
        <v>3</v>
      </c>
      <c r="J34" s="39" t="n">
        <v>3</v>
      </c>
      <c r="K34" s="39" t="n">
        <v>3</v>
      </c>
      <c r="L34" s="39" t="n">
        <v>3</v>
      </c>
      <c r="M34" s="39" t="n">
        <v>3</v>
      </c>
      <c r="N34" s="39" t="n">
        <v>3</v>
      </c>
      <c r="O34" s="39" t="n">
        <v>3</v>
      </c>
      <c r="P34" s="39" t="n">
        <v>3</v>
      </c>
      <c r="Q34" s="39" t="n">
        <v>3</v>
      </c>
      <c r="R34" s="39" t="n">
        <v>3</v>
      </c>
      <c r="S34" s="39" t="n">
        <v>2</v>
      </c>
      <c r="T34" s="39" t="n">
        <v>2</v>
      </c>
      <c r="U34" s="39" t="n">
        <v>2</v>
      </c>
      <c r="V34" s="39" t="n"/>
      <c r="W34" s="39" t="n"/>
      <c r="X34" s="39" t="n"/>
      <c r="Y34" s="39" t="n"/>
      <c r="Z34" s="39" t="n"/>
      <c r="AA34" s="39" t="n">
        <v>2</v>
      </c>
      <c r="AB34" s="380">
        <f>Z34+IF(NOT(ISBLANK(OFFSET(AB34,0,6))),N(OFFSET(AB34,0,6)),N(OFFSET(AB34,0,7)))-AA34</f>
        <v/>
      </c>
      <c r="AD34" s="78" t="n"/>
      <c r="AE34" s="78" t="n"/>
      <c r="AF34" s="1" t="n"/>
      <c r="AG34" s="32" t="n"/>
      <c r="AH34" s="1" t="n"/>
      <c r="AI34" s="19" t="n">
        <v>0</v>
      </c>
      <c r="AJ34" s="19" t="n">
        <v>0</v>
      </c>
      <c r="AK34" s="19" t="n">
        <v>0</v>
      </c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19" t="n"/>
      <c r="AZ34" s="119" t="n"/>
      <c r="BA34" s="251" t="inlineStr">
        <is>
          <t>20 DE ERJ</t>
        </is>
      </c>
      <c r="BB34" s="19" t="n"/>
      <c r="BC34" s="283" t="inlineStr">
        <is>
          <t>10 DE CDJ</t>
        </is>
      </c>
      <c r="BD34" s="260" t="inlineStr">
        <is>
          <t>03 DE ERJ</t>
        </is>
      </c>
      <c r="BE34" s="258" t="inlineStr">
        <is>
          <t>40 DE ERJ</t>
        </is>
      </c>
    </row>
    <row r="35" hidden="1">
      <c r="A35" s="23" t="n"/>
      <c r="B35" s="1" t="n"/>
      <c r="C35" s="630" t="n"/>
      <c r="D35" s="630" t="n"/>
      <c r="F35" s="2" t="n"/>
      <c r="G35" s="2" t="n"/>
      <c r="H35" s="2" t="n"/>
      <c r="I35" s="2" t="n"/>
      <c r="J35" s="2" t="n"/>
      <c r="K35" s="2" t="n"/>
      <c r="L35" s="2" t="n"/>
      <c r="M35" s="2" t="n"/>
      <c r="N35" s="2" t="n"/>
      <c r="O35" s="2" t="n"/>
      <c r="P35" s="2" t="n"/>
      <c r="Q35" s="2" t="n"/>
      <c r="R35" s="2" t="n"/>
      <c r="S35" s="2" t="n"/>
      <c r="T35" s="2" t="n"/>
      <c r="U35" s="2" t="n"/>
      <c r="V35" s="2" t="n"/>
      <c r="W35" s="2" t="n"/>
      <c r="X35" s="2" t="n"/>
      <c r="Y35" s="2" t="n"/>
      <c r="Z35" s="2" t="n"/>
      <c r="AA35" s="2" t="n"/>
      <c r="AF35" s="1" t="n"/>
      <c r="AG35" s="33" t="n"/>
      <c r="AH35" s="1" t="n"/>
      <c r="AI35" s="75" t="n"/>
      <c r="AJ35" s="75" t="n"/>
      <c r="AK35" s="75" t="n"/>
      <c r="AL35" s="75" t="n"/>
      <c r="AM35" s="75" t="n"/>
      <c r="AN35" s="75" t="n"/>
      <c r="AO35" s="75" t="n"/>
      <c r="AP35" s="75" t="n"/>
      <c r="AQ35" s="75" t="n"/>
      <c r="AR35" s="75" t="n"/>
      <c r="AS35" s="75" t="n"/>
      <c r="AT35" s="75" t="n"/>
      <c r="AU35" s="75" t="n"/>
      <c r="AV35" s="75" t="n"/>
      <c r="AW35" s="75" t="n"/>
      <c r="AX35" s="75" t="n"/>
      <c r="AY35" s="206" t="n"/>
      <c r="AZ35" s="206" t="n"/>
      <c r="BA35" s="251" t="inlineStr">
        <is>
          <t>70 DE ERJ</t>
        </is>
      </c>
      <c r="BB35" s="75" t="n"/>
      <c r="BC35" s="75" t="n"/>
      <c r="BD35" s="206" t="n"/>
      <c r="BE35" s="75" t="n"/>
    </row>
    <row r="36" hidden="1">
      <c r="A36" s="548" t="inlineStr">
        <is>
          <t xml:space="preserve">SACOLAS OMNI </t>
        </is>
      </c>
      <c r="B36" s="12" t="inlineStr">
        <is>
          <t>PC</t>
        </is>
      </c>
      <c r="C36" s="12" t="n"/>
      <c r="D36" s="12" t="inlineStr">
        <is>
          <t>Estoque Ideal</t>
        </is>
      </c>
      <c r="F36" s="619" t="n"/>
      <c r="G36" s="619" t="n"/>
      <c r="H36" s="619" t="n"/>
      <c r="I36" s="619" t="n"/>
      <c r="J36" s="619" t="n"/>
      <c r="K36" s="619" t="n"/>
      <c r="L36" s="619" t="n"/>
      <c r="M36" s="619" t="n"/>
      <c r="N36" s="619" t="n"/>
      <c r="O36" s="619" t="n"/>
      <c r="P36" s="619" t="n"/>
      <c r="Q36" s="619" t="n"/>
      <c r="R36" s="619" t="n"/>
      <c r="S36" s="619" t="n"/>
      <c r="T36" s="619" t="n"/>
      <c r="U36" s="619" t="n"/>
      <c r="V36" s="619" t="n"/>
      <c r="W36" s="619" t="n"/>
      <c r="X36" s="619" t="n"/>
      <c r="Y36" s="619" t="n"/>
      <c r="Z36" s="619" t="n"/>
      <c r="AA36" s="619" t="n"/>
      <c r="AB36" s="621" t="inlineStr">
        <is>
          <t>USOU</t>
        </is>
      </c>
      <c r="AD36" s="29" t="inlineStr">
        <is>
          <t>Pendências</t>
        </is>
      </c>
      <c r="AE36" s="29" t="inlineStr">
        <is>
          <t>Pendências</t>
        </is>
      </c>
      <c r="AF36" s="1" t="n"/>
      <c r="AG36" s="9" t="inlineStr">
        <is>
          <t>Novo Pedido</t>
        </is>
      </c>
      <c r="AH36" s="1" t="n"/>
      <c r="AI36" s="674" t="n"/>
      <c r="AJ36" s="674" t="n"/>
      <c r="AK36" s="674" t="n"/>
      <c r="AL36" s="674" t="n"/>
      <c r="AM36" s="674" t="n"/>
      <c r="AN36" s="674" t="n"/>
      <c r="AO36" s="674" t="n"/>
      <c r="AP36" s="674" t="n"/>
      <c r="AQ36" s="674" t="n"/>
      <c r="AR36" s="674" t="n"/>
      <c r="AS36" s="674" t="n"/>
      <c r="AT36" s="674" t="n">
        <v>45994</v>
      </c>
      <c r="AU36" s="674" t="n">
        <v>45986</v>
      </c>
      <c r="AV36" s="674" t="n">
        <v>45980</v>
      </c>
      <c r="AW36" s="674" t="n">
        <v>45980</v>
      </c>
      <c r="AX36" s="674" t="n">
        <v>45973</v>
      </c>
      <c r="AY36" s="677" t="n">
        <v>45982</v>
      </c>
      <c r="AZ36" s="677" t="n">
        <v>45979</v>
      </c>
      <c r="BA36" s="693" t="n">
        <v>45974</v>
      </c>
      <c r="BB36" s="693" t="n">
        <v>45972</v>
      </c>
      <c r="BC36" s="691" t="n">
        <v>45968</v>
      </c>
      <c r="BD36" s="677" t="n">
        <v>45967</v>
      </c>
      <c r="BE36" s="692" t="n">
        <v>45964</v>
      </c>
    </row>
    <row r="37" hidden="1">
      <c r="A37" s="25" t="inlineStr">
        <is>
          <t>KIT OVERBAG OMNI P</t>
        </is>
      </c>
      <c r="B37" s="6" t="n">
        <v>25</v>
      </c>
      <c r="C37" s="632" t="n">
        <v>41.75</v>
      </c>
      <c r="D37" s="240" t="n"/>
      <c r="F37" s="72" t="n"/>
      <c r="G37" s="72" t="n"/>
      <c r="H37" s="72" t="n"/>
      <c r="I37" s="72" t="n"/>
      <c r="J37" s="72" t="n"/>
      <c r="K37" s="72" t="n"/>
      <c r="L37" s="72" t="n"/>
      <c r="M37" s="72" t="n"/>
      <c r="N37" s="72" t="n"/>
      <c r="O37" s="72" t="n"/>
      <c r="P37" s="72" t="n"/>
      <c r="Q37" s="72" t="n"/>
      <c r="R37" s="72" t="n"/>
      <c r="S37" s="72" t="n"/>
      <c r="T37" s="72" t="n"/>
      <c r="U37" s="72" t="n"/>
      <c r="V37" s="72" t="n"/>
      <c r="W37" s="72" t="n"/>
      <c r="X37" s="72" t="n"/>
      <c r="Y37" s="72" t="n"/>
      <c r="Z37" s="72" t="n"/>
      <c r="AA37" s="72" t="n"/>
      <c r="AB37" s="26">
        <f>Z37+IF(NOT(ISBLANK(OFFSET(AB37,0,6))),N(OFFSET(AB37,0,6)),N(OFFSET(AB37,0,7)))-#REF!</f>
        <v/>
      </c>
      <c r="AD37" s="78" t="n"/>
      <c r="AE37" s="78" t="n"/>
      <c r="AF37" s="1" t="n"/>
      <c r="AG37" s="32" t="n"/>
      <c r="AH37" s="1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19" t="n"/>
      <c r="AZ37" s="119" t="n"/>
      <c r="BA37" s="119" t="n"/>
      <c r="BB37" s="19" t="n"/>
      <c r="BC37" s="19" t="n"/>
      <c r="BD37" s="119" t="n"/>
      <c r="BE37" s="19" t="n"/>
    </row>
    <row r="38" hidden="1">
      <c r="A38" s="25" t="inlineStr">
        <is>
          <t>KIT OVERBAG OMNI M</t>
        </is>
      </c>
      <c r="B38" s="6" t="n">
        <v>25</v>
      </c>
      <c r="C38" s="632" t="n">
        <v>57</v>
      </c>
      <c r="D38" s="240" t="n"/>
      <c r="F38" s="72" t="n"/>
      <c r="G38" s="72" t="n"/>
      <c r="H38" s="72" t="n"/>
      <c r="I38" s="72" t="n"/>
      <c r="J38" s="72" t="n"/>
      <c r="K38" s="72" t="n"/>
      <c r="L38" s="72" t="n"/>
      <c r="M38" s="72" t="n"/>
      <c r="N38" s="72" t="n"/>
      <c r="O38" s="72" t="n"/>
      <c r="P38" s="72" t="n"/>
      <c r="Q38" s="72" t="n"/>
      <c r="R38" s="72" t="n"/>
      <c r="S38" s="72" t="n"/>
      <c r="T38" s="72" t="n"/>
      <c r="U38" s="72" t="n"/>
      <c r="V38" s="72" t="n"/>
      <c r="W38" s="72" t="n"/>
      <c r="X38" s="72" t="n"/>
      <c r="Y38" s="72" t="n"/>
      <c r="Z38" s="72" t="n"/>
      <c r="AA38" s="72" t="n"/>
      <c r="AB38" s="26">
        <f>Z38+IF(NOT(ISBLANK(OFFSET(AB38,0,6))),N(OFFSET(AB38,0,6)),N(OFFSET(AB38,0,7)))-#REF!</f>
        <v/>
      </c>
      <c r="AD38" s="78" t="n"/>
      <c r="AE38" s="78" t="n"/>
      <c r="AF38" s="1" t="n"/>
      <c r="AG38" s="32" t="n"/>
      <c r="AH38" s="1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19" t="n"/>
      <c r="AZ38" s="119" t="n"/>
      <c r="BA38" s="119" t="n"/>
      <c r="BB38" s="19" t="n"/>
      <c r="BC38" s="19" t="n"/>
      <c r="BD38" s="119" t="n"/>
      <c r="BE38" s="19" t="n"/>
    </row>
    <row r="39">
      <c r="A39" s="23" t="n"/>
      <c r="B39" s="1" t="n"/>
      <c r="C39" s="630" t="n"/>
      <c r="D39" s="630" t="n"/>
      <c r="F39" s="2" t="n"/>
      <c r="G39" s="2" t="n"/>
      <c r="H39" s="2" t="n"/>
      <c r="I39" s="2" t="n"/>
      <c r="J39" s="2" t="n"/>
      <c r="K39" s="2" t="n"/>
      <c r="L39" s="2" t="n"/>
      <c r="M39" s="2" t="n"/>
      <c r="N39" s="2" t="n"/>
      <c r="O39" s="2" t="n"/>
      <c r="P39" s="2" t="n"/>
      <c r="Q39" s="2" t="n"/>
      <c r="R39" s="2" t="n"/>
      <c r="S39" s="2" t="n"/>
      <c r="T39" s="2" t="n"/>
      <c r="U39" s="2" t="n"/>
      <c r="V39" s="2" t="n"/>
      <c r="W39" s="2" t="n"/>
      <c r="X39" s="2" t="n"/>
      <c r="Y39" s="2" t="n"/>
      <c r="Z39" s="2" t="n"/>
      <c r="AA39" s="2" t="n"/>
      <c r="AD39" s="10" t="n"/>
      <c r="AE39" s="10" t="n"/>
      <c r="AF39" s="1" t="n"/>
      <c r="AG39" s="33" t="n"/>
      <c r="AH39" s="1" t="n"/>
      <c r="AI39" s="75" t="n"/>
      <c r="AJ39" s="75" t="n"/>
      <c r="AK39" s="75" t="n"/>
      <c r="AL39" s="75" t="n"/>
      <c r="AM39" s="75" t="n"/>
      <c r="AN39" s="75" t="n"/>
      <c r="AO39" s="75" t="n"/>
      <c r="AP39" s="75" t="n"/>
      <c r="AQ39" s="75" t="n"/>
      <c r="AR39" s="75" t="n"/>
      <c r="AS39" s="75" t="n"/>
      <c r="AT39" s="75" t="n"/>
      <c r="AU39" s="75" t="n"/>
      <c r="AV39" s="75" t="n"/>
      <c r="AW39" s="75" t="n"/>
      <c r="AX39" s="75" t="n"/>
      <c r="AY39" s="206" t="n"/>
      <c r="AZ39" s="206" t="n"/>
      <c r="BA39" s="206" t="n"/>
      <c r="BB39" s="75" t="n"/>
      <c r="BC39" s="75" t="n"/>
      <c r="BD39" s="206" t="n"/>
      <c r="BE39" s="75" t="n"/>
    </row>
    <row r="40">
      <c r="A40" s="147" t="inlineStr">
        <is>
          <t>SACOLAS/SACO/DIVERSOS OUI</t>
        </is>
      </c>
      <c r="B40" s="148" t="n"/>
      <c r="C40" s="148" t="n"/>
      <c r="D40" s="148" t="n"/>
      <c r="E40" s="1" t="n"/>
      <c r="F40" s="619" t="n">
        <v>46006</v>
      </c>
      <c r="G40" s="619" t="n">
        <v>46013</v>
      </c>
      <c r="H40" s="619" t="n">
        <v>46020</v>
      </c>
      <c r="I40" s="619" t="n">
        <v>46027</v>
      </c>
      <c r="J40" s="619" t="n">
        <v>46034</v>
      </c>
      <c r="K40" s="619" t="n">
        <v>46041</v>
      </c>
      <c r="L40" s="619" t="n">
        <v>46048</v>
      </c>
      <c r="M40" s="619" t="n">
        <v>46055</v>
      </c>
      <c r="N40" s="619" t="n">
        <v>46062</v>
      </c>
      <c r="O40" s="619" t="n">
        <v>46069</v>
      </c>
      <c r="P40" s="619" t="n">
        <v>46076</v>
      </c>
      <c r="Q40" s="619" t="n">
        <v>46083</v>
      </c>
      <c r="R40" s="619" t="n">
        <v>46090</v>
      </c>
      <c r="S40" s="619" t="n">
        <v>46097</v>
      </c>
      <c r="T40" s="619" t="n">
        <v>46104</v>
      </c>
      <c r="U40" s="619" t="n">
        <v>46111</v>
      </c>
      <c r="V40" s="619" t="n">
        <v>46118</v>
      </c>
      <c r="W40" s="619" t="n">
        <v>46125</v>
      </c>
      <c r="X40" s="619" t="n">
        <v>46132</v>
      </c>
      <c r="Y40" s="619" t="n">
        <v>46139</v>
      </c>
      <c r="Z40" s="619" t="n">
        <v>46146</v>
      </c>
      <c r="AA40" s="619" t="n">
        <v>46154</v>
      </c>
      <c r="AB40" s="621" t="inlineStr">
        <is>
          <t>USOU</t>
        </is>
      </c>
      <c r="AC40" s="41" t="n"/>
      <c r="AD40" s="29" t="inlineStr">
        <is>
          <t>Pendências</t>
        </is>
      </c>
      <c r="AE40" s="29" t="inlineStr">
        <is>
          <t>Pendências</t>
        </is>
      </c>
      <c r="AG40" s="9" t="inlineStr">
        <is>
          <t>Novo Pedido</t>
        </is>
      </c>
      <c r="AH40" s="41" t="n"/>
      <c r="AI40" s="674" t="n">
        <v>46149</v>
      </c>
      <c r="AJ40" s="674" t="n">
        <v>46142</v>
      </c>
      <c r="AK40" s="674" t="n">
        <v>46114</v>
      </c>
      <c r="AL40" s="674" t="n">
        <v>46099</v>
      </c>
      <c r="AM40" s="675" t="n">
        <v>46065</v>
      </c>
      <c r="AN40" s="674" t="n">
        <v>46077</v>
      </c>
      <c r="AO40" s="676" t="n">
        <v>46045</v>
      </c>
      <c r="AP40" s="674" t="n">
        <v>46056</v>
      </c>
      <c r="AQ40" s="674" t="n">
        <v>46017</v>
      </c>
      <c r="AR40" s="674" t="n">
        <v>46007</v>
      </c>
      <c r="AS40" s="674" t="n">
        <v>46001</v>
      </c>
      <c r="AT40" s="674" t="n">
        <v>45994</v>
      </c>
      <c r="AU40" s="674" t="n">
        <v>45986</v>
      </c>
      <c r="AV40" s="674" t="n">
        <v>45980</v>
      </c>
      <c r="AW40" s="674" t="n">
        <v>45980</v>
      </c>
      <c r="AX40" s="674" t="n">
        <v>45973</v>
      </c>
      <c r="AY40" s="677" t="n">
        <v>45982</v>
      </c>
      <c r="AZ40" s="677" t="n">
        <v>45979</v>
      </c>
      <c r="BA40" s="693" t="n">
        <v>45974</v>
      </c>
      <c r="BB40" s="693" t="n">
        <v>45972</v>
      </c>
      <c r="BC40" s="691" t="n">
        <v>45968</v>
      </c>
      <c r="BD40" s="677" t="n">
        <v>45967</v>
      </c>
      <c r="BE40" s="692" t="n">
        <v>45964</v>
      </c>
    </row>
    <row r="41">
      <c r="A41" s="25" t="inlineStr">
        <is>
          <t>SACOLA P OUI</t>
        </is>
      </c>
      <c r="B41" s="72" t="n">
        <v>150</v>
      </c>
      <c r="C41" s="639" t="n">
        <v>453.38</v>
      </c>
      <c r="D41" s="240" t="n"/>
      <c r="E41" s="41" t="n"/>
      <c r="F41" s="72" t="n">
        <v>3</v>
      </c>
      <c r="G41" s="72" t="n">
        <v>3</v>
      </c>
      <c r="H41" s="72" t="n">
        <v>3</v>
      </c>
      <c r="I41" s="72" t="n">
        <v>3</v>
      </c>
      <c r="J41" s="72" t="n">
        <v>3</v>
      </c>
      <c r="K41" s="72" t="n">
        <v>3</v>
      </c>
      <c r="L41" s="72" t="n">
        <v>3</v>
      </c>
      <c r="M41" s="72" t="n">
        <v>3</v>
      </c>
      <c r="N41" s="72" t="n">
        <v>3</v>
      </c>
      <c r="O41" s="72" t="n">
        <v>3</v>
      </c>
      <c r="P41" s="72" t="n">
        <v>3</v>
      </c>
      <c r="Q41" s="72" t="n">
        <v>3</v>
      </c>
      <c r="R41" s="72" t="n">
        <v>3</v>
      </c>
      <c r="S41" s="72" t="n">
        <v>3</v>
      </c>
      <c r="T41" s="72" t="n">
        <v>3</v>
      </c>
      <c r="U41" s="72" t="n">
        <v>3</v>
      </c>
      <c r="V41" s="72" t="n"/>
      <c r="W41" s="72" t="n"/>
      <c r="X41" s="72" t="n"/>
      <c r="Y41" s="72" t="n"/>
      <c r="Z41" s="72" t="n"/>
      <c r="AA41" s="72" t="n">
        <v>2</v>
      </c>
      <c r="AB41" s="380">
        <f>Z41+IF(NOT(ISBLANK(OFFSET(AB41,0,6))),N(OFFSET(AB41,0,6)),N(OFFSET(AB41,0,7)))-AA41</f>
        <v/>
      </c>
      <c r="AC41" s="41" t="n"/>
      <c r="AD41" s="138" t="n"/>
      <c r="AE41" s="138" t="n"/>
      <c r="AF41" s="1" t="n"/>
      <c r="AG41" s="32" t="n"/>
      <c r="AH41" s="41" t="n"/>
      <c r="AI41" s="19" t="n">
        <v>0</v>
      </c>
      <c r="AJ41" s="19" t="n">
        <v>0</v>
      </c>
      <c r="AK41" s="19" t="n">
        <v>0</v>
      </c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19" t="n"/>
      <c r="AZ41" s="119" t="n"/>
      <c r="BA41" s="119" t="n"/>
      <c r="BB41" s="19" t="n"/>
      <c r="BC41" s="19" t="n"/>
      <c r="BD41" s="260" t="inlineStr">
        <is>
          <t>04 DE CDJ</t>
        </is>
      </c>
      <c r="BE41" s="19" t="n"/>
    </row>
    <row r="42">
      <c r="A42" s="25" t="inlineStr">
        <is>
          <t>SACOLA M OUI</t>
        </is>
      </c>
      <c r="B42" s="72" t="n">
        <v>100</v>
      </c>
      <c r="C42" s="639" t="n">
        <v>355.78</v>
      </c>
      <c r="D42" s="240" t="n"/>
      <c r="E42" s="41" t="n"/>
      <c r="F42" s="72" t="n">
        <v>0</v>
      </c>
      <c r="G42" s="72" t="n">
        <v>0</v>
      </c>
      <c r="H42" s="72" t="n">
        <v>0</v>
      </c>
      <c r="I42" s="72" t="n">
        <v>0</v>
      </c>
      <c r="J42" s="72" t="n">
        <v>0</v>
      </c>
      <c r="K42" s="72" t="n">
        <v>0</v>
      </c>
      <c r="L42" s="72" t="n">
        <v>0</v>
      </c>
      <c r="M42" s="72" t="n">
        <v>0</v>
      </c>
      <c r="N42" s="72" t="n">
        <v>0</v>
      </c>
      <c r="O42" s="72" t="n">
        <v>0</v>
      </c>
      <c r="P42" s="72" t="n">
        <v>0</v>
      </c>
      <c r="Q42" s="72" t="n">
        <v>0</v>
      </c>
      <c r="R42" s="72" t="n">
        <v>0</v>
      </c>
      <c r="S42" s="72" t="n">
        <v>0</v>
      </c>
      <c r="T42" s="72" t="n">
        <v>0</v>
      </c>
      <c r="U42" s="72" t="n">
        <v>0</v>
      </c>
      <c r="V42" s="72" t="n"/>
      <c r="W42" s="72" t="n"/>
      <c r="X42" s="72" t="n"/>
      <c r="Y42" s="72" t="n"/>
      <c r="Z42" s="72" t="n"/>
      <c r="AA42" s="72" t="n">
        <v>0</v>
      </c>
      <c r="AB42" s="380">
        <f>Z42+IF(NOT(ISBLANK(OFFSET(AB42,0,6))),N(OFFSET(AB42,0,6)),N(OFFSET(AB42,0,7)))-AA42</f>
        <v/>
      </c>
      <c r="AC42" s="41" t="n"/>
      <c r="AD42" s="78" t="n"/>
      <c r="AE42" s="78" t="n"/>
      <c r="AF42" s="1" t="n"/>
      <c r="AG42" s="32" t="n"/>
      <c r="AH42" s="41" t="n"/>
      <c r="AI42" s="19" t="n">
        <v>0</v>
      </c>
      <c r="AJ42" s="19" t="n">
        <v>0</v>
      </c>
      <c r="AK42" s="19" t="n">
        <v>0</v>
      </c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19" t="n"/>
      <c r="AZ42" s="119" t="n"/>
      <c r="BA42" s="119" t="n"/>
      <c r="BB42" s="19" t="n"/>
      <c r="BC42" s="19" t="n"/>
      <c r="BD42" s="260" t="inlineStr">
        <is>
          <t>05 DE ERJ</t>
        </is>
      </c>
      <c r="BE42" s="19" t="n"/>
    </row>
    <row r="43">
      <c r="A43" s="25" t="inlineStr">
        <is>
          <t>SACOLA G OUI</t>
        </is>
      </c>
      <c r="B43" s="72" t="n">
        <v>50</v>
      </c>
      <c r="C43" s="639" t="n">
        <v>249.26</v>
      </c>
      <c r="D43" s="240" t="n"/>
      <c r="E43" s="41" t="n"/>
      <c r="F43" s="72" t="n">
        <v>5</v>
      </c>
      <c r="G43" s="72" t="n">
        <v>5</v>
      </c>
      <c r="H43" s="72" t="n">
        <v>5</v>
      </c>
      <c r="I43" s="72" t="n">
        <v>5</v>
      </c>
      <c r="J43" s="72" t="n">
        <v>5</v>
      </c>
      <c r="K43" s="72" t="n">
        <v>5</v>
      </c>
      <c r="L43" s="72" t="n">
        <v>5</v>
      </c>
      <c r="M43" s="72" t="n">
        <v>5</v>
      </c>
      <c r="N43" s="72" t="n">
        <v>5</v>
      </c>
      <c r="O43" s="72" t="n">
        <v>5</v>
      </c>
      <c r="P43" s="72" t="n">
        <v>5</v>
      </c>
      <c r="Q43" s="72" t="n">
        <v>5</v>
      </c>
      <c r="R43" s="72" t="n">
        <v>5</v>
      </c>
      <c r="S43" s="72" t="n">
        <v>5</v>
      </c>
      <c r="T43" s="72" t="n">
        <v>4</v>
      </c>
      <c r="U43" s="72" t="n">
        <v>4</v>
      </c>
      <c r="V43" s="72" t="n"/>
      <c r="W43" s="72" t="n"/>
      <c r="X43" s="72" t="n"/>
      <c r="Y43" s="72" t="n"/>
      <c r="Z43" s="72" t="n"/>
      <c r="AA43" s="72" t="n">
        <v>3</v>
      </c>
      <c r="AB43" s="380">
        <f>Z43+IF(NOT(ISBLANK(OFFSET(AB43,0,6))),N(OFFSET(AB43,0,6)),N(OFFSET(AB43,0,7)))-AA43</f>
        <v/>
      </c>
      <c r="AC43" s="41" t="n"/>
      <c r="AD43" s="138" t="n"/>
      <c r="AE43" s="138" t="n"/>
      <c r="AF43" s="3" t="n"/>
      <c r="AG43" s="32" t="n"/>
      <c r="AH43" s="41" t="n"/>
      <c r="AI43" s="19" t="n">
        <v>0</v>
      </c>
      <c r="AJ43" s="19" t="n">
        <v>0</v>
      </c>
      <c r="AK43" s="19" t="n">
        <v>0</v>
      </c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19" t="n"/>
      <c r="AZ43" s="119" t="n"/>
      <c r="BA43" s="119" t="n"/>
      <c r="BB43" s="19" t="n"/>
      <c r="BC43" s="19" t="n"/>
      <c r="BD43" s="260" t="inlineStr">
        <is>
          <t>05 DE ERJ</t>
        </is>
      </c>
      <c r="BE43" s="19" t="n"/>
    </row>
    <row r="44">
      <c r="A44" s="25" t="inlineStr">
        <is>
          <t>PAPEL DE SEDA O.U.I.</t>
        </is>
      </c>
      <c r="B44" s="6" t="n">
        <v>500</v>
      </c>
      <c r="C44" s="632" t="n">
        <v>138.53</v>
      </c>
      <c r="D44" s="240" t="n"/>
      <c r="E44" s="1" t="n"/>
      <c r="F44" s="72" t="n">
        <v>0</v>
      </c>
      <c r="G44" s="72" t="n">
        <v>1</v>
      </c>
      <c r="H44" s="72" t="n">
        <v>1</v>
      </c>
      <c r="I44" s="72" t="n">
        <v>1</v>
      </c>
      <c r="J44" s="72" t="n">
        <v>1</v>
      </c>
      <c r="K44" s="72" t="n">
        <v>1</v>
      </c>
      <c r="L44" s="72" t="n">
        <v>1</v>
      </c>
      <c r="M44" s="72" t="n">
        <v>1</v>
      </c>
      <c r="N44" s="72" t="n">
        <v>1</v>
      </c>
      <c r="O44" s="72" t="n">
        <v>1</v>
      </c>
      <c r="P44" s="72" t="n">
        <v>1</v>
      </c>
      <c r="Q44" s="72" t="n">
        <v>1</v>
      </c>
      <c r="R44" s="72" t="n">
        <v>1</v>
      </c>
      <c r="S44" s="72" t="n">
        <v>1</v>
      </c>
      <c r="T44" s="72" t="n">
        <v>1</v>
      </c>
      <c r="U44" s="72" t="n">
        <v>1</v>
      </c>
      <c r="V44" s="72" t="n">
        <v>1</v>
      </c>
      <c r="W44" s="72" t="n">
        <v>1</v>
      </c>
      <c r="X44" s="72" t="n">
        <v>1</v>
      </c>
      <c r="Y44" s="72" t="n">
        <v>1</v>
      </c>
      <c r="Z44" s="72" t="n">
        <v>1</v>
      </c>
      <c r="AA44" s="72" t="n">
        <v>1</v>
      </c>
      <c r="AB44" s="380">
        <f>Z44+IF(NOT(ISBLANK(OFFSET(AB44,0,6))),N(OFFSET(AB44,0,6)),N(OFFSET(AB44,0,7)))-AA44</f>
        <v/>
      </c>
      <c r="AC44" s="41" t="n"/>
      <c r="AD44" s="138" t="n"/>
      <c r="AE44" s="138" t="n"/>
      <c r="AF44" s="608" t="n"/>
      <c r="AG44" s="32" t="n"/>
      <c r="AH44" s="41" t="n"/>
      <c r="AI44" s="19" t="n">
        <v>0</v>
      </c>
      <c r="AJ44" s="19" t="n">
        <v>0</v>
      </c>
      <c r="AK44" s="19" t="n">
        <v>0</v>
      </c>
      <c r="AL44" s="19" t="n"/>
      <c r="AM44" s="19" t="n"/>
      <c r="AN44" s="19" t="n"/>
      <c r="AO44" s="19" t="n"/>
      <c r="AP44" s="19" t="n"/>
      <c r="AQ44" s="19" t="n"/>
      <c r="AR44" s="19" t="n">
        <v>1</v>
      </c>
      <c r="AS44" s="19" t="n"/>
      <c r="AT44" s="19" t="n"/>
      <c r="AU44" s="19" t="n"/>
      <c r="AV44" s="19" t="n"/>
      <c r="AW44" s="19" t="n"/>
      <c r="AX44" s="19" t="n"/>
      <c r="AY44" s="119" t="n"/>
      <c r="AZ44" s="119" t="n"/>
      <c r="BA44" s="119" t="n"/>
      <c r="BB44" s="19" t="n"/>
      <c r="BC44" s="19" t="n"/>
      <c r="BD44" s="119" t="n"/>
      <c r="BE44" s="19" t="n"/>
    </row>
    <row r="45">
      <c r="A45" s="25" t="inlineStr">
        <is>
          <t>ETIQUETA O.U.I.</t>
        </is>
      </c>
      <c r="B45" s="84" t="n">
        <v>1000</v>
      </c>
      <c r="C45" s="632" t="n">
        <v>181.15</v>
      </c>
      <c r="D45" s="240" t="n"/>
      <c r="E45" s="1" t="n"/>
      <c r="F45" s="72" t="n">
        <v>0</v>
      </c>
      <c r="G45" s="72" t="n">
        <v>1</v>
      </c>
      <c r="H45" s="72" t="n">
        <v>1</v>
      </c>
      <c r="I45" s="72" t="n">
        <v>1</v>
      </c>
      <c r="J45" s="72" t="n">
        <v>1</v>
      </c>
      <c r="K45" s="72" t="n">
        <v>1</v>
      </c>
      <c r="L45" s="72" t="n">
        <v>1</v>
      </c>
      <c r="M45" s="72" t="n">
        <v>1</v>
      </c>
      <c r="N45" s="72" t="n">
        <v>1</v>
      </c>
      <c r="O45" s="72" t="n">
        <v>1</v>
      </c>
      <c r="P45" s="72" t="n">
        <v>1</v>
      </c>
      <c r="Q45" s="72" t="n">
        <v>1</v>
      </c>
      <c r="R45" s="72" t="n">
        <v>1</v>
      </c>
      <c r="S45" s="72" t="n">
        <v>1</v>
      </c>
      <c r="T45" s="72" t="n">
        <v>1</v>
      </c>
      <c r="U45" s="72" t="n">
        <v>1</v>
      </c>
      <c r="V45" s="72" t="n">
        <v>1</v>
      </c>
      <c r="W45" s="72" t="n">
        <v>1</v>
      </c>
      <c r="X45" s="72" t="n">
        <v>1</v>
      </c>
      <c r="Y45" s="72" t="n">
        <v>1</v>
      </c>
      <c r="Z45" s="72" t="n">
        <v>1</v>
      </c>
      <c r="AA45" s="72" t="n">
        <v>1</v>
      </c>
      <c r="AB45" s="380">
        <f>Z45+IF(NOT(ISBLANK(OFFSET(AB45,0,6))),N(OFFSET(AB45,0,6)),N(OFFSET(AB45,0,7)))-AA45</f>
        <v/>
      </c>
      <c r="AC45" s="41" t="n"/>
      <c r="AD45" s="78" t="n"/>
      <c r="AE45" s="78" t="n"/>
      <c r="AF45" s="608" t="n"/>
      <c r="AG45" s="32" t="n"/>
      <c r="AH45" s="41" t="n"/>
      <c r="AI45" s="19" t="n">
        <v>0</v>
      </c>
      <c r="AJ45" s="19" t="n">
        <v>0</v>
      </c>
      <c r="AK45" s="19" t="n">
        <v>0</v>
      </c>
      <c r="AL45" s="19" t="n"/>
      <c r="AM45" s="19" t="n"/>
      <c r="AN45" s="19" t="n"/>
      <c r="AO45" s="19" t="n"/>
      <c r="AP45" s="19" t="n"/>
      <c r="AQ45" s="19" t="n"/>
      <c r="AR45" s="19" t="n">
        <v>1</v>
      </c>
      <c r="AS45" s="19" t="n"/>
      <c r="AT45" s="19" t="n"/>
      <c r="AU45" s="19" t="n"/>
      <c r="AV45" s="19" t="n"/>
      <c r="AW45" s="19" t="n"/>
      <c r="AX45" s="19" t="n"/>
      <c r="AY45" s="119" t="n"/>
      <c r="AZ45" s="119" t="n"/>
      <c r="BA45" s="119" t="n"/>
      <c r="BB45" s="19" t="n"/>
      <c r="BC45" s="19" t="n"/>
      <c r="BD45" s="119" t="n"/>
      <c r="BE45" s="19" t="n"/>
    </row>
    <row r="46">
      <c r="A46" s="25" t="inlineStr">
        <is>
          <t>LÂMINA OLFATIVA O.U.I.</t>
        </is>
      </c>
      <c r="B46" s="6" t="n">
        <v>3000</v>
      </c>
      <c r="C46" s="632" t="n">
        <v>223.78</v>
      </c>
      <c r="D46" s="240" t="n"/>
      <c r="E46" s="1" t="n"/>
      <c r="F46" s="72" t="n">
        <v>0</v>
      </c>
      <c r="G46" s="72" t="n">
        <v>1</v>
      </c>
      <c r="H46" s="72" t="n">
        <v>1</v>
      </c>
      <c r="I46" s="72" t="n">
        <v>1</v>
      </c>
      <c r="J46" s="72" t="n">
        <v>1</v>
      </c>
      <c r="K46" s="72" t="n">
        <v>1</v>
      </c>
      <c r="L46" s="72" t="n">
        <v>1</v>
      </c>
      <c r="M46" s="72" t="n">
        <v>2</v>
      </c>
      <c r="N46" s="72" t="n">
        <v>2</v>
      </c>
      <c r="O46" s="72" t="n">
        <v>2</v>
      </c>
      <c r="P46" s="72" t="n">
        <v>2</v>
      </c>
      <c r="Q46" s="72" t="n">
        <v>2</v>
      </c>
      <c r="R46" s="72" t="n">
        <v>2</v>
      </c>
      <c r="S46" s="72" t="n">
        <v>2</v>
      </c>
      <c r="T46" s="72" t="n">
        <v>2</v>
      </c>
      <c r="U46" s="72" t="n">
        <v>2</v>
      </c>
      <c r="V46" s="72" t="n">
        <v>2</v>
      </c>
      <c r="W46" s="72" t="n">
        <v>2</v>
      </c>
      <c r="X46" s="72" t="n">
        <v>2</v>
      </c>
      <c r="Y46" s="72" t="n">
        <v>2</v>
      </c>
      <c r="Z46" s="72" t="n">
        <v>2</v>
      </c>
      <c r="AA46" s="72" t="n">
        <v>2</v>
      </c>
      <c r="AB46" s="380">
        <f>Z46+IF(NOT(ISBLANK(OFFSET(AB46,0,6))),N(OFFSET(AB46,0,6)),N(OFFSET(AB46,0,7)))-AA46</f>
        <v/>
      </c>
      <c r="AC46" s="41" t="n"/>
      <c r="AD46" s="138" t="n"/>
      <c r="AE46" s="138" t="n"/>
      <c r="AF46" s="608" t="n"/>
      <c r="AG46" s="32" t="n"/>
      <c r="AH46" s="41" t="n"/>
      <c r="AI46" s="19" t="n">
        <v>0</v>
      </c>
      <c r="AJ46" s="19" t="n">
        <v>0</v>
      </c>
      <c r="AK46" s="19" t="n">
        <v>0</v>
      </c>
      <c r="AL46" s="19" t="n"/>
      <c r="AM46" s="19" t="n"/>
      <c r="AN46" s="19" t="n"/>
      <c r="AO46" s="19" t="n"/>
      <c r="AP46" s="19" t="n"/>
      <c r="AQ46" s="19" t="n"/>
      <c r="AR46" s="19" t="n">
        <v>1</v>
      </c>
      <c r="AS46" s="19" t="n"/>
      <c r="AT46" s="19" t="n"/>
      <c r="AU46" s="19" t="n"/>
      <c r="AV46" s="19" t="n"/>
      <c r="AW46" s="19" t="n"/>
      <c r="AX46" s="19" t="n"/>
      <c r="AY46" s="119" t="n"/>
      <c r="AZ46" s="119" t="n"/>
      <c r="BA46" s="119" t="n"/>
      <c r="BB46" s="19" t="n"/>
      <c r="BC46" s="19" t="n"/>
      <c r="BD46" s="119" t="n"/>
      <c r="BE46" s="19" t="n"/>
    </row>
    <row r="47">
      <c r="A47" s="25" t="inlineStr">
        <is>
          <t>SACO M OUI (BRINDE)</t>
        </is>
      </c>
      <c r="B47" s="6" t="n">
        <v>200</v>
      </c>
      <c r="C47" s="632" t="n">
        <v>249.78</v>
      </c>
      <c r="D47" s="240" t="n"/>
      <c r="E47" s="1" t="n"/>
      <c r="F47" s="72" t="n">
        <v>160</v>
      </c>
      <c r="G47" s="72" t="n">
        <v>153</v>
      </c>
      <c r="H47" s="72" t="n">
        <v>149</v>
      </c>
      <c r="I47" s="72" t="n">
        <v>149</v>
      </c>
      <c r="J47" s="72" t="n">
        <v>149</v>
      </c>
      <c r="K47" s="72" t="n">
        <v>137</v>
      </c>
      <c r="L47" s="72" t="n">
        <v>124</v>
      </c>
      <c r="M47" s="72" t="n">
        <v>123</v>
      </c>
      <c r="N47" s="72" t="n">
        <v>120</v>
      </c>
      <c r="O47" s="72" t="n">
        <v>120</v>
      </c>
      <c r="P47" s="72" t="n">
        <v>149</v>
      </c>
      <c r="Q47" s="72" t="n">
        <v>101</v>
      </c>
      <c r="R47" s="72" t="n">
        <v>92</v>
      </c>
      <c r="S47" s="72" t="n">
        <v>96</v>
      </c>
      <c r="T47" s="72" t="n">
        <v>89</v>
      </c>
      <c r="U47" s="72" t="n">
        <v>67</v>
      </c>
      <c r="V47" s="72" t="n">
        <v>58</v>
      </c>
      <c r="W47" s="72" t="n">
        <v>50</v>
      </c>
      <c r="X47" s="72" t="n">
        <v>46</v>
      </c>
      <c r="Y47" s="72" t="n">
        <v>42</v>
      </c>
      <c r="Z47" s="72" t="n">
        <v>42</v>
      </c>
      <c r="AA47" s="72" t="n">
        <v>42</v>
      </c>
      <c r="AB47" s="380">
        <f>Z47+IF(NOT(ISBLANK(OFFSET(AB47,0,6))),N(OFFSET(AB47,0,6)),N(OFFSET(AB47,0,7)))-AA47</f>
        <v/>
      </c>
      <c r="AC47" s="41" t="n"/>
      <c r="AD47" s="138" t="n"/>
      <c r="AE47" s="138" t="n"/>
      <c r="AF47" s="608" t="n"/>
      <c r="AG47" s="32" t="n"/>
      <c r="AH47" s="41" t="n"/>
      <c r="AI47" s="19" t="n">
        <v>0</v>
      </c>
      <c r="AJ47" s="19" t="n">
        <v>0</v>
      </c>
      <c r="AK47" s="19" t="n">
        <v>0</v>
      </c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19" t="n"/>
      <c r="AZ47" s="119" t="n"/>
      <c r="BA47" s="119" t="n"/>
      <c r="BB47" s="19" t="n"/>
      <c r="BC47" s="19" t="n"/>
      <c r="BD47" s="260" t="inlineStr">
        <is>
          <t>200 DE ERJ</t>
        </is>
      </c>
      <c r="BE47" s="19" t="n"/>
    </row>
    <row r="48">
      <c r="B48" s="41" t="n"/>
      <c r="E48" s="41" t="n"/>
      <c r="F48" s="41" t="n"/>
      <c r="G48" s="41" t="n"/>
      <c r="H48" s="41" t="n"/>
      <c r="I48" s="41" t="n"/>
      <c r="J48" s="41" t="n"/>
      <c r="K48" s="41" t="n"/>
      <c r="L48" s="41" t="n"/>
      <c r="M48" s="41" t="n"/>
      <c r="N48" s="41" t="n"/>
      <c r="O48" s="41" t="n"/>
      <c r="P48" s="41" t="n"/>
      <c r="Q48" s="41" t="n"/>
      <c r="R48" s="41" t="n"/>
      <c r="S48" s="41" t="n"/>
      <c r="T48" s="41" t="n"/>
      <c r="U48" s="41" t="n"/>
      <c r="V48" s="41" t="n"/>
      <c r="W48" s="41" t="n"/>
      <c r="X48" s="41" t="n"/>
      <c r="Y48" s="41" t="n"/>
      <c r="Z48" s="41" t="n"/>
      <c r="AA48" s="41" t="n"/>
      <c r="AC48" s="41" t="n"/>
      <c r="AF48" s="41" t="n"/>
      <c r="AH48" s="41" t="n"/>
    </row>
    <row r="49">
      <c r="A49" s="147" t="inlineStr">
        <is>
          <t>CAIXAS OUI</t>
        </is>
      </c>
      <c r="B49" s="148" t="n"/>
      <c r="C49" s="148" t="n"/>
      <c r="D49" s="148" t="n"/>
      <c r="E49" s="1" t="n"/>
      <c r="F49" s="619" t="n">
        <v>46006</v>
      </c>
      <c r="G49" s="619" t="n">
        <v>46013</v>
      </c>
      <c r="H49" s="619" t="n">
        <v>46020</v>
      </c>
      <c r="I49" s="619" t="n">
        <v>46027</v>
      </c>
      <c r="J49" s="619" t="n">
        <v>46034</v>
      </c>
      <c r="K49" s="619" t="n">
        <v>46041</v>
      </c>
      <c r="L49" s="619" t="n">
        <v>46048</v>
      </c>
      <c r="M49" s="619" t="n">
        <v>46055</v>
      </c>
      <c r="N49" s="619" t="n">
        <v>46062</v>
      </c>
      <c r="O49" s="619" t="n">
        <v>46069</v>
      </c>
      <c r="P49" s="619" t="n">
        <v>46076</v>
      </c>
      <c r="Q49" s="619" t="n">
        <v>46083</v>
      </c>
      <c r="R49" s="619" t="n">
        <v>46090</v>
      </c>
      <c r="S49" s="619" t="n">
        <v>46097</v>
      </c>
      <c r="T49" s="619" t="n">
        <v>46104</v>
      </c>
      <c r="U49" s="619" t="n">
        <v>46111</v>
      </c>
      <c r="V49" s="619" t="n">
        <v>46118</v>
      </c>
      <c r="W49" s="619" t="n">
        <v>46125</v>
      </c>
      <c r="X49" s="619" t="n">
        <v>46132</v>
      </c>
      <c r="Y49" s="619" t="n">
        <v>46139</v>
      </c>
      <c r="Z49" s="619" t="n">
        <v>46146</v>
      </c>
      <c r="AA49" s="619" t="n">
        <v>46154</v>
      </c>
      <c r="AB49" s="621" t="inlineStr">
        <is>
          <t>USOU</t>
        </is>
      </c>
      <c r="AC49" s="41" t="n"/>
      <c r="AD49" s="29" t="inlineStr">
        <is>
          <t>Pendências</t>
        </is>
      </c>
      <c r="AE49" s="29" t="inlineStr">
        <is>
          <t>Pendências</t>
        </is>
      </c>
      <c r="AG49" s="9" t="inlineStr">
        <is>
          <t>Novo Pedido</t>
        </is>
      </c>
      <c r="AH49" s="41" t="n"/>
      <c r="AI49" s="674" t="n">
        <v>46149</v>
      </c>
      <c r="AJ49" s="674" t="n">
        <v>46142</v>
      </c>
      <c r="AK49" s="674" t="n">
        <v>46114</v>
      </c>
      <c r="AL49" s="674" t="n">
        <v>46099</v>
      </c>
      <c r="AM49" s="675" t="n">
        <v>46065</v>
      </c>
      <c r="AN49" s="674" t="n">
        <v>46077</v>
      </c>
      <c r="AO49" s="676" t="n">
        <v>46045</v>
      </c>
      <c r="AP49" s="674" t="n">
        <v>46056</v>
      </c>
      <c r="AQ49" s="674" t="n">
        <v>46017</v>
      </c>
      <c r="AR49" s="674" t="n">
        <v>46007</v>
      </c>
      <c r="AS49" s="674" t="n">
        <v>46001</v>
      </c>
      <c r="AT49" s="674" t="n">
        <v>45994</v>
      </c>
      <c r="AU49" s="674" t="n">
        <v>45986</v>
      </c>
      <c r="AV49" s="674" t="n">
        <v>45980</v>
      </c>
      <c r="AW49" s="674" t="n">
        <v>45980</v>
      </c>
      <c r="AX49" s="674" t="n">
        <v>45973</v>
      </c>
      <c r="AY49" s="677" t="n">
        <v>45982</v>
      </c>
      <c r="AZ49" s="677" t="n">
        <v>45979</v>
      </c>
      <c r="BA49" s="693" t="n">
        <v>45974</v>
      </c>
      <c r="BB49" s="693" t="n">
        <v>45972</v>
      </c>
      <c r="BC49" s="691" t="n">
        <v>45968</v>
      </c>
      <c r="BD49" s="677" t="n">
        <v>45967</v>
      </c>
      <c r="BE49" s="692" t="n">
        <v>45964</v>
      </c>
    </row>
    <row r="50">
      <c r="A50" s="25" t="inlineStr">
        <is>
          <t>KIT CAIXA P OUI</t>
        </is>
      </c>
      <c r="B50" s="72" t="n">
        <v>100</v>
      </c>
      <c r="C50" s="639" t="n">
        <v>539.7</v>
      </c>
      <c r="D50" s="240" t="n"/>
      <c r="E50" s="41" t="n"/>
      <c r="F50" s="72" t="n">
        <v>8</v>
      </c>
      <c r="G50" s="72" t="n">
        <v>8</v>
      </c>
      <c r="H50" s="72" t="n">
        <v>8</v>
      </c>
      <c r="I50" s="72" t="n">
        <v>8</v>
      </c>
      <c r="J50" s="72" t="n">
        <v>8</v>
      </c>
      <c r="K50" s="72" t="n">
        <v>8</v>
      </c>
      <c r="L50" s="72" t="n">
        <v>8</v>
      </c>
      <c r="M50" s="72" t="n">
        <v>8</v>
      </c>
      <c r="N50" s="72" t="n">
        <v>2</v>
      </c>
      <c r="O50" s="72" t="n">
        <v>2</v>
      </c>
      <c r="P50" s="72" t="n">
        <v>2</v>
      </c>
      <c r="Q50" s="72" t="n">
        <v>2</v>
      </c>
      <c r="R50" s="72" t="n">
        <v>2</v>
      </c>
      <c r="S50" s="303" t="n">
        <v>6</v>
      </c>
      <c r="T50" s="72" t="n">
        <v>6</v>
      </c>
      <c r="U50" s="72" t="n">
        <v>6</v>
      </c>
      <c r="V50" s="72" t="n"/>
      <c r="W50" s="72" t="n"/>
      <c r="X50" s="72" t="n"/>
      <c r="Y50" s="72" t="n"/>
      <c r="Z50" s="72" t="n"/>
      <c r="AA50" s="72" t="n">
        <v>6</v>
      </c>
      <c r="AB50" s="380">
        <f>Z50+IF(NOT(ISBLANK(OFFSET(AB50,0,6))),N(OFFSET(AB50,0,6)),N(OFFSET(AB50,0,7)))-AA50</f>
        <v/>
      </c>
      <c r="AC50" s="41" t="n"/>
      <c r="AD50" s="138" t="n"/>
      <c r="AE50" s="138" t="n"/>
      <c r="AF50" s="608" t="n"/>
      <c r="AG50" s="32" t="n"/>
      <c r="AH50" s="41" t="n"/>
      <c r="AI50" s="19" t="n">
        <v>0</v>
      </c>
      <c r="AJ50" s="19" t="n">
        <v>0</v>
      </c>
      <c r="AK50" s="19" t="n">
        <v>0</v>
      </c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19" t="n"/>
      <c r="AZ50" s="119" t="n"/>
      <c r="BA50" s="119" t="n"/>
      <c r="BB50" s="19" t="n"/>
      <c r="BC50" s="19" t="n"/>
      <c r="BD50" s="260" t="inlineStr">
        <is>
          <t>10 DE CDJ</t>
        </is>
      </c>
      <c r="BE50" s="19" t="n"/>
    </row>
    <row r="51">
      <c r="A51" s="25" t="inlineStr">
        <is>
          <t>KIT CAIXA M OUI</t>
        </is>
      </c>
      <c r="B51" s="72" t="n">
        <v>100</v>
      </c>
      <c r="C51" s="639" t="n">
        <v>652.05</v>
      </c>
      <c r="D51" s="240" t="n"/>
      <c r="E51" s="41" t="n"/>
      <c r="F51" s="72" t="n">
        <v>10</v>
      </c>
      <c r="G51" s="72" t="n">
        <v>10</v>
      </c>
      <c r="H51" s="72" t="n">
        <v>10</v>
      </c>
      <c r="I51" s="72" t="n">
        <v>10</v>
      </c>
      <c r="J51" s="72" t="n">
        <v>10</v>
      </c>
      <c r="K51" s="72" t="n">
        <v>10</v>
      </c>
      <c r="L51" s="72" t="n">
        <v>10</v>
      </c>
      <c r="M51" s="72" t="n">
        <v>10</v>
      </c>
      <c r="N51" s="72" t="n">
        <v>9</v>
      </c>
      <c r="O51" s="72" t="n">
        <v>9</v>
      </c>
      <c r="P51" s="72" t="n">
        <v>9</v>
      </c>
      <c r="Q51" s="72" t="n">
        <v>9</v>
      </c>
      <c r="R51" s="72" t="n">
        <v>9</v>
      </c>
      <c r="S51" s="72" t="n">
        <v>8</v>
      </c>
      <c r="T51" s="72" t="n">
        <v>8</v>
      </c>
      <c r="U51" s="72" t="n">
        <v>8</v>
      </c>
      <c r="V51" s="72" t="n"/>
      <c r="W51" s="72" t="n"/>
      <c r="X51" s="72" t="n"/>
      <c r="Y51" s="72" t="n"/>
      <c r="Z51" s="72" t="n"/>
      <c r="AA51" s="72" t="n">
        <v>6</v>
      </c>
      <c r="AB51" s="380">
        <f>Z51+IF(NOT(ISBLANK(OFFSET(AB51,0,6))),N(OFFSET(AB51,0,6)),N(OFFSET(AB51,0,7)))-AA51</f>
        <v/>
      </c>
      <c r="AC51" s="41" t="n"/>
      <c r="AD51" s="138" t="n"/>
      <c r="AE51" s="138" t="n"/>
      <c r="AF51" s="1" t="n"/>
      <c r="AG51" s="32" t="n"/>
      <c r="AH51" s="41" t="n"/>
      <c r="AI51" s="19" t="n">
        <v>0</v>
      </c>
      <c r="AJ51" s="19" t="n">
        <v>0</v>
      </c>
      <c r="AK51" s="19" t="n">
        <v>0</v>
      </c>
      <c r="AL51" s="19" t="n"/>
      <c r="AM51" s="19" t="n"/>
      <c r="AN51" s="19" t="n"/>
      <c r="AO51" s="19" t="n"/>
      <c r="AP51" s="19" t="n"/>
      <c r="AQ51" s="19" t="n"/>
      <c r="AR51" s="19" t="n"/>
      <c r="AS51" s="19" t="n"/>
      <c r="AT51" s="19" t="n"/>
      <c r="AU51" s="19" t="n"/>
      <c r="AV51" s="19" t="n"/>
      <c r="AW51" s="19" t="n"/>
      <c r="AX51" s="19" t="n"/>
      <c r="AY51" s="119" t="n"/>
      <c r="AZ51" s="119" t="n"/>
      <c r="BA51" s="119" t="n"/>
      <c r="BB51" s="19" t="n"/>
      <c r="BC51" s="19" t="n"/>
      <c r="BD51" s="260" t="inlineStr">
        <is>
          <t>10 DE CDJ</t>
        </is>
      </c>
      <c r="BE51" s="19" t="n"/>
    </row>
    <row r="52">
      <c r="A52" s="25" t="inlineStr">
        <is>
          <t>KIT CAIXA G OUI</t>
        </is>
      </c>
      <c r="B52" s="72" t="n">
        <v>50</v>
      </c>
      <c r="C52" s="639" t="n">
        <v>567.53</v>
      </c>
      <c r="D52" s="240" t="n"/>
      <c r="E52" s="41" t="n"/>
      <c r="F52" s="72" t="n">
        <v>10</v>
      </c>
      <c r="G52" s="72" t="n">
        <v>10</v>
      </c>
      <c r="H52" s="72" t="n">
        <v>10</v>
      </c>
      <c r="I52" s="72" t="n">
        <v>10</v>
      </c>
      <c r="J52" s="72" t="n">
        <v>10</v>
      </c>
      <c r="K52" s="72" t="n">
        <v>10</v>
      </c>
      <c r="L52" s="72" t="n">
        <v>10</v>
      </c>
      <c r="M52" s="72" t="n">
        <v>10</v>
      </c>
      <c r="N52" s="72" t="n">
        <v>10</v>
      </c>
      <c r="O52" s="72" t="n">
        <v>10</v>
      </c>
      <c r="P52" s="72" t="n">
        <v>10</v>
      </c>
      <c r="Q52" s="72" t="n">
        <v>10</v>
      </c>
      <c r="R52" s="72" t="n">
        <v>10</v>
      </c>
      <c r="S52" s="72" t="n">
        <v>10</v>
      </c>
      <c r="T52" s="72" t="n">
        <v>10</v>
      </c>
      <c r="U52" s="72" t="n">
        <v>10</v>
      </c>
      <c r="V52" s="72" t="n"/>
      <c r="W52" s="72" t="n"/>
      <c r="X52" s="72" t="n"/>
      <c r="Y52" s="72" t="n"/>
      <c r="Z52" s="72" t="n"/>
      <c r="AA52" s="72" t="n">
        <v>9</v>
      </c>
      <c r="AB52" s="380">
        <f>Z52+IF(NOT(ISBLANK(OFFSET(AB52,0,6))),N(OFFSET(AB52,0,6)),N(OFFSET(AB52,0,7)))-AA52</f>
        <v/>
      </c>
      <c r="AC52" s="41" t="n"/>
      <c r="AD52" s="138" t="n"/>
      <c r="AE52" s="138" t="n"/>
      <c r="AF52" s="1" t="n"/>
      <c r="AG52" s="32" t="n"/>
      <c r="AH52" s="41" t="n"/>
      <c r="AI52" s="19" t="n">
        <v>0</v>
      </c>
      <c r="AJ52" s="19" t="n">
        <v>0</v>
      </c>
      <c r="AK52" s="19" t="n">
        <v>0</v>
      </c>
      <c r="AL52" s="19" t="n"/>
      <c r="AM52" s="19" t="n"/>
      <c r="AN52" s="19" t="n"/>
      <c r="AO52" s="19" t="n"/>
      <c r="AP52" s="19" t="n"/>
      <c r="AQ52" s="19" t="n"/>
      <c r="AR52" s="19" t="n"/>
      <c r="AS52" s="19" t="n"/>
      <c r="AT52" s="19" t="n"/>
      <c r="AU52" s="19" t="n"/>
      <c r="AV52" s="19" t="n"/>
      <c r="AW52" s="19" t="n"/>
      <c r="AX52" s="19" t="n"/>
      <c r="AY52" s="119" t="n"/>
      <c r="AZ52" s="119" t="n"/>
      <c r="BA52" s="119" t="n"/>
      <c r="BB52" s="19" t="n"/>
      <c r="BC52" s="19" t="n"/>
      <c r="BD52" s="260" t="inlineStr">
        <is>
          <t>10 DE CDJ</t>
        </is>
      </c>
      <c r="BE52" s="19" t="n"/>
    </row>
    <row r="53">
      <c r="B53" s="41" t="n"/>
      <c r="C53" s="41" t="n"/>
      <c r="D53" s="41" t="n"/>
      <c r="E53" s="41" t="n"/>
      <c r="F53" s="41" t="n"/>
      <c r="G53" s="41" t="n"/>
      <c r="H53" s="41" t="n"/>
      <c r="I53" s="41" t="n"/>
      <c r="J53" s="41" t="n"/>
      <c r="K53" s="41" t="n"/>
      <c r="L53" s="41" t="n"/>
      <c r="M53" s="41" t="n"/>
      <c r="N53" s="41" t="n"/>
      <c r="O53" s="41" t="n"/>
      <c r="P53" s="41" t="n"/>
      <c r="Q53" s="41" t="n"/>
      <c r="R53" s="41" t="n"/>
      <c r="S53" s="41" t="n"/>
      <c r="T53" s="41" t="n"/>
      <c r="U53" s="41" t="n"/>
      <c r="V53" s="41" t="n"/>
      <c r="W53" s="41" t="n"/>
      <c r="X53" s="41" t="n"/>
      <c r="Y53" s="41" t="n"/>
      <c r="Z53" s="41" t="n"/>
      <c r="AA53" s="41" t="n"/>
      <c r="AB53" s="41" t="n"/>
      <c r="AC53" s="41" t="n"/>
      <c r="AF53" s="41" t="n"/>
      <c r="AH53" s="41" t="n"/>
      <c r="AI53" s="648" t="n"/>
      <c r="AJ53" s="648" t="n"/>
      <c r="AK53" s="648" t="n"/>
      <c r="AL53" s="648" t="n"/>
      <c r="AM53" s="648" t="n"/>
      <c r="AN53" s="648" t="n"/>
      <c r="AO53" s="648" t="n"/>
      <c r="AP53" s="648" t="n"/>
      <c r="AQ53" s="648" t="n"/>
      <c r="AR53" s="648" t="n"/>
      <c r="AS53" s="648" t="n"/>
      <c r="AT53" s="648" t="n"/>
      <c r="AU53" s="648" t="n"/>
      <c r="AV53" s="648" t="n"/>
      <c r="AW53" s="648" t="n"/>
      <c r="AX53" s="648" t="n"/>
      <c r="AY53" s="648" t="n"/>
      <c r="AZ53" s="648" t="n"/>
      <c r="BA53" s="648" t="n"/>
      <c r="BB53" s="648" t="n"/>
      <c r="BC53" s="648" t="n"/>
      <c r="BD53" s="648" t="n"/>
      <c r="BE53" s="648" t="n"/>
    </row>
    <row r="54">
      <c r="A54" s="149" t="inlineStr">
        <is>
          <t>SACOLAS E CAIXAS QDB</t>
        </is>
      </c>
      <c r="B54" s="150" t="n"/>
      <c r="C54" s="150" t="n"/>
      <c r="D54" s="150" t="n"/>
      <c r="E54" s="1" t="n"/>
      <c r="F54" s="619" t="n">
        <v>46006</v>
      </c>
      <c r="G54" s="619" t="n">
        <v>46013</v>
      </c>
      <c r="H54" s="619" t="n">
        <v>46020</v>
      </c>
      <c r="I54" s="619" t="n">
        <v>46027</v>
      </c>
      <c r="J54" s="619" t="n">
        <v>46034</v>
      </c>
      <c r="K54" s="619" t="n">
        <v>46041</v>
      </c>
      <c r="L54" s="619" t="n">
        <v>46048</v>
      </c>
      <c r="M54" s="619" t="n">
        <v>46055</v>
      </c>
      <c r="N54" s="619" t="n">
        <v>46062</v>
      </c>
      <c r="O54" s="619" t="n">
        <v>46069</v>
      </c>
      <c r="P54" s="619" t="n">
        <v>46076</v>
      </c>
      <c r="Q54" s="619" t="n">
        <v>46083</v>
      </c>
      <c r="R54" s="619" t="n">
        <v>46090</v>
      </c>
      <c r="S54" s="619" t="n">
        <v>46097</v>
      </c>
      <c r="T54" s="619" t="n">
        <v>46104</v>
      </c>
      <c r="U54" s="619" t="n">
        <v>46111</v>
      </c>
      <c r="V54" s="619" t="n">
        <v>46118</v>
      </c>
      <c r="W54" s="619" t="n">
        <v>46125</v>
      </c>
      <c r="X54" s="619" t="n">
        <v>46132</v>
      </c>
      <c r="Y54" s="619" t="n">
        <v>46139</v>
      </c>
      <c r="Z54" s="619" t="n">
        <v>46146</v>
      </c>
      <c r="AA54" s="619" t="n">
        <v>46154</v>
      </c>
      <c r="AB54" s="621" t="inlineStr">
        <is>
          <t>USOU</t>
        </is>
      </c>
      <c r="AC54" s="41" t="n"/>
      <c r="AD54" s="29" t="inlineStr">
        <is>
          <t>Pendências</t>
        </is>
      </c>
      <c r="AE54" s="29" t="inlineStr">
        <is>
          <t>Pendências</t>
        </is>
      </c>
      <c r="AG54" s="9" t="inlineStr">
        <is>
          <t>Novo Pedido</t>
        </is>
      </c>
      <c r="AH54" s="41" t="n"/>
      <c r="AI54" s="674" t="n">
        <v>46149</v>
      </c>
      <c r="AJ54" s="674" t="n">
        <v>46142</v>
      </c>
      <c r="AK54" s="674" t="n">
        <v>46114</v>
      </c>
      <c r="AL54" s="674" t="n">
        <v>46099</v>
      </c>
      <c r="AM54" s="675" t="n">
        <v>46065</v>
      </c>
      <c r="AN54" s="674" t="n">
        <v>46077</v>
      </c>
      <c r="AO54" s="676" t="n">
        <v>46045</v>
      </c>
      <c r="AP54" s="674" t="n">
        <v>46056</v>
      </c>
      <c r="AQ54" s="674" t="n">
        <v>46017</v>
      </c>
      <c r="AR54" s="674" t="n">
        <v>46007</v>
      </c>
      <c r="AS54" s="674" t="n">
        <v>46001</v>
      </c>
      <c r="AT54" s="674" t="n">
        <v>45994</v>
      </c>
      <c r="AU54" s="674" t="n">
        <v>45986</v>
      </c>
      <c r="AV54" s="674" t="n">
        <v>45980</v>
      </c>
      <c r="AW54" s="674" t="n">
        <v>45980</v>
      </c>
      <c r="AX54" s="674" t="n">
        <v>45973</v>
      </c>
      <c r="AY54" s="677" t="n">
        <v>45982</v>
      </c>
      <c r="AZ54" s="677" t="n">
        <v>45979</v>
      </c>
      <c r="BA54" s="693" t="n">
        <v>45974</v>
      </c>
      <c r="BB54" s="693" t="n">
        <v>45972</v>
      </c>
      <c r="BC54" s="691" t="n">
        <v>45968</v>
      </c>
      <c r="BD54" s="677" t="n">
        <v>45967</v>
      </c>
      <c r="BE54" s="692" t="n">
        <v>45964</v>
      </c>
    </row>
    <row r="55">
      <c r="A55" s="25" t="inlineStr">
        <is>
          <t>SACOLA P - QDB</t>
        </is>
      </c>
      <c r="B55" s="6" t="n">
        <v>300</v>
      </c>
      <c r="C55" s="632" t="n">
        <v>169.8</v>
      </c>
      <c r="D55" s="240" t="n"/>
      <c r="E55" s="1" t="n"/>
      <c r="F55" s="39" t="n">
        <v>0</v>
      </c>
      <c r="G55" s="39" t="n">
        <v>0</v>
      </c>
      <c r="H55" s="39" t="n">
        <v>0</v>
      </c>
      <c r="I55" s="39" t="n">
        <v>0</v>
      </c>
      <c r="J55" s="39" t="n">
        <v>0</v>
      </c>
      <c r="K55" s="39" t="n">
        <v>0</v>
      </c>
      <c r="L55" s="39" t="n">
        <v>0</v>
      </c>
      <c r="M55" s="39" t="n">
        <v>0</v>
      </c>
      <c r="N55" s="39" t="n">
        <v>0</v>
      </c>
      <c r="O55" s="39" t="n">
        <v>0</v>
      </c>
      <c r="P55" s="39" t="n">
        <v>0</v>
      </c>
      <c r="Q55" s="39" t="n">
        <v>0</v>
      </c>
      <c r="R55" s="39" t="n">
        <v>0</v>
      </c>
      <c r="S55" s="39" t="n">
        <v>0</v>
      </c>
      <c r="T55" s="39" t="n">
        <v>0</v>
      </c>
      <c r="U55" s="39" t="n">
        <v>0</v>
      </c>
      <c r="V55" s="39" t="n">
        <v>0</v>
      </c>
      <c r="W55" s="39" t="n">
        <v>0</v>
      </c>
      <c r="X55" s="39" t="n">
        <v>0</v>
      </c>
      <c r="Y55" s="39" t="n">
        <v>0</v>
      </c>
      <c r="Z55" s="39" t="n">
        <v>0</v>
      </c>
      <c r="AA55" s="39" t="n">
        <v>0</v>
      </c>
      <c r="AB55" s="380">
        <f>Z55+IF(NOT(ISBLANK(OFFSET(AB55,0,6))),N(OFFSET(AB55,0,6)),N(OFFSET(AB55,0,7)))-AA55</f>
        <v/>
      </c>
      <c r="AC55" s="41" t="n"/>
      <c r="AD55" s="138" t="n"/>
      <c r="AE55" s="138" t="n"/>
      <c r="AG55" s="76" t="n"/>
      <c r="AH55" s="41" t="n"/>
      <c r="AI55" s="19" t="n">
        <v>0</v>
      </c>
      <c r="AJ55" s="19" t="n">
        <v>0</v>
      </c>
      <c r="AK55" s="19" t="n">
        <v>0</v>
      </c>
      <c r="AL55" s="19" t="n"/>
      <c r="AM55" s="19" t="n"/>
      <c r="AN55" s="19" t="n"/>
      <c r="AO55" s="19" t="n"/>
      <c r="AP55" s="19" t="n"/>
      <c r="AQ55" s="19" t="n"/>
      <c r="AR55" s="19" t="n"/>
      <c r="AS55" s="19" t="n"/>
      <c r="AT55" s="19" t="n"/>
      <c r="AU55" s="19" t="n"/>
      <c r="AV55" s="19" t="n"/>
      <c r="AW55" s="19" t="n"/>
      <c r="AX55" s="19" t="n"/>
      <c r="AY55" s="119" t="n"/>
      <c r="AZ55" s="119" t="n"/>
      <c r="BA55" s="119" t="n"/>
      <c r="BB55" s="19" t="n"/>
      <c r="BC55" s="19" t="n"/>
      <c r="BD55" s="119" t="n"/>
      <c r="BE55" s="19" t="n"/>
    </row>
    <row r="56">
      <c r="A56" s="25" t="inlineStr">
        <is>
          <t>SACOLA M - QDB</t>
        </is>
      </c>
      <c r="B56" s="6" t="n">
        <v>200</v>
      </c>
      <c r="C56" s="632" t="n">
        <v>175.22</v>
      </c>
      <c r="D56" s="240" t="n"/>
      <c r="E56" s="1" t="n"/>
      <c r="F56" s="39" t="n">
        <v>0</v>
      </c>
      <c r="G56" s="39" t="n">
        <v>0</v>
      </c>
      <c r="H56" s="39" t="n">
        <v>0</v>
      </c>
      <c r="I56" s="39" t="n">
        <v>0</v>
      </c>
      <c r="J56" s="39" t="n">
        <v>0</v>
      </c>
      <c r="K56" s="39" t="n">
        <v>0</v>
      </c>
      <c r="L56" s="39" t="n">
        <v>0</v>
      </c>
      <c r="M56" s="39" t="n">
        <v>0</v>
      </c>
      <c r="N56" s="39" t="n">
        <v>0</v>
      </c>
      <c r="O56" s="39" t="n">
        <v>0</v>
      </c>
      <c r="P56" s="39" t="n">
        <v>0</v>
      </c>
      <c r="Q56" s="39" t="n">
        <v>0</v>
      </c>
      <c r="R56" s="39" t="n">
        <v>0</v>
      </c>
      <c r="S56" s="39" t="n">
        <v>0</v>
      </c>
      <c r="T56" s="39" t="n">
        <v>0</v>
      </c>
      <c r="U56" s="39" t="n">
        <v>0</v>
      </c>
      <c r="V56" s="39" t="n">
        <v>0</v>
      </c>
      <c r="W56" s="39" t="n">
        <v>0</v>
      </c>
      <c r="X56" s="39" t="n">
        <v>0</v>
      </c>
      <c r="Y56" s="39" t="n">
        <v>0</v>
      </c>
      <c r="Z56" s="39" t="n">
        <v>0</v>
      </c>
      <c r="AA56" s="39" t="n">
        <v>0</v>
      </c>
      <c r="AB56" s="380">
        <f>Z56+IF(NOT(ISBLANK(OFFSET(AB56,0,6))),N(OFFSET(AB56,0,6)),N(OFFSET(AB56,0,7)))-AA56</f>
        <v/>
      </c>
      <c r="AC56" s="41" t="n"/>
      <c r="AD56" s="138" t="n"/>
      <c r="AE56" s="138" t="n"/>
      <c r="AG56" s="76" t="n"/>
      <c r="AH56" s="41" t="n"/>
      <c r="AI56" s="19" t="n">
        <v>0</v>
      </c>
      <c r="AJ56" s="19" t="n">
        <v>0</v>
      </c>
      <c r="AK56" s="19" t="n">
        <v>0</v>
      </c>
      <c r="AL56" s="19" t="n"/>
      <c r="AM56" s="19" t="n"/>
      <c r="AN56" s="19" t="n"/>
      <c r="AO56" s="19" t="n"/>
      <c r="AP56" s="19" t="n"/>
      <c r="AQ56" s="19" t="n"/>
      <c r="AR56" s="19" t="n"/>
      <c r="AS56" s="19" t="n"/>
      <c r="AT56" s="19" t="n"/>
      <c r="AU56" s="19" t="n"/>
      <c r="AV56" s="19" t="n"/>
      <c r="AW56" s="19" t="n"/>
      <c r="AX56" s="19" t="n"/>
      <c r="AY56" s="119" t="n"/>
      <c r="AZ56" s="119" t="n"/>
      <c r="BA56" s="119" t="n"/>
      <c r="BB56" s="19" t="n"/>
      <c r="BC56" s="19" t="n"/>
      <c r="BD56" s="119" t="n"/>
      <c r="BE56" s="19" t="n"/>
    </row>
    <row r="57">
      <c r="A57" s="25" t="inlineStr">
        <is>
          <t>SACOLA G - QDB</t>
        </is>
      </c>
      <c r="B57" s="6" t="n">
        <v>200</v>
      </c>
      <c r="C57" s="632" t="n">
        <v>230.34</v>
      </c>
      <c r="D57" s="240" t="n"/>
      <c r="E57" s="1" t="n"/>
      <c r="F57" s="39" t="n">
        <v>0</v>
      </c>
      <c r="G57" s="39" t="n">
        <v>0</v>
      </c>
      <c r="H57" s="39" t="n">
        <v>0</v>
      </c>
      <c r="I57" s="39" t="n">
        <v>0</v>
      </c>
      <c r="J57" s="39" t="n">
        <v>0</v>
      </c>
      <c r="K57" s="39" t="n">
        <v>0</v>
      </c>
      <c r="L57" s="39" t="n">
        <v>0</v>
      </c>
      <c r="M57" s="39" t="n">
        <v>0</v>
      </c>
      <c r="N57" s="39" t="n">
        <v>0</v>
      </c>
      <c r="O57" s="39" t="n">
        <v>0</v>
      </c>
      <c r="P57" s="39" t="n">
        <v>0</v>
      </c>
      <c r="Q57" s="39" t="n">
        <v>0</v>
      </c>
      <c r="R57" s="39" t="n">
        <v>0</v>
      </c>
      <c r="S57" s="39" t="n">
        <v>0</v>
      </c>
      <c r="T57" s="39" t="n">
        <v>0</v>
      </c>
      <c r="U57" s="39" t="n">
        <v>0</v>
      </c>
      <c r="V57" s="39" t="n">
        <v>0</v>
      </c>
      <c r="W57" s="39" t="n">
        <v>0</v>
      </c>
      <c r="X57" s="39" t="n">
        <v>0</v>
      </c>
      <c r="Y57" s="39" t="n">
        <v>0</v>
      </c>
      <c r="Z57" s="39" t="n">
        <v>0</v>
      </c>
      <c r="AA57" s="39" t="n">
        <v>0</v>
      </c>
      <c r="AB57" s="380">
        <f>Z57+IF(NOT(ISBLANK(OFFSET(AB57,0,6))),N(OFFSET(AB57,0,6)),N(OFFSET(AB57,0,7)))-AA57</f>
        <v/>
      </c>
      <c r="AC57" s="41" t="n"/>
      <c r="AD57" s="138" t="n"/>
      <c r="AE57" s="138" t="n"/>
      <c r="AG57" s="76" t="n"/>
      <c r="AH57" s="41" t="n"/>
      <c r="AI57" s="19" t="n">
        <v>0</v>
      </c>
      <c r="AJ57" s="19" t="n">
        <v>0</v>
      </c>
      <c r="AK57" s="19" t="n">
        <v>0</v>
      </c>
      <c r="AL57" s="19" t="n"/>
      <c r="AM57" s="19" t="n"/>
      <c r="AN57" s="19" t="n"/>
      <c r="AO57" s="19" t="n"/>
      <c r="AP57" s="19" t="n"/>
      <c r="AQ57" s="19" t="n"/>
      <c r="AR57" s="19" t="n"/>
      <c r="AS57" s="19" t="n"/>
      <c r="AT57" s="19" t="n"/>
      <c r="AU57" s="19" t="n"/>
      <c r="AV57" s="19" t="n"/>
      <c r="AW57" s="19" t="n"/>
      <c r="AX57" s="19" t="n"/>
      <c r="AY57" s="119" t="n"/>
      <c r="AZ57" s="119" t="n"/>
      <c r="BA57" s="119" t="n"/>
      <c r="BB57" s="19" t="n"/>
      <c r="BC57" s="19" t="n"/>
      <c r="BD57" s="119" t="n"/>
      <c r="BE57" s="19" t="n"/>
    </row>
    <row r="58">
      <c r="A58" s="538" t="inlineStr">
        <is>
          <t>PAPEL DE SEDA QDB</t>
        </is>
      </c>
      <c r="B58" s="72" t="n">
        <v>100</v>
      </c>
      <c r="C58" s="639" t="n">
        <v>22.98</v>
      </c>
      <c r="D58" s="240" t="n"/>
      <c r="F58" s="39" t="n">
        <v>0</v>
      </c>
      <c r="G58" s="39" t="n">
        <v>0</v>
      </c>
      <c r="H58" s="39" t="n">
        <v>0</v>
      </c>
      <c r="I58" s="39" t="n">
        <v>0</v>
      </c>
      <c r="J58" s="39" t="n">
        <v>0</v>
      </c>
      <c r="K58" s="39" t="n">
        <v>0</v>
      </c>
      <c r="L58" s="39" t="n">
        <v>0</v>
      </c>
      <c r="M58" s="39" t="n">
        <v>0</v>
      </c>
      <c r="N58" s="39" t="n">
        <v>0</v>
      </c>
      <c r="O58" s="39" t="n">
        <v>0</v>
      </c>
      <c r="P58" s="39" t="n">
        <v>0</v>
      </c>
      <c r="Q58" s="39" t="n">
        <v>0</v>
      </c>
      <c r="R58" s="39" t="n">
        <v>0</v>
      </c>
      <c r="S58" s="39" t="n">
        <v>0</v>
      </c>
      <c r="T58" s="39" t="n">
        <v>0</v>
      </c>
      <c r="U58" s="39" t="n">
        <v>0</v>
      </c>
      <c r="V58" s="39" t="n">
        <v>0</v>
      </c>
      <c r="W58" s="39" t="n">
        <v>0</v>
      </c>
      <c r="X58" s="39" t="n">
        <v>0</v>
      </c>
      <c r="Y58" s="39" t="n">
        <v>0</v>
      </c>
      <c r="Z58" s="39" t="n">
        <v>0</v>
      </c>
      <c r="AA58" s="39" t="n">
        <v>0</v>
      </c>
      <c r="AB58" s="380">
        <f>Z58+IF(NOT(ISBLANK(OFFSET(AB58,0,6))),N(OFFSET(AB58,0,6)),N(OFFSET(AB58,0,7)))-AA58</f>
        <v/>
      </c>
      <c r="AD58" s="138" t="n"/>
      <c r="AE58" s="138" t="n"/>
      <c r="AF58" s="1" t="n"/>
      <c r="AG58" s="32" t="n"/>
      <c r="AH58" s="41" t="n"/>
      <c r="AI58" s="19" t="n">
        <v>0</v>
      </c>
      <c r="AJ58" s="19" t="n">
        <v>0</v>
      </c>
      <c r="AK58" s="19" t="n">
        <v>0</v>
      </c>
      <c r="AL58" s="19" t="n"/>
      <c r="AM58" s="19" t="n"/>
      <c r="AN58" s="19" t="n"/>
      <c r="AO58" s="19" t="n"/>
      <c r="AP58" s="19" t="n"/>
      <c r="AQ58" s="19" t="n"/>
      <c r="AR58" s="19" t="n"/>
      <c r="AS58" s="19" t="n"/>
      <c r="AT58" s="19" t="n"/>
      <c r="AU58" s="19" t="n"/>
      <c r="AV58" s="19" t="n"/>
      <c r="AW58" s="19" t="n"/>
      <c r="AX58" s="19" t="n"/>
      <c r="AY58" s="119" t="n"/>
      <c r="AZ58" s="119" t="n"/>
      <c r="BA58" s="119" t="n"/>
      <c r="BB58" s="19" t="n"/>
      <c r="BC58" s="19" t="n"/>
      <c r="BD58" s="119" t="n"/>
      <c r="BE58" s="19" t="n"/>
    </row>
    <row r="59">
      <c r="A59" s="25" t="inlineStr">
        <is>
          <t>ETIQUETA QDB</t>
        </is>
      </c>
      <c r="B59" s="6" t="n">
        <v>1000</v>
      </c>
      <c r="C59" s="632" t="n">
        <v>7.75</v>
      </c>
      <c r="D59" s="240" t="n"/>
      <c r="E59" s="1" t="n"/>
      <c r="F59" s="39" t="n">
        <v>0</v>
      </c>
      <c r="G59" s="39" t="n">
        <v>0</v>
      </c>
      <c r="H59" s="39" t="n">
        <v>0</v>
      </c>
      <c r="I59" s="39" t="n">
        <v>0</v>
      </c>
      <c r="J59" s="39" t="n">
        <v>0</v>
      </c>
      <c r="K59" s="39" t="n">
        <v>0</v>
      </c>
      <c r="L59" s="39" t="n">
        <v>0</v>
      </c>
      <c r="M59" s="39" t="n">
        <v>0</v>
      </c>
      <c r="N59" s="39" t="n">
        <v>0</v>
      </c>
      <c r="O59" s="39" t="n">
        <v>0</v>
      </c>
      <c r="P59" s="39" t="n">
        <v>0</v>
      </c>
      <c r="Q59" s="39" t="n">
        <v>0</v>
      </c>
      <c r="R59" s="39" t="n">
        <v>0</v>
      </c>
      <c r="S59" s="39" t="n">
        <v>0</v>
      </c>
      <c r="T59" s="39" t="n">
        <v>0</v>
      </c>
      <c r="U59" s="39" t="n">
        <v>0</v>
      </c>
      <c r="V59" s="39" t="n">
        <v>0</v>
      </c>
      <c r="W59" s="39" t="n">
        <v>0</v>
      </c>
      <c r="X59" s="39" t="n">
        <v>0</v>
      </c>
      <c r="Y59" s="39" t="n">
        <v>0</v>
      </c>
      <c r="Z59" s="39" t="n">
        <v>0</v>
      </c>
      <c r="AA59" s="39" t="n">
        <v>0</v>
      </c>
      <c r="AB59" s="380">
        <f>Z59+IF(NOT(ISBLANK(OFFSET(AB59,0,6))),N(OFFSET(AB59,0,6)),N(OFFSET(AB59,0,7)))-AA59</f>
        <v/>
      </c>
      <c r="AC59" s="41" t="n"/>
      <c r="AD59" s="138" t="n"/>
      <c r="AE59" s="138" t="n"/>
      <c r="AG59" s="76" t="n"/>
      <c r="AH59" s="41" t="n"/>
      <c r="AI59" s="19" t="n">
        <v>0</v>
      </c>
      <c r="AJ59" s="19" t="n">
        <v>0</v>
      </c>
      <c r="AK59" s="19" t="n">
        <v>0</v>
      </c>
      <c r="AL59" s="19" t="n"/>
      <c r="AM59" s="19" t="n"/>
      <c r="AN59" s="19" t="n"/>
      <c r="AO59" s="19" t="n"/>
      <c r="AP59" s="19" t="n"/>
      <c r="AQ59" s="19" t="n"/>
      <c r="AR59" s="19" t="n"/>
      <c r="AS59" s="19" t="n"/>
      <c r="AT59" s="19" t="n"/>
      <c r="AU59" s="19" t="n"/>
      <c r="AV59" s="19" t="n"/>
      <c r="AW59" s="19" t="n"/>
      <c r="AX59" s="19" t="n"/>
      <c r="AY59" s="119" t="n"/>
      <c r="AZ59" s="119" t="n"/>
      <c r="BA59" s="119" t="n"/>
      <c r="BB59" s="19" t="n"/>
      <c r="BC59" s="19" t="n"/>
      <c r="BD59" s="119" t="n"/>
      <c r="BE59" s="19" t="n"/>
    </row>
    <row r="60">
      <c r="A60" s="25" t="inlineStr">
        <is>
          <t>TAG QDB</t>
        </is>
      </c>
      <c r="B60" s="6" t="n">
        <v>300</v>
      </c>
      <c r="C60" s="632" t="n">
        <v>53.97</v>
      </c>
      <c r="D60" s="240" t="n"/>
      <c r="E60" s="1" t="n"/>
      <c r="F60" s="39" t="n">
        <v>0</v>
      </c>
      <c r="G60" s="39" t="n">
        <v>0</v>
      </c>
      <c r="H60" s="39" t="n">
        <v>0</v>
      </c>
      <c r="I60" s="39" t="n">
        <v>0</v>
      </c>
      <c r="J60" s="39" t="n">
        <v>0</v>
      </c>
      <c r="K60" s="39" t="n">
        <v>0</v>
      </c>
      <c r="L60" s="39" t="n">
        <v>0</v>
      </c>
      <c r="M60" s="39" t="n">
        <v>0</v>
      </c>
      <c r="N60" s="39" t="n">
        <v>0</v>
      </c>
      <c r="O60" s="39" t="n">
        <v>0</v>
      </c>
      <c r="P60" s="39" t="n">
        <v>0</v>
      </c>
      <c r="Q60" s="39" t="n">
        <v>0</v>
      </c>
      <c r="R60" s="39" t="n">
        <v>0</v>
      </c>
      <c r="S60" s="39" t="n">
        <v>0</v>
      </c>
      <c r="T60" s="39" t="n">
        <v>0</v>
      </c>
      <c r="U60" s="39" t="n">
        <v>0</v>
      </c>
      <c r="V60" s="39" t="n">
        <v>0</v>
      </c>
      <c r="W60" s="39" t="n">
        <v>0</v>
      </c>
      <c r="X60" s="39" t="n">
        <v>0</v>
      </c>
      <c r="Y60" s="39" t="n">
        <v>0</v>
      </c>
      <c r="Z60" s="39" t="n">
        <v>0</v>
      </c>
      <c r="AA60" s="39" t="n">
        <v>0</v>
      </c>
      <c r="AB60" s="380">
        <f>Z60+IF(NOT(ISBLANK(OFFSET(AB60,0,6))),N(OFFSET(AB60,0,6)),N(OFFSET(AB60,0,7)))-AA60</f>
        <v/>
      </c>
      <c r="AC60" s="41" t="n"/>
      <c r="AD60" s="138" t="n"/>
      <c r="AE60" s="138" t="n"/>
      <c r="AG60" s="76" t="n"/>
      <c r="AH60" s="41" t="n"/>
      <c r="AI60" s="19" t="n">
        <v>0</v>
      </c>
      <c r="AJ60" s="19" t="n">
        <v>0</v>
      </c>
      <c r="AK60" s="19" t="n">
        <v>0</v>
      </c>
      <c r="AL60" s="19" t="n"/>
      <c r="AM60" s="19" t="n"/>
      <c r="AN60" s="19" t="n"/>
      <c r="AO60" s="19" t="n"/>
      <c r="AP60" s="19" t="n"/>
      <c r="AQ60" s="19" t="n"/>
      <c r="AR60" s="19" t="n"/>
      <c r="AS60" s="19" t="n"/>
      <c r="AT60" s="19" t="n"/>
      <c r="AU60" s="19" t="n"/>
      <c r="AV60" s="19" t="n"/>
      <c r="AW60" s="19" t="n"/>
      <c r="AX60" s="19" t="n"/>
      <c r="AY60" s="119" t="n"/>
      <c r="AZ60" s="119" t="n"/>
      <c r="BA60" s="119" t="n"/>
      <c r="BB60" s="19" t="n"/>
      <c r="BC60" s="19" t="n"/>
      <c r="BD60" s="119" t="n"/>
      <c r="BE60" s="19" t="n"/>
    </row>
    <row r="61">
      <c r="A61" s="25" t="inlineStr">
        <is>
          <t>LÂMINA OLFATIVA QDB</t>
        </is>
      </c>
      <c r="B61" s="6" t="n">
        <v>3000</v>
      </c>
      <c r="C61" s="632" t="n">
        <v>213</v>
      </c>
      <c r="D61" s="240" t="n"/>
      <c r="E61" s="1" t="n"/>
      <c r="F61" s="39" t="n">
        <v>0</v>
      </c>
      <c r="G61" s="39" t="n">
        <v>0</v>
      </c>
      <c r="H61" s="39" t="n">
        <v>0</v>
      </c>
      <c r="I61" s="39" t="n">
        <v>0</v>
      </c>
      <c r="J61" s="39" t="n">
        <v>0</v>
      </c>
      <c r="K61" s="39" t="n">
        <v>0</v>
      </c>
      <c r="L61" s="39" t="n">
        <v>0</v>
      </c>
      <c r="M61" s="39" t="n">
        <v>0</v>
      </c>
      <c r="N61" s="39" t="n">
        <v>0</v>
      </c>
      <c r="O61" s="39" t="n">
        <v>0</v>
      </c>
      <c r="P61" s="39" t="n">
        <v>0</v>
      </c>
      <c r="Q61" s="39" t="n">
        <v>0</v>
      </c>
      <c r="R61" s="39" t="n">
        <v>0</v>
      </c>
      <c r="S61" s="39" t="n">
        <v>0</v>
      </c>
      <c r="T61" s="39" t="n">
        <v>0</v>
      </c>
      <c r="U61" s="39" t="n">
        <v>0</v>
      </c>
      <c r="V61" s="39" t="n">
        <v>0</v>
      </c>
      <c r="W61" s="39" t="n">
        <v>0</v>
      </c>
      <c r="X61" s="39" t="n">
        <v>0</v>
      </c>
      <c r="Y61" s="39" t="n">
        <v>0</v>
      </c>
      <c r="Z61" s="39" t="n">
        <v>0</v>
      </c>
      <c r="AA61" s="39" t="n">
        <v>0</v>
      </c>
      <c r="AB61" s="380">
        <f>Z61+IF(NOT(ISBLANK(OFFSET(AB61,0,6))),N(OFFSET(AB61,0,6)),N(OFFSET(AB61,0,7)))-AA61</f>
        <v/>
      </c>
      <c r="AC61" s="41" t="n"/>
      <c r="AD61" s="138" t="n"/>
      <c r="AE61" s="138" t="n"/>
      <c r="AG61" s="76" t="n"/>
      <c r="AH61" s="41" t="n"/>
      <c r="AI61" s="19" t="n">
        <v>0</v>
      </c>
      <c r="AJ61" s="19" t="n">
        <v>0</v>
      </c>
      <c r="AK61" s="19" t="n">
        <v>0</v>
      </c>
      <c r="AL61" s="19" t="n"/>
      <c r="AM61" s="19" t="n"/>
      <c r="AN61" s="19" t="n"/>
      <c r="AO61" s="19" t="n"/>
      <c r="AP61" s="19" t="n"/>
      <c r="AQ61" s="19" t="n"/>
      <c r="AR61" s="19" t="n"/>
      <c r="AS61" s="19" t="n"/>
      <c r="AT61" s="19" t="n"/>
      <c r="AU61" s="19" t="n"/>
      <c r="AV61" s="19" t="n"/>
      <c r="AW61" s="19" t="n"/>
      <c r="AX61" s="19" t="n"/>
      <c r="AY61" s="119" t="n"/>
      <c r="AZ61" s="119" t="n"/>
      <c r="BA61" s="119" t="n"/>
      <c r="BB61" s="19" t="n"/>
      <c r="BC61" s="19" t="n"/>
      <c r="BD61" s="119" t="n"/>
      <c r="BE61" s="19" t="n"/>
    </row>
    <row r="62">
      <c r="A62" s="25" t="inlineStr">
        <is>
          <t>CAIXA P QDB</t>
        </is>
      </c>
      <c r="B62" s="6" t="n">
        <v>150</v>
      </c>
      <c r="C62" s="632" t="n">
        <v>306</v>
      </c>
      <c r="D62" s="240" t="n"/>
      <c r="E62" s="1" t="n"/>
      <c r="F62" s="39" t="n">
        <v>20</v>
      </c>
      <c r="G62" s="39" t="n">
        <v>19</v>
      </c>
      <c r="H62" s="39" t="n">
        <v>19</v>
      </c>
      <c r="I62" s="39" t="n">
        <v>19</v>
      </c>
      <c r="J62" s="39" t="n">
        <v>19</v>
      </c>
      <c r="K62" s="39" t="n">
        <v>19</v>
      </c>
      <c r="L62" s="39" t="n">
        <v>19</v>
      </c>
      <c r="M62" s="39" t="n">
        <v>19</v>
      </c>
      <c r="N62" s="39" t="n">
        <v>19</v>
      </c>
      <c r="O62" s="39" t="n">
        <v>19</v>
      </c>
      <c r="P62" s="39" t="n">
        <v>19</v>
      </c>
      <c r="Q62" s="39" t="n">
        <v>19</v>
      </c>
      <c r="R62" s="39" t="n">
        <v>19</v>
      </c>
      <c r="S62" s="39" t="n">
        <v>19</v>
      </c>
      <c r="T62" s="39" t="n">
        <v>19</v>
      </c>
      <c r="U62" s="39" t="n">
        <v>18</v>
      </c>
      <c r="V62" s="39" t="n"/>
      <c r="W62" s="39" t="n"/>
      <c r="X62" s="39" t="n"/>
      <c r="Y62" s="39" t="n"/>
      <c r="Z62" s="39" t="n"/>
      <c r="AA62" s="39" t="n">
        <v>17</v>
      </c>
      <c r="AB62" s="380">
        <f>Z62+IF(NOT(ISBLANK(OFFSET(AB62,0,6))),N(OFFSET(AB62,0,6)),N(OFFSET(AB62,0,7)))-AA62</f>
        <v/>
      </c>
      <c r="AC62" s="41" t="n"/>
      <c r="AD62" s="138" t="n"/>
      <c r="AE62" s="138" t="n"/>
      <c r="AG62" s="76" t="n"/>
      <c r="AH62" s="41" t="n"/>
      <c r="AI62" s="19" t="n">
        <v>0</v>
      </c>
      <c r="AJ62" s="19" t="n">
        <v>0</v>
      </c>
      <c r="AK62" s="19" t="n">
        <v>0</v>
      </c>
      <c r="AL62" s="163" t="n"/>
      <c r="AM62" s="163" t="n"/>
      <c r="AN62" s="163" t="n"/>
      <c r="AO62" s="163" t="n"/>
      <c r="AP62" s="163" t="n"/>
      <c r="AQ62" s="163" t="n"/>
      <c r="AR62" s="163" t="n"/>
      <c r="AS62" s="163" t="n"/>
      <c r="AT62" s="163" t="n"/>
      <c r="AU62" s="163" t="n"/>
      <c r="AV62" s="163" t="n"/>
      <c r="AW62" s="163" t="n"/>
      <c r="AX62" s="163" t="n"/>
      <c r="AY62" s="163" t="n"/>
      <c r="AZ62" s="163" t="n"/>
      <c r="BA62" s="163" t="n"/>
      <c r="BB62" s="163" t="n"/>
      <c r="BC62" s="163" t="n"/>
      <c r="BD62" s="262" t="inlineStr">
        <is>
          <t>10 DE ERJ</t>
        </is>
      </c>
      <c r="BE62" s="163" t="n"/>
    </row>
    <row r="63">
      <c r="A63" s="25" t="inlineStr">
        <is>
          <t>CAIXA M QDB</t>
        </is>
      </c>
      <c r="B63" s="6" t="n">
        <v>75</v>
      </c>
      <c r="C63" s="632" t="n">
        <v>216.38</v>
      </c>
      <c r="D63" s="240" t="n"/>
      <c r="E63" s="1" t="n"/>
      <c r="F63" s="39" t="n">
        <v>10</v>
      </c>
      <c r="G63" s="39" t="n">
        <v>9</v>
      </c>
      <c r="H63" s="39" t="n">
        <v>9</v>
      </c>
      <c r="I63" s="39" t="n">
        <v>9</v>
      </c>
      <c r="J63" s="39" t="n">
        <v>9</v>
      </c>
      <c r="K63" s="39" t="n">
        <v>9</v>
      </c>
      <c r="L63" s="39" t="n">
        <v>9</v>
      </c>
      <c r="M63" s="39" t="n">
        <v>9</v>
      </c>
      <c r="N63" s="39" t="n">
        <v>9</v>
      </c>
      <c r="O63" s="39" t="n">
        <v>9</v>
      </c>
      <c r="P63" s="39" t="n">
        <v>9</v>
      </c>
      <c r="Q63" s="39" t="n">
        <v>9</v>
      </c>
      <c r="R63" s="39" t="n">
        <v>9</v>
      </c>
      <c r="S63" s="39" t="n">
        <v>9</v>
      </c>
      <c r="T63" s="39" t="n">
        <v>9</v>
      </c>
      <c r="U63" s="39" t="n">
        <v>9</v>
      </c>
      <c r="V63" s="39" t="n"/>
      <c r="W63" s="39" t="n"/>
      <c r="X63" s="39" t="n"/>
      <c r="Y63" s="39" t="n"/>
      <c r="Z63" s="39" t="n"/>
      <c r="AA63" s="39" t="n">
        <v>9</v>
      </c>
      <c r="AB63" s="380">
        <f>Z63+IF(NOT(ISBLANK(OFFSET(AB63,0,6))),N(OFFSET(AB63,0,6)),N(OFFSET(AB63,0,7)))-AA63</f>
        <v/>
      </c>
      <c r="AC63" s="41" t="n"/>
      <c r="AD63" s="138" t="n"/>
      <c r="AE63" s="138" t="n"/>
      <c r="AG63" s="76" t="n"/>
      <c r="AH63" s="41" t="n"/>
      <c r="AI63" s="19" t="n">
        <v>0</v>
      </c>
      <c r="AJ63" s="19" t="n">
        <v>0</v>
      </c>
      <c r="AK63" s="19" t="n">
        <v>0</v>
      </c>
      <c r="AL63" s="19" t="n"/>
      <c r="AM63" s="19" t="n"/>
      <c r="AN63" s="19" t="n"/>
      <c r="AO63" s="19" t="n"/>
      <c r="AP63" s="19" t="n"/>
      <c r="AQ63" s="19" t="n"/>
      <c r="AR63" s="19" t="n"/>
      <c r="AS63" s="19" t="n"/>
      <c r="AT63" s="19" t="n"/>
      <c r="AU63" s="19" t="n"/>
      <c r="AV63" s="19" t="n"/>
      <c r="AW63" s="19" t="n"/>
      <c r="AX63" s="19" t="n"/>
      <c r="AY63" s="119" t="n"/>
      <c r="AZ63" s="119" t="n"/>
      <c r="BA63" s="119" t="n"/>
      <c r="BB63" s="19" t="n"/>
      <c r="BC63" s="19" t="n"/>
      <c r="BD63" s="260" t="inlineStr">
        <is>
          <t>10 DE CDJ</t>
        </is>
      </c>
      <c r="BE63" s="19" t="n"/>
    </row>
    <row r="64">
      <c r="A64" s="25" t="inlineStr">
        <is>
          <t>CAIXA G QDB</t>
        </is>
      </c>
      <c r="B64" s="6" t="n">
        <v>100</v>
      </c>
      <c r="C64" s="632" t="n">
        <v>306</v>
      </c>
      <c r="D64" s="240" t="n"/>
      <c r="E64" s="1" t="n"/>
      <c r="F64" s="39" t="n">
        <v>5</v>
      </c>
      <c r="G64" s="39" t="n">
        <v>5</v>
      </c>
      <c r="H64" s="39" t="n">
        <v>5</v>
      </c>
      <c r="I64" s="39" t="n">
        <v>5</v>
      </c>
      <c r="J64" s="39" t="n">
        <v>5</v>
      </c>
      <c r="K64" s="39" t="n">
        <v>5</v>
      </c>
      <c r="L64" s="39" t="n">
        <v>5</v>
      </c>
      <c r="M64" s="39" t="n">
        <v>5</v>
      </c>
      <c r="N64" s="39" t="n">
        <v>5</v>
      </c>
      <c r="O64" s="39" t="n">
        <v>5</v>
      </c>
      <c r="P64" s="39" t="n">
        <v>5</v>
      </c>
      <c r="Q64" s="39" t="n">
        <v>5</v>
      </c>
      <c r="R64" s="39" t="n">
        <v>5</v>
      </c>
      <c r="S64" s="39" t="n">
        <v>3</v>
      </c>
      <c r="T64" s="39" t="n">
        <v>2</v>
      </c>
      <c r="U64" s="39" t="n">
        <v>2</v>
      </c>
      <c r="V64" s="39" t="n"/>
      <c r="W64" s="39" t="n"/>
      <c r="X64" s="39" t="n"/>
      <c r="Y64" s="39" t="n"/>
      <c r="Z64" s="39" t="n"/>
      <c r="AA64" s="39" t="n">
        <v>0</v>
      </c>
      <c r="AB64" s="380">
        <f>Z64+IF(NOT(ISBLANK(OFFSET(AB64,0,6))),N(OFFSET(AB64,0,6)),N(OFFSET(AB64,0,7)))-AA64</f>
        <v/>
      </c>
      <c r="AC64" s="41" t="n"/>
      <c r="AD64" s="138" t="n"/>
      <c r="AE64" s="138" t="n"/>
      <c r="AG64" s="76" t="n"/>
      <c r="AH64" s="41" t="n"/>
      <c r="AI64" s="19" t="n">
        <v>0</v>
      </c>
      <c r="AJ64" s="19" t="n">
        <v>0</v>
      </c>
      <c r="AK64" s="19" t="n">
        <v>0</v>
      </c>
      <c r="AL64" s="163" t="n"/>
      <c r="AM64" s="163" t="n"/>
      <c r="AN64" s="163" t="n"/>
      <c r="AO64" s="163" t="n"/>
      <c r="AP64" s="163" t="n"/>
      <c r="AQ64" s="163" t="n"/>
      <c r="AR64" s="163" t="n"/>
      <c r="AS64" s="163" t="n"/>
      <c r="AT64" s="163" t="n"/>
      <c r="AU64" s="163" t="n"/>
      <c r="AV64" s="163" t="n"/>
      <c r="AW64" s="163" t="n"/>
      <c r="AX64" s="163" t="n"/>
      <c r="AY64" s="163" t="n"/>
      <c r="AZ64" s="163" t="n"/>
      <c r="BA64" s="163" t="n"/>
      <c r="BB64" s="163" t="n"/>
      <c r="BC64" s="163" t="n"/>
      <c r="BD64" s="262" t="inlineStr">
        <is>
          <t>05 DE CDJ</t>
        </is>
      </c>
      <c r="BE64" s="163" t="n"/>
    </row>
    <row r="65">
      <c r="B65" s="41" t="n"/>
      <c r="C65" s="684" t="n"/>
      <c r="D65" s="684" t="n"/>
      <c r="F65" s="2" t="n"/>
      <c r="G65" s="2" t="n"/>
      <c r="H65" s="2" t="n"/>
      <c r="I65" s="2" t="n"/>
      <c r="J65" s="2" t="n"/>
      <c r="K65" s="2" t="n"/>
      <c r="L65" s="2" t="n"/>
      <c r="M65" s="2" t="n"/>
      <c r="N65" s="2" t="n"/>
      <c r="O65" s="2" t="n"/>
      <c r="P65" s="2" t="n"/>
      <c r="Q65" s="2" t="n"/>
      <c r="R65" s="2" t="n"/>
      <c r="S65" s="2" t="n"/>
      <c r="T65" s="2" t="n"/>
      <c r="U65" s="2" t="n"/>
      <c r="V65" s="2" t="n"/>
      <c r="W65" s="2" t="n"/>
      <c r="X65" s="2" t="n"/>
      <c r="Y65" s="2" t="n"/>
      <c r="Z65" s="2" t="n"/>
      <c r="AA65" s="2" t="n"/>
      <c r="AB65" s="2" t="n"/>
      <c r="AD65" s="75" t="n"/>
      <c r="AF65" s="1" t="n"/>
      <c r="AG65" s="15" t="n"/>
      <c r="AH65" s="41" t="n"/>
      <c r="AI65" s="75" t="n"/>
      <c r="AJ65" s="75" t="n"/>
      <c r="AK65" s="75" t="n"/>
      <c r="AL65" s="75" t="n"/>
      <c r="AM65" s="75" t="n"/>
      <c r="AN65" s="75" t="n"/>
      <c r="AO65" s="75" t="n"/>
      <c r="AP65" s="75" t="n"/>
      <c r="AQ65" s="75" t="n"/>
      <c r="AR65" s="75" t="n"/>
      <c r="AS65" s="75" t="n"/>
      <c r="AT65" s="75" t="n"/>
      <c r="AU65" s="75" t="n"/>
      <c r="AV65" s="75" t="n"/>
      <c r="AW65" s="75" t="n"/>
      <c r="AX65" s="75" t="n"/>
      <c r="AY65" s="206" t="n"/>
      <c r="AZ65" s="206" t="n"/>
      <c r="BA65" s="206" t="n"/>
      <c r="BB65" s="75" t="n"/>
      <c r="BC65" s="75" t="n"/>
      <c r="BD65" s="206" t="n"/>
      <c r="BE65" s="75" t="n"/>
    </row>
    <row r="66">
      <c r="A66" s="220" t="inlineStr">
        <is>
          <t>SACOLAS E CAIXAS EUDORA</t>
        </is>
      </c>
      <c r="B66" s="221" t="n"/>
      <c r="C66" s="221" t="n"/>
      <c r="D66" s="221" t="n"/>
      <c r="F66" s="619" t="n">
        <v>46006</v>
      </c>
      <c r="G66" s="619" t="n">
        <v>46013</v>
      </c>
      <c r="H66" s="619" t="n">
        <v>46020</v>
      </c>
      <c r="I66" s="619" t="n">
        <v>46027</v>
      </c>
      <c r="J66" s="619" t="n">
        <v>46034</v>
      </c>
      <c r="K66" s="619" t="n">
        <v>46041</v>
      </c>
      <c r="L66" s="619" t="n">
        <v>46048</v>
      </c>
      <c r="M66" s="619" t="n">
        <v>46055</v>
      </c>
      <c r="N66" s="619" t="n">
        <v>46062</v>
      </c>
      <c r="O66" s="619" t="n">
        <v>46069</v>
      </c>
      <c r="P66" s="619" t="n">
        <v>46076</v>
      </c>
      <c r="Q66" s="619" t="n">
        <v>46083</v>
      </c>
      <c r="R66" s="619" t="n">
        <v>46090</v>
      </c>
      <c r="S66" s="619" t="n">
        <v>46097</v>
      </c>
      <c r="T66" s="619" t="n">
        <v>46104</v>
      </c>
      <c r="U66" s="619" t="n">
        <v>46111</v>
      </c>
      <c r="V66" s="619" t="n">
        <v>46118</v>
      </c>
      <c r="W66" s="619" t="n">
        <v>46125</v>
      </c>
      <c r="X66" s="619" t="n">
        <v>46132</v>
      </c>
      <c r="Y66" s="619" t="n">
        <v>46139</v>
      </c>
      <c r="Z66" s="619" t="n">
        <v>46146</v>
      </c>
      <c r="AA66" s="619" t="n">
        <v>46154</v>
      </c>
      <c r="AB66" s="621" t="inlineStr">
        <is>
          <t>USOU</t>
        </is>
      </c>
      <c r="AD66" s="29" t="inlineStr">
        <is>
          <t>Pendências</t>
        </is>
      </c>
      <c r="AE66" s="29" t="inlineStr">
        <is>
          <t>Pendências</t>
        </is>
      </c>
      <c r="AF66" s="1" t="n"/>
      <c r="AG66" s="9" t="inlineStr">
        <is>
          <t>Novo Pedido</t>
        </is>
      </c>
      <c r="AH66" s="41" t="n"/>
      <c r="AI66" s="674" t="n">
        <v>46149</v>
      </c>
      <c r="AJ66" s="674" t="n">
        <v>46142</v>
      </c>
      <c r="AK66" s="674" t="n">
        <v>46114</v>
      </c>
      <c r="AL66" s="674" t="n">
        <v>46099</v>
      </c>
      <c r="AM66" s="675" t="n">
        <v>46065</v>
      </c>
      <c r="AN66" s="674" t="n">
        <v>46077</v>
      </c>
      <c r="AO66" s="676" t="n">
        <v>46045</v>
      </c>
      <c r="AP66" s="674" t="n">
        <v>46056</v>
      </c>
      <c r="AQ66" s="674" t="n">
        <v>46017</v>
      </c>
      <c r="AR66" s="674" t="n">
        <v>46007</v>
      </c>
      <c r="AS66" s="674" t="n">
        <v>46001</v>
      </c>
      <c r="AT66" s="674" t="n">
        <v>45994</v>
      </c>
      <c r="AU66" s="674" t="n">
        <v>45986</v>
      </c>
      <c r="AV66" s="674" t="n">
        <v>45980</v>
      </c>
      <c r="AW66" s="674" t="n">
        <v>45980</v>
      </c>
      <c r="AX66" s="674" t="n">
        <v>45973</v>
      </c>
      <c r="AY66" s="677" t="n">
        <v>45982</v>
      </c>
      <c r="AZ66" s="677" t="n">
        <v>45979</v>
      </c>
      <c r="BA66" s="693" t="n">
        <v>45974</v>
      </c>
      <c r="BB66" s="693" t="n">
        <v>45972</v>
      </c>
      <c r="BC66" s="691" t="n">
        <v>45968</v>
      </c>
      <c r="BD66" s="677" t="n">
        <v>45967</v>
      </c>
      <c r="BE66" s="692" t="n">
        <v>45964</v>
      </c>
    </row>
    <row r="67">
      <c r="A67" s="25" t="inlineStr">
        <is>
          <t>SACOLA P EUDORA</t>
        </is>
      </c>
      <c r="B67" s="6" t="n">
        <v>200</v>
      </c>
      <c r="C67" s="632" t="n">
        <v>183.24</v>
      </c>
      <c r="D67" s="240" t="n"/>
      <c r="F67" s="39" t="n">
        <v>821</v>
      </c>
      <c r="G67" s="39" t="n">
        <v>1221</v>
      </c>
      <c r="H67" s="39" t="n">
        <v>1808</v>
      </c>
      <c r="I67" s="39" t="n">
        <v>1808</v>
      </c>
      <c r="J67" s="39" t="n">
        <v>1278</v>
      </c>
      <c r="K67" s="39" t="n">
        <v>1346</v>
      </c>
      <c r="L67" s="39" t="n">
        <v>1208</v>
      </c>
      <c r="M67" s="39" t="n">
        <v>1144</v>
      </c>
      <c r="N67" s="39" t="n">
        <v>1088</v>
      </c>
      <c r="O67" s="39" t="n">
        <v>1020</v>
      </c>
      <c r="P67" s="39" t="n">
        <v>1007</v>
      </c>
      <c r="Q67" s="39" t="n">
        <v>940</v>
      </c>
      <c r="R67" s="39" t="n">
        <v>823</v>
      </c>
      <c r="S67" s="39" t="n">
        <v>740</v>
      </c>
      <c r="T67" s="39" t="n">
        <v>655</v>
      </c>
      <c r="U67" s="39" t="n">
        <v>541</v>
      </c>
      <c r="V67" s="39" t="n">
        <v>490</v>
      </c>
      <c r="W67" s="39" t="n">
        <v>400</v>
      </c>
      <c r="X67" s="39" t="n">
        <v>288</v>
      </c>
      <c r="Y67" s="39" t="n">
        <v>252</v>
      </c>
      <c r="Z67" s="39" t="n">
        <v>0</v>
      </c>
      <c r="AA67" s="39">
        <f>0+AI67</f>
        <v/>
      </c>
      <c r="AB67" s="380">
        <f>Z67+IF(NOT(ISBLANK(OFFSET(AB67,0,6))),N(OFFSET(AB67,0,6)),N(OFFSET(AB67,0,7)))-AA67</f>
        <v/>
      </c>
      <c r="AD67" s="138" t="n"/>
      <c r="AE67" s="138" t="n"/>
      <c r="AF67" s="1" t="n"/>
      <c r="AG67" s="76" t="n"/>
      <c r="AH67" s="41" t="n"/>
      <c r="AI67" s="19" t="n">
        <v>400</v>
      </c>
      <c r="AJ67" s="19" t="n">
        <v>0</v>
      </c>
      <c r="AK67" s="19" t="n">
        <v>0</v>
      </c>
      <c r="AL67" s="19" t="n"/>
      <c r="AM67" s="19" t="n"/>
      <c r="AN67" s="19" t="n"/>
      <c r="AO67" s="19" t="n"/>
      <c r="AP67" s="19" t="n"/>
      <c r="AQ67" s="19" t="n"/>
      <c r="AR67" s="19" t="n"/>
      <c r="AS67" s="19" t="n">
        <v>400</v>
      </c>
      <c r="AT67" s="19" t="n">
        <v>400</v>
      </c>
      <c r="AU67" s="19" t="n">
        <v>200</v>
      </c>
      <c r="AV67" s="19" t="n">
        <v>400</v>
      </c>
      <c r="AW67" s="19" t="n"/>
      <c r="AX67" s="19" t="n"/>
      <c r="AY67" s="119" t="n"/>
      <c r="AZ67" s="119" t="n"/>
      <c r="BA67" s="119" t="n"/>
      <c r="BB67" s="19" t="n"/>
      <c r="BC67" s="19" t="n"/>
      <c r="BD67" s="119" t="n"/>
      <c r="BE67" s="19" t="n"/>
    </row>
    <row r="68">
      <c r="A68" s="25" t="inlineStr">
        <is>
          <t>SACOLA M EUDORA</t>
        </is>
      </c>
      <c r="B68" s="6" t="n">
        <v>200</v>
      </c>
      <c r="C68" s="632" t="n">
        <v>240.83</v>
      </c>
      <c r="D68" s="240" t="n"/>
      <c r="F68" s="39" t="n">
        <v>295</v>
      </c>
      <c r="G68" s="39" t="n">
        <v>502</v>
      </c>
      <c r="H68" s="39" t="n">
        <v>635</v>
      </c>
      <c r="I68" s="39">
        <f>628+AQ68</f>
        <v/>
      </c>
      <c r="J68" s="39" t="n">
        <v>804</v>
      </c>
      <c r="K68" s="39" t="n">
        <v>800</v>
      </c>
      <c r="L68" s="39" t="n">
        <v>800</v>
      </c>
      <c r="M68" s="39" t="n">
        <v>760</v>
      </c>
      <c r="N68" s="39" t="n">
        <v>915</v>
      </c>
      <c r="O68" s="39" t="n">
        <v>680</v>
      </c>
      <c r="P68" s="39" t="n">
        <v>619</v>
      </c>
      <c r="Q68" s="39" t="n">
        <v>619</v>
      </c>
      <c r="R68" s="39" t="n">
        <v>486</v>
      </c>
      <c r="S68" s="39" t="n">
        <v>414</v>
      </c>
      <c r="T68" s="39">
        <f>351+AL68</f>
        <v/>
      </c>
      <c r="U68" s="39" t="n">
        <v>734</v>
      </c>
      <c r="V68" s="39" t="n">
        <v>701</v>
      </c>
      <c r="W68" s="39" t="n">
        <v>600</v>
      </c>
      <c r="X68" s="39" t="n">
        <v>380</v>
      </c>
      <c r="Y68" s="39" t="n">
        <v>320</v>
      </c>
      <c r="Z68" s="39" t="n">
        <v>200</v>
      </c>
      <c r="AA68" s="39" t="n">
        <v>200</v>
      </c>
      <c r="AB68" s="380">
        <f>Z68+IF(NOT(ISBLANK(OFFSET(AB68,0,6))),N(OFFSET(AB68,0,6)),N(OFFSET(AB68,0,7)))-AA68</f>
        <v/>
      </c>
      <c r="AD68" s="138" t="n"/>
      <c r="AE68" s="138" t="n"/>
      <c r="AF68" s="1" t="n"/>
      <c r="AG68" s="76" t="n"/>
      <c r="AH68" s="41" t="n"/>
      <c r="AI68" s="19" t="n">
        <v>0</v>
      </c>
      <c r="AJ68" s="19" t="n">
        <v>0</v>
      </c>
      <c r="AK68" s="19" t="n">
        <v>0</v>
      </c>
      <c r="AL68" s="19" t="n">
        <v>400</v>
      </c>
      <c r="AM68" s="19" t="n"/>
      <c r="AN68" s="19" t="n"/>
      <c r="AO68" s="19" t="n"/>
      <c r="AP68" s="19" t="n"/>
      <c r="AQ68" s="19" t="n">
        <v>200</v>
      </c>
      <c r="AR68" s="19" t="n">
        <v>200</v>
      </c>
      <c r="AS68" s="19" t="n">
        <v>200</v>
      </c>
      <c r="AT68" s="19" t="n"/>
      <c r="AU68" s="19" t="n">
        <v>200</v>
      </c>
      <c r="AV68" s="19" t="n"/>
      <c r="AW68" s="19" t="n">
        <v>200</v>
      </c>
      <c r="AX68" s="19" t="n"/>
      <c r="AY68" s="119" t="n"/>
      <c r="AZ68" s="119" t="n"/>
      <c r="BA68" s="119" t="n"/>
      <c r="BB68" s="19" t="n"/>
      <c r="BC68" s="19" t="n"/>
      <c r="BD68" s="119" t="n"/>
      <c r="BE68" s="19" t="n"/>
    </row>
    <row r="69">
      <c r="A69" s="25" t="inlineStr">
        <is>
          <t>SACOLA G EUDORA</t>
        </is>
      </c>
      <c r="B69" s="6" t="n">
        <v>100</v>
      </c>
      <c r="C69" s="632" t="n">
        <v>175.13</v>
      </c>
      <c r="D69" s="240" t="n"/>
      <c r="F69" s="39" t="n">
        <v>81</v>
      </c>
      <c r="G69" s="39" t="n">
        <v>81</v>
      </c>
      <c r="H69" s="39" t="n">
        <v>4</v>
      </c>
      <c r="I69" s="39" t="n">
        <v>204</v>
      </c>
      <c r="J69" s="39" t="n">
        <v>200</v>
      </c>
      <c r="K69" s="39" t="n">
        <v>200</v>
      </c>
      <c r="L69" s="39" t="n">
        <v>200</v>
      </c>
      <c r="M69" s="39" t="n">
        <v>483</v>
      </c>
      <c r="N69" s="39" t="n">
        <v>302</v>
      </c>
      <c r="O69" s="39" t="n">
        <v>263</v>
      </c>
      <c r="P69" s="39" t="n">
        <v>216</v>
      </c>
      <c r="Q69" s="39" t="n">
        <v>204</v>
      </c>
      <c r="R69" s="39" t="n">
        <v>162</v>
      </c>
      <c r="S69" s="39" t="n">
        <v>141</v>
      </c>
      <c r="T69" s="39" t="n">
        <v>103</v>
      </c>
      <c r="U69" s="39" t="n">
        <v>69</v>
      </c>
      <c r="V69" s="39" t="n">
        <v>152</v>
      </c>
      <c r="W69" s="39" t="n">
        <v>110</v>
      </c>
      <c r="X69" s="39" t="n">
        <v>0</v>
      </c>
      <c r="Y69" s="39" t="n">
        <v>0</v>
      </c>
      <c r="Z69" s="39" t="n">
        <v>0</v>
      </c>
      <c r="AA69" s="39" t="n">
        <v>0</v>
      </c>
      <c r="AB69" s="380">
        <f>Z69+IF(NOT(ISBLANK(OFFSET(AB69,0,6))),N(OFFSET(AB69,0,6)),N(OFFSET(AB69,0,7)))-AA69</f>
        <v/>
      </c>
      <c r="AD69" s="138" t="inlineStr">
        <is>
          <t>100 DE CDJ</t>
        </is>
      </c>
      <c r="AE69" s="138" t="n"/>
      <c r="AF69" s="1" t="n"/>
      <c r="AG69" s="76" t="n"/>
      <c r="AH69" s="41" t="n"/>
      <c r="AI69" s="19" t="n">
        <v>0</v>
      </c>
      <c r="AJ69" s="19" t="n">
        <v>0</v>
      </c>
      <c r="AK69" s="19" t="n">
        <v>0</v>
      </c>
      <c r="AL69" s="19" t="n"/>
      <c r="AM69" s="19" t="n"/>
      <c r="AN69" s="19" t="n"/>
      <c r="AO69" s="19" t="n"/>
      <c r="AP69" s="19" t="n"/>
      <c r="AQ69" s="19" t="n">
        <v>200</v>
      </c>
      <c r="AR69" s="19" t="n">
        <v>100</v>
      </c>
      <c r="AS69" s="19" t="n">
        <v>100</v>
      </c>
      <c r="AT69" s="19" t="n">
        <v>100</v>
      </c>
      <c r="AU69" s="19" t="n"/>
      <c r="AV69" s="19" t="n"/>
      <c r="AW69" s="19" t="n">
        <v>100</v>
      </c>
      <c r="AX69" s="19" t="n"/>
      <c r="AY69" s="119" t="n"/>
      <c r="AZ69" s="119" t="n"/>
      <c r="BA69" s="119" t="n"/>
      <c r="BB69" s="19" t="n"/>
      <c r="BC69" s="19" t="n"/>
      <c r="BD69" s="260" t="inlineStr">
        <is>
          <t>100 DE CDJ</t>
        </is>
      </c>
      <c r="BE69" s="19" t="n"/>
    </row>
    <row r="70">
      <c r="A70" s="538" t="inlineStr">
        <is>
          <t>PAPEL DE SEDA EUDORA</t>
        </is>
      </c>
      <c r="B70" s="223" t="n">
        <v>200</v>
      </c>
      <c r="C70" s="683" t="n">
        <v>29.77</v>
      </c>
      <c r="D70" s="240" t="n"/>
      <c r="F70" s="39" t="n">
        <v>1</v>
      </c>
      <c r="G70" s="39" t="n">
        <v>1</v>
      </c>
      <c r="H70" s="39" t="n">
        <v>3</v>
      </c>
      <c r="I70" s="39" t="n">
        <v>3</v>
      </c>
      <c r="J70" s="39" t="n">
        <v>3</v>
      </c>
      <c r="K70" s="39" t="n">
        <v>3</v>
      </c>
      <c r="L70" s="39" t="n">
        <v>3</v>
      </c>
      <c r="M70" s="39" t="n">
        <v>3</v>
      </c>
      <c r="N70" s="39" t="n">
        <v>3</v>
      </c>
      <c r="O70" s="39" t="n">
        <v>3</v>
      </c>
      <c r="P70" s="39" t="n">
        <v>3</v>
      </c>
      <c r="Q70" s="39" t="n">
        <v>3</v>
      </c>
      <c r="R70" s="39" t="n">
        <v>3</v>
      </c>
      <c r="S70" s="39" t="n">
        <v>3</v>
      </c>
      <c r="T70" s="39" t="n">
        <v>3</v>
      </c>
      <c r="U70" s="39" t="n">
        <v>3</v>
      </c>
      <c r="V70" s="39" t="n">
        <v>3</v>
      </c>
      <c r="W70" s="39" t="n">
        <v>3</v>
      </c>
      <c r="X70" s="39" t="n">
        <v>3</v>
      </c>
      <c r="Y70" s="39" t="n">
        <v>3</v>
      </c>
      <c r="Z70" s="39" t="n">
        <v>3</v>
      </c>
      <c r="AA70" s="39" t="n">
        <v>3</v>
      </c>
      <c r="AB70" s="380">
        <f>Z70+IF(NOT(ISBLANK(OFFSET(AB70,0,6))),N(OFFSET(AB70,0,6)),N(OFFSET(AB70,0,7)))-AA70</f>
        <v/>
      </c>
      <c r="AD70" s="138" t="n"/>
      <c r="AE70" s="138" t="n"/>
      <c r="AF70" s="1" t="n"/>
      <c r="AG70" s="32" t="n"/>
      <c r="AH70" s="41" t="n"/>
      <c r="AI70" s="19" t="n">
        <v>0</v>
      </c>
      <c r="AJ70" s="19" t="n">
        <v>0</v>
      </c>
      <c r="AK70" s="19" t="n">
        <v>0</v>
      </c>
      <c r="AL70" s="19" t="n"/>
      <c r="AM70" s="19" t="n"/>
      <c r="AN70" s="19" t="n"/>
      <c r="AO70" s="19" t="n"/>
      <c r="AP70" s="19" t="n"/>
      <c r="AQ70" s="19" t="n"/>
      <c r="AR70" s="19" t="n"/>
      <c r="AS70" s="19" t="n">
        <v>1</v>
      </c>
      <c r="AT70" s="19" t="n"/>
      <c r="AU70" s="19" t="n"/>
      <c r="AV70" s="19" t="n"/>
      <c r="AW70" s="19" t="n">
        <v>2</v>
      </c>
      <c r="AX70" s="19" t="n"/>
      <c r="AY70" s="119" t="n"/>
      <c r="AZ70" s="119" t="n"/>
      <c r="BA70" s="119" t="n"/>
      <c r="BB70" s="19" t="n"/>
      <c r="BC70" s="19" t="n"/>
      <c r="BD70" s="119" t="n"/>
      <c r="BE70" s="19" t="n"/>
    </row>
    <row r="71">
      <c r="A71" s="538" t="inlineStr">
        <is>
          <t>ADESIVOS EUDORA</t>
        </is>
      </c>
      <c r="B71" s="223" t="n">
        <v>1000</v>
      </c>
      <c r="C71" s="683" t="n">
        <v>70</v>
      </c>
      <c r="D71" s="240" t="n"/>
      <c r="F71" s="39" t="n">
        <v>1</v>
      </c>
      <c r="G71" s="39" t="n">
        <v>1</v>
      </c>
      <c r="H71" s="39" t="n">
        <v>2</v>
      </c>
      <c r="I71" s="39" t="n">
        <v>2</v>
      </c>
      <c r="J71" s="39" t="n">
        <v>2</v>
      </c>
      <c r="K71" s="39" t="n">
        <v>2</v>
      </c>
      <c r="L71" s="39" t="n">
        <v>2</v>
      </c>
      <c r="M71" s="39" t="n">
        <v>2</v>
      </c>
      <c r="N71" s="39" t="n">
        <v>2</v>
      </c>
      <c r="O71" s="39" t="n">
        <v>2</v>
      </c>
      <c r="P71" s="39" t="n">
        <v>2</v>
      </c>
      <c r="Q71" s="39" t="n">
        <v>2</v>
      </c>
      <c r="R71" s="39" t="n">
        <v>2</v>
      </c>
      <c r="S71" s="39" t="n">
        <v>2</v>
      </c>
      <c r="T71" s="39" t="n">
        <v>2</v>
      </c>
      <c r="U71" s="39" t="n">
        <v>2</v>
      </c>
      <c r="V71" s="39" t="n">
        <v>2</v>
      </c>
      <c r="W71" s="39" t="n">
        <v>2</v>
      </c>
      <c r="X71" s="39" t="n">
        <v>2</v>
      </c>
      <c r="Y71" s="39" t="n">
        <v>2</v>
      </c>
      <c r="Z71" s="39" t="n">
        <v>2</v>
      </c>
      <c r="AA71" s="39" t="n">
        <v>2</v>
      </c>
      <c r="AB71" s="380">
        <f>Z71+IF(NOT(ISBLANK(OFFSET(AB71,0,6))),N(OFFSET(AB71,0,6)),N(OFFSET(AB71,0,7)))-AA71</f>
        <v/>
      </c>
      <c r="AD71" s="138" t="n"/>
      <c r="AE71" s="138" t="n"/>
      <c r="AF71" s="1" t="n"/>
      <c r="AG71" s="76" t="n"/>
      <c r="AH71" s="41" t="n"/>
      <c r="AI71" s="19" t="n">
        <v>0</v>
      </c>
      <c r="AJ71" s="19" t="n">
        <v>0</v>
      </c>
      <c r="AK71" s="19" t="n">
        <v>0</v>
      </c>
      <c r="AL71" s="19" t="n"/>
      <c r="AM71" s="19" t="n"/>
      <c r="AN71" s="19" t="n"/>
      <c r="AO71" s="19" t="n"/>
      <c r="AP71" s="19" t="n"/>
      <c r="AQ71" s="19" t="n"/>
      <c r="AR71" s="19" t="n"/>
      <c r="AS71" s="19" t="n">
        <v>1</v>
      </c>
      <c r="AT71" s="19" t="n"/>
      <c r="AU71" s="19" t="n"/>
      <c r="AV71" s="19" t="n"/>
      <c r="AW71" s="19" t="n">
        <v>2</v>
      </c>
      <c r="AX71" s="19" t="n"/>
      <c r="AY71" s="119" t="n"/>
      <c r="AZ71" s="119" t="n"/>
      <c r="BA71" s="119" t="n"/>
      <c r="BB71" s="19" t="n"/>
      <c r="BC71" s="19" t="n"/>
      <c r="BD71" s="119" t="n"/>
      <c r="BE71" s="19" t="n"/>
    </row>
    <row r="72">
      <c r="A72" s="538" t="inlineStr">
        <is>
          <t>LÂMINA OLFATIVA EUDORA</t>
        </is>
      </c>
      <c r="B72" s="225" t="n">
        <v>2000</v>
      </c>
      <c r="C72" s="683" t="n">
        <v>71</v>
      </c>
      <c r="D72" s="240" t="n"/>
      <c r="F72" s="39" t="n">
        <v>0</v>
      </c>
      <c r="G72" s="39" t="n">
        <v>0</v>
      </c>
      <c r="H72" s="39" t="n">
        <v>0</v>
      </c>
      <c r="I72" s="39" t="n">
        <v>0</v>
      </c>
      <c r="J72" s="39" t="n">
        <v>0</v>
      </c>
      <c r="K72" s="39" t="n">
        <v>0</v>
      </c>
      <c r="L72" s="39" t="n">
        <v>0</v>
      </c>
      <c r="M72" s="39" t="n">
        <v>0</v>
      </c>
      <c r="N72" s="39" t="n">
        <v>0</v>
      </c>
      <c r="O72" s="39" t="n">
        <v>0</v>
      </c>
      <c r="P72" s="39" t="n">
        <v>0</v>
      </c>
      <c r="Q72" s="39" t="n">
        <v>0</v>
      </c>
      <c r="R72" s="39" t="n">
        <v>0</v>
      </c>
      <c r="S72" s="39" t="n">
        <v>0</v>
      </c>
      <c r="T72" s="39" t="n">
        <v>0</v>
      </c>
      <c r="U72" s="39" t="n">
        <v>0</v>
      </c>
      <c r="V72" s="39" t="n">
        <v>0</v>
      </c>
      <c r="W72" s="39" t="n">
        <v>0</v>
      </c>
      <c r="X72" s="39" t="n">
        <v>0</v>
      </c>
      <c r="Y72" s="39" t="n">
        <v>0</v>
      </c>
      <c r="Z72" s="39" t="n">
        <v>0</v>
      </c>
      <c r="AA72" s="39" t="n">
        <v>0</v>
      </c>
      <c r="AB72" s="380">
        <f>Z72+IF(NOT(ISBLANK(OFFSET(AB72,0,6))),N(OFFSET(AB72,0,6)),N(OFFSET(AB72,0,7)))-AA72</f>
        <v/>
      </c>
      <c r="AD72" s="138" t="n"/>
      <c r="AE72" s="138" t="n"/>
      <c r="AF72" s="1" t="n"/>
      <c r="AG72" s="76" t="n"/>
      <c r="AH72" s="41" t="n"/>
      <c r="AI72" s="19" t="n">
        <v>0</v>
      </c>
      <c r="AJ72" s="19" t="n">
        <v>0</v>
      </c>
      <c r="AK72" s="19" t="n">
        <v>0</v>
      </c>
      <c r="AL72" s="19" t="n"/>
      <c r="AM72" s="19" t="n"/>
      <c r="AN72" s="19" t="n"/>
      <c r="AO72" s="19" t="n"/>
      <c r="AP72" s="19" t="n"/>
      <c r="AQ72" s="19" t="n"/>
      <c r="AR72" s="19" t="n"/>
      <c r="AS72" s="19" t="n"/>
      <c r="AT72" s="19" t="n"/>
      <c r="AU72" s="19" t="n"/>
      <c r="AV72" s="19" t="n"/>
      <c r="AW72" s="19" t="n"/>
      <c r="AX72" s="19" t="n"/>
      <c r="AY72" s="119" t="n"/>
      <c r="AZ72" s="119" t="n"/>
      <c r="BA72" s="119" t="n"/>
      <c r="BB72" s="19" t="n"/>
      <c r="BC72" s="19" t="n"/>
      <c r="BD72" s="119" t="n"/>
      <c r="BE72" s="19" t="n"/>
    </row>
    <row r="73">
      <c r="A73" s="538" t="inlineStr">
        <is>
          <t>KIT SACOLA P EUDORA (C/ 10)</t>
        </is>
      </c>
      <c r="B73" s="223" t="n">
        <v>200</v>
      </c>
      <c r="C73" s="683" t="n">
        <v>184.13</v>
      </c>
      <c r="D73" s="240" t="n"/>
      <c r="F73" s="39" t="n">
        <v>1</v>
      </c>
      <c r="G73" s="39" t="n">
        <v>1</v>
      </c>
      <c r="H73" s="39" t="n">
        <v>1</v>
      </c>
      <c r="I73" s="39" t="n">
        <v>1</v>
      </c>
      <c r="J73" s="39" t="n">
        <v>1</v>
      </c>
      <c r="K73" s="39" t="n">
        <v>1</v>
      </c>
      <c r="L73" s="39" t="n">
        <v>1</v>
      </c>
      <c r="M73" s="39" t="n">
        <v>1</v>
      </c>
      <c r="N73" s="39" t="n">
        <v>0</v>
      </c>
      <c r="O73" s="39" t="n">
        <v>0</v>
      </c>
      <c r="P73" s="39" t="n">
        <v>0</v>
      </c>
      <c r="Q73" s="39" t="n">
        <v>0</v>
      </c>
      <c r="R73" s="39" t="n">
        <v>0</v>
      </c>
      <c r="S73" s="39" t="n">
        <v>0</v>
      </c>
      <c r="T73" s="39" t="n">
        <v>0</v>
      </c>
      <c r="U73" s="39" t="n">
        <v>0</v>
      </c>
      <c r="V73" s="39" t="n"/>
      <c r="W73" s="39" t="n"/>
      <c r="X73" s="39" t="n"/>
      <c r="Y73" s="39" t="n"/>
      <c r="Z73" s="39" t="n"/>
      <c r="AA73" s="39" t="n">
        <v>0</v>
      </c>
      <c r="AB73" s="380">
        <f>Z73+IF(NOT(ISBLANK(OFFSET(AB73,0,6))),N(OFFSET(AB73,0,6)),N(OFFSET(AB73,0,7)))-AA73</f>
        <v/>
      </c>
      <c r="AD73" s="138" t="n"/>
      <c r="AE73" s="138" t="n"/>
      <c r="AF73" s="1" t="n"/>
      <c r="AG73" s="76" t="n"/>
      <c r="AH73" s="41" t="n"/>
      <c r="AI73" s="19" t="n">
        <v>0</v>
      </c>
      <c r="AJ73" s="19" t="n">
        <v>0</v>
      </c>
      <c r="AK73" s="19" t="n">
        <v>0</v>
      </c>
      <c r="AL73" s="19" t="n"/>
      <c r="AM73" s="19" t="n"/>
      <c r="AN73" s="19" t="n"/>
      <c r="AO73" s="19" t="n"/>
      <c r="AP73" s="19" t="n"/>
      <c r="AQ73" s="19" t="n"/>
      <c r="AR73" s="19" t="n"/>
      <c r="AS73" s="19" t="n"/>
      <c r="AT73" s="19" t="n"/>
      <c r="AU73" s="19" t="n"/>
      <c r="AV73" s="19" t="n"/>
      <c r="AW73" s="19" t="n"/>
      <c r="AX73" s="19" t="n"/>
      <c r="AY73" s="119" t="n"/>
      <c r="AZ73" s="119" t="n"/>
      <c r="BA73" s="119" t="n"/>
      <c r="BB73" s="19" t="n"/>
      <c r="BC73" s="19" t="n"/>
      <c r="BD73" s="260" t="inlineStr">
        <is>
          <t>05 DE CDJ</t>
        </is>
      </c>
      <c r="BE73" s="19" t="n"/>
    </row>
    <row r="74">
      <c r="A74" s="538" t="inlineStr">
        <is>
          <t>KIT SACOLA M EUDORA (C/ 10)</t>
        </is>
      </c>
      <c r="B74" s="223" t="n">
        <v>150</v>
      </c>
      <c r="C74" s="683" t="n">
        <v>181.4</v>
      </c>
      <c r="D74" s="240" t="n"/>
      <c r="F74" s="39" t="n">
        <v>3</v>
      </c>
      <c r="G74" s="39" t="n">
        <v>3</v>
      </c>
      <c r="H74" s="39" t="n">
        <v>3</v>
      </c>
      <c r="I74" s="39" t="n">
        <v>3</v>
      </c>
      <c r="J74" s="39" t="n">
        <v>3</v>
      </c>
      <c r="K74" s="39" t="n">
        <v>3</v>
      </c>
      <c r="L74" s="39" t="n">
        <v>3</v>
      </c>
      <c r="M74" s="39" t="n">
        <v>3</v>
      </c>
      <c r="N74" s="39" t="n">
        <v>2</v>
      </c>
      <c r="O74" s="39" t="n">
        <v>2</v>
      </c>
      <c r="P74" s="39" t="n">
        <v>2</v>
      </c>
      <c r="Q74" s="39" t="n">
        <v>2</v>
      </c>
      <c r="R74" s="39" t="n">
        <v>2</v>
      </c>
      <c r="S74" s="39" t="n">
        <v>2</v>
      </c>
      <c r="T74" s="39" t="n">
        <v>2</v>
      </c>
      <c r="U74" s="39" t="n">
        <v>2</v>
      </c>
      <c r="V74" s="39" t="n"/>
      <c r="W74" s="39" t="n"/>
      <c r="X74" s="39" t="n"/>
      <c r="Y74" s="39" t="n"/>
      <c r="Z74" s="39" t="n"/>
      <c r="AA74" s="39" t="n">
        <v>2</v>
      </c>
      <c r="AB74" s="380">
        <f>Z74+IF(NOT(ISBLANK(OFFSET(AB74,0,6))),N(OFFSET(AB74,0,6)),N(OFFSET(AB74,0,7)))-AA74</f>
        <v/>
      </c>
      <c r="AD74" s="138" t="n"/>
      <c r="AE74" s="138" t="n"/>
      <c r="AF74" s="1" t="n"/>
      <c r="AG74" s="76" t="n"/>
      <c r="AH74" s="41" t="n"/>
      <c r="AI74" s="19" t="n">
        <v>0</v>
      </c>
      <c r="AJ74" s="19" t="n">
        <v>0</v>
      </c>
      <c r="AK74" s="19" t="n">
        <v>0</v>
      </c>
      <c r="AL74" s="19" t="n"/>
      <c r="AM74" s="19" t="n"/>
      <c r="AN74" s="19" t="n"/>
      <c r="AO74" s="19" t="n"/>
      <c r="AP74" s="19" t="n"/>
      <c r="AQ74" s="19" t="n"/>
      <c r="AR74" s="19" t="n"/>
      <c r="AS74" s="19" t="n"/>
      <c r="AT74" s="19" t="n"/>
      <c r="AU74" s="19" t="n"/>
      <c r="AV74" s="19" t="n"/>
      <c r="AW74" s="19" t="n"/>
      <c r="AX74" s="19" t="n"/>
      <c r="AY74" s="119" t="n"/>
      <c r="AZ74" s="119" t="n"/>
      <c r="BA74" s="119" t="n"/>
      <c r="BB74" s="19" t="n"/>
      <c r="BC74" s="19" t="n"/>
      <c r="BD74" s="260" t="inlineStr">
        <is>
          <t>05 DE ERJ</t>
        </is>
      </c>
      <c r="BE74" s="19" t="n"/>
    </row>
    <row r="75">
      <c r="A75" s="538" t="inlineStr">
        <is>
          <t>KIT SACOLA G EUDORA (C/ 10)</t>
        </is>
      </c>
      <c r="B75" s="223" t="inlineStr">
        <is>
          <t>-</t>
        </is>
      </c>
      <c r="C75" s="683" t="inlineStr">
        <is>
          <t>-</t>
        </is>
      </c>
      <c r="D75" s="240" t="n"/>
      <c r="F75" s="39" t="n">
        <v>0</v>
      </c>
      <c r="G75" s="39" t="n">
        <v>0</v>
      </c>
      <c r="H75" s="39" t="n">
        <v>0</v>
      </c>
      <c r="I75" s="39" t="n">
        <v>0</v>
      </c>
      <c r="J75" s="39" t="n">
        <v>0</v>
      </c>
      <c r="K75" s="39" t="n">
        <v>0</v>
      </c>
      <c r="L75" s="39" t="n">
        <v>0</v>
      </c>
      <c r="M75" s="39" t="n">
        <v>0</v>
      </c>
      <c r="N75" s="39" t="n">
        <v>0</v>
      </c>
      <c r="O75" s="39" t="n">
        <v>0</v>
      </c>
      <c r="P75" s="39" t="n">
        <v>0</v>
      </c>
      <c r="Q75" s="39" t="n">
        <v>0</v>
      </c>
      <c r="R75" s="39" t="n">
        <v>0</v>
      </c>
      <c r="S75" s="39" t="n">
        <v>0</v>
      </c>
      <c r="T75" s="39" t="n">
        <v>0</v>
      </c>
      <c r="U75" s="39" t="n">
        <v>0</v>
      </c>
      <c r="V75" s="39" t="n"/>
      <c r="W75" s="39" t="n"/>
      <c r="X75" s="39" t="n"/>
      <c r="Y75" s="39" t="n"/>
      <c r="Z75" s="39" t="n"/>
      <c r="AA75" s="39" t="n">
        <v>0</v>
      </c>
      <c r="AB75" s="380">
        <f>Z75+IF(NOT(ISBLANK(OFFSET(AB75,0,6))),N(OFFSET(AB75,0,6)),N(OFFSET(AB75,0,7)))-AA75</f>
        <v/>
      </c>
      <c r="AD75" s="138" t="n"/>
      <c r="AE75" s="138" t="n"/>
      <c r="AF75" s="1" t="n"/>
      <c r="AG75" s="76" t="n"/>
      <c r="AH75" s="41" t="n"/>
      <c r="AI75" s="19" t="n">
        <v>0</v>
      </c>
      <c r="AJ75" s="19" t="n">
        <v>0</v>
      </c>
      <c r="AK75" s="19" t="n">
        <v>0</v>
      </c>
      <c r="AL75" s="19" t="n"/>
      <c r="AM75" s="19" t="n"/>
      <c r="AN75" s="19" t="n"/>
      <c r="AO75" s="19" t="n"/>
      <c r="AP75" s="19" t="n"/>
      <c r="AQ75" s="19" t="n"/>
      <c r="AR75" s="19" t="n"/>
      <c r="AS75" s="19" t="n"/>
      <c r="AT75" s="19" t="n"/>
      <c r="AU75" s="19" t="n"/>
      <c r="AV75" s="19" t="n"/>
      <c r="AW75" s="19" t="n"/>
      <c r="AX75" s="19" t="n"/>
      <c r="AY75" s="119" t="n"/>
      <c r="AZ75" s="119" t="n"/>
      <c r="BA75" s="119" t="n"/>
      <c r="BB75" s="19" t="n"/>
      <c r="BC75" s="19" t="n"/>
      <c r="BD75" s="119" t="n"/>
      <c r="BE75" s="19" t="n"/>
    </row>
    <row r="76">
      <c r="A76" s="538" t="inlineStr">
        <is>
          <t>CAIXA P EUDORA</t>
        </is>
      </c>
      <c r="B76" s="223" t="n">
        <v>150</v>
      </c>
      <c r="C76" s="683" t="n">
        <v>400.5</v>
      </c>
      <c r="D76" s="240" t="n"/>
      <c r="F76" s="39" t="n">
        <v>0</v>
      </c>
      <c r="G76" s="39" t="n">
        <v>0</v>
      </c>
      <c r="H76" s="39" t="n">
        <v>0</v>
      </c>
      <c r="I76" s="39" t="n">
        <v>0</v>
      </c>
      <c r="J76" s="39" t="n">
        <v>0</v>
      </c>
      <c r="K76" s="39" t="n">
        <v>0</v>
      </c>
      <c r="L76" s="39" t="n">
        <v>0</v>
      </c>
      <c r="M76" s="39" t="n">
        <v>0</v>
      </c>
      <c r="N76" s="211" t="n">
        <v>9</v>
      </c>
      <c r="O76" s="39" t="n">
        <v>9</v>
      </c>
      <c r="P76" s="39" t="n">
        <v>9</v>
      </c>
      <c r="Q76" s="39" t="n">
        <v>9</v>
      </c>
      <c r="R76" s="39" t="n">
        <v>9</v>
      </c>
      <c r="S76" s="39" t="n">
        <v>6</v>
      </c>
      <c r="T76" s="39" t="n">
        <v>6</v>
      </c>
      <c r="U76" s="39" t="n">
        <v>6</v>
      </c>
      <c r="V76" s="39" t="n"/>
      <c r="W76" s="39" t="n"/>
      <c r="X76" s="39" t="n"/>
      <c r="Y76" s="39" t="n"/>
      <c r="Z76" s="39" t="n"/>
      <c r="AA76" s="39" t="n">
        <v>6</v>
      </c>
      <c r="AB76" s="380">
        <f>Z76+IF(NOT(ISBLANK(OFFSET(AB76,0,6))),N(OFFSET(AB76,0,6)),N(OFFSET(AB76,0,7)))-AA76</f>
        <v/>
      </c>
      <c r="AD76" s="138" t="inlineStr">
        <is>
          <t>15 DE CD</t>
        </is>
      </c>
      <c r="AE76" s="138" t="n"/>
      <c r="AF76" s="1" t="n"/>
      <c r="AG76" s="76" t="n"/>
      <c r="AH76" s="41" t="n"/>
      <c r="AI76" s="19" t="n">
        <v>0</v>
      </c>
      <c r="AJ76" s="19" t="n">
        <v>0</v>
      </c>
      <c r="AK76" s="19" t="n">
        <v>0</v>
      </c>
      <c r="AL76" s="19" t="n"/>
      <c r="AM76" s="19" t="n"/>
      <c r="AN76" s="19" t="n"/>
      <c r="AO76" s="19" t="n"/>
      <c r="AP76" s="19" t="n"/>
      <c r="AQ76" s="19" t="n"/>
      <c r="AR76" s="19" t="n"/>
      <c r="AS76" s="19" t="n"/>
      <c r="AT76" s="19" t="n"/>
      <c r="AU76" s="19" t="n"/>
      <c r="AV76" s="19" t="n"/>
      <c r="AW76" s="19" t="n"/>
      <c r="AX76" s="19" t="n"/>
      <c r="AY76" s="119" t="n"/>
      <c r="AZ76" s="119" t="n"/>
      <c r="BA76" s="119" t="n"/>
      <c r="BB76" s="19" t="n"/>
      <c r="BC76" s="19" t="n"/>
      <c r="BD76" s="260" t="inlineStr">
        <is>
          <t>10 DE CDJ</t>
        </is>
      </c>
      <c r="BE76" s="19" t="n"/>
    </row>
    <row r="77">
      <c r="A77" s="538" t="inlineStr">
        <is>
          <t>CAIXA M EUDORA</t>
        </is>
      </c>
      <c r="B77" s="223" t="n">
        <v>100</v>
      </c>
      <c r="C77" s="683" t="n">
        <v>365</v>
      </c>
      <c r="D77" s="240" t="n"/>
      <c r="F77" s="39" t="n">
        <v>0</v>
      </c>
      <c r="G77" s="39" t="n">
        <v>0</v>
      </c>
      <c r="H77" s="39" t="n">
        <v>0</v>
      </c>
      <c r="I77" s="39" t="n">
        <v>0</v>
      </c>
      <c r="J77" s="39" t="n">
        <v>0</v>
      </c>
      <c r="K77" s="39" t="n">
        <v>0</v>
      </c>
      <c r="L77" s="39" t="n">
        <v>0</v>
      </c>
      <c r="M77" s="39" t="n">
        <v>0</v>
      </c>
      <c r="N77" s="39" t="n">
        <v>0</v>
      </c>
      <c r="O77" s="39" t="n">
        <v>0</v>
      </c>
      <c r="P77" s="39" t="n">
        <v>0</v>
      </c>
      <c r="Q77" s="39" t="n">
        <v>0</v>
      </c>
      <c r="R77" s="39" t="n">
        <v>0</v>
      </c>
      <c r="S77" s="39" t="n">
        <v>0</v>
      </c>
      <c r="T77" s="39" t="n">
        <v>0</v>
      </c>
      <c r="U77" s="39" t="n">
        <v>0</v>
      </c>
      <c r="V77" s="39" t="n"/>
      <c r="W77" s="39" t="n"/>
      <c r="X77" s="39" t="n"/>
      <c r="Y77" s="39" t="n"/>
      <c r="Z77" s="39" t="n"/>
      <c r="AA77" s="39" t="n">
        <v>0</v>
      </c>
      <c r="AB77" s="380">
        <f>Z77+IF(NOT(ISBLANK(OFFSET(AB77,0,6))),N(OFFSET(AB77,0,6)),N(OFFSET(AB77,0,7)))-AA77</f>
        <v/>
      </c>
      <c r="AD77" s="138" t="n"/>
      <c r="AE77" s="138" t="n"/>
      <c r="AF77" s="1" t="n"/>
      <c r="AG77" s="76" t="n"/>
      <c r="AH77" s="41" t="n"/>
      <c r="AI77" s="19" t="n">
        <v>0</v>
      </c>
      <c r="AJ77" s="19" t="n">
        <v>0</v>
      </c>
      <c r="AK77" s="19" t="n">
        <v>0</v>
      </c>
      <c r="AL77" s="19" t="n"/>
      <c r="AM77" s="19" t="n"/>
      <c r="AN77" s="19" t="n"/>
      <c r="AO77" s="19" t="n"/>
      <c r="AP77" s="19" t="n"/>
      <c r="AQ77" s="19" t="n"/>
      <c r="AR77" s="19" t="n"/>
      <c r="AS77" s="19" t="n"/>
      <c r="AT77" s="19" t="n"/>
      <c r="AU77" s="19" t="n"/>
      <c r="AV77" s="19" t="n"/>
      <c r="AW77" s="19" t="n"/>
      <c r="AX77" s="19" t="n"/>
      <c r="AY77" s="119" t="n"/>
      <c r="AZ77" s="119" t="n"/>
      <c r="BA77" s="119" t="n"/>
      <c r="BB77" s="19" t="n"/>
      <c r="BC77" s="19" t="n"/>
      <c r="BD77" s="119" t="n"/>
      <c r="BE77" s="19" t="n"/>
    </row>
    <row r="78">
      <c r="A78" s="538" t="inlineStr">
        <is>
          <t>CAIXA G EUDORA</t>
        </is>
      </c>
      <c r="B78" s="223" t="n">
        <v>75</v>
      </c>
      <c r="C78" s="683" t="n">
        <v>438.75</v>
      </c>
      <c r="D78" s="240" t="n"/>
      <c r="F78" s="39" t="n">
        <v>10</v>
      </c>
      <c r="G78" s="39" t="n">
        <v>10</v>
      </c>
      <c r="H78" s="39" t="n">
        <v>10</v>
      </c>
      <c r="I78" s="39" t="n">
        <v>10</v>
      </c>
      <c r="J78" s="39" t="n">
        <v>10</v>
      </c>
      <c r="K78" s="39" t="n">
        <v>10</v>
      </c>
      <c r="L78" s="39" t="n">
        <v>10</v>
      </c>
      <c r="M78" s="39" t="n">
        <v>10</v>
      </c>
      <c r="N78" s="39" t="n">
        <v>10</v>
      </c>
      <c r="O78" s="39" t="n">
        <v>10</v>
      </c>
      <c r="P78" s="39" t="n">
        <v>10</v>
      </c>
      <c r="Q78" s="39" t="n">
        <v>10</v>
      </c>
      <c r="R78" s="39" t="n">
        <v>10</v>
      </c>
      <c r="S78" s="39" t="n">
        <v>10</v>
      </c>
      <c r="T78" s="39" t="n">
        <v>10</v>
      </c>
      <c r="U78" s="39" t="n">
        <v>10</v>
      </c>
      <c r="V78" s="39" t="n"/>
      <c r="W78" s="39" t="n"/>
      <c r="X78" s="39" t="n"/>
      <c r="Y78" s="39" t="n"/>
      <c r="Z78" s="39" t="n"/>
      <c r="AA78" s="39" t="n">
        <v>10</v>
      </c>
      <c r="AB78" s="380">
        <f>Z78+IF(NOT(ISBLANK(OFFSET(AB78,0,6))),N(OFFSET(AB78,0,6)),N(OFFSET(AB78,0,7)))-AA78</f>
        <v/>
      </c>
      <c r="AD78" s="138" t="n"/>
      <c r="AE78" s="138" t="n"/>
      <c r="AF78" s="1" t="n"/>
      <c r="AG78" s="76" t="n"/>
      <c r="AH78" s="41" t="n"/>
      <c r="AI78" s="19" t="n">
        <v>0</v>
      </c>
      <c r="AJ78" s="19" t="n">
        <v>0</v>
      </c>
      <c r="AK78" s="19" t="n">
        <v>0</v>
      </c>
      <c r="AL78" s="19" t="n"/>
      <c r="AM78" s="19" t="n"/>
      <c r="AN78" s="19" t="n"/>
      <c r="AO78" s="19" t="n"/>
      <c r="AP78" s="19" t="n"/>
      <c r="AQ78" s="19" t="n"/>
      <c r="AR78" s="19" t="n"/>
      <c r="AS78" s="19" t="n"/>
      <c r="AT78" s="19" t="n"/>
      <c r="AU78" s="19" t="n"/>
      <c r="AV78" s="19" t="n"/>
      <c r="AW78" s="19" t="n"/>
      <c r="AX78" s="19" t="n"/>
      <c r="AY78" s="119" t="n"/>
      <c r="AZ78" s="119" t="n"/>
      <c r="BA78" s="119" t="n"/>
      <c r="BB78" s="19" t="n"/>
      <c r="BC78" s="19" t="n"/>
      <c r="BD78" s="260" t="inlineStr">
        <is>
          <t>10 DE CDJ</t>
        </is>
      </c>
      <c r="BE78" s="19" t="n"/>
    </row>
    <row r="79">
      <c r="B79" s="41" t="n"/>
      <c r="C79" s="684" t="n"/>
      <c r="D79" s="684" t="n"/>
      <c r="F79" s="2" t="n"/>
      <c r="G79" s="2" t="n"/>
      <c r="H79" s="2" t="n"/>
      <c r="I79" s="2" t="n"/>
      <c r="J79" s="2" t="n"/>
      <c r="K79" s="2" t="n"/>
      <c r="L79" s="2" t="n"/>
      <c r="M79" s="2" t="n"/>
      <c r="N79" s="2" t="n"/>
      <c r="O79" s="2" t="n"/>
      <c r="P79" s="2" t="n"/>
      <c r="Q79" s="2" t="n"/>
      <c r="R79" s="2" t="n"/>
      <c r="S79" s="2" t="n"/>
      <c r="T79" s="2" t="n"/>
      <c r="U79" s="2" t="n"/>
      <c r="V79" s="2" t="n"/>
      <c r="W79" s="2" t="n"/>
      <c r="X79" s="2" t="n"/>
      <c r="Y79" s="2" t="n"/>
      <c r="Z79" s="2" t="n"/>
      <c r="AA79" s="2" t="n"/>
      <c r="AB79" s="2" t="n"/>
      <c r="AD79" s="75" t="n"/>
      <c r="AE79" s="75" t="n"/>
      <c r="AF79" s="1" t="n"/>
      <c r="AG79" s="15" t="n"/>
      <c r="AH79" s="41" t="n"/>
      <c r="AI79" s="75" t="n"/>
      <c r="AJ79" s="75" t="n"/>
      <c r="AK79" s="75" t="n"/>
      <c r="AL79" s="75" t="n"/>
      <c r="AM79" s="75" t="n"/>
      <c r="AN79" s="75" t="n"/>
      <c r="AO79" s="75" t="n"/>
      <c r="AP79" s="75" t="n"/>
      <c r="AQ79" s="75" t="n"/>
      <c r="AR79" s="75" t="n"/>
      <c r="AS79" s="75" t="n"/>
      <c r="AT79" s="75" t="n"/>
      <c r="AU79" s="75" t="n"/>
      <c r="AV79" s="75" t="n"/>
      <c r="AW79" s="75" t="n"/>
      <c r="AX79" s="75" t="n"/>
      <c r="AY79" s="206" t="n"/>
      <c r="AZ79" s="206" t="n"/>
      <c r="BA79" s="206" t="n"/>
      <c r="BB79" s="75" t="n"/>
      <c r="BC79" s="75" t="n"/>
      <c r="BD79" s="206" t="n"/>
      <c r="BE79" s="75" t="n"/>
    </row>
    <row r="80">
      <c r="A80" s="278" t="inlineStr">
        <is>
          <t>EUDORA NATAL/25</t>
        </is>
      </c>
      <c r="B80" s="279" t="inlineStr">
        <is>
          <t>PC</t>
        </is>
      </c>
      <c r="C80" s="279" t="inlineStr">
        <is>
          <t>R$</t>
        </is>
      </c>
      <c r="D80" s="279" t="n"/>
      <c r="F80" s="619" t="n">
        <v>46006</v>
      </c>
      <c r="G80" s="619" t="n">
        <v>46013</v>
      </c>
      <c r="H80" s="619" t="n">
        <v>46020</v>
      </c>
      <c r="I80" s="619" t="n">
        <v>46027</v>
      </c>
      <c r="J80" s="619" t="n">
        <v>46034</v>
      </c>
      <c r="K80" s="619" t="n">
        <v>46041</v>
      </c>
      <c r="L80" s="619" t="n">
        <v>46048</v>
      </c>
      <c r="M80" s="619" t="n">
        <v>46055</v>
      </c>
      <c r="N80" s="619" t="n">
        <v>46062</v>
      </c>
      <c r="O80" s="619" t="n">
        <v>46069</v>
      </c>
      <c r="P80" s="619" t="n">
        <v>46076</v>
      </c>
      <c r="Q80" s="619" t="n">
        <v>46083</v>
      </c>
      <c r="R80" s="619" t="n">
        <v>46090</v>
      </c>
      <c r="S80" s="619" t="n">
        <v>46097</v>
      </c>
      <c r="T80" s="619" t="n">
        <v>46104</v>
      </c>
      <c r="U80" s="619" t="n">
        <v>46111</v>
      </c>
      <c r="V80" s="619" t="n">
        <v>46118</v>
      </c>
      <c r="W80" s="619" t="n">
        <v>46125</v>
      </c>
      <c r="X80" s="619" t="n">
        <v>46132</v>
      </c>
      <c r="Y80" s="619" t="n">
        <v>46139</v>
      </c>
      <c r="Z80" s="619" t="n">
        <v>46146</v>
      </c>
      <c r="AA80" s="619" t="n">
        <v>46154</v>
      </c>
      <c r="AB80" s="621" t="inlineStr">
        <is>
          <t>USOU</t>
        </is>
      </c>
      <c r="AY80" s="209" t="n"/>
      <c r="AZ80" s="209" t="n"/>
      <c r="BA80" s="209" t="n"/>
      <c r="BD80" s="209" t="n"/>
    </row>
    <row r="81">
      <c r="A81" s="25" t="inlineStr">
        <is>
          <t xml:space="preserve">SACOLA M </t>
        </is>
      </c>
      <c r="B81" s="6" t="n">
        <v>200</v>
      </c>
      <c r="C81" s="632" t="n">
        <v>336</v>
      </c>
      <c r="D81" s="240" t="n"/>
      <c r="F81" s="39" t="n">
        <v>124</v>
      </c>
      <c r="G81" s="39" t="n">
        <v>124</v>
      </c>
      <c r="H81" s="39" t="n">
        <v>124</v>
      </c>
      <c r="I81" s="39" t="n">
        <v>124</v>
      </c>
      <c r="J81" s="39" t="n">
        <v>124</v>
      </c>
      <c r="K81" s="39" t="n">
        <v>124</v>
      </c>
      <c r="L81" s="39" t="n">
        <v>124</v>
      </c>
      <c r="M81" s="39" t="n">
        <v>124</v>
      </c>
      <c r="N81" s="39" t="n">
        <v>142</v>
      </c>
      <c r="O81" s="39" t="n">
        <v>142</v>
      </c>
      <c r="P81" s="39" t="n">
        <v>142</v>
      </c>
      <c r="Q81" s="39" t="n">
        <v>142</v>
      </c>
      <c r="R81" s="39" t="n">
        <v>131</v>
      </c>
      <c r="S81" s="39" t="n">
        <v>123</v>
      </c>
      <c r="T81" s="39" t="n">
        <v>123</v>
      </c>
      <c r="U81" s="39" t="n">
        <v>123</v>
      </c>
      <c r="V81" s="39" t="n"/>
      <c r="W81" s="39" t="n"/>
      <c r="X81" s="39" t="n"/>
      <c r="Y81" s="39" t="n"/>
      <c r="Z81" s="39" t="n"/>
      <c r="AA81" s="39" t="n">
        <v>24</v>
      </c>
      <c r="AB81" s="380">
        <f>Z81+IF(NOT(ISBLANK(OFFSET(AB81,0,6))),N(OFFSET(AB81,0,6)),N(OFFSET(AB81,0,7)))-AA81</f>
        <v/>
      </c>
      <c r="AY81" s="209" t="n"/>
      <c r="AZ81" s="209" t="n"/>
      <c r="BA81" s="209" t="n"/>
      <c r="BD81" s="209" t="n"/>
    </row>
    <row r="82">
      <c r="A82" s="25" t="inlineStr">
        <is>
          <t>PAPEL DE SEDA</t>
        </is>
      </c>
      <c r="B82" s="6" t="n">
        <v>200</v>
      </c>
      <c r="C82" s="632" t="n">
        <v>54</v>
      </c>
      <c r="D82" s="240" t="n"/>
      <c r="F82" s="39" t="n">
        <v>138</v>
      </c>
      <c r="G82" s="39" t="n">
        <v>137</v>
      </c>
      <c r="H82" s="39" t="n">
        <v>137</v>
      </c>
      <c r="I82" s="39" t="n">
        <v>137</v>
      </c>
      <c r="J82" s="39" t="n">
        <v>137</v>
      </c>
      <c r="K82" s="39" t="n">
        <v>137</v>
      </c>
      <c r="L82" s="39" t="n">
        <v>137</v>
      </c>
      <c r="M82" s="39" t="n">
        <v>137</v>
      </c>
      <c r="N82" s="39" t="n">
        <v>143</v>
      </c>
      <c r="O82" s="39" t="n">
        <v>143</v>
      </c>
      <c r="P82" s="39" t="n">
        <v>143</v>
      </c>
      <c r="Q82" s="39" t="n">
        <v>143</v>
      </c>
      <c r="R82" s="39" t="n">
        <v>143</v>
      </c>
      <c r="S82" s="39" t="n">
        <v>140</v>
      </c>
      <c r="T82" s="39" t="n">
        <v>140</v>
      </c>
      <c r="U82" s="39" t="n">
        <v>140</v>
      </c>
      <c r="V82" s="39" t="n"/>
      <c r="W82" s="39" t="n"/>
      <c r="X82" s="39" t="n"/>
      <c r="Y82" s="39" t="n"/>
      <c r="Z82" s="39" t="n"/>
      <c r="AA82" s="39" t="n">
        <v>130</v>
      </c>
      <c r="AB82" s="380">
        <f>Z82+IF(NOT(ISBLANK(OFFSET(AB82,0,6))),N(OFFSET(AB82,0,6)),N(OFFSET(AB82,0,7)))-AA82</f>
        <v/>
      </c>
      <c r="AC82" s="11" t="n"/>
      <c r="AD82" s="75" t="n"/>
      <c r="AE82" s="75" t="n"/>
      <c r="AF82" s="1" t="n"/>
      <c r="AG82" s="15" t="n"/>
      <c r="AH82" s="41" t="n"/>
      <c r="AI82" s="75" t="n"/>
      <c r="AJ82" s="75" t="n"/>
      <c r="AK82" s="75" t="n"/>
      <c r="AL82" s="75" t="n"/>
      <c r="AM82" s="75" t="n"/>
      <c r="AN82" s="75" t="n"/>
      <c r="AO82" s="75" t="n"/>
      <c r="AP82" s="75" t="n"/>
      <c r="AQ82" s="75" t="n"/>
      <c r="AR82" s="75" t="n"/>
      <c r="AS82" s="75" t="n"/>
      <c r="AT82" s="75" t="n"/>
      <c r="AU82" s="75" t="n"/>
      <c r="AV82" s="75" t="n"/>
      <c r="AW82" s="75" t="n"/>
      <c r="AX82" s="75" t="n"/>
      <c r="AY82" s="206" t="n"/>
      <c r="AZ82" s="206" t="n"/>
      <c r="BA82" s="206" t="n"/>
      <c r="BB82" s="75" t="n"/>
      <c r="BC82" s="75" t="n"/>
      <c r="BD82" s="206" t="n"/>
      <c r="BE82" s="75" t="n"/>
    </row>
    <row r="83">
      <c r="A83" s="25" t="inlineStr">
        <is>
          <t>KIT TAG 10 C/ 20</t>
        </is>
      </c>
      <c r="B83" s="6" t="n">
        <v>200</v>
      </c>
      <c r="C83" s="632" t="n">
        <v>40</v>
      </c>
      <c r="D83" s="240" t="n"/>
      <c r="F83" s="39" t="n">
        <v>2</v>
      </c>
      <c r="G83" s="39" t="n">
        <v>2</v>
      </c>
      <c r="H83" s="39" t="n">
        <v>2</v>
      </c>
      <c r="I83" s="39" t="n">
        <v>2</v>
      </c>
      <c r="J83" s="39" t="n">
        <v>2</v>
      </c>
      <c r="K83" s="39" t="n">
        <v>2</v>
      </c>
      <c r="L83" s="39" t="n">
        <v>1</v>
      </c>
      <c r="M83" s="39" t="n">
        <v>1</v>
      </c>
      <c r="N83" s="39" t="n">
        <v>1</v>
      </c>
      <c r="O83" s="39" t="n">
        <v>1</v>
      </c>
      <c r="P83" s="39" t="n">
        <v>1</v>
      </c>
      <c r="Q83" s="39" t="n">
        <v>1</v>
      </c>
      <c r="R83" s="39" t="n">
        <v>1</v>
      </c>
      <c r="S83" s="39" t="n">
        <v>1</v>
      </c>
      <c r="T83" s="39" t="n">
        <v>1</v>
      </c>
      <c r="U83" s="39" t="n">
        <v>0</v>
      </c>
      <c r="V83" s="39" t="n"/>
      <c r="W83" s="39" t="n"/>
      <c r="X83" s="39" t="n"/>
      <c r="Y83" s="39" t="n"/>
      <c r="Z83" s="39" t="n"/>
      <c r="AA83" s="39" t="n">
        <v>0</v>
      </c>
      <c r="AB83" s="380">
        <f>Z83+IF(NOT(ISBLANK(OFFSET(AB83,0,6))),N(OFFSET(AB83,0,6)),N(OFFSET(AB83,0,7)))-AA83</f>
        <v/>
      </c>
      <c r="AC83" s="11" t="n"/>
      <c r="AD83" s="75" t="n"/>
      <c r="AE83" s="75" t="n"/>
      <c r="AF83" s="1" t="n"/>
      <c r="AG83" s="15" t="n"/>
      <c r="AH83" s="41" t="n"/>
      <c r="AI83" s="75" t="n"/>
      <c r="AJ83" s="75" t="n"/>
      <c r="AK83" s="75" t="n"/>
      <c r="AL83" s="75" t="n"/>
      <c r="AM83" s="75" t="n"/>
      <c r="AN83" s="75" t="n"/>
      <c r="AO83" s="75" t="n"/>
      <c r="AP83" s="75" t="n"/>
      <c r="AQ83" s="75" t="n"/>
      <c r="AR83" s="75" t="n"/>
      <c r="AS83" s="75" t="n"/>
      <c r="AT83" s="75" t="n"/>
      <c r="AU83" s="75" t="n"/>
      <c r="AV83" s="75" t="n"/>
      <c r="AW83" s="75" t="n"/>
      <c r="AX83" s="75" t="n"/>
      <c r="AY83" s="206" t="n"/>
      <c r="AZ83" s="206" t="n"/>
      <c r="BA83" s="206" t="n"/>
      <c r="BB83" s="75" t="n"/>
      <c r="BC83" s="75" t="n"/>
      <c r="BD83" s="206" t="n"/>
      <c r="BE83" s="75" t="n"/>
    </row>
    <row r="84">
      <c r="A84" s="157" t="inlineStr">
        <is>
          <t>CAIXA M</t>
        </is>
      </c>
      <c r="B84" s="72" t="n">
        <v>100</v>
      </c>
      <c r="C84" s="639" t="n">
        <v>904</v>
      </c>
      <c r="D84" s="72" t="n"/>
      <c r="F84" s="39" t="n">
        <v>28</v>
      </c>
      <c r="G84" s="39" t="n">
        <v>25</v>
      </c>
      <c r="H84" s="39" t="n">
        <v>25</v>
      </c>
      <c r="I84" s="39" t="n">
        <v>25</v>
      </c>
      <c r="J84" s="39" t="n">
        <v>25</v>
      </c>
      <c r="K84" s="39" t="n">
        <v>25</v>
      </c>
      <c r="L84" s="39" t="n">
        <v>25</v>
      </c>
      <c r="M84" s="39" t="n">
        <v>25</v>
      </c>
      <c r="N84" s="39" t="n">
        <v>25</v>
      </c>
      <c r="O84" s="39" t="n">
        <v>25</v>
      </c>
      <c r="P84" s="39" t="n">
        <v>25</v>
      </c>
      <c r="Q84" s="39" t="n">
        <v>25</v>
      </c>
      <c r="R84" s="39" t="n">
        <v>25</v>
      </c>
      <c r="S84" s="39" t="n">
        <v>24</v>
      </c>
      <c r="T84" s="39" t="n">
        <v>24</v>
      </c>
      <c r="U84" s="39" t="n">
        <v>24</v>
      </c>
      <c r="V84" s="39" t="n"/>
      <c r="W84" s="39" t="n"/>
      <c r="X84" s="39" t="n"/>
      <c r="Y84" s="39" t="n"/>
      <c r="Z84" s="39" t="n"/>
      <c r="AA84" s="39" t="n">
        <v>23</v>
      </c>
      <c r="AB84" s="380">
        <f>Z84+IF(NOT(ISBLANK(OFFSET(AB84,0,6))),N(OFFSET(AB84,0,6)),N(OFFSET(AB84,0,7)))-AA84</f>
        <v/>
      </c>
    </row>
    <row r="85">
      <c r="A85" s="157" t="inlineStr">
        <is>
          <t>CARTUCHO P</t>
        </is>
      </c>
      <c r="B85" s="72" t="n">
        <v>200</v>
      </c>
      <c r="C85" s="639" t="n">
        <v>464</v>
      </c>
      <c r="D85" s="72" t="n"/>
      <c r="F85" s="39" t="n">
        <v>30</v>
      </c>
      <c r="G85" s="39" t="n">
        <v>30</v>
      </c>
      <c r="H85" s="39" t="n">
        <v>29</v>
      </c>
      <c r="I85" s="39" t="n">
        <v>29</v>
      </c>
      <c r="J85" s="39" t="n">
        <v>29</v>
      </c>
      <c r="K85" s="39" t="n">
        <v>29</v>
      </c>
      <c r="L85" s="39" t="n">
        <v>29</v>
      </c>
      <c r="M85" s="39" t="n">
        <v>29</v>
      </c>
      <c r="N85" s="39" t="n">
        <v>29</v>
      </c>
      <c r="O85" s="39" t="n">
        <v>29</v>
      </c>
      <c r="P85" s="39" t="n">
        <v>29</v>
      </c>
      <c r="Q85" s="39" t="n">
        <v>29</v>
      </c>
      <c r="R85" s="39" t="n">
        <v>29</v>
      </c>
      <c r="S85" s="39" t="n">
        <v>28</v>
      </c>
      <c r="T85" s="39" t="n">
        <v>28</v>
      </c>
      <c r="U85" s="39" t="n">
        <v>28</v>
      </c>
      <c r="V85" s="39" t="n"/>
      <c r="W85" s="39" t="n"/>
      <c r="X85" s="39" t="n"/>
      <c r="Y85" s="39" t="n"/>
      <c r="Z85" s="39" t="n"/>
      <c r="AA85" s="39" t="n">
        <v>21</v>
      </c>
      <c r="AB85" s="380">
        <f>Z85+IF(NOT(ISBLANK(OFFSET(AB85,0,6))),N(OFFSET(AB85,0,6)),N(OFFSET(AB85,0,7)))-AA85</f>
        <v/>
      </c>
    </row>
    <row r="87">
      <c r="A87" s="280" t="inlineStr">
        <is>
          <t>BOTICÁRIO NATAL/25</t>
        </is>
      </c>
      <c r="B87" s="255" t="inlineStr">
        <is>
          <t>PC</t>
        </is>
      </c>
      <c r="C87" s="255" t="inlineStr">
        <is>
          <t>R$</t>
        </is>
      </c>
      <c r="D87" s="255" t="n"/>
      <c r="F87" s="619" t="n">
        <v>46006</v>
      </c>
      <c r="G87" s="619" t="n">
        <v>46013</v>
      </c>
      <c r="H87" s="619" t="n">
        <v>46020</v>
      </c>
      <c r="I87" s="619" t="n">
        <v>46027</v>
      </c>
      <c r="J87" s="619" t="n">
        <v>46034</v>
      </c>
      <c r="K87" s="619" t="n">
        <v>46041</v>
      </c>
      <c r="L87" s="619" t="n">
        <v>46048</v>
      </c>
      <c r="M87" s="619" t="n">
        <v>46055</v>
      </c>
      <c r="N87" s="619" t="n">
        <v>46062</v>
      </c>
      <c r="O87" s="619" t="n">
        <v>46069</v>
      </c>
      <c r="P87" s="619" t="n">
        <v>46076</v>
      </c>
      <c r="Q87" s="619" t="n">
        <v>46083</v>
      </c>
      <c r="R87" s="619" t="n">
        <v>46090</v>
      </c>
      <c r="S87" s="619" t="n">
        <v>46097</v>
      </c>
      <c r="T87" s="619" t="n">
        <v>46104</v>
      </c>
      <c r="U87" s="619" t="n">
        <v>46111</v>
      </c>
      <c r="V87" s="619" t="n">
        <v>46118</v>
      </c>
      <c r="W87" s="619" t="n">
        <v>46125</v>
      </c>
      <c r="X87" s="619" t="n">
        <v>46132</v>
      </c>
      <c r="Y87" s="619" t="n">
        <v>46139</v>
      </c>
      <c r="Z87" s="619" t="n">
        <v>46146</v>
      </c>
      <c r="AA87" s="619" t="n">
        <v>46154</v>
      </c>
      <c r="AB87" s="621" t="inlineStr">
        <is>
          <t>USOU</t>
        </is>
      </c>
    </row>
    <row r="88" hidden="1">
      <c r="A88" s="25" t="inlineStr">
        <is>
          <t>SACOLA P</t>
        </is>
      </c>
      <c r="B88" s="6" t="n">
        <v>200</v>
      </c>
      <c r="C88" s="632" t="n">
        <v>274.2</v>
      </c>
      <c r="D88" s="240" t="n"/>
      <c r="F88" s="39" t="n">
        <v>99</v>
      </c>
      <c r="G88" s="39" t="n">
        <v>54</v>
      </c>
      <c r="H88" s="39" t="n">
        <v>40</v>
      </c>
      <c r="I88" s="39" t="n">
        <v>38</v>
      </c>
      <c r="J88" s="39" t="n">
        <v>28</v>
      </c>
      <c r="K88" s="39" t="n">
        <v>0</v>
      </c>
      <c r="L88" s="39" t="n">
        <v>0</v>
      </c>
      <c r="M88" s="39" t="n">
        <v>0</v>
      </c>
      <c r="N88" s="39" t="n">
        <v>0</v>
      </c>
      <c r="O88" s="39" t="n">
        <v>0</v>
      </c>
      <c r="P88" s="39" t="n">
        <v>0</v>
      </c>
      <c r="Q88" s="39" t="n">
        <v>0</v>
      </c>
      <c r="R88" s="39" t="n">
        <v>0</v>
      </c>
      <c r="S88" s="39" t="n">
        <v>0</v>
      </c>
      <c r="T88" s="39" t="n"/>
      <c r="U88" s="39" t="n"/>
      <c r="V88" s="39" t="n"/>
      <c r="W88" s="39" t="n"/>
      <c r="X88" s="39" t="n"/>
      <c r="Y88" s="39" t="n"/>
      <c r="Z88" s="39" t="n"/>
      <c r="AA88" s="39" t="n"/>
      <c r="AB88" s="26">
        <f>Z88+IF(NOT(ISBLANK(OFFSET(AB88,0,6))),N(OFFSET(AB88,0,6)),N(OFFSET(AB88,0,7)))-#REF!</f>
        <v/>
      </c>
    </row>
    <row r="89" hidden="1">
      <c r="A89" s="25" t="inlineStr">
        <is>
          <t>SACOLA M</t>
        </is>
      </c>
      <c r="B89" s="6" t="n">
        <v>200</v>
      </c>
      <c r="C89" s="632" t="n">
        <v>347.8</v>
      </c>
      <c r="D89" s="240" t="n"/>
      <c r="F89" s="39" t="n">
        <v>158</v>
      </c>
      <c r="G89" s="39" t="n">
        <v>141</v>
      </c>
      <c r="H89" s="39" t="n">
        <v>121</v>
      </c>
      <c r="I89" s="39" t="n">
        <v>121</v>
      </c>
      <c r="J89" s="39" t="n">
        <v>121</v>
      </c>
      <c r="K89" s="39" t="n">
        <v>0</v>
      </c>
      <c r="L89" s="39" t="n">
        <v>0</v>
      </c>
      <c r="M89" s="39" t="n">
        <v>0</v>
      </c>
      <c r="N89" s="39" t="n">
        <v>0</v>
      </c>
      <c r="O89" s="39" t="n">
        <v>0</v>
      </c>
      <c r="P89" s="39" t="n">
        <v>0</v>
      </c>
      <c r="Q89" s="39" t="n">
        <v>0</v>
      </c>
      <c r="R89" s="39" t="n">
        <v>0</v>
      </c>
      <c r="S89" s="39" t="n">
        <v>0</v>
      </c>
      <c r="T89" s="39" t="n"/>
      <c r="U89" s="39" t="n"/>
      <c r="V89" s="39" t="n"/>
      <c r="W89" s="39" t="n"/>
      <c r="X89" s="39" t="n"/>
      <c r="Y89" s="39" t="n"/>
      <c r="Z89" s="39" t="n"/>
      <c r="AA89" s="39" t="n"/>
      <c r="AB89" s="26">
        <f>Z89+IF(NOT(ISBLANK(OFFSET(AB89,0,6))),N(OFFSET(AB89,0,6)),N(OFFSET(AB89,0,7)))-#REF!</f>
        <v/>
      </c>
    </row>
    <row r="90" hidden="1">
      <c r="A90" s="25" t="inlineStr">
        <is>
          <t>SACOLA G</t>
        </is>
      </c>
      <c r="B90" s="6" t="n">
        <v>100</v>
      </c>
      <c r="C90" s="632" t="n">
        <v>267</v>
      </c>
      <c r="D90" s="240" t="n"/>
      <c r="F90" s="39" t="n">
        <v>32</v>
      </c>
      <c r="G90" s="39" t="n">
        <v>28</v>
      </c>
      <c r="H90" s="39" t="n">
        <v>28</v>
      </c>
      <c r="I90" s="39" t="n">
        <v>27</v>
      </c>
      <c r="J90" s="39" t="n">
        <v>27</v>
      </c>
      <c r="K90" s="39" t="n">
        <v>0</v>
      </c>
      <c r="L90" s="39" t="n">
        <v>0</v>
      </c>
      <c r="M90" s="39" t="n">
        <v>0</v>
      </c>
      <c r="N90" s="39" t="n">
        <v>0</v>
      </c>
      <c r="O90" s="39" t="n">
        <v>0</v>
      </c>
      <c r="P90" s="39" t="n">
        <v>0</v>
      </c>
      <c r="Q90" s="39" t="n">
        <v>0</v>
      </c>
      <c r="R90" s="39" t="n">
        <v>0</v>
      </c>
      <c r="S90" s="39" t="n">
        <v>0</v>
      </c>
      <c r="T90" s="39" t="n"/>
      <c r="U90" s="39" t="n"/>
      <c r="V90" s="39" t="n"/>
      <c r="W90" s="39" t="n"/>
      <c r="X90" s="39" t="n"/>
      <c r="Y90" s="39" t="n"/>
      <c r="Z90" s="39" t="n"/>
      <c r="AA90" s="39" t="n"/>
      <c r="AB90" s="26">
        <f>Z90+IF(NOT(ISBLANK(OFFSET(AB90,0,6))),N(OFFSET(AB90,0,6)),N(OFFSET(AB90,0,7)))-#REF!</f>
        <v/>
      </c>
    </row>
    <row r="91" hidden="1">
      <c r="A91" s="157" t="inlineStr">
        <is>
          <t>KIT PAPEL DE SEDA 10 C/ 20</t>
        </is>
      </c>
      <c r="B91" s="72" t="n">
        <v>200</v>
      </c>
      <c r="C91" s="639" t="n">
        <v>44.4</v>
      </c>
      <c r="D91" s="72" t="n"/>
      <c r="F91" s="39" t="n">
        <v>0</v>
      </c>
      <c r="G91" s="39" t="n">
        <v>0</v>
      </c>
      <c r="H91" s="39" t="n">
        <v>0</v>
      </c>
      <c r="I91" s="39" t="n">
        <v>0</v>
      </c>
      <c r="J91" s="39" t="n">
        <v>0</v>
      </c>
      <c r="K91" s="39" t="n">
        <v>0</v>
      </c>
      <c r="L91" s="39" t="n">
        <v>0</v>
      </c>
      <c r="M91" s="39" t="n">
        <v>0</v>
      </c>
      <c r="N91" s="39" t="n">
        <v>0</v>
      </c>
      <c r="O91" s="39" t="n">
        <v>0</v>
      </c>
      <c r="P91" s="39" t="n">
        <v>0</v>
      </c>
      <c r="Q91" s="39" t="n">
        <v>0</v>
      </c>
      <c r="R91" s="39" t="n">
        <v>0</v>
      </c>
      <c r="S91" s="39" t="n">
        <v>0</v>
      </c>
      <c r="T91" s="39" t="n"/>
      <c r="U91" s="39" t="n"/>
      <c r="V91" s="39" t="n"/>
      <c r="W91" s="39" t="n"/>
      <c r="X91" s="39" t="n"/>
      <c r="Y91" s="39" t="n"/>
      <c r="Z91" s="39" t="n"/>
      <c r="AA91" s="39" t="n"/>
      <c r="AB91" s="26">
        <f>Z91+IF(NOT(ISBLANK(OFFSET(AB91,0,6))),N(OFFSET(AB91,0,6)),N(OFFSET(AB91,0,7)))-#REF!</f>
        <v/>
      </c>
    </row>
    <row r="92">
      <c r="A92" s="157" t="inlineStr">
        <is>
          <t>CAIXA P</t>
        </is>
      </c>
      <c r="B92" s="72" t="n">
        <v>150</v>
      </c>
      <c r="C92" s="639" t="n">
        <v>805.35</v>
      </c>
      <c r="D92" s="72" t="n"/>
      <c r="F92" s="39" t="n">
        <v>32</v>
      </c>
      <c r="G92" s="39" t="n">
        <v>19</v>
      </c>
      <c r="H92" s="39" t="n">
        <v>18</v>
      </c>
      <c r="I92" s="39" t="n">
        <v>18</v>
      </c>
      <c r="J92" s="39" t="n">
        <v>18</v>
      </c>
      <c r="K92" s="39" t="n">
        <v>18</v>
      </c>
      <c r="L92" s="39" t="n">
        <v>18</v>
      </c>
      <c r="M92" s="39" t="n">
        <v>18</v>
      </c>
      <c r="N92" s="39" t="n">
        <v>16</v>
      </c>
      <c r="O92" s="39" t="n">
        <v>16</v>
      </c>
      <c r="P92" s="39" t="n">
        <v>16</v>
      </c>
      <c r="Q92" s="39" t="n">
        <v>16</v>
      </c>
      <c r="R92" s="39" t="n">
        <v>16</v>
      </c>
      <c r="S92" s="39" t="n">
        <v>16</v>
      </c>
      <c r="T92" s="39" t="n">
        <v>16</v>
      </c>
      <c r="U92" s="39" t="n">
        <v>16</v>
      </c>
      <c r="V92" s="39" t="n"/>
      <c r="W92" s="39" t="n"/>
      <c r="X92" s="39" t="n"/>
      <c r="Y92" s="39" t="n"/>
      <c r="Z92" s="39" t="n"/>
      <c r="AA92" s="39" t="n">
        <v>15</v>
      </c>
      <c r="AB92" s="380">
        <f>Z92+IF(NOT(ISBLANK(OFFSET(AB92,0,6))),N(OFFSET(AB92,0,6)),N(OFFSET(AB92,0,7)))-AA92</f>
        <v/>
      </c>
    </row>
    <row r="93">
      <c r="A93" s="157" t="inlineStr">
        <is>
          <t>CAIXA M</t>
        </is>
      </c>
      <c r="B93" s="72" t="n">
        <v>100</v>
      </c>
      <c r="C93" s="639" t="n">
        <v>792.2</v>
      </c>
      <c r="D93" s="72" t="n"/>
      <c r="F93" s="39" t="n">
        <v>58</v>
      </c>
      <c r="G93" s="39" t="n">
        <v>34</v>
      </c>
      <c r="H93" s="39" t="n">
        <v>34</v>
      </c>
      <c r="I93" s="39" t="n">
        <v>33</v>
      </c>
      <c r="J93" s="39" t="n">
        <v>33</v>
      </c>
      <c r="K93" s="39" t="n">
        <v>33</v>
      </c>
      <c r="L93" s="39" t="n">
        <v>33</v>
      </c>
      <c r="M93" s="39" t="n">
        <v>33</v>
      </c>
      <c r="N93" s="39" t="n">
        <v>23</v>
      </c>
      <c r="O93" s="39" t="n">
        <v>23</v>
      </c>
      <c r="P93" s="39" t="n">
        <v>23</v>
      </c>
      <c r="Q93" s="39" t="n">
        <v>23</v>
      </c>
      <c r="R93" s="39" t="n">
        <v>23</v>
      </c>
      <c r="S93" s="39" t="n">
        <v>22</v>
      </c>
      <c r="T93" s="39" t="n">
        <v>22</v>
      </c>
      <c r="U93" s="39" t="n">
        <v>22</v>
      </c>
      <c r="V93" s="39" t="n"/>
      <c r="W93" s="39" t="n"/>
      <c r="X93" s="39" t="n"/>
      <c r="Y93" s="39" t="n"/>
      <c r="Z93" s="39" t="n"/>
      <c r="AA93" s="39" t="n">
        <v>22</v>
      </c>
      <c r="AB93" s="380">
        <f>Z93+IF(NOT(ISBLANK(OFFSET(AB93,0,6))),N(OFFSET(AB93,0,6)),N(OFFSET(AB93,0,7)))-AA93</f>
        <v/>
      </c>
    </row>
    <row r="94">
      <c r="A94" s="157" t="inlineStr">
        <is>
          <t>CARTUCHO P</t>
        </is>
      </c>
      <c r="B94" s="72" t="n">
        <v>200</v>
      </c>
      <c r="C94" s="639" t="n">
        <v>487.2</v>
      </c>
      <c r="D94" s="72" t="n"/>
      <c r="F94" s="39" t="n">
        <v>6</v>
      </c>
      <c r="G94" s="39" t="n">
        <v>6</v>
      </c>
      <c r="H94" s="39" t="n">
        <v>6</v>
      </c>
      <c r="I94" s="39" t="n">
        <v>6</v>
      </c>
      <c r="J94" s="39" t="n">
        <v>6</v>
      </c>
      <c r="K94" s="39" t="n">
        <v>6</v>
      </c>
      <c r="L94" s="39" t="n">
        <v>6</v>
      </c>
      <c r="M94" s="39" t="n">
        <v>6</v>
      </c>
      <c r="N94" s="39" t="n">
        <v>1</v>
      </c>
      <c r="O94" s="39" t="n">
        <v>1</v>
      </c>
      <c r="P94" s="39" t="n">
        <v>1</v>
      </c>
      <c r="Q94" s="39" t="n">
        <v>1</v>
      </c>
      <c r="R94" s="39" t="n">
        <v>1</v>
      </c>
      <c r="S94" s="39" t="n">
        <v>1</v>
      </c>
      <c r="T94" s="39" t="n">
        <v>1</v>
      </c>
      <c r="U94" s="39" t="n">
        <v>1</v>
      </c>
      <c r="V94" s="39" t="n"/>
      <c r="W94" s="39" t="n"/>
      <c r="X94" s="39" t="n"/>
      <c r="Y94" s="39" t="n"/>
      <c r="Z94" s="39" t="n"/>
      <c r="AA94" s="39" t="n">
        <v>1</v>
      </c>
      <c r="AB94" s="380">
        <f>Z94+IF(NOT(ISBLANK(OFFSET(AB94,0,6))),N(OFFSET(AB94,0,6)),N(OFFSET(AB94,0,7)))-AA94</f>
        <v/>
      </c>
    </row>
    <row r="95">
      <c r="A95" s="157" t="inlineStr">
        <is>
          <t>CARTUCHO M</t>
        </is>
      </c>
      <c r="B95" s="72" t="n">
        <v>150</v>
      </c>
      <c r="C95" s="639" t="n">
        <v>460.35</v>
      </c>
      <c r="D95" s="72" t="n"/>
      <c r="F95" s="39" t="n">
        <v>52</v>
      </c>
      <c r="G95" s="39" t="n">
        <v>35</v>
      </c>
      <c r="H95" s="39" t="n">
        <v>34</v>
      </c>
      <c r="I95" s="39" t="n">
        <v>30</v>
      </c>
      <c r="J95" s="39" t="n">
        <v>30</v>
      </c>
      <c r="K95" s="39" t="n">
        <v>30</v>
      </c>
      <c r="L95" s="39" t="n">
        <v>30</v>
      </c>
      <c r="M95" s="39" t="n">
        <v>30</v>
      </c>
      <c r="N95" s="39" t="n">
        <v>30</v>
      </c>
      <c r="O95" s="39" t="n">
        <v>30</v>
      </c>
      <c r="P95" s="39" t="n">
        <v>30</v>
      </c>
      <c r="Q95" s="39" t="n">
        <v>30</v>
      </c>
      <c r="R95" s="39" t="n">
        <v>30</v>
      </c>
      <c r="S95" s="39" t="n">
        <v>31</v>
      </c>
      <c r="T95" s="39" t="n">
        <v>31</v>
      </c>
      <c r="U95" s="39" t="n">
        <v>31</v>
      </c>
      <c r="V95" s="39" t="n"/>
      <c r="W95" s="39" t="n"/>
      <c r="X95" s="39" t="n"/>
      <c r="Y95" s="39" t="n"/>
      <c r="Z95" s="39" t="n"/>
      <c r="AA95" s="39" t="n">
        <v>30</v>
      </c>
      <c r="AB95" s="380">
        <f>Z95+IF(NOT(ISBLANK(OFFSET(AB95,0,6))),N(OFFSET(AB95,0,6)),N(OFFSET(AB95,0,7)))-AA95</f>
        <v/>
      </c>
    </row>
    <row r="97">
      <c r="A97" s="263" t="inlineStr">
        <is>
          <t>HARRY POTTER/25</t>
        </is>
      </c>
      <c r="B97" s="264" t="inlineStr">
        <is>
          <t>PC</t>
        </is>
      </c>
      <c r="C97" s="264" t="inlineStr">
        <is>
          <t>R$</t>
        </is>
      </c>
      <c r="D97" s="264" t="n"/>
      <c r="F97" s="619" t="n">
        <v>46006</v>
      </c>
      <c r="G97" s="619" t="n">
        <v>46013</v>
      </c>
      <c r="H97" s="619" t="n">
        <v>46020</v>
      </c>
      <c r="I97" s="619" t="n">
        <v>46027</v>
      </c>
      <c r="J97" s="619" t="n">
        <v>46034</v>
      </c>
      <c r="K97" s="619" t="n">
        <v>46041</v>
      </c>
      <c r="L97" s="619" t="n">
        <v>46048</v>
      </c>
      <c r="M97" s="619" t="n">
        <v>46055</v>
      </c>
      <c r="N97" s="619" t="n">
        <v>46062</v>
      </c>
      <c r="O97" s="619" t="n">
        <v>46069</v>
      </c>
      <c r="P97" s="619" t="n">
        <v>46076</v>
      </c>
      <c r="Q97" s="619" t="n">
        <v>46083</v>
      </c>
      <c r="R97" s="619" t="n">
        <v>46090</v>
      </c>
      <c r="S97" s="619" t="n">
        <v>46097</v>
      </c>
      <c r="T97" s="619" t="n">
        <v>46104</v>
      </c>
      <c r="U97" s="619" t="n">
        <v>46111</v>
      </c>
      <c r="V97" s="619" t="n">
        <v>46118</v>
      </c>
      <c r="W97" s="619" t="n">
        <v>46125</v>
      </c>
      <c r="X97" s="619" t="n">
        <v>46132</v>
      </c>
      <c r="Y97" s="619" t="n">
        <v>46139</v>
      </c>
      <c r="Z97" s="619" t="n">
        <v>46146</v>
      </c>
      <c r="AA97" s="619" t="n">
        <v>46154</v>
      </c>
      <c r="AB97" s="621" t="inlineStr">
        <is>
          <t>USOU</t>
        </is>
      </c>
    </row>
    <row r="98" hidden="1">
      <c r="A98" s="25" t="inlineStr">
        <is>
          <t>SACOLA G HP/25</t>
        </is>
      </c>
      <c r="B98" s="6" t="n">
        <v>100</v>
      </c>
      <c r="C98" s="632" t="n">
        <v>316</v>
      </c>
      <c r="D98" s="240" t="n"/>
      <c r="F98" s="39" t="n">
        <v>0</v>
      </c>
      <c r="G98" s="39" t="n">
        <v>0</v>
      </c>
      <c r="H98" s="39" t="n">
        <v>0</v>
      </c>
      <c r="I98" s="39" t="n">
        <v>0</v>
      </c>
      <c r="J98" s="39" t="n">
        <v>0</v>
      </c>
      <c r="K98" s="39" t="n">
        <v>0</v>
      </c>
      <c r="L98" s="39" t="n"/>
      <c r="M98" s="39" t="n"/>
      <c r="N98" s="39" t="n"/>
      <c r="O98" s="39" t="n"/>
      <c r="P98" s="39" t="n"/>
      <c r="Q98" s="39" t="n"/>
      <c r="R98" s="39" t="n"/>
      <c r="S98" s="39" t="n"/>
      <c r="T98" s="39" t="n"/>
      <c r="U98" s="39" t="n"/>
      <c r="V98" s="39" t="n"/>
      <c r="W98" s="39" t="n"/>
      <c r="X98" s="39" t="n"/>
      <c r="Y98" s="39" t="n"/>
      <c r="Z98" s="39" t="n"/>
      <c r="AA98" s="39" t="n"/>
      <c r="AB98" s="26">
        <f>Z98+IF(NOT(ISBLANK(OFFSET(AB98,0,6))),N(OFFSET(AB98,0,6)),N(OFFSET(AB98,0,7)))-#REF!</f>
        <v/>
      </c>
    </row>
    <row r="99" hidden="1">
      <c r="A99" s="25" t="inlineStr">
        <is>
          <t>TAG HP/25</t>
        </is>
      </c>
      <c r="B99" s="6" t="n">
        <v>100</v>
      </c>
      <c r="C99" s="632" t="n">
        <v>41</v>
      </c>
      <c r="D99" s="240" t="n"/>
      <c r="F99" s="39" t="n">
        <v>0</v>
      </c>
      <c r="G99" s="39" t="n">
        <v>0</v>
      </c>
      <c r="H99" s="39" t="n">
        <v>0</v>
      </c>
      <c r="I99" s="39" t="n">
        <v>0</v>
      </c>
      <c r="J99" s="39" t="n">
        <v>0</v>
      </c>
      <c r="K99" s="39" t="n">
        <v>0</v>
      </c>
      <c r="L99" s="39" t="n"/>
      <c r="M99" s="39" t="n"/>
      <c r="N99" s="39" t="n"/>
      <c r="O99" s="39" t="n"/>
      <c r="P99" s="39" t="n"/>
      <c r="Q99" s="39" t="n"/>
      <c r="R99" s="39" t="n"/>
      <c r="S99" s="39" t="n"/>
      <c r="T99" s="39" t="n"/>
      <c r="U99" s="39" t="n"/>
      <c r="V99" s="39" t="n"/>
      <c r="W99" s="39" t="n"/>
      <c r="X99" s="39" t="n"/>
      <c r="Y99" s="39" t="n"/>
      <c r="Z99" s="39" t="n"/>
      <c r="AA99" s="39" t="n"/>
      <c r="AB99" s="26">
        <f>Z99+IF(NOT(ISBLANK(OFFSET(AB99,0,6))),N(OFFSET(AB99,0,6)),N(OFFSET(AB99,0,7)))-#REF!</f>
        <v/>
      </c>
    </row>
    <row r="100">
      <c r="A100" s="25" t="inlineStr">
        <is>
          <t>CARTUCHO P HP/25</t>
        </is>
      </c>
      <c r="B100" s="6" t="n">
        <v>150</v>
      </c>
      <c r="C100" s="632" t="n">
        <v>478.5</v>
      </c>
      <c r="D100" s="240" t="n"/>
      <c r="F100" s="39" t="n">
        <v>10</v>
      </c>
      <c r="G100" s="39" t="n">
        <v>10</v>
      </c>
      <c r="H100" s="39" t="n">
        <v>10</v>
      </c>
      <c r="I100" s="39" t="n">
        <v>10</v>
      </c>
      <c r="J100" s="39" t="n">
        <v>10</v>
      </c>
      <c r="K100" s="39" t="n">
        <v>10</v>
      </c>
      <c r="L100" s="39" t="n">
        <v>10</v>
      </c>
      <c r="M100" s="39" t="n">
        <v>10</v>
      </c>
      <c r="N100" s="39" t="n">
        <v>10</v>
      </c>
      <c r="O100" s="39" t="n">
        <v>10</v>
      </c>
      <c r="P100" s="39" t="n">
        <v>10</v>
      </c>
      <c r="Q100" s="39" t="n">
        <v>10</v>
      </c>
      <c r="R100" s="39" t="n">
        <v>10</v>
      </c>
      <c r="S100" s="39" t="n">
        <v>10</v>
      </c>
      <c r="T100" s="39" t="n">
        <v>10</v>
      </c>
      <c r="U100" s="39" t="n">
        <v>10</v>
      </c>
      <c r="V100" s="39" t="n"/>
      <c r="W100" s="39" t="n"/>
      <c r="X100" s="39" t="n"/>
      <c r="Y100" s="39" t="n"/>
      <c r="Z100" s="39" t="n"/>
      <c r="AA100" s="39" t="n">
        <v>10</v>
      </c>
      <c r="AB100" s="380">
        <f>Z100+IF(NOT(ISBLANK(OFFSET(AB100,0,6))),N(OFFSET(AB100,0,6)),N(OFFSET(AB100,0,7)))-AA100</f>
        <v/>
      </c>
    </row>
    <row r="101" ht="19.5" customHeight="1" thickBot="1"/>
    <row r="102" ht="24" customHeight="1" thickBot="1">
      <c r="A102" s="696" t="n">
        <v>2026</v>
      </c>
      <c r="B102" s="686" t="n"/>
      <c r="C102" s="686" t="n"/>
      <c r="D102" s="686" t="n"/>
      <c r="E102" s="686" t="n"/>
      <c r="F102" s="686" t="n"/>
      <c r="G102" s="686" t="n"/>
      <c r="H102" s="686" t="n"/>
      <c r="I102" s="686" t="n"/>
      <c r="J102" s="686" t="n"/>
      <c r="K102" s="686" t="n"/>
      <c r="L102" s="686" t="n"/>
      <c r="M102" s="686" t="n"/>
      <c r="N102" s="686" t="n"/>
      <c r="O102" s="686" t="n"/>
      <c r="P102" s="686" t="n"/>
      <c r="Q102" s="686" t="n"/>
      <c r="R102" s="686" t="n"/>
      <c r="S102" s="686" t="n"/>
      <c r="T102" s="686" t="n"/>
      <c r="U102" s="686" t="n"/>
      <c r="V102" s="686" t="n"/>
      <c r="W102" s="686" t="n"/>
      <c r="X102" s="686" t="n"/>
      <c r="Y102" s="686" t="n"/>
      <c r="Z102" s="686" t="n"/>
      <c r="AA102" s="686" t="n"/>
      <c r="AB102" s="697" t="n"/>
    </row>
    <row r="104">
      <c r="A104" s="278" t="inlineStr">
        <is>
          <t>EUDORA MÃES/26</t>
        </is>
      </c>
      <c r="B104" s="279" t="inlineStr">
        <is>
          <t>PC</t>
        </is>
      </c>
      <c r="C104" s="279" t="inlineStr">
        <is>
          <t>R$</t>
        </is>
      </c>
      <c r="D104" s="279" t="n"/>
      <c r="N104" s="619" t="n">
        <v>46062</v>
      </c>
      <c r="O104" s="619" t="n">
        <v>46069</v>
      </c>
      <c r="P104" s="619" t="n">
        <v>46076</v>
      </c>
      <c r="Q104" s="619" t="n">
        <v>46083</v>
      </c>
      <c r="R104" s="619" t="n">
        <v>46090</v>
      </c>
      <c r="S104" s="619" t="n">
        <v>46097</v>
      </c>
      <c r="T104" s="619" t="n">
        <v>46104</v>
      </c>
      <c r="U104" s="619" t="n">
        <v>46111</v>
      </c>
      <c r="V104" s="619" t="n">
        <v>46118</v>
      </c>
      <c r="W104" s="619" t="n">
        <v>46125</v>
      </c>
      <c r="X104" s="619" t="n">
        <v>46132</v>
      </c>
      <c r="Y104" s="619" t="n">
        <v>46139</v>
      </c>
      <c r="Z104" s="619" t="n">
        <v>46146</v>
      </c>
      <c r="AA104" s="619" t="n">
        <v>46154</v>
      </c>
      <c r="AB104" s="621" t="inlineStr">
        <is>
          <t>USOU</t>
        </is>
      </c>
    </row>
    <row r="105">
      <c r="A105" s="25" t="inlineStr">
        <is>
          <t xml:space="preserve">SACOLA M </t>
        </is>
      </c>
      <c r="B105" s="6" t="n">
        <v>150</v>
      </c>
      <c r="C105" s="632" t="n"/>
      <c r="D105" s="240" t="n"/>
      <c r="N105" s="39" t="n">
        <v>0</v>
      </c>
      <c r="O105" s="39" t="n">
        <v>0</v>
      </c>
      <c r="P105" s="39" t="n">
        <v>0</v>
      </c>
      <c r="Q105" s="39" t="n">
        <v>0</v>
      </c>
      <c r="R105" s="39">
        <f>AO10</f>
        <v/>
      </c>
      <c r="S105" s="39" t="n">
        <v>150</v>
      </c>
      <c r="T105" s="39" t="n">
        <v>120</v>
      </c>
      <c r="U105" s="39" t="n">
        <v>117</v>
      </c>
      <c r="V105" s="39" t="n">
        <v>111</v>
      </c>
      <c r="W105" s="39" t="n">
        <v>95</v>
      </c>
      <c r="X105" s="39" t="n">
        <v>95</v>
      </c>
      <c r="Y105" s="39" t="n">
        <v>73</v>
      </c>
      <c r="Z105" s="39" t="n">
        <v>65</v>
      </c>
      <c r="AA105" s="39" t="n">
        <v>65</v>
      </c>
      <c r="AB105" s="380">
        <f>Z105+IF(NOT(ISBLANK(OFFSET(AB105,0,6))),N(OFFSET(AB105,0,6)),N(OFFSET(AB105,0,7)))-AA105</f>
        <v/>
      </c>
    </row>
    <row r="106">
      <c r="A106" s="25" t="inlineStr">
        <is>
          <t>ADESIVO</t>
        </is>
      </c>
      <c r="B106" s="6" t="n">
        <v>1000</v>
      </c>
      <c r="C106" s="632" t="n"/>
      <c r="D106" s="240" t="n"/>
      <c r="N106" s="39" t="n">
        <v>0</v>
      </c>
      <c r="O106" s="39" t="n">
        <v>0</v>
      </c>
      <c r="P106" s="39" t="n">
        <v>0</v>
      </c>
      <c r="Q106" s="39" t="n">
        <v>0</v>
      </c>
      <c r="R106" s="39">
        <f>AO17</f>
        <v/>
      </c>
      <c r="S106" s="39" t="n">
        <v>1</v>
      </c>
      <c r="T106" s="39" t="n">
        <v>1</v>
      </c>
      <c r="U106" s="39" t="n">
        <v>1</v>
      </c>
      <c r="V106" s="39" t="n">
        <v>1</v>
      </c>
      <c r="W106" s="39" t="n">
        <v>1</v>
      </c>
      <c r="X106" s="39" t="n">
        <v>1</v>
      </c>
      <c r="Y106" s="39" t="n">
        <v>1</v>
      </c>
      <c r="Z106" s="39" t="n">
        <v>1</v>
      </c>
      <c r="AA106" s="39" t="n">
        <v>1</v>
      </c>
      <c r="AB106" s="380">
        <f>Z106+IF(NOT(ISBLANK(OFFSET(AB106,0,6))),N(OFFSET(AB106,0,6)),N(OFFSET(AB106,0,7)))-AA106</f>
        <v/>
      </c>
    </row>
    <row r="107">
      <c r="A107" s="25" t="inlineStr">
        <is>
          <t>PAPEL DE SEDA</t>
        </is>
      </c>
      <c r="B107" s="6" t="n">
        <v>200</v>
      </c>
      <c r="C107" s="632" t="n"/>
      <c r="D107" s="240" t="n"/>
      <c r="N107" s="39" t="n">
        <v>0</v>
      </c>
      <c r="O107" s="39" t="n">
        <v>0</v>
      </c>
      <c r="P107" s="39" t="n">
        <v>0</v>
      </c>
      <c r="Q107" s="39" t="n">
        <v>0</v>
      </c>
      <c r="R107" s="39">
        <f>AO16</f>
        <v/>
      </c>
      <c r="S107" s="39" t="n">
        <v>200</v>
      </c>
      <c r="T107" s="39" t="n">
        <v>200</v>
      </c>
      <c r="U107" s="39" t="n">
        <v>1</v>
      </c>
      <c r="V107" s="39" t="n">
        <v>200</v>
      </c>
      <c r="W107" s="39" t="n">
        <v>200</v>
      </c>
      <c r="X107" s="39" t="n">
        <v>200</v>
      </c>
      <c r="Y107" s="39" t="n">
        <v>200</v>
      </c>
      <c r="Z107" s="39" t="n">
        <v>200</v>
      </c>
      <c r="AA107" s="39" t="n">
        <v>200</v>
      </c>
      <c r="AB107" s="380">
        <f>Z107+IF(NOT(ISBLANK(OFFSET(AB107,0,6))),N(OFFSET(AB107,0,6)),N(OFFSET(AB107,0,7)))-AA107</f>
        <v/>
      </c>
    </row>
    <row r="108">
      <c r="A108" s="25" t="inlineStr">
        <is>
          <t>SACOLA M VENDA</t>
        </is>
      </c>
      <c r="B108" s="6" t="n">
        <v>150</v>
      </c>
      <c r="C108" s="632" t="n"/>
      <c r="D108" s="240" t="n"/>
      <c r="N108" s="39" t="n">
        <v>0</v>
      </c>
      <c r="O108" s="39" t="n">
        <v>0</v>
      </c>
      <c r="P108" s="39" t="n">
        <v>0</v>
      </c>
      <c r="Q108" s="39" t="n">
        <v>0</v>
      </c>
      <c r="R108" s="39" t="n">
        <v>0</v>
      </c>
      <c r="S108" s="39" t="n">
        <v>150</v>
      </c>
      <c r="T108" s="39" t="n">
        <v>130</v>
      </c>
      <c r="U108" s="39" t="n">
        <v>122</v>
      </c>
      <c r="V108" s="39" t="n"/>
      <c r="W108" s="39" t="n"/>
      <c r="X108" s="39" t="n"/>
      <c r="Y108" s="39" t="n"/>
      <c r="Z108" s="39" t="n"/>
      <c r="AA108" s="39" t="n">
        <v>33</v>
      </c>
      <c r="AB108" s="380">
        <f>Z108+IF(NOT(ISBLANK(OFFSET(AB108,0,6))),N(OFFSET(AB108,0,6)),N(OFFSET(AB108,0,7)))-AA108</f>
        <v/>
      </c>
    </row>
    <row r="109">
      <c r="A109" s="25" t="inlineStr">
        <is>
          <t>KIT TAG 10 C/ 20</t>
        </is>
      </c>
      <c r="B109" s="6" t="n">
        <v>200</v>
      </c>
      <c r="C109" s="632" t="n"/>
      <c r="D109" s="240" t="n"/>
      <c r="N109" s="39" t="n">
        <v>0</v>
      </c>
      <c r="O109" s="39" t="n">
        <v>0</v>
      </c>
      <c r="P109" s="39" t="n">
        <v>0</v>
      </c>
      <c r="Q109" s="39" t="n">
        <v>0</v>
      </c>
      <c r="R109" s="39" t="n">
        <v>0</v>
      </c>
      <c r="S109" s="39" t="n">
        <v>2</v>
      </c>
      <c r="T109" s="39" t="n">
        <v>3</v>
      </c>
      <c r="U109" s="39" t="n">
        <v>3</v>
      </c>
      <c r="V109" s="39" t="n"/>
      <c r="W109" s="39" t="n"/>
      <c r="X109" s="39" t="n"/>
      <c r="Y109" s="39" t="n"/>
      <c r="Z109" s="39" t="n"/>
      <c r="AA109" s="39" t="n">
        <v>3</v>
      </c>
      <c r="AB109" s="380">
        <f>Z109+IF(NOT(ISBLANK(OFFSET(AB109,0,6))),N(OFFSET(AB109,0,6)),N(OFFSET(AB109,0,7)))-AA109</f>
        <v/>
      </c>
    </row>
    <row r="110">
      <c r="A110" s="157" t="inlineStr">
        <is>
          <t>CAIXA M</t>
        </is>
      </c>
      <c r="B110" s="72" t="n">
        <v>100</v>
      </c>
      <c r="C110" s="639" t="n"/>
      <c r="D110" s="72" t="n"/>
      <c r="N110" s="39" t="n">
        <v>0</v>
      </c>
      <c r="O110" s="39" t="n">
        <v>0</v>
      </c>
      <c r="P110" s="39" t="n">
        <v>0</v>
      </c>
      <c r="Q110" s="39" t="n">
        <v>0</v>
      </c>
      <c r="R110" s="39" t="n">
        <v>0</v>
      </c>
      <c r="S110" s="39" t="n">
        <v>50</v>
      </c>
      <c r="T110" s="39" t="n">
        <v>50</v>
      </c>
      <c r="U110" s="39" t="n">
        <v>50</v>
      </c>
      <c r="V110" s="39" t="n"/>
      <c r="W110" s="39" t="n"/>
      <c r="X110" s="39" t="n"/>
      <c r="Y110" s="39" t="n"/>
      <c r="Z110" s="39" t="n"/>
      <c r="AA110" s="39" t="n">
        <v>49</v>
      </c>
      <c r="AB110" s="380">
        <f>Z110+IF(NOT(ISBLANK(OFFSET(AB110,0,6))),N(OFFSET(AB110,0,6)),N(OFFSET(AB110,0,7)))-AA110</f>
        <v/>
      </c>
    </row>
    <row r="111">
      <c r="A111" s="157" t="inlineStr">
        <is>
          <t>CARTUCHO P</t>
        </is>
      </c>
      <c r="B111" s="72" t="n">
        <v>200</v>
      </c>
      <c r="C111" s="639" t="n"/>
      <c r="D111" s="72" t="n"/>
      <c r="N111" s="39" t="n">
        <v>0</v>
      </c>
      <c r="O111" s="39" t="n">
        <v>0</v>
      </c>
      <c r="P111" s="39" t="n">
        <v>0</v>
      </c>
      <c r="Q111" s="39" t="n">
        <v>0</v>
      </c>
      <c r="R111" s="39" t="n">
        <v>0</v>
      </c>
      <c r="S111" s="39" t="n">
        <v>50</v>
      </c>
      <c r="T111" s="39" t="n">
        <v>50</v>
      </c>
      <c r="U111" s="39" t="n">
        <v>50</v>
      </c>
      <c r="V111" s="39" t="n"/>
      <c r="W111" s="39" t="n"/>
      <c r="X111" s="39" t="n"/>
      <c r="Y111" s="39" t="n"/>
      <c r="Z111" s="39" t="n"/>
      <c r="AA111" s="39" t="n">
        <v>49</v>
      </c>
      <c r="AB111" s="380">
        <f>Z111+IF(NOT(ISBLANK(OFFSET(AB111,0,6))),N(OFFSET(AB111,0,6)),N(OFFSET(AB111,0,7)))-AA111</f>
        <v/>
      </c>
    </row>
    <row r="113">
      <c r="A113" s="280" t="inlineStr">
        <is>
          <t>BOTICÁRIO MÃES/26</t>
        </is>
      </c>
      <c r="B113" s="255" t="inlineStr">
        <is>
          <t>PC</t>
        </is>
      </c>
      <c r="C113" s="255" t="inlineStr">
        <is>
          <t>R$</t>
        </is>
      </c>
      <c r="D113" s="255" t="n"/>
      <c r="N113" s="619" t="n">
        <v>46062</v>
      </c>
      <c r="O113" s="619" t="n">
        <v>46069</v>
      </c>
      <c r="P113" s="619" t="n">
        <v>46076</v>
      </c>
      <c r="Q113" s="619" t="n">
        <v>46083</v>
      </c>
      <c r="R113" s="619" t="n">
        <v>46090</v>
      </c>
      <c r="S113" s="619" t="n">
        <v>46097</v>
      </c>
      <c r="T113" s="619" t="n">
        <v>46104</v>
      </c>
      <c r="U113" s="619" t="n">
        <v>46111</v>
      </c>
      <c r="V113" s="619" t="n">
        <v>46118</v>
      </c>
      <c r="W113" s="619" t="n">
        <v>46125</v>
      </c>
      <c r="X113" s="619" t="n">
        <v>46132</v>
      </c>
      <c r="Y113" s="619" t="n">
        <v>46139</v>
      </c>
      <c r="Z113" s="619" t="n">
        <v>46146</v>
      </c>
      <c r="AA113" s="619" t="n">
        <v>46154</v>
      </c>
      <c r="AB113" s="621" t="inlineStr">
        <is>
          <t>USOU</t>
        </is>
      </c>
    </row>
    <row r="114">
      <c r="A114" s="25" t="inlineStr">
        <is>
          <t>SACOLA P</t>
        </is>
      </c>
      <c r="B114" s="6" t="n">
        <v>200</v>
      </c>
      <c r="C114" s="632" t="n"/>
      <c r="D114" s="240" t="n"/>
      <c r="N114" s="39" t="n">
        <v>0</v>
      </c>
      <c r="O114" s="39" t="n">
        <v>0</v>
      </c>
      <c r="P114" s="39" t="n">
        <v>0</v>
      </c>
      <c r="Q114" s="39" t="n">
        <v>0</v>
      </c>
      <c r="R114" s="39" t="n">
        <v>0</v>
      </c>
      <c r="S114" s="39" t="n">
        <v>0</v>
      </c>
      <c r="T114" s="39">
        <f>AM9</f>
        <v/>
      </c>
      <c r="U114" s="39" t="n">
        <v>400</v>
      </c>
      <c r="V114" s="39" t="n">
        <v>400</v>
      </c>
      <c r="W114" s="39" t="n">
        <v>290</v>
      </c>
      <c r="X114" s="39" t="n">
        <v>200</v>
      </c>
      <c r="Y114" s="39" t="n">
        <v>200</v>
      </c>
      <c r="Z114" s="39" t="n">
        <v>170</v>
      </c>
      <c r="AA114" s="39" t="n">
        <v>0</v>
      </c>
      <c r="AB114" s="380">
        <f>Z114+IF(NOT(ISBLANK(OFFSET(AB114,0,6))),N(OFFSET(AB114,0,6)),N(OFFSET(AB114,0,7)))-AA114</f>
        <v/>
      </c>
    </row>
    <row r="115">
      <c r="A115" s="25" t="inlineStr">
        <is>
          <t>SACOLA M</t>
        </is>
      </c>
      <c r="B115" s="6" t="n">
        <v>200</v>
      </c>
      <c r="C115" s="632" t="n"/>
      <c r="D115" s="240" t="n"/>
      <c r="N115" s="39" t="n">
        <v>0</v>
      </c>
      <c r="O115" s="39" t="n">
        <v>0</v>
      </c>
      <c r="P115" s="39" t="n">
        <v>0</v>
      </c>
      <c r="Q115" s="39" t="n">
        <v>0</v>
      </c>
      <c r="R115" s="39" t="n">
        <v>0</v>
      </c>
      <c r="S115" s="39" t="n">
        <v>0</v>
      </c>
      <c r="T115" s="39">
        <f>AM10</f>
        <v/>
      </c>
      <c r="U115" s="39" t="n">
        <v>200</v>
      </c>
      <c r="V115" s="39" t="n">
        <v>0</v>
      </c>
      <c r="W115" s="39" t="n">
        <v>0</v>
      </c>
      <c r="X115" s="39" t="n">
        <v>0</v>
      </c>
      <c r="Y115" s="39" t="n">
        <v>0</v>
      </c>
      <c r="Z115" s="39" t="n">
        <v>190</v>
      </c>
      <c r="AA115" s="39" t="n">
        <v>50</v>
      </c>
      <c r="AB115" s="380">
        <f>Z115+IF(NOT(ISBLANK(OFFSET(AB115,0,6))),N(OFFSET(AB115,0,6)),N(OFFSET(AB115,0,7)))-AA115</f>
        <v/>
      </c>
    </row>
    <row r="116">
      <c r="A116" s="25" t="inlineStr">
        <is>
          <t>SACOLA G</t>
        </is>
      </c>
      <c r="B116" s="6" t="n">
        <v>100</v>
      </c>
      <c r="C116" s="632" t="n"/>
      <c r="D116" s="240" t="n"/>
      <c r="N116" s="39" t="n">
        <v>0</v>
      </c>
      <c r="O116" s="39" t="n">
        <v>0</v>
      </c>
      <c r="P116" s="39" t="n">
        <v>0</v>
      </c>
      <c r="Q116" s="39" t="n">
        <v>0</v>
      </c>
      <c r="R116" s="39" t="n">
        <v>0</v>
      </c>
      <c r="S116" s="39" t="n">
        <v>0</v>
      </c>
      <c r="T116" s="39">
        <f>AM11</f>
        <v/>
      </c>
      <c r="U116" s="39" t="n">
        <v>100</v>
      </c>
      <c r="V116" s="39" t="n">
        <v>0</v>
      </c>
      <c r="W116" s="39" t="n">
        <v>0</v>
      </c>
      <c r="X116" s="39" t="n">
        <v>0</v>
      </c>
      <c r="Y116" s="39" t="n">
        <v>0</v>
      </c>
      <c r="Z116" s="39" t="n">
        <v>65</v>
      </c>
      <c r="AA116" s="39" t="n">
        <v>0</v>
      </c>
      <c r="AB116" s="380">
        <f>Z116+IF(NOT(ISBLANK(OFFSET(AB116,0,6))),N(OFFSET(AB116,0,6)),N(OFFSET(AB116,0,7)))-AA116</f>
        <v/>
      </c>
    </row>
    <row r="117">
      <c r="A117" s="25" t="inlineStr">
        <is>
          <t>SACOLA P VENDA</t>
        </is>
      </c>
      <c r="B117" s="6" t="n">
        <v>200</v>
      </c>
      <c r="C117" s="632" t="n"/>
      <c r="D117" s="240" t="n"/>
      <c r="N117" s="39" t="n">
        <v>0</v>
      </c>
      <c r="O117" s="39" t="n">
        <v>0</v>
      </c>
      <c r="P117" s="39" t="n">
        <v>0</v>
      </c>
      <c r="Q117" s="39" t="n">
        <v>0</v>
      </c>
      <c r="R117" s="39" t="n">
        <v>0</v>
      </c>
      <c r="S117" s="39" t="n">
        <v>0</v>
      </c>
      <c r="T117" s="39" t="n">
        <v>0</v>
      </c>
      <c r="U117" s="39" t="n">
        <v>50</v>
      </c>
      <c r="V117" s="39" t="n"/>
      <c r="W117" s="39" t="n"/>
      <c r="X117" s="39" t="n"/>
      <c r="Y117" s="39" t="n"/>
      <c r="Z117" s="39" t="n"/>
      <c r="AA117" s="39" t="n">
        <v>0</v>
      </c>
      <c r="AB117" s="380">
        <f>Z117+IF(NOT(ISBLANK(OFFSET(AB117,0,6))),N(OFFSET(AB117,0,6)),N(OFFSET(AB117,0,7)))-AA117</f>
        <v/>
      </c>
    </row>
    <row r="118">
      <c r="A118" s="25" t="inlineStr">
        <is>
          <t>SACOLA M VENDA</t>
        </is>
      </c>
      <c r="B118" s="6" t="n">
        <v>200</v>
      </c>
      <c r="C118" s="632" t="n"/>
      <c r="D118" s="240" t="n"/>
      <c r="N118" s="39" t="n">
        <v>0</v>
      </c>
      <c r="O118" s="39" t="n">
        <v>0</v>
      </c>
      <c r="P118" s="39" t="n">
        <v>0</v>
      </c>
      <c r="Q118" s="39" t="n">
        <v>0</v>
      </c>
      <c r="R118" s="39" t="n">
        <v>0</v>
      </c>
      <c r="S118" s="39" t="n">
        <v>0</v>
      </c>
      <c r="T118" s="39" t="n">
        <v>0</v>
      </c>
      <c r="U118" s="39" t="n">
        <v>50</v>
      </c>
      <c r="V118" s="39" t="n"/>
      <c r="W118" s="39" t="n"/>
      <c r="X118" s="39" t="n"/>
      <c r="Y118" s="39" t="n"/>
      <c r="Z118" s="39" t="n"/>
      <c r="AA118" s="39" t="n">
        <v>0</v>
      </c>
      <c r="AB118" s="380">
        <f>Z118+IF(NOT(ISBLANK(OFFSET(AB118,0,6))),N(OFFSET(AB118,0,6)),N(OFFSET(AB118,0,7)))-AA118</f>
        <v/>
      </c>
    </row>
    <row r="119">
      <c r="A119" s="157" t="inlineStr">
        <is>
          <t>KIT PAPEL DE SEDA 10 C/ 20</t>
        </is>
      </c>
      <c r="B119" s="72" t="n">
        <v>200</v>
      </c>
      <c r="C119" s="639" t="n"/>
      <c r="D119" s="72" t="n"/>
      <c r="N119" s="39" t="n">
        <v>0</v>
      </c>
      <c r="O119" s="39" t="n">
        <v>0</v>
      </c>
      <c r="P119" s="39" t="n">
        <v>0</v>
      </c>
      <c r="Q119" s="39" t="n">
        <v>0</v>
      </c>
      <c r="R119" s="39" t="n">
        <v>0</v>
      </c>
      <c r="S119" s="39" t="n">
        <v>0</v>
      </c>
      <c r="T119" s="39" t="n">
        <v>0</v>
      </c>
      <c r="U119" s="39" t="n">
        <v>2</v>
      </c>
      <c r="V119" s="39" t="n"/>
      <c r="W119" s="39" t="n"/>
      <c r="X119" s="39" t="n"/>
      <c r="Y119" s="39" t="n"/>
      <c r="Z119" s="39" t="n"/>
      <c r="AA119" s="39" t="n">
        <v>1</v>
      </c>
      <c r="AB119" s="380">
        <f>Z119+IF(NOT(ISBLANK(OFFSET(AB119,0,6))),N(OFFSET(AB119,0,6)),N(OFFSET(AB119,0,7)))-AA119</f>
        <v/>
      </c>
    </row>
    <row r="120">
      <c r="A120" s="157" t="inlineStr">
        <is>
          <t>CAIXA P</t>
        </is>
      </c>
      <c r="B120" s="72" t="n">
        <v>150</v>
      </c>
      <c r="C120" s="639" t="n"/>
      <c r="D120" s="72" t="n"/>
      <c r="N120" s="39" t="n">
        <v>0</v>
      </c>
      <c r="O120" s="39" t="n">
        <v>0</v>
      </c>
      <c r="P120" s="39" t="n">
        <v>0</v>
      </c>
      <c r="Q120" s="39" t="n">
        <v>0</v>
      </c>
      <c r="R120" s="39" t="n">
        <v>0</v>
      </c>
      <c r="S120" s="39" t="n">
        <v>0</v>
      </c>
      <c r="T120" s="39" t="n">
        <v>0</v>
      </c>
      <c r="U120" s="39" t="n">
        <v>20</v>
      </c>
      <c r="V120" s="39" t="n"/>
      <c r="W120" s="39" t="n"/>
      <c r="X120" s="39" t="n"/>
      <c r="Y120" s="39" t="n"/>
      <c r="Z120" s="39" t="n"/>
      <c r="AA120" s="39" t="n">
        <v>0</v>
      </c>
      <c r="AB120" s="380">
        <f>Z120+IF(NOT(ISBLANK(OFFSET(AB120,0,6))),N(OFFSET(AB120,0,6)),N(OFFSET(AB120,0,7)))-AA120</f>
        <v/>
      </c>
    </row>
    <row r="121">
      <c r="A121" s="157" t="inlineStr">
        <is>
          <t>CAIXA M</t>
        </is>
      </c>
      <c r="B121" s="72" t="n">
        <v>100</v>
      </c>
      <c r="C121" s="639" t="n"/>
      <c r="D121" s="72" t="n"/>
      <c r="N121" s="39" t="n">
        <v>0</v>
      </c>
      <c r="O121" s="39" t="n">
        <v>0</v>
      </c>
      <c r="P121" s="39" t="n">
        <v>0</v>
      </c>
      <c r="Q121" s="39" t="n">
        <v>0</v>
      </c>
      <c r="R121" s="39" t="n">
        <v>0</v>
      </c>
      <c r="S121" s="39" t="n">
        <v>0</v>
      </c>
      <c r="T121" s="39" t="n">
        <v>0</v>
      </c>
      <c r="U121" s="39" t="n">
        <v>30</v>
      </c>
      <c r="V121" s="39" t="n"/>
      <c r="W121" s="39" t="n"/>
      <c r="X121" s="39" t="n"/>
      <c r="Y121" s="39" t="n"/>
      <c r="Z121" s="39" t="n"/>
      <c r="AA121" s="39" t="n">
        <v>13</v>
      </c>
      <c r="AB121" s="380">
        <f>Z121+IF(NOT(ISBLANK(OFFSET(AB121,0,6))),N(OFFSET(AB121,0,6)),N(OFFSET(AB121,0,7)))-AA121</f>
        <v/>
      </c>
    </row>
    <row r="122">
      <c r="A122" s="157" t="inlineStr">
        <is>
          <t>CARTUCHO M</t>
        </is>
      </c>
      <c r="B122" s="72" t="n">
        <v>150</v>
      </c>
      <c r="C122" s="639" t="n"/>
      <c r="D122" s="72" t="n"/>
      <c r="N122" s="39" t="n">
        <v>0</v>
      </c>
      <c r="O122" s="39" t="n">
        <v>0</v>
      </c>
      <c r="P122" s="39" t="n">
        <v>0</v>
      </c>
      <c r="Q122" s="39" t="n">
        <v>0</v>
      </c>
      <c r="R122" s="39" t="n">
        <v>0</v>
      </c>
      <c r="S122" s="39" t="n">
        <v>0</v>
      </c>
      <c r="T122" s="39" t="n">
        <v>0</v>
      </c>
      <c r="U122" s="39" t="n">
        <v>50</v>
      </c>
      <c r="V122" s="39" t="n"/>
      <c r="W122" s="39" t="n"/>
      <c r="X122" s="39" t="n"/>
      <c r="Y122" s="39" t="n"/>
      <c r="Z122" s="39" t="n"/>
      <c r="AA122" s="39" t="n">
        <v>30</v>
      </c>
      <c r="AB122" s="380">
        <f>Z122+IF(NOT(ISBLANK(OFFSET(AB122,0,6))),N(OFFSET(AB122,0,6)),N(OFFSET(AB122,0,7)))-AA122</f>
        <v/>
      </c>
    </row>
    <row r="124">
      <c r="A124" s="415" t="inlineStr">
        <is>
          <t>HOMEM ARANHA/25</t>
        </is>
      </c>
      <c r="B124" s="416" t="inlineStr">
        <is>
          <t>PC</t>
        </is>
      </c>
      <c r="C124" s="416" t="inlineStr">
        <is>
          <t>R$</t>
        </is>
      </c>
      <c r="D124" s="416" t="n"/>
      <c r="S124" s="619" t="n">
        <v>46097</v>
      </c>
      <c r="T124" s="619" t="n">
        <v>46104</v>
      </c>
      <c r="U124" s="619" t="n">
        <v>46111</v>
      </c>
      <c r="V124" s="619" t="n">
        <v>46118</v>
      </c>
      <c r="W124" s="619" t="n">
        <v>46125</v>
      </c>
      <c r="X124" s="619" t="n">
        <v>46132</v>
      </c>
      <c r="Y124" s="619" t="n">
        <v>46139</v>
      </c>
      <c r="Z124" s="619" t="n">
        <v>46146</v>
      </c>
      <c r="AA124" s="619" t="n">
        <v>46154</v>
      </c>
      <c r="AB124" s="621" t="inlineStr">
        <is>
          <t>USOU</t>
        </is>
      </c>
    </row>
    <row r="125">
      <c r="A125" s="25" t="inlineStr">
        <is>
          <t>CAIXA M</t>
        </is>
      </c>
      <c r="B125" s="6" t="n">
        <v>100</v>
      </c>
      <c r="C125" s="632" t="n">
        <v>1490</v>
      </c>
      <c r="D125" s="240" t="n"/>
      <c r="S125" s="39" t="n"/>
      <c r="T125" s="39" t="n"/>
      <c r="U125" s="39" t="n"/>
      <c r="V125" s="39" t="n"/>
      <c r="W125" s="39" t="n"/>
      <c r="X125" s="39" t="n"/>
      <c r="Y125" s="39" t="n"/>
      <c r="Z125" s="39" t="n"/>
      <c r="AA125" s="39" t="n">
        <v>30</v>
      </c>
      <c r="AB125" s="342" t="n"/>
    </row>
  </sheetData>
  <mergeCells count="9">
    <mergeCell ref="A5:A6"/>
    <mergeCell ref="B3:D3"/>
    <mergeCell ref="A1:AC1"/>
    <mergeCell ref="A102:AB102"/>
    <mergeCell ref="C5:C6"/>
    <mergeCell ref="F5:AB5"/>
    <mergeCell ref="B5:B6"/>
    <mergeCell ref="B2:D2"/>
    <mergeCell ref="D5:D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49" horizontalDpi="4294967295" verticalDpi="4294967295"/>
  <legacyDrawing xmlns:r="http://schemas.openxmlformats.org/officeDocument/2006/relationships" r:id="anysvml"/>
</worksheet>
</file>

<file path=xl/worksheets/sheet33.xml><?xml version="1.0" encoding="utf-8"?>
<worksheet xmlns="http://schemas.openxmlformats.org/spreadsheetml/2006/main">
  <sheetPr codeName="Planilha17">
    <tabColor rgb="FF7030A0"/>
    <outlinePr summaryBelow="1" summaryRight="1"/>
    <pageSetUpPr/>
  </sheetPr>
  <dimension ref="A1:BM199"/>
  <sheetViews>
    <sheetView topLeftCell="A172" zoomScaleNormal="100" workbookViewId="0">
      <pane xSplit="1" topLeftCell="V1" activePane="topRight" state="frozen"/>
      <selection pane="topRight" activeCell="X193" sqref="X193:X198"/>
    </sheetView>
  </sheetViews>
  <sheetFormatPr baseColWidth="8" defaultRowHeight="15"/>
  <cols>
    <col width="28.7109375" customWidth="1" min="1" max="1"/>
    <col width="9.140625" customWidth="1" min="2" max="26"/>
    <col width="9.140625" customWidth="1" min="28" max="32"/>
    <col width="9.140625" customWidth="1" min="34" max="37"/>
    <col width="9.140625" customWidth="1" min="39" max="43"/>
  </cols>
  <sheetData>
    <row r="1" ht="18" customHeight="1">
      <c r="A1" s="506" t="inlineStr">
        <is>
          <t>GASTO DE SACOLAS E ITENS DOADOS 2026 - MENSAIS</t>
        </is>
      </c>
      <c r="B1" s="700" t="n"/>
      <c r="C1" s="700" t="n"/>
      <c r="D1" s="700" t="n"/>
      <c r="E1" s="700" t="n"/>
      <c r="F1" s="700" t="n"/>
      <c r="G1" s="700" t="n"/>
      <c r="H1" s="700" t="n"/>
      <c r="I1" s="700" t="n"/>
      <c r="J1" s="700" t="n"/>
      <c r="K1" s="700" t="n"/>
      <c r="L1" s="700" t="n"/>
      <c r="M1" s="700" t="n"/>
      <c r="N1" s="700" t="n"/>
      <c r="O1" s="700" t="n"/>
      <c r="P1" s="700" t="n"/>
      <c r="Q1" s="700" t="n"/>
      <c r="R1" s="700" t="n"/>
      <c r="S1" s="700" t="n"/>
      <c r="T1" s="700" t="n"/>
      <c r="U1" s="700" t="n"/>
      <c r="V1" s="700" t="n"/>
      <c r="W1" s="700" t="n"/>
      <c r="X1" s="700" t="n"/>
      <c r="Y1" s="700" t="n"/>
      <c r="Z1" s="700" t="n"/>
      <c r="AA1" s="700" t="n"/>
      <c r="AB1" s="700" t="n"/>
      <c r="AC1" s="700" t="n"/>
      <c r="AD1" s="700" t="n"/>
      <c r="AE1" s="700" t="n"/>
      <c r="AF1" s="700" t="n"/>
      <c r="AG1" s="700" t="n"/>
      <c r="AH1" s="700" t="n"/>
      <c r="AI1" s="700" t="n"/>
      <c r="AJ1" s="700" t="n"/>
      <c r="AK1" s="700" t="n"/>
      <c r="AL1" s="700" t="n"/>
      <c r="AM1" s="700" t="n"/>
      <c r="AN1" s="700" t="n"/>
      <c r="AO1" s="700" t="n"/>
      <c r="AP1" s="700" t="n"/>
      <c r="AQ1" s="700" t="n"/>
      <c r="AR1" s="700" t="n"/>
      <c r="AS1" s="700" t="n"/>
      <c r="AT1" s="700" t="n"/>
      <c r="AU1" s="700" t="n"/>
      <c r="AV1" s="700" t="n"/>
      <c r="AW1" s="700" t="n"/>
      <c r="AX1" s="700" t="n"/>
      <c r="AY1" s="700" t="n"/>
      <c r="AZ1" s="700" t="n"/>
      <c r="BA1" s="700" t="n"/>
      <c r="BB1" s="700" t="n"/>
      <c r="BC1" s="700" t="n"/>
      <c r="BD1" s="700" t="n"/>
      <c r="BE1" s="700" t="n"/>
      <c r="BF1" s="700" t="n"/>
      <c r="BG1" s="700" t="n"/>
      <c r="BH1" s="700" t="n"/>
      <c r="BI1" s="700" t="n"/>
      <c r="BJ1" s="700" t="n"/>
      <c r="BK1" s="700" t="n"/>
      <c r="BL1" s="700" t="n"/>
      <c r="BM1" s="700" t="n"/>
    </row>
    <row r="2" ht="18" customHeight="1">
      <c r="A2" s="701" t="inlineStr">
        <is>
          <t>JAÚ CENTRO</t>
        </is>
      </c>
      <c r="B2" s="701" t="inlineStr">
        <is>
          <t>JANEIRO</t>
        </is>
      </c>
      <c r="C2" s="666" t="n"/>
      <c r="D2" s="666" t="n"/>
      <c r="E2" s="666" t="n"/>
      <c r="F2" s="667" t="n"/>
      <c r="G2" s="701" t="inlineStr">
        <is>
          <t>FEVEREIRO</t>
        </is>
      </c>
      <c r="H2" s="666" t="n"/>
      <c r="I2" s="666" t="n"/>
      <c r="J2" s="666" t="n"/>
      <c r="K2" s="667" t="n"/>
      <c r="L2" s="701" t="inlineStr">
        <is>
          <t>MARÇO</t>
        </is>
      </c>
      <c r="M2" s="666" t="n"/>
      <c r="N2" s="666" t="n"/>
      <c r="O2" s="666" t="n"/>
      <c r="P2" s="666" t="n"/>
      <c r="Q2" s="667" t="n"/>
      <c r="R2" s="701" t="inlineStr">
        <is>
          <t>ABRIL</t>
        </is>
      </c>
      <c r="S2" s="666" t="n"/>
      <c r="T2" s="666" t="n"/>
      <c r="U2" s="666" t="n"/>
      <c r="V2" s="667" t="n"/>
      <c r="W2" s="701" t="inlineStr">
        <is>
          <t>MAIO</t>
        </is>
      </c>
      <c r="X2" s="666" t="n"/>
      <c r="Y2" s="666" t="n"/>
      <c r="Z2" s="666" t="n"/>
      <c r="AA2" s="667" t="n"/>
      <c r="AB2" s="701" t="inlineStr">
        <is>
          <t>JUNHO</t>
        </is>
      </c>
      <c r="AC2" s="666" t="n"/>
      <c r="AD2" s="666" t="n"/>
      <c r="AE2" s="666" t="n"/>
      <c r="AF2" s="666" t="n"/>
      <c r="AG2" s="667" t="n"/>
      <c r="AH2" s="701" t="inlineStr">
        <is>
          <t>JULHO</t>
        </is>
      </c>
      <c r="AI2" s="666" t="n"/>
      <c r="AJ2" s="666" t="n"/>
      <c r="AK2" s="666" t="n"/>
      <c r="AL2" s="667" t="n"/>
      <c r="AM2" s="701" t="inlineStr">
        <is>
          <t>AGOSTO</t>
        </is>
      </c>
      <c r="AN2" s="666" t="n"/>
      <c r="AO2" s="666" t="n"/>
      <c r="AP2" s="666" t="n"/>
      <c r="AQ2" s="666" t="n"/>
      <c r="AR2" s="667" t="n"/>
      <c r="AS2" s="701" t="inlineStr">
        <is>
          <t>SETEMBRO</t>
        </is>
      </c>
      <c r="AT2" s="666" t="n"/>
      <c r="AU2" s="666" t="n"/>
      <c r="AV2" s="666" t="n"/>
      <c r="AW2" s="667" t="n"/>
      <c r="AX2" s="701" t="inlineStr">
        <is>
          <t>OUTUBRO</t>
        </is>
      </c>
      <c r="AY2" s="666" t="n"/>
      <c r="AZ2" s="666" t="n"/>
      <c r="BA2" s="666" t="n"/>
      <c r="BB2" s="667" t="n"/>
      <c r="BC2" s="701" t="inlineStr">
        <is>
          <t>NOVEMBRO</t>
        </is>
      </c>
      <c r="BD2" s="666" t="n"/>
      <c r="BE2" s="666" t="n"/>
      <c r="BF2" s="666" t="n"/>
      <c r="BG2" s="666" t="n"/>
      <c r="BH2" s="667" t="n"/>
      <c r="BI2" s="701" t="inlineStr">
        <is>
          <t>DEZEMBRO</t>
        </is>
      </c>
      <c r="BJ2" s="666" t="n"/>
      <c r="BK2" s="666" t="n"/>
      <c r="BL2" s="666" t="n"/>
      <c r="BM2" s="667" t="n"/>
    </row>
    <row r="3" ht="15.75" customHeight="1">
      <c r="A3" s="668" t="n"/>
      <c r="B3" s="86" t="n">
        <v>46027</v>
      </c>
      <c r="C3" s="86" t="n">
        <v>46034</v>
      </c>
      <c r="D3" s="86" t="n">
        <v>46041</v>
      </c>
      <c r="E3" s="86" t="n">
        <v>46048</v>
      </c>
      <c r="F3" s="87" t="inlineStr">
        <is>
          <t>USOU</t>
        </is>
      </c>
      <c r="G3" s="86" t="n">
        <v>46055</v>
      </c>
      <c r="H3" s="86" t="n">
        <v>46062</v>
      </c>
      <c r="I3" s="86" t="n">
        <v>46069</v>
      </c>
      <c r="J3" s="86" t="n">
        <v>46076</v>
      </c>
      <c r="K3" s="87" t="inlineStr">
        <is>
          <t>USOU</t>
        </is>
      </c>
      <c r="L3" s="86" t="n">
        <v>46083</v>
      </c>
      <c r="M3" s="86" t="n">
        <v>46090</v>
      </c>
      <c r="N3" s="86" t="n">
        <v>46097</v>
      </c>
      <c r="O3" s="86" t="n">
        <v>46104</v>
      </c>
      <c r="P3" s="86" t="n">
        <v>46111</v>
      </c>
      <c r="Q3" s="87" t="inlineStr">
        <is>
          <t>USOU</t>
        </is>
      </c>
      <c r="R3" s="86" t="n">
        <v>46118</v>
      </c>
      <c r="S3" s="86" t="n">
        <v>46125</v>
      </c>
      <c r="T3" s="86" t="n">
        <v>46132</v>
      </c>
      <c r="U3" s="86" t="n">
        <v>46139</v>
      </c>
      <c r="V3" s="87" t="inlineStr">
        <is>
          <t>USOU</t>
        </is>
      </c>
      <c r="W3" s="86" t="n">
        <v>46146</v>
      </c>
      <c r="X3" s="86" t="n">
        <v>46153</v>
      </c>
      <c r="Y3" s="86" t="n">
        <v>46160</v>
      </c>
      <c r="Z3" s="86" t="n">
        <v>46167</v>
      </c>
      <c r="AA3" s="87" t="inlineStr">
        <is>
          <t>USOU</t>
        </is>
      </c>
      <c r="AB3" s="86" t="n">
        <v>46174</v>
      </c>
      <c r="AC3" s="86" t="n">
        <v>46181</v>
      </c>
      <c r="AD3" s="86" t="n">
        <v>46188</v>
      </c>
      <c r="AE3" s="86" t="n">
        <v>46195</v>
      </c>
      <c r="AF3" s="86" t="n">
        <v>46202</v>
      </c>
      <c r="AG3" s="87" t="inlineStr">
        <is>
          <t>USOU</t>
        </is>
      </c>
      <c r="AH3" s="86" t="n">
        <v>46209</v>
      </c>
      <c r="AI3" s="86" t="n">
        <v>46216</v>
      </c>
      <c r="AJ3" s="86" t="n">
        <v>46223</v>
      </c>
      <c r="AK3" s="86" t="n">
        <v>46230</v>
      </c>
      <c r="AL3" s="87" t="inlineStr">
        <is>
          <t>USOU</t>
        </is>
      </c>
      <c r="AM3" s="86" t="n">
        <v>46237</v>
      </c>
      <c r="AN3" s="86" t="n">
        <v>46244</v>
      </c>
      <c r="AO3" s="86" t="n">
        <v>46251</v>
      </c>
      <c r="AP3" s="86" t="n">
        <v>46258</v>
      </c>
      <c r="AQ3" s="86" t="n">
        <v>46265</v>
      </c>
      <c r="AR3" s="87" t="inlineStr">
        <is>
          <t>USOU</t>
        </is>
      </c>
      <c r="AS3" s="86" t="n">
        <v>46272</v>
      </c>
      <c r="AT3" s="86" t="n">
        <v>46279</v>
      </c>
      <c r="AU3" s="86" t="n">
        <v>46286</v>
      </c>
      <c r="AV3" s="86" t="n">
        <v>46293</v>
      </c>
      <c r="AW3" s="87" t="inlineStr">
        <is>
          <t>USOU</t>
        </is>
      </c>
      <c r="AX3" s="86" t="n">
        <v>46300</v>
      </c>
      <c r="AY3" s="86" t="n">
        <v>46307</v>
      </c>
      <c r="AZ3" s="86" t="n">
        <v>46314</v>
      </c>
      <c r="BA3" s="86" t="n">
        <v>46321</v>
      </c>
      <c r="BB3" s="87" t="inlineStr">
        <is>
          <t>USOU</t>
        </is>
      </c>
      <c r="BC3" s="86" t="n">
        <v>46328</v>
      </c>
      <c r="BD3" s="86" t="n">
        <v>46335</v>
      </c>
      <c r="BE3" s="86" t="n">
        <v>46342</v>
      </c>
      <c r="BF3" s="86" t="n">
        <v>46349</v>
      </c>
      <c r="BG3" s="86" t="n">
        <v>46356</v>
      </c>
      <c r="BH3" s="87" t="inlineStr">
        <is>
          <t>USOU</t>
        </is>
      </c>
      <c r="BI3" s="86" t="n">
        <v>46363</v>
      </c>
      <c r="BJ3" s="86" t="n">
        <v>46370</v>
      </c>
      <c r="BK3" s="86" t="n">
        <v>46377</v>
      </c>
      <c r="BL3" s="86" t="n">
        <v>46384</v>
      </c>
      <c r="BM3" s="87" t="inlineStr">
        <is>
          <t>USOU</t>
        </is>
      </c>
    </row>
    <row r="4" ht="15.75" customHeight="1">
      <c r="A4" s="91" t="inlineStr">
        <is>
          <t>SACOLA PP VERDE</t>
        </is>
      </c>
      <c r="B4" s="89" t="n">
        <v>30</v>
      </c>
      <c r="C4" s="89" t="n">
        <v>150</v>
      </c>
      <c r="D4" s="89" t="n">
        <v>0</v>
      </c>
      <c r="E4" s="89" t="n">
        <v>60</v>
      </c>
      <c r="F4" s="90">
        <f>B4+C4+D4+E4</f>
        <v/>
      </c>
      <c r="G4" s="89" t="n">
        <v>40</v>
      </c>
      <c r="H4" s="89" t="n">
        <v>0</v>
      </c>
      <c r="I4" s="89" t="n">
        <v>20</v>
      </c>
      <c r="J4" s="89" t="n">
        <v>60</v>
      </c>
      <c r="K4" s="90">
        <f>G4+H4+I4+J4</f>
        <v/>
      </c>
      <c r="L4" s="89" t="n">
        <v>40</v>
      </c>
      <c r="M4" s="89" t="n">
        <v>40</v>
      </c>
      <c r="N4" s="89" t="n">
        <v>0</v>
      </c>
      <c r="O4" s="89" t="n">
        <v>0</v>
      </c>
      <c r="P4" s="89" t="n">
        <v>60</v>
      </c>
      <c r="Q4" s="90">
        <f>L4+M4+N4+O4+P4</f>
        <v/>
      </c>
      <c r="R4" s="89" t="n"/>
      <c r="S4" s="89" t="n"/>
      <c r="T4" s="89" t="n"/>
      <c r="U4" s="89" t="n"/>
      <c r="V4" s="90">
        <f>R4+S4+T4+U4</f>
        <v/>
      </c>
      <c r="W4" s="89" t="n">
        <v>0</v>
      </c>
      <c r="X4" s="89" t="n">
        <v>0</v>
      </c>
      <c r="Y4" s="89" t="n"/>
      <c r="Z4" s="89" t="n"/>
      <c r="AA4" s="90">
        <f>W4+X4+Y4+Z4</f>
        <v/>
      </c>
      <c r="AB4" s="89" t="n"/>
      <c r="AC4" s="89" t="n"/>
      <c r="AD4" s="89" t="n"/>
      <c r="AE4" s="89" t="n"/>
      <c r="AF4" s="89" t="n"/>
      <c r="AG4" s="90">
        <f>AB4+AC4+AD4+AE4+AF4</f>
        <v/>
      </c>
      <c r="AH4" s="89" t="n"/>
      <c r="AI4" s="89" t="n"/>
      <c r="AJ4" s="89" t="n"/>
      <c r="AK4" s="89" t="n"/>
      <c r="AL4" s="90">
        <f>AH4+AI4+AJ4+AK4</f>
        <v/>
      </c>
      <c r="AM4" s="89" t="n"/>
      <c r="AN4" s="89" t="n"/>
      <c r="AO4" s="89" t="n"/>
      <c r="AP4" s="89" t="n"/>
      <c r="AQ4" s="89" t="n"/>
      <c r="AR4" s="90">
        <f>AM4+AN4+AO4+AP4+AQ4</f>
        <v/>
      </c>
      <c r="AS4" s="89" t="n"/>
      <c r="AT4" s="89" t="n"/>
      <c r="AU4" s="89" t="n"/>
      <c r="AV4" s="89" t="n"/>
      <c r="AW4" s="90">
        <f>AS4+AT4+AU4+AV4</f>
        <v/>
      </c>
      <c r="AX4" s="89" t="n"/>
      <c r="AY4" s="89" t="n"/>
      <c r="AZ4" s="89" t="n"/>
      <c r="BA4" s="89" t="n"/>
      <c r="BB4" s="90">
        <f>AX4+AY4+AZ4+BA4</f>
        <v/>
      </c>
      <c r="BC4" s="89" t="n"/>
      <c r="BD4" s="89" t="n"/>
      <c r="BE4" s="89" t="n"/>
      <c r="BF4" s="89" t="n"/>
      <c r="BG4" s="89" t="n"/>
      <c r="BH4" s="90">
        <f>BC4+BD4+BE4+BF4+BG4</f>
        <v/>
      </c>
      <c r="BI4" s="89" t="n"/>
      <c r="BJ4" s="89" t="n"/>
      <c r="BK4" s="89" t="n"/>
      <c r="BL4" s="89" t="n"/>
      <c r="BM4" s="90">
        <f>BI4+BJ4+BK4+BL4</f>
        <v/>
      </c>
    </row>
    <row r="5" ht="15.75" customHeight="1">
      <c r="A5" s="91" t="inlineStr">
        <is>
          <t>SACOLA P VERDE</t>
        </is>
      </c>
      <c r="B5" s="89" t="n">
        <v>60</v>
      </c>
      <c r="C5" s="89" t="n">
        <v>340</v>
      </c>
      <c r="D5" s="89" t="n">
        <v>80</v>
      </c>
      <c r="E5" s="89" t="n">
        <v>120</v>
      </c>
      <c r="F5" s="90">
        <f>B5+C5+D5+E5</f>
        <v/>
      </c>
      <c r="G5" s="89" t="n">
        <v>140</v>
      </c>
      <c r="H5" s="89" t="n">
        <v>120</v>
      </c>
      <c r="I5" s="89" t="n">
        <v>20</v>
      </c>
      <c r="J5" s="89" t="n">
        <v>120</v>
      </c>
      <c r="K5" s="90">
        <f>G5+H5+I5+J5</f>
        <v/>
      </c>
      <c r="L5" s="89" t="n">
        <v>100</v>
      </c>
      <c r="M5" s="89" t="n">
        <v>160</v>
      </c>
      <c r="N5" s="89" t="n">
        <v>200</v>
      </c>
      <c r="O5" s="89" t="n">
        <v>340</v>
      </c>
      <c r="P5" s="89" t="n">
        <v>100</v>
      </c>
      <c r="Q5" s="90">
        <f>L5+M5+N5+O5+P5</f>
        <v/>
      </c>
      <c r="R5" s="89" t="n"/>
      <c r="S5" s="89" t="n"/>
      <c r="T5" s="89" t="n"/>
      <c r="U5" s="89" t="n"/>
      <c r="V5" s="90">
        <f>R5+S5+T5+U5</f>
        <v/>
      </c>
      <c r="W5" s="89" t="n">
        <v>0</v>
      </c>
      <c r="X5" s="89" t="n">
        <v>400</v>
      </c>
      <c r="Y5" s="89" t="n"/>
      <c r="Z5" s="89" t="n"/>
      <c r="AA5" s="90">
        <f>W5+X5+Y5+Z5</f>
        <v/>
      </c>
      <c r="AB5" s="89" t="n"/>
      <c r="AC5" s="89" t="n"/>
      <c r="AD5" s="89" t="n"/>
      <c r="AE5" s="89" t="n"/>
      <c r="AF5" s="89" t="n"/>
      <c r="AG5" s="90">
        <f>AB5+AC5+AD5+AE5+AF5</f>
        <v/>
      </c>
      <c r="AH5" s="89" t="n"/>
      <c r="AI5" s="89" t="n"/>
      <c r="AJ5" s="89" t="n"/>
      <c r="AK5" s="89" t="n"/>
      <c r="AL5" s="90">
        <f>AH5+AI5+AJ5+AK5</f>
        <v/>
      </c>
      <c r="AM5" s="89" t="n"/>
      <c r="AN5" s="89" t="n"/>
      <c r="AO5" s="89" t="n"/>
      <c r="AP5" s="89" t="n"/>
      <c r="AQ5" s="89" t="n"/>
      <c r="AR5" s="90">
        <f>AM5+AN5+AO5+AP5+AQ5</f>
        <v/>
      </c>
      <c r="AS5" s="89" t="n"/>
      <c r="AT5" s="89" t="n"/>
      <c r="AU5" s="89" t="n"/>
      <c r="AV5" s="89" t="n"/>
      <c r="AW5" s="90">
        <f>AS5+AT5+AU5+AV5</f>
        <v/>
      </c>
      <c r="AX5" s="89" t="n"/>
      <c r="AY5" s="89" t="n"/>
      <c r="AZ5" s="89" t="n"/>
      <c r="BA5" s="89" t="n"/>
      <c r="BB5" s="90">
        <f>AX5+AY5+AZ5+BA5</f>
        <v/>
      </c>
      <c r="BC5" s="89" t="n"/>
      <c r="BD5" s="89" t="n"/>
      <c r="BE5" s="89" t="n"/>
      <c r="BF5" s="89" t="n"/>
      <c r="BG5" s="89" t="n"/>
      <c r="BH5" s="90">
        <f>BC5+BD5+BE5+BF5+BG5</f>
        <v/>
      </c>
      <c r="BI5" s="89" t="n"/>
      <c r="BJ5" s="89" t="n"/>
      <c r="BK5" s="89" t="n"/>
      <c r="BL5" s="89" t="n"/>
      <c r="BM5" s="90">
        <f>BI5+BJ5+BK5+BL5</f>
        <v/>
      </c>
    </row>
    <row r="6" ht="15.75" customHeight="1">
      <c r="A6" s="91" t="inlineStr">
        <is>
          <t>SACOLA M VERDE</t>
        </is>
      </c>
      <c r="B6" s="89" t="n">
        <v>0</v>
      </c>
      <c r="C6" s="89" t="n">
        <v>120</v>
      </c>
      <c r="D6" s="89" t="n">
        <v>0</v>
      </c>
      <c r="E6" s="89" t="n">
        <v>80</v>
      </c>
      <c r="F6" s="90">
        <f>B6+C6+D6+E6</f>
        <v/>
      </c>
      <c r="G6" s="89" t="n">
        <v>40</v>
      </c>
      <c r="H6" s="89" t="n">
        <v>40</v>
      </c>
      <c r="I6" s="89" t="n">
        <v>0</v>
      </c>
      <c r="J6" s="89" t="n">
        <v>80</v>
      </c>
      <c r="K6" s="90">
        <f>G6+H6+I6+J6</f>
        <v/>
      </c>
      <c r="L6" s="89" t="n">
        <v>0</v>
      </c>
      <c r="M6" s="89" t="n">
        <v>40</v>
      </c>
      <c r="N6" s="89" t="n">
        <v>0</v>
      </c>
      <c r="O6" s="89" t="n">
        <v>0</v>
      </c>
      <c r="P6" s="89" t="n">
        <v>60</v>
      </c>
      <c r="Q6" s="90">
        <f>L6+M6+N6+O6+P6</f>
        <v/>
      </c>
      <c r="R6" s="89" t="n"/>
      <c r="S6" s="89" t="n"/>
      <c r="T6" s="89" t="n"/>
      <c r="U6" s="89" t="n"/>
      <c r="V6" s="90">
        <f>R6+S6+T6+U6</f>
        <v/>
      </c>
      <c r="W6" s="89" t="n">
        <v>0</v>
      </c>
      <c r="X6" s="89" t="n">
        <v>200</v>
      </c>
      <c r="Y6" s="89" t="n"/>
      <c r="Z6" s="89" t="n"/>
      <c r="AA6" s="90">
        <f>W6+X6+Y6+Z6</f>
        <v/>
      </c>
      <c r="AB6" s="89" t="n"/>
      <c r="AC6" s="89" t="n"/>
      <c r="AD6" s="89" t="n"/>
      <c r="AE6" s="89" t="n"/>
      <c r="AF6" s="89" t="n"/>
      <c r="AG6" s="90">
        <f>AB6+AC6+AD6+AE6+AF6</f>
        <v/>
      </c>
      <c r="AH6" s="89" t="n"/>
      <c r="AI6" s="89" t="n"/>
      <c r="AJ6" s="89" t="n"/>
      <c r="AK6" s="89" t="n"/>
      <c r="AL6" s="90">
        <f>AH6+AI6+AJ6+AK6</f>
        <v/>
      </c>
      <c r="AM6" s="89" t="n"/>
      <c r="AN6" s="89" t="n"/>
      <c r="AO6" s="89" t="n"/>
      <c r="AP6" s="89" t="n"/>
      <c r="AQ6" s="89" t="n"/>
      <c r="AR6" s="90">
        <f>AM6+AN6+AO6+AP6+AQ6</f>
        <v/>
      </c>
      <c r="AS6" s="89" t="n"/>
      <c r="AT6" s="89" t="n"/>
      <c r="AU6" s="89" t="n"/>
      <c r="AV6" s="89" t="n"/>
      <c r="AW6" s="90">
        <f>AS6+AT6+AU6+AV6</f>
        <v/>
      </c>
      <c r="AX6" s="89" t="n"/>
      <c r="AY6" s="89" t="n"/>
      <c r="AZ6" s="89" t="n"/>
      <c r="BA6" s="89" t="n"/>
      <c r="BB6" s="90">
        <f>AX6+AY6+AZ6+BA6</f>
        <v/>
      </c>
      <c r="BC6" s="89" t="n"/>
      <c r="BD6" s="89" t="n"/>
      <c r="BE6" s="89" t="n"/>
      <c r="BF6" s="89" t="n"/>
      <c r="BG6" s="89" t="n"/>
      <c r="BH6" s="90">
        <f>BC6+BD6+BE6+BF6+BG6</f>
        <v/>
      </c>
      <c r="BI6" s="89" t="n"/>
      <c r="BJ6" s="89" t="n"/>
      <c r="BK6" s="89" t="n"/>
      <c r="BL6" s="89" t="n"/>
      <c r="BM6" s="90">
        <f>BI6+BJ6+BK6+BL6</f>
        <v/>
      </c>
    </row>
    <row r="7" ht="15.75" customHeight="1">
      <c r="A7" s="92" t="inlineStr">
        <is>
          <t>SACOLA G VERDE</t>
        </is>
      </c>
      <c r="B7" s="89" t="n">
        <v>0</v>
      </c>
      <c r="C7" s="89" t="n">
        <v>20</v>
      </c>
      <c r="D7" s="89" t="n">
        <v>0</v>
      </c>
      <c r="E7" s="89" t="n">
        <v>0</v>
      </c>
      <c r="F7" s="90">
        <f>B7+C7+D7+E7</f>
        <v/>
      </c>
      <c r="G7" s="89" t="n">
        <v>0</v>
      </c>
      <c r="H7" s="89" t="n">
        <v>0</v>
      </c>
      <c r="I7" s="89" t="n">
        <v>0</v>
      </c>
      <c r="J7" s="89" t="n">
        <v>20</v>
      </c>
      <c r="K7" s="90">
        <f>G7+H7+I7+J7</f>
        <v/>
      </c>
      <c r="L7" s="89" t="n">
        <v>20</v>
      </c>
      <c r="M7" s="89" t="n">
        <v>0</v>
      </c>
      <c r="N7" s="89" t="n">
        <v>0</v>
      </c>
      <c r="O7" s="89" t="n">
        <v>0</v>
      </c>
      <c r="P7" s="89" t="n">
        <v>0</v>
      </c>
      <c r="Q7" s="90">
        <f>L7+M7+N7+O7+P7</f>
        <v/>
      </c>
      <c r="R7" s="89" t="n"/>
      <c r="S7" s="89" t="n"/>
      <c r="T7" s="89" t="n"/>
      <c r="U7" s="89" t="n"/>
      <c r="V7" s="90">
        <f>R7+S7+T7+U7</f>
        <v/>
      </c>
      <c r="W7" s="89" t="n">
        <v>0</v>
      </c>
      <c r="X7" s="89" t="n">
        <v>150</v>
      </c>
      <c r="Y7" s="89" t="n"/>
      <c r="Z7" s="89" t="n"/>
      <c r="AA7" s="90">
        <f>W7+X7+Y7+Z7</f>
        <v/>
      </c>
      <c r="AB7" s="89" t="n"/>
      <c r="AC7" s="89" t="n"/>
      <c r="AD7" s="89" t="n"/>
      <c r="AE7" s="89" t="n"/>
      <c r="AF7" s="89" t="n"/>
      <c r="AG7" s="90">
        <f>AB7+AC7+AD7+AE7+AF7</f>
        <v/>
      </c>
      <c r="AH7" s="89" t="n"/>
      <c r="AI7" s="89" t="n"/>
      <c r="AJ7" s="89" t="n"/>
      <c r="AK7" s="89" t="n"/>
      <c r="AL7" s="90">
        <f>AH7+AI7+AJ7+AK7</f>
        <v/>
      </c>
      <c r="AM7" s="89" t="n"/>
      <c r="AN7" s="89" t="n"/>
      <c r="AO7" s="89" t="n"/>
      <c r="AP7" s="89" t="n"/>
      <c r="AQ7" s="89" t="n"/>
      <c r="AR7" s="90">
        <f>AM7+AN7+AO7+AP7+AQ7</f>
        <v/>
      </c>
      <c r="AS7" s="89" t="n"/>
      <c r="AT7" s="89" t="n"/>
      <c r="AU7" s="89" t="n"/>
      <c r="AV7" s="89" t="n"/>
      <c r="AW7" s="90">
        <f>AS7+AT7+AU7+AV7</f>
        <v/>
      </c>
      <c r="AX7" s="89" t="n"/>
      <c r="AY7" s="89" t="n"/>
      <c r="AZ7" s="89" t="n"/>
      <c r="BA7" s="89" t="n"/>
      <c r="BB7" s="90">
        <f>AX7+AY7+AZ7+BA7</f>
        <v/>
      </c>
      <c r="BC7" s="89" t="n"/>
      <c r="BD7" s="89" t="n"/>
      <c r="BE7" s="89" t="n"/>
      <c r="BF7" s="89" t="n"/>
      <c r="BG7" s="89" t="n"/>
      <c r="BH7" s="90">
        <f>BC7+BD7+BE7+BF7+BG7</f>
        <v/>
      </c>
      <c r="BI7" s="89" t="n"/>
      <c r="BJ7" s="89" t="n"/>
      <c r="BK7" s="89" t="n"/>
      <c r="BL7" s="89" t="n"/>
      <c r="BM7" s="90">
        <f>BI7+BJ7+BK7+BL7</f>
        <v/>
      </c>
    </row>
    <row r="8" ht="15.75" customHeight="1">
      <c r="A8" s="93" t="inlineStr">
        <is>
          <t xml:space="preserve">PAPEL DE SEDA </t>
        </is>
      </c>
      <c r="B8" s="89" t="n">
        <v>1</v>
      </c>
      <c r="C8" s="89" t="n">
        <v>1</v>
      </c>
      <c r="D8" s="89" t="n">
        <v>1</v>
      </c>
      <c r="E8" s="89" t="n">
        <v>1</v>
      </c>
      <c r="F8" s="90">
        <f>B8+C8+D8+E8</f>
        <v/>
      </c>
      <c r="G8" s="89" t="n">
        <v>0</v>
      </c>
      <c r="H8" s="89" t="n">
        <v>1</v>
      </c>
      <c r="I8" s="89" t="n">
        <v>1</v>
      </c>
      <c r="J8" s="89" t="n">
        <v>1</v>
      </c>
      <c r="K8" s="90">
        <f>G8+H8+I8+J8</f>
        <v/>
      </c>
      <c r="L8" s="89" t="n">
        <v>0</v>
      </c>
      <c r="M8" s="89" t="n">
        <v>3</v>
      </c>
      <c r="N8" s="89" t="n">
        <v>0</v>
      </c>
      <c r="O8" s="89" t="n">
        <v>0</v>
      </c>
      <c r="P8" s="89" t="n">
        <v>0</v>
      </c>
      <c r="Q8" s="90">
        <f>L8+M8+N8+O8+P8</f>
        <v/>
      </c>
      <c r="R8" s="89" t="n"/>
      <c r="S8" s="89" t="n"/>
      <c r="T8" s="89" t="n"/>
      <c r="U8" s="89" t="n"/>
      <c r="V8" s="90">
        <f>R8+S8+T8+U8</f>
        <v/>
      </c>
      <c r="W8" s="89" t="n">
        <v>0</v>
      </c>
      <c r="X8" s="89" t="n">
        <v>6</v>
      </c>
      <c r="Y8" s="89" t="n"/>
      <c r="Z8" s="89" t="n"/>
      <c r="AA8" s="90">
        <f>W8+X8+Y8+Z8</f>
        <v/>
      </c>
      <c r="AB8" s="89" t="n"/>
      <c r="AC8" s="89" t="n"/>
      <c r="AD8" s="89" t="n"/>
      <c r="AE8" s="89" t="n"/>
      <c r="AF8" s="89" t="n"/>
      <c r="AG8" s="90">
        <f>AB8+AC8+AD8+AE8+AF8</f>
        <v/>
      </c>
      <c r="AH8" s="89" t="n"/>
      <c r="AI8" s="89" t="n"/>
      <c r="AJ8" s="89" t="n"/>
      <c r="AK8" s="89" t="n"/>
      <c r="AL8" s="90">
        <f>AH8+AI8+AJ8+AK8</f>
        <v/>
      </c>
      <c r="AM8" s="89" t="n"/>
      <c r="AN8" s="89" t="n"/>
      <c r="AO8" s="89" t="n"/>
      <c r="AP8" s="89" t="n"/>
      <c r="AQ8" s="89" t="n"/>
      <c r="AR8" s="90">
        <f>AM8+AN8+AO8+AP8+AQ8</f>
        <v/>
      </c>
      <c r="AS8" s="89" t="n"/>
      <c r="AT8" s="89" t="n"/>
      <c r="AU8" s="89" t="n"/>
      <c r="AV8" s="89" t="n"/>
      <c r="AW8" s="90">
        <f>AS8+AT8+AU8+AV8</f>
        <v/>
      </c>
      <c r="AX8" s="89" t="n"/>
      <c r="AY8" s="89" t="n"/>
      <c r="AZ8" s="89" t="n"/>
      <c r="BA8" s="89" t="n"/>
      <c r="BB8" s="90">
        <f>AX8+AY8+AZ8+BA8</f>
        <v/>
      </c>
      <c r="BC8" s="89" t="n"/>
      <c r="BD8" s="89" t="n"/>
      <c r="BE8" s="89" t="n"/>
      <c r="BF8" s="89" t="n"/>
      <c r="BG8" s="89" t="n"/>
      <c r="BH8" s="90">
        <f>BC8+BD8+BE8+BF8+BG8</f>
        <v/>
      </c>
      <c r="BI8" s="89" t="n"/>
      <c r="BJ8" s="89" t="n"/>
      <c r="BK8" s="89" t="n"/>
      <c r="BL8" s="89" t="n"/>
      <c r="BM8" s="90">
        <f>BI8+BJ8+BK8+BL8</f>
        <v/>
      </c>
    </row>
    <row r="9" ht="15.75" customHeight="1">
      <c r="A9" s="93" t="inlineStr">
        <is>
          <t>ETIQUETAS</t>
        </is>
      </c>
      <c r="B9" s="89" t="n">
        <v>0</v>
      </c>
      <c r="C9" s="89" t="n">
        <v>0</v>
      </c>
      <c r="D9" s="89" t="n">
        <v>0</v>
      </c>
      <c r="E9" s="89" t="n">
        <v>0</v>
      </c>
      <c r="F9" s="90">
        <f>B9+C9+D9+E9</f>
        <v/>
      </c>
      <c r="G9" s="89" t="n">
        <v>0</v>
      </c>
      <c r="H9" s="89" t="n">
        <v>0</v>
      </c>
      <c r="I9" s="89" t="n">
        <v>0</v>
      </c>
      <c r="J9" s="89" t="n">
        <v>0</v>
      </c>
      <c r="K9" s="90">
        <f>G9+H9+I9+J9</f>
        <v/>
      </c>
      <c r="L9" s="89" t="n">
        <v>1</v>
      </c>
      <c r="M9" s="89" t="n">
        <v>1</v>
      </c>
      <c r="N9" s="89" t="n">
        <v>0</v>
      </c>
      <c r="O9" s="89" t="n">
        <v>0</v>
      </c>
      <c r="P9" s="89" t="n">
        <v>0</v>
      </c>
      <c r="Q9" s="90">
        <f>L9+M9+N9+O9+P9</f>
        <v/>
      </c>
      <c r="R9" s="89" t="n"/>
      <c r="S9" s="89" t="n"/>
      <c r="T9" s="89" t="n"/>
      <c r="U9" s="89" t="n"/>
      <c r="V9" s="90">
        <f>R9+S9+T9+U9</f>
        <v/>
      </c>
      <c r="W9" s="89" t="n">
        <v>0</v>
      </c>
      <c r="X9" s="89" t="n">
        <v>0</v>
      </c>
      <c r="Y9" s="89" t="n"/>
      <c r="Z9" s="89" t="n"/>
      <c r="AA9" s="90">
        <f>W9+X9+Y9+Z9</f>
        <v/>
      </c>
      <c r="AB9" s="89" t="n"/>
      <c r="AC9" s="89" t="n"/>
      <c r="AD9" s="89" t="n"/>
      <c r="AE9" s="89" t="n"/>
      <c r="AF9" s="89" t="n"/>
      <c r="AG9" s="90">
        <f>AB9+AC9+AD9+AE9+AF9</f>
        <v/>
      </c>
      <c r="AH9" s="89" t="n"/>
      <c r="AI9" s="89" t="n"/>
      <c r="AJ9" s="89" t="n"/>
      <c r="AK9" s="89" t="n"/>
      <c r="AL9" s="90">
        <f>AH9+AI9+AJ9+AK9</f>
        <v/>
      </c>
      <c r="AM9" s="89" t="n"/>
      <c r="AN9" s="89" t="n"/>
      <c r="AO9" s="89" t="n"/>
      <c r="AP9" s="89" t="n"/>
      <c r="AQ9" s="89" t="n"/>
      <c r="AR9" s="90">
        <f>AM9+AN9+AO9+AP9+AQ9</f>
        <v/>
      </c>
      <c r="AS9" s="89" t="n"/>
      <c r="AT9" s="89" t="n"/>
      <c r="AU9" s="89" t="n"/>
      <c r="AV9" s="89" t="n"/>
      <c r="AW9" s="90">
        <f>AS9+AT9+AU9+AV9</f>
        <v/>
      </c>
      <c r="AX9" s="89" t="n"/>
      <c r="AY9" s="89" t="n"/>
      <c r="AZ9" s="89" t="n"/>
      <c r="BA9" s="89" t="n"/>
      <c r="BB9" s="90">
        <f>AX9+AY9+AZ9+BA9</f>
        <v/>
      </c>
      <c r="BC9" s="89" t="n"/>
      <c r="BD9" s="89" t="n"/>
      <c r="BE9" s="89" t="n"/>
      <c r="BF9" s="89" t="n"/>
      <c r="BG9" s="89" t="n"/>
      <c r="BH9" s="90">
        <f>BC9+BD9+BE9+BF9+BG9</f>
        <v/>
      </c>
      <c r="BI9" s="89" t="n"/>
      <c r="BJ9" s="89" t="n"/>
      <c r="BK9" s="89" t="n"/>
      <c r="BL9" s="89" t="n"/>
      <c r="BM9" s="90">
        <f>BI9+BJ9+BK9+BL9</f>
        <v/>
      </c>
    </row>
    <row r="10" ht="15.75" customHeight="1">
      <c r="A10" s="93" t="inlineStr">
        <is>
          <t xml:space="preserve">TAGS </t>
        </is>
      </c>
      <c r="B10" s="89" t="n">
        <v>0</v>
      </c>
      <c r="C10" s="89" t="n">
        <v>1</v>
      </c>
      <c r="D10" s="89" t="n">
        <v>0</v>
      </c>
      <c r="E10" s="89" t="n">
        <v>0</v>
      </c>
      <c r="F10" s="90">
        <f>B10+C10+D10+E10</f>
        <v/>
      </c>
      <c r="G10" s="89" t="n">
        <v>0</v>
      </c>
      <c r="H10" s="89" t="n">
        <v>0</v>
      </c>
      <c r="I10" s="89" t="n">
        <v>1</v>
      </c>
      <c r="J10" s="89" t="n">
        <v>0</v>
      </c>
      <c r="K10" s="90">
        <f>G10+H10+I10+J10</f>
        <v/>
      </c>
      <c r="L10" s="89" t="n">
        <v>1</v>
      </c>
      <c r="M10" s="89" t="n">
        <v>0</v>
      </c>
      <c r="N10" s="89" t="n">
        <v>1</v>
      </c>
      <c r="O10" s="89" t="n">
        <v>0</v>
      </c>
      <c r="P10" s="89" t="n">
        <v>0</v>
      </c>
      <c r="Q10" s="90">
        <f>L10+M10+N10+O10+P10</f>
        <v/>
      </c>
      <c r="R10" s="89" t="n"/>
      <c r="S10" s="89" t="n"/>
      <c r="T10" s="89" t="n"/>
      <c r="U10" s="89" t="n"/>
      <c r="V10" s="90">
        <f>R10+S10+T10+U10</f>
        <v/>
      </c>
      <c r="W10" s="89" t="n">
        <v>0</v>
      </c>
      <c r="X10" s="89" t="n">
        <v>2</v>
      </c>
      <c r="Y10" s="89" t="n"/>
      <c r="Z10" s="89" t="n"/>
      <c r="AA10" s="90">
        <f>W10+X10+Y10+Z10</f>
        <v/>
      </c>
      <c r="AB10" s="89" t="n"/>
      <c r="AC10" s="89" t="n"/>
      <c r="AD10" s="89" t="n"/>
      <c r="AE10" s="89" t="n"/>
      <c r="AF10" s="89" t="n"/>
      <c r="AG10" s="90">
        <f>AB10+AC10+AD10+AE10+AF10</f>
        <v/>
      </c>
      <c r="AH10" s="89" t="n"/>
      <c r="AI10" s="89" t="n"/>
      <c r="AJ10" s="89" t="n"/>
      <c r="AK10" s="89" t="n"/>
      <c r="AL10" s="90">
        <f>AH10+AI10+AJ10+AK10</f>
        <v/>
      </c>
      <c r="AM10" s="89" t="n"/>
      <c r="AN10" s="89" t="n"/>
      <c r="AO10" s="89" t="n"/>
      <c r="AP10" s="89" t="n"/>
      <c r="AQ10" s="89" t="n"/>
      <c r="AR10" s="90">
        <f>AM10+AN10+AO10+AP10+AQ10</f>
        <v/>
      </c>
      <c r="AS10" s="89" t="n"/>
      <c r="AT10" s="89" t="n"/>
      <c r="AU10" s="89" t="n"/>
      <c r="AV10" s="89" t="n"/>
      <c r="AW10" s="90">
        <f>AS10+AT10+AU10+AV10</f>
        <v/>
      </c>
      <c r="AX10" s="89" t="n"/>
      <c r="AY10" s="89" t="n"/>
      <c r="AZ10" s="89" t="n"/>
      <c r="BA10" s="89" t="n"/>
      <c r="BB10" s="90">
        <f>AX10+AY10+AZ10+BA10</f>
        <v/>
      </c>
      <c r="BC10" s="89" t="n"/>
      <c r="BD10" s="89" t="n"/>
      <c r="BE10" s="89" t="n"/>
      <c r="BF10" s="89" t="n"/>
      <c r="BG10" s="89" t="n"/>
      <c r="BH10" s="90">
        <f>BC10+BD10+BE10+BF10+BG10</f>
        <v/>
      </c>
      <c r="BI10" s="89" t="n"/>
      <c r="BJ10" s="89" t="n"/>
      <c r="BK10" s="89" t="n"/>
      <c r="BL10" s="89" t="n"/>
      <c r="BM10" s="90">
        <f>BI10+BJ10+BK10+BL10</f>
        <v/>
      </c>
    </row>
    <row r="11" ht="15.75" customHeight="1">
      <c r="A11" s="93" t="inlineStr">
        <is>
          <t>LÂMINA OLFATIVA</t>
        </is>
      </c>
      <c r="B11" s="89" t="n">
        <v>1</v>
      </c>
      <c r="C11" s="89" t="n">
        <v>0</v>
      </c>
      <c r="D11" s="89" t="n">
        <v>0</v>
      </c>
      <c r="E11" s="89" t="n">
        <v>0</v>
      </c>
      <c r="F11" s="90">
        <f>B11+C11+D11+E11</f>
        <v/>
      </c>
      <c r="G11" s="89" t="n">
        <v>1</v>
      </c>
      <c r="H11" s="89" t="n">
        <v>0</v>
      </c>
      <c r="I11" s="89" t="n">
        <v>0</v>
      </c>
      <c r="J11" s="89" t="n">
        <v>0</v>
      </c>
      <c r="K11" s="90">
        <f>G11+H11+I11+J11</f>
        <v/>
      </c>
      <c r="L11" s="89" t="n">
        <v>1</v>
      </c>
      <c r="M11" s="89" t="n">
        <v>0</v>
      </c>
      <c r="N11" s="89" t="n">
        <v>0</v>
      </c>
      <c r="O11" s="89" t="n">
        <v>0</v>
      </c>
      <c r="P11" s="89" t="n">
        <v>0</v>
      </c>
      <c r="Q11" s="90">
        <f>L11+M11+N11+O11+P11</f>
        <v/>
      </c>
      <c r="R11" s="89" t="n"/>
      <c r="S11" s="89" t="n"/>
      <c r="T11" s="89" t="n"/>
      <c r="U11" s="89" t="n"/>
      <c r="V11" s="90">
        <f>R11+S11+T11+U11</f>
        <v/>
      </c>
      <c r="W11" s="89" t="n">
        <v>0</v>
      </c>
      <c r="X11" s="89" t="n">
        <v>2</v>
      </c>
      <c r="Y11" s="89" t="n"/>
      <c r="Z11" s="89" t="n"/>
      <c r="AA11" s="90">
        <f>W11+X11+Y11+Z11</f>
        <v/>
      </c>
      <c r="AB11" s="89" t="n"/>
      <c r="AC11" s="89" t="n"/>
      <c r="AD11" s="89" t="n"/>
      <c r="AE11" s="89" t="n"/>
      <c r="AF11" s="89" t="n"/>
      <c r="AG11" s="90">
        <f>AB11+AC11+AD11+AE11+AF11</f>
        <v/>
      </c>
      <c r="AH11" s="89" t="n"/>
      <c r="AI11" s="89" t="n"/>
      <c r="AJ11" s="89" t="n"/>
      <c r="AK11" s="89" t="n"/>
      <c r="AL11" s="90">
        <f>AH11+AI11+AJ11+AK11</f>
        <v/>
      </c>
      <c r="AM11" s="89" t="n"/>
      <c r="AN11" s="89" t="n"/>
      <c r="AO11" s="89" t="n"/>
      <c r="AP11" s="89" t="n"/>
      <c r="AQ11" s="89" t="n"/>
      <c r="AR11" s="90">
        <f>AM11+AN11+AO11+AP11+AQ11</f>
        <v/>
      </c>
      <c r="AS11" s="89" t="n"/>
      <c r="AT11" s="89" t="n"/>
      <c r="AU11" s="89" t="n"/>
      <c r="AV11" s="89" t="n"/>
      <c r="AW11" s="90">
        <f>AS11+AT11+AU11+AV11</f>
        <v/>
      </c>
      <c r="AX11" s="89" t="n"/>
      <c r="AY11" s="89" t="n"/>
      <c r="AZ11" s="89" t="n"/>
      <c r="BA11" s="89" t="n"/>
      <c r="BB11" s="90">
        <f>AX11+AY11+AZ11+BA11</f>
        <v/>
      </c>
      <c r="BC11" s="89" t="n"/>
      <c r="BD11" s="89" t="n"/>
      <c r="BE11" s="89" t="n"/>
      <c r="BF11" s="89" t="n"/>
      <c r="BG11" s="89" t="n"/>
      <c r="BH11" s="90">
        <f>BC11+BD11+BE11+BF11+BG11</f>
        <v/>
      </c>
      <c r="BI11" s="89" t="n"/>
      <c r="BJ11" s="89" t="n"/>
      <c r="BK11" s="89" t="n"/>
      <c r="BL11" s="89" t="n"/>
      <c r="BM11" s="90">
        <f>BI11+BJ11+BK11+BL11</f>
        <v/>
      </c>
    </row>
    <row r="12" ht="15.75" customHeight="1">
      <c r="A12" s="94" t="inlineStr">
        <is>
          <t>TOTAL DE SACOLAS</t>
        </is>
      </c>
      <c r="B12" s="95">
        <f>SUM(B4:B7)</f>
        <v/>
      </c>
      <c r="C12" s="95">
        <f>SUM(C4:C7)</f>
        <v/>
      </c>
      <c r="D12" s="95">
        <f>SUM(D4:D7)</f>
        <v/>
      </c>
      <c r="E12" s="95">
        <f>SUM(E4:E7)</f>
        <v/>
      </c>
      <c r="F12" s="95">
        <f>SUM(F4:F7)</f>
        <v/>
      </c>
      <c r="G12" s="95">
        <f>SUM(G4:G7)</f>
        <v/>
      </c>
      <c r="H12" s="95">
        <f>SUM(H4:H7)</f>
        <v/>
      </c>
      <c r="I12" s="95">
        <f>SUM(I4:I7)</f>
        <v/>
      </c>
      <c r="J12" s="95">
        <f>SUM(J4:J7)</f>
        <v/>
      </c>
      <c r="K12" s="95">
        <f>SUM(K4:K7)</f>
        <v/>
      </c>
      <c r="L12" s="95">
        <f>SUM(L4:L7)</f>
        <v/>
      </c>
      <c r="M12" s="95">
        <f>SUM(M4:M7)</f>
        <v/>
      </c>
      <c r="N12" s="95">
        <f>SUM(N4:N7)</f>
        <v/>
      </c>
      <c r="O12" s="95">
        <f>SUM(O4:O7)</f>
        <v/>
      </c>
      <c r="P12" s="95">
        <f>SUM(P4:P7)</f>
        <v/>
      </c>
      <c r="Q12" s="95">
        <f>SUM(Q4:Q7)</f>
        <v/>
      </c>
      <c r="R12" s="95">
        <f>SUM(R4:R7)</f>
        <v/>
      </c>
      <c r="S12" s="95">
        <f>SUM(S4:S7)</f>
        <v/>
      </c>
      <c r="T12" s="95">
        <f>SUM(T4:T7)</f>
        <v/>
      </c>
      <c r="U12" s="95">
        <f>SUM(U4:U7)</f>
        <v/>
      </c>
      <c r="V12" s="95">
        <f>SUM(V4:V7)</f>
        <v/>
      </c>
      <c r="W12" s="95">
        <f>SUM(W4:W7)</f>
        <v/>
      </c>
      <c r="X12" s="95">
        <f>SUM(X4:X7)</f>
        <v/>
      </c>
      <c r="Y12" s="95">
        <f>SUM(Y4:Y7)</f>
        <v/>
      </c>
      <c r="Z12" s="95">
        <f>SUM(Z4:Z7)</f>
        <v/>
      </c>
      <c r="AA12" s="95">
        <f>SUM(AA4:AA7)</f>
        <v/>
      </c>
      <c r="AB12" s="95">
        <f>SUM(AB4:AB7)</f>
        <v/>
      </c>
      <c r="AC12" s="95">
        <f>SUM(AC4:AC7)</f>
        <v/>
      </c>
      <c r="AD12" s="95">
        <f>SUM(AD4:AD7)</f>
        <v/>
      </c>
      <c r="AE12" s="95">
        <f>SUM(AE4:AE7)</f>
        <v/>
      </c>
      <c r="AF12" s="95">
        <f>SUM(AF4:AF7)</f>
        <v/>
      </c>
      <c r="AG12" s="95">
        <f>SUM(AG4:AG7)</f>
        <v/>
      </c>
      <c r="AH12" s="95">
        <f>SUM(AH4:AH7)</f>
        <v/>
      </c>
      <c r="AI12" s="95">
        <f>SUM(AI4:AI7)</f>
        <v/>
      </c>
      <c r="AJ12" s="95">
        <f>SUM(AJ4:AJ7)</f>
        <v/>
      </c>
      <c r="AK12" s="95">
        <f>SUM(AK4:AK7)</f>
        <v/>
      </c>
      <c r="AL12" s="95">
        <f>SUM(AL4:AL7)</f>
        <v/>
      </c>
      <c r="AM12" s="95">
        <f>SUM(AM4:AM7)</f>
        <v/>
      </c>
      <c r="AN12" s="95">
        <f>SUM(AN4:AN7)</f>
        <v/>
      </c>
      <c r="AO12" s="95">
        <f>SUM(AO4:AO7)</f>
        <v/>
      </c>
      <c r="AP12" s="95">
        <f>SUM(AP4:AP7)</f>
        <v/>
      </c>
      <c r="AQ12" s="95">
        <f>SUM(AQ4:AQ7)</f>
        <v/>
      </c>
      <c r="AR12" s="95">
        <f>SUM(AR4:AR7)</f>
        <v/>
      </c>
      <c r="AS12" s="95">
        <f>SUM(AS4:AS7)</f>
        <v/>
      </c>
      <c r="AT12" s="95">
        <f>SUM(AT4:AT7)</f>
        <v/>
      </c>
      <c r="AU12" s="95">
        <f>SUM(AU4:AU7)</f>
        <v/>
      </c>
      <c r="AV12" s="95">
        <f>SUM(AV4:AV7)</f>
        <v/>
      </c>
      <c r="AW12" s="95">
        <f>SUM(AW4:AW7)</f>
        <v/>
      </c>
      <c r="AX12" s="95">
        <f>SUM(AX4:AX7)</f>
        <v/>
      </c>
      <c r="AY12" s="95">
        <f>SUM(AY4:AY7)</f>
        <v/>
      </c>
      <c r="AZ12" s="95">
        <f>SUM(AZ4:AZ7)</f>
        <v/>
      </c>
      <c r="BA12" s="95">
        <f>SUM(BA4:BA7)</f>
        <v/>
      </c>
      <c r="BB12" s="95">
        <f>SUM(BB4:BB7)</f>
        <v/>
      </c>
      <c r="BC12" s="95">
        <f>SUM(BC4:BC7)</f>
        <v/>
      </c>
      <c r="BD12" s="95">
        <f>SUM(BD4:BD7)</f>
        <v/>
      </c>
      <c r="BE12" s="95">
        <f>SUM(BE4:BE7)</f>
        <v/>
      </c>
      <c r="BF12" s="95">
        <f>SUM(BF4:BF7)</f>
        <v/>
      </c>
      <c r="BG12" s="95">
        <f>SUM(BG4:BG7)</f>
        <v/>
      </c>
      <c r="BH12" s="95">
        <f>SUM(BH4:BH7)</f>
        <v/>
      </c>
      <c r="BI12" s="95">
        <f>SUM(BI4:BI7)</f>
        <v/>
      </c>
      <c r="BJ12" s="95">
        <f>SUM(BJ4:BJ7)</f>
        <v/>
      </c>
      <c r="BK12" s="95">
        <f>SUM(BK4:BK7)</f>
        <v/>
      </c>
      <c r="BL12" s="95">
        <f>SUM(BL4:BL7)</f>
        <v/>
      </c>
      <c r="BM12" s="95">
        <f>SUM(BM4:BM7)</f>
        <v/>
      </c>
    </row>
    <row r="14" ht="18" customHeight="1">
      <c r="A14" s="506" t="inlineStr">
        <is>
          <t>GASTO DE SACOLAS E ITENS DOADOS 2026 - MENSAIS</t>
        </is>
      </c>
      <c r="B14" s="700" t="n"/>
      <c r="C14" s="700" t="n"/>
      <c r="D14" s="700" t="n"/>
      <c r="E14" s="700" t="n"/>
      <c r="F14" s="700" t="n"/>
      <c r="G14" s="700" t="n"/>
      <c r="H14" s="700" t="n"/>
      <c r="I14" s="700" t="n"/>
      <c r="J14" s="700" t="n"/>
      <c r="K14" s="700" t="n"/>
      <c r="L14" s="700" t="n"/>
      <c r="M14" s="700" t="n"/>
      <c r="N14" s="700" t="n"/>
      <c r="O14" s="700" t="n"/>
      <c r="P14" s="700" t="n"/>
      <c r="Q14" s="700" t="n"/>
      <c r="R14" s="700" t="n"/>
      <c r="S14" s="700" t="n"/>
      <c r="T14" s="700" t="n"/>
      <c r="U14" s="700" t="n"/>
      <c r="V14" s="700" t="n"/>
      <c r="W14" s="700" t="n"/>
      <c r="X14" s="700" t="n"/>
      <c r="Y14" s="700" t="n"/>
      <c r="Z14" s="700" t="n"/>
      <c r="AA14" s="700" t="n"/>
      <c r="AB14" s="700" t="n"/>
      <c r="AC14" s="700" t="n"/>
      <c r="AD14" s="700" t="n"/>
      <c r="AE14" s="700" t="n"/>
      <c r="AF14" s="700" t="n"/>
      <c r="AG14" s="700" t="n"/>
      <c r="AH14" s="700" t="n"/>
      <c r="AI14" s="700" t="n"/>
      <c r="AJ14" s="700" t="n"/>
      <c r="AK14" s="700" t="n"/>
      <c r="AL14" s="700" t="n"/>
      <c r="AM14" s="700" t="n"/>
      <c r="AN14" s="700" t="n"/>
      <c r="AO14" s="700" t="n"/>
      <c r="AP14" s="700" t="n"/>
      <c r="AQ14" s="700" t="n"/>
      <c r="AR14" s="700" t="n"/>
      <c r="AS14" s="700" t="n"/>
      <c r="AT14" s="700" t="n"/>
      <c r="AU14" s="700" t="n"/>
      <c r="AV14" s="700" t="n"/>
      <c r="AW14" s="700" t="n"/>
      <c r="AX14" s="700" t="n"/>
      <c r="AY14" s="700" t="n"/>
      <c r="AZ14" s="700" t="n"/>
      <c r="BA14" s="700" t="n"/>
      <c r="BB14" s="700" t="n"/>
      <c r="BC14" s="700" t="n"/>
      <c r="BD14" s="700" t="n"/>
      <c r="BE14" s="700" t="n"/>
      <c r="BF14" s="700" t="n"/>
      <c r="BG14" s="700" t="n"/>
      <c r="BH14" s="700" t="n"/>
      <c r="BI14" s="700" t="n"/>
      <c r="BJ14" s="700" t="n"/>
      <c r="BK14" s="700" t="n"/>
      <c r="BL14" s="700" t="n"/>
      <c r="BM14" s="700" t="n"/>
    </row>
    <row r="15" ht="18" customHeight="1">
      <c r="A15" s="701" t="inlineStr">
        <is>
          <t>JARDIM</t>
        </is>
      </c>
      <c r="B15" s="701" t="inlineStr">
        <is>
          <t>JANEIRO</t>
        </is>
      </c>
      <c r="C15" s="666" t="n"/>
      <c r="D15" s="666" t="n"/>
      <c r="E15" s="666" t="n"/>
      <c r="F15" s="667" t="n"/>
      <c r="G15" s="701" t="inlineStr">
        <is>
          <t>FEVEREIRO</t>
        </is>
      </c>
      <c r="H15" s="666" t="n"/>
      <c r="I15" s="666" t="n"/>
      <c r="J15" s="666" t="n"/>
      <c r="K15" s="667" t="n"/>
      <c r="L15" s="701" t="inlineStr">
        <is>
          <t>MARÇO</t>
        </is>
      </c>
      <c r="M15" s="666" t="n"/>
      <c r="N15" s="666" t="n"/>
      <c r="O15" s="666" t="n"/>
      <c r="P15" s="666" t="n"/>
      <c r="Q15" s="667" t="n"/>
      <c r="R15" s="701" t="inlineStr">
        <is>
          <t>ABRIL</t>
        </is>
      </c>
      <c r="S15" s="666" t="n"/>
      <c r="T15" s="666" t="n"/>
      <c r="U15" s="666" t="n"/>
      <c r="V15" s="667" t="n"/>
      <c r="W15" s="701" t="inlineStr">
        <is>
          <t>MAIO</t>
        </is>
      </c>
      <c r="X15" s="666" t="n"/>
      <c r="Y15" s="666" t="n"/>
      <c r="Z15" s="666" t="n"/>
      <c r="AA15" s="667" t="n"/>
      <c r="AB15" s="701" t="inlineStr">
        <is>
          <t>JUNHO</t>
        </is>
      </c>
      <c r="AC15" s="666" t="n"/>
      <c r="AD15" s="666" t="n"/>
      <c r="AE15" s="666" t="n"/>
      <c r="AF15" s="666" t="n"/>
      <c r="AG15" s="667" t="n"/>
      <c r="AH15" s="701" t="inlineStr">
        <is>
          <t>JULHO</t>
        </is>
      </c>
      <c r="AI15" s="666" t="n"/>
      <c r="AJ15" s="666" t="n"/>
      <c r="AK15" s="666" t="n"/>
      <c r="AL15" s="667" t="n"/>
      <c r="AM15" s="701" t="inlineStr">
        <is>
          <t>AGOSTO</t>
        </is>
      </c>
      <c r="AN15" s="666" t="n"/>
      <c r="AO15" s="666" t="n"/>
      <c r="AP15" s="666" t="n"/>
      <c r="AQ15" s="666" t="n"/>
      <c r="AR15" s="667" t="n"/>
      <c r="AS15" s="701" t="inlineStr">
        <is>
          <t>SETEMBRO</t>
        </is>
      </c>
      <c r="AT15" s="666" t="n"/>
      <c r="AU15" s="666" t="n"/>
      <c r="AV15" s="666" t="n"/>
      <c r="AW15" s="667" t="n"/>
      <c r="AX15" s="701" t="inlineStr">
        <is>
          <t>OUTUBRO</t>
        </is>
      </c>
      <c r="AY15" s="666" t="n"/>
      <c r="AZ15" s="666" t="n"/>
      <c r="BA15" s="666" t="n"/>
      <c r="BB15" s="667" t="n"/>
      <c r="BC15" s="701" t="inlineStr">
        <is>
          <t>NOVEMBRO</t>
        </is>
      </c>
      <c r="BD15" s="666" t="n"/>
      <c r="BE15" s="666" t="n"/>
      <c r="BF15" s="666" t="n"/>
      <c r="BG15" s="666" t="n"/>
      <c r="BH15" s="667" t="n"/>
      <c r="BI15" s="701" t="inlineStr">
        <is>
          <t>DEZEMBRO</t>
        </is>
      </c>
      <c r="BJ15" s="666" t="n"/>
      <c r="BK15" s="666" t="n"/>
      <c r="BL15" s="666" t="n"/>
      <c r="BM15" s="667" t="n"/>
    </row>
    <row r="16" ht="15.75" customHeight="1">
      <c r="A16" s="668" t="n"/>
      <c r="B16" s="86" t="n">
        <v>46027</v>
      </c>
      <c r="C16" s="86" t="n">
        <v>46034</v>
      </c>
      <c r="D16" s="86" t="n">
        <v>46041</v>
      </c>
      <c r="E16" s="86" t="n">
        <v>46048</v>
      </c>
      <c r="F16" s="87" t="inlineStr">
        <is>
          <t>USOU</t>
        </is>
      </c>
      <c r="G16" s="86" t="n">
        <v>46055</v>
      </c>
      <c r="H16" s="86" t="n">
        <v>46062</v>
      </c>
      <c r="I16" s="86" t="n">
        <v>46069</v>
      </c>
      <c r="J16" s="86" t="n">
        <v>46076</v>
      </c>
      <c r="K16" s="87" t="inlineStr">
        <is>
          <t>USOU</t>
        </is>
      </c>
      <c r="L16" s="86" t="n">
        <v>46083</v>
      </c>
      <c r="M16" s="86" t="n">
        <v>46090</v>
      </c>
      <c r="N16" s="86" t="n">
        <v>46097</v>
      </c>
      <c r="O16" s="86" t="n">
        <v>46104</v>
      </c>
      <c r="P16" s="86" t="n">
        <v>46111</v>
      </c>
      <c r="Q16" s="87" t="inlineStr">
        <is>
          <t>USOU</t>
        </is>
      </c>
      <c r="R16" s="86" t="n">
        <v>46118</v>
      </c>
      <c r="S16" s="86" t="n">
        <v>46125</v>
      </c>
      <c r="T16" s="86" t="n">
        <v>46132</v>
      </c>
      <c r="U16" s="86" t="n">
        <v>46139</v>
      </c>
      <c r="V16" s="87" t="inlineStr">
        <is>
          <t>USOU</t>
        </is>
      </c>
      <c r="W16" s="86" t="n">
        <v>46146</v>
      </c>
      <c r="X16" s="86" t="n">
        <v>46153</v>
      </c>
      <c r="Y16" s="86" t="n">
        <v>46160</v>
      </c>
      <c r="Z16" s="86" t="n">
        <v>46167</v>
      </c>
      <c r="AA16" s="87" t="inlineStr">
        <is>
          <t>USOU</t>
        </is>
      </c>
      <c r="AB16" s="86" t="n">
        <v>46174</v>
      </c>
      <c r="AC16" s="86" t="n">
        <v>46181</v>
      </c>
      <c r="AD16" s="86" t="n">
        <v>46188</v>
      </c>
      <c r="AE16" s="86" t="n">
        <v>46195</v>
      </c>
      <c r="AF16" s="86" t="n">
        <v>46202</v>
      </c>
      <c r="AG16" s="87" t="inlineStr">
        <is>
          <t>USOU</t>
        </is>
      </c>
      <c r="AH16" s="86" t="n">
        <v>46209</v>
      </c>
      <c r="AI16" s="86" t="n">
        <v>46216</v>
      </c>
      <c r="AJ16" s="86" t="n">
        <v>46223</v>
      </c>
      <c r="AK16" s="86" t="n">
        <v>46230</v>
      </c>
      <c r="AL16" s="87" t="inlineStr">
        <is>
          <t>USOU</t>
        </is>
      </c>
      <c r="AM16" s="86" t="n">
        <v>46237</v>
      </c>
      <c r="AN16" s="86" t="n">
        <v>46244</v>
      </c>
      <c r="AO16" s="86" t="n">
        <v>46251</v>
      </c>
      <c r="AP16" s="86" t="n">
        <v>46258</v>
      </c>
      <c r="AQ16" s="86" t="n">
        <v>46265</v>
      </c>
      <c r="AR16" s="87" t="inlineStr">
        <is>
          <t>USOU</t>
        </is>
      </c>
      <c r="AS16" s="86" t="n">
        <v>46272</v>
      </c>
      <c r="AT16" s="86" t="n">
        <v>46279</v>
      </c>
      <c r="AU16" s="86" t="n">
        <v>46286</v>
      </c>
      <c r="AV16" s="86" t="n">
        <v>46293</v>
      </c>
      <c r="AW16" s="87" t="inlineStr">
        <is>
          <t>USOU</t>
        </is>
      </c>
      <c r="AX16" s="86" t="n">
        <v>46300</v>
      </c>
      <c r="AY16" s="86" t="n">
        <v>46307</v>
      </c>
      <c r="AZ16" s="86" t="n">
        <v>46314</v>
      </c>
      <c r="BA16" s="86" t="n">
        <v>46321</v>
      </c>
      <c r="BB16" s="87" t="inlineStr">
        <is>
          <t>USOU</t>
        </is>
      </c>
      <c r="BC16" s="86" t="n">
        <v>46328</v>
      </c>
      <c r="BD16" s="86" t="n">
        <v>46335</v>
      </c>
      <c r="BE16" s="86" t="n">
        <v>46342</v>
      </c>
      <c r="BF16" s="86" t="n">
        <v>46349</v>
      </c>
      <c r="BG16" s="86" t="n">
        <v>46356</v>
      </c>
      <c r="BH16" s="87" t="inlineStr">
        <is>
          <t>USOU</t>
        </is>
      </c>
      <c r="BI16" s="86" t="n">
        <v>46363</v>
      </c>
      <c r="BJ16" s="86" t="n">
        <v>46370</v>
      </c>
      <c r="BK16" s="86" t="n">
        <v>46377</v>
      </c>
      <c r="BL16" s="86" t="n">
        <v>46384</v>
      </c>
      <c r="BM16" s="87" t="inlineStr">
        <is>
          <t>USOU</t>
        </is>
      </c>
    </row>
    <row r="17" ht="15.75" customHeight="1">
      <c r="A17" s="91" t="inlineStr">
        <is>
          <t>SACOLA PP VERDE</t>
        </is>
      </c>
      <c r="B17" s="89" t="n">
        <v>147</v>
      </c>
      <c r="C17" s="89" t="n">
        <v>53</v>
      </c>
      <c r="D17" s="89" t="n">
        <v>17</v>
      </c>
      <c r="E17" s="89" t="n">
        <v>80</v>
      </c>
      <c r="F17" s="90">
        <f>B17+C17+D17+E17</f>
        <v/>
      </c>
      <c r="G17" s="89" t="n">
        <v>0</v>
      </c>
      <c r="H17" s="89" t="n">
        <v>50</v>
      </c>
      <c r="I17" s="89" t="n">
        <v>70</v>
      </c>
      <c r="J17" s="89" t="n">
        <v>0</v>
      </c>
      <c r="K17" s="90">
        <f>G17+H17+I17+J17</f>
        <v/>
      </c>
      <c r="L17" s="89" t="n">
        <v>50</v>
      </c>
      <c r="M17" s="89" t="n">
        <v>50</v>
      </c>
      <c r="N17" s="89" t="n">
        <v>50</v>
      </c>
      <c r="O17" s="89" t="n">
        <v>30</v>
      </c>
      <c r="P17" s="89" t="n">
        <v>80</v>
      </c>
      <c r="Q17" s="90">
        <f>L17+M17+N17+O17+P17</f>
        <v/>
      </c>
      <c r="R17" s="89" t="n"/>
      <c r="S17" s="89" t="n"/>
      <c r="T17" s="89" t="n"/>
      <c r="U17" s="89" t="n"/>
      <c r="V17" s="90">
        <f>R17+S17+T17+U17</f>
        <v/>
      </c>
      <c r="W17" s="89" t="n">
        <v>20</v>
      </c>
      <c r="X17" s="89" t="n">
        <v>0</v>
      </c>
      <c r="Y17" s="89" t="n"/>
      <c r="Z17" s="89" t="n"/>
      <c r="AA17" s="90">
        <f>W17+X17+Y17+Z17</f>
        <v/>
      </c>
      <c r="AB17" s="89" t="n"/>
      <c r="AC17" s="89" t="n"/>
      <c r="AD17" s="89" t="n"/>
      <c r="AE17" s="89" t="n"/>
      <c r="AF17" s="89" t="n"/>
      <c r="AG17" s="90">
        <f>AB17+AC17+AD17+AE17+AF17</f>
        <v/>
      </c>
      <c r="AH17" s="89" t="n"/>
      <c r="AI17" s="89" t="n"/>
      <c r="AJ17" s="89" t="n"/>
      <c r="AK17" s="89" t="n"/>
      <c r="AL17" s="90">
        <f>AH17+AI17+AJ17+AK17</f>
        <v/>
      </c>
      <c r="AM17" s="89" t="n"/>
      <c r="AN17" s="89" t="n"/>
      <c r="AO17" s="89" t="n"/>
      <c r="AP17" s="89" t="n"/>
      <c r="AQ17" s="89" t="n"/>
      <c r="AR17" s="90">
        <f>AM17+AN17+AO17+AP17+AQ17</f>
        <v/>
      </c>
      <c r="AS17" s="89" t="n"/>
      <c r="AT17" s="89" t="n"/>
      <c r="AU17" s="89" t="n"/>
      <c r="AV17" s="89" t="n"/>
      <c r="AW17" s="90">
        <f>AS17+AT17+AU17+AV17</f>
        <v/>
      </c>
      <c r="AX17" s="89" t="n"/>
      <c r="AY17" s="89" t="n"/>
      <c r="AZ17" s="89" t="n"/>
      <c r="BA17" s="89" t="n"/>
      <c r="BB17" s="90">
        <f>AX17+AY17+AZ17+BA17</f>
        <v/>
      </c>
      <c r="BC17" s="89" t="n"/>
      <c r="BD17" s="89" t="n"/>
      <c r="BE17" s="89" t="n"/>
      <c r="BF17" s="89" t="n"/>
      <c r="BG17" s="89" t="n"/>
      <c r="BH17" s="90">
        <f>BC17+BD17+BE17+BF17+BG17</f>
        <v/>
      </c>
      <c r="BI17" s="89" t="n"/>
      <c r="BJ17" s="89" t="n"/>
      <c r="BK17" s="89" t="n"/>
      <c r="BL17" s="89" t="n"/>
      <c r="BM17" s="90">
        <f>BI17+BJ17+BK17+BL17</f>
        <v/>
      </c>
    </row>
    <row r="18" ht="15.75" customHeight="1">
      <c r="A18" s="91" t="inlineStr">
        <is>
          <t>SACOLA P VERDE</t>
        </is>
      </c>
      <c r="B18" s="89" t="n">
        <v>90</v>
      </c>
      <c r="C18" s="89" t="n">
        <v>170</v>
      </c>
      <c r="D18" s="89" t="n">
        <v>180</v>
      </c>
      <c r="E18" s="89" t="n">
        <v>180</v>
      </c>
      <c r="F18" s="90">
        <f>B18+C18+D18+E18</f>
        <v/>
      </c>
      <c r="G18" s="89" t="n">
        <v>40</v>
      </c>
      <c r="H18" s="89" t="n">
        <v>20</v>
      </c>
      <c r="I18" s="89" t="n">
        <v>320</v>
      </c>
      <c r="J18" s="89" t="n">
        <v>60</v>
      </c>
      <c r="K18" s="90">
        <f>G18+H18+I18+J18</f>
        <v/>
      </c>
      <c r="L18" s="89" t="n">
        <v>140</v>
      </c>
      <c r="M18" s="89" t="n">
        <v>180</v>
      </c>
      <c r="N18" s="89" t="n">
        <v>120</v>
      </c>
      <c r="O18" s="89" t="n">
        <v>100</v>
      </c>
      <c r="P18" s="89" t="n">
        <v>140</v>
      </c>
      <c r="Q18" s="90">
        <f>L18+M18+N18+O18+P18</f>
        <v/>
      </c>
      <c r="R18" s="89" t="n"/>
      <c r="S18" s="89" t="n"/>
      <c r="T18" s="89" t="n"/>
      <c r="U18" s="89" t="n"/>
      <c r="V18" s="90">
        <f>R18+S18+T18+U18</f>
        <v/>
      </c>
      <c r="W18" s="89" t="n">
        <v>0</v>
      </c>
      <c r="X18" s="89" t="n">
        <v>280</v>
      </c>
      <c r="Y18" s="89" t="n"/>
      <c r="Z18" s="89" t="n"/>
      <c r="AA18" s="90">
        <f>W18+X18+Y18+Z18</f>
        <v/>
      </c>
      <c r="AB18" s="89" t="n"/>
      <c r="AC18" s="89" t="n"/>
      <c r="AD18" s="89" t="n"/>
      <c r="AE18" s="89" t="n"/>
      <c r="AF18" s="89" t="n"/>
      <c r="AG18" s="90">
        <f>AB18+AC18+AD18+AE18+AF18</f>
        <v/>
      </c>
      <c r="AH18" s="89" t="n"/>
      <c r="AI18" s="89" t="n"/>
      <c r="AJ18" s="89" t="n"/>
      <c r="AK18" s="89" t="n"/>
      <c r="AL18" s="90">
        <f>AH18+AI18+AJ18+AK18</f>
        <v/>
      </c>
      <c r="AM18" s="89" t="n"/>
      <c r="AN18" s="89" t="n"/>
      <c r="AO18" s="89" t="n"/>
      <c r="AP18" s="89" t="n"/>
      <c r="AQ18" s="89" t="n"/>
      <c r="AR18" s="90">
        <f>AM18+AN18+AO18+AP18+AQ18</f>
        <v/>
      </c>
      <c r="AS18" s="89" t="n"/>
      <c r="AT18" s="89" t="n"/>
      <c r="AU18" s="89" t="n"/>
      <c r="AV18" s="89" t="n"/>
      <c r="AW18" s="90">
        <f>AS18+AT18+AU18+AV18</f>
        <v/>
      </c>
      <c r="AX18" s="89" t="n"/>
      <c r="AY18" s="89" t="n"/>
      <c r="AZ18" s="89" t="n"/>
      <c r="BA18" s="89" t="n"/>
      <c r="BB18" s="90">
        <f>AX18+AY18+AZ18+BA18</f>
        <v/>
      </c>
      <c r="BC18" s="89" t="n"/>
      <c r="BD18" s="89" t="n"/>
      <c r="BE18" s="89" t="n"/>
      <c r="BF18" s="89" t="n"/>
      <c r="BG18" s="89" t="n"/>
      <c r="BH18" s="90">
        <f>BC18+BD18+BE18+BF18+BG18</f>
        <v/>
      </c>
      <c r="BI18" s="89" t="n"/>
      <c r="BJ18" s="89" t="n"/>
      <c r="BK18" s="89" t="n"/>
      <c r="BL18" s="89" t="n"/>
      <c r="BM18" s="90">
        <f>BI18+BJ18+BK18+BL18</f>
        <v/>
      </c>
    </row>
    <row r="19" ht="15.75" customHeight="1">
      <c r="A19" s="91" t="inlineStr">
        <is>
          <t>SACOLA M VERDE</t>
        </is>
      </c>
      <c r="B19" s="89" t="n">
        <v>37</v>
      </c>
      <c r="C19" s="89" t="n">
        <v>80</v>
      </c>
      <c r="D19" s="89" t="n">
        <v>50</v>
      </c>
      <c r="E19" s="89" t="n">
        <v>70</v>
      </c>
      <c r="F19" s="90">
        <f>B19+C19+D19+E19</f>
        <v/>
      </c>
      <c r="G19" s="89" t="n">
        <v>80</v>
      </c>
      <c r="H19" s="89" t="n">
        <v>80</v>
      </c>
      <c r="I19" s="89" t="n">
        <v>100</v>
      </c>
      <c r="J19" s="89" t="n">
        <v>60</v>
      </c>
      <c r="K19" s="90">
        <f>G19+H19+I19+J19</f>
        <v/>
      </c>
      <c r="L19" s="89" t="n">
        <v>80</v>
      </c>
      <c r="M19" s="89" t="n">
        <v>60</v>
      </c>
      <c r="N19" s="89" t="n">
        <v>100</v>
      </c>
      <c r="O19" s="89" t="n">
        <v>60</v>
      </c>
      <c r="P19" s="89" t="n">
        <v>60</v>
      </c>
      <c r="Q19" s="90">
        <f>L19+M19+N19+O19+P19</f>
        <v/>
      </c>
      <c r="R19" s="89" t="n"/>
      <c r="S19" s="89" t="n"/>
      <c r="T19" s="89" t="n"/>
      <c r="U19" s="89" t="n"/>
      <c r="V19" s="90">
        <f>R19+S19+T19+U19</f>
        <v/>
      </c>
      <c r="W19" s="89" t="n">
        <v>0</v>
      </c>
      <c r="X19" s="89" t="n">
        <v>88</v>
      </c>
      <c r="Y19" s="89" t="n"/>
      <c r="Z19" s="89" t="n"/>
      <c r="AA19" s="90">
        <f>W19+X19+Y19+Z19</f>
        <v/>
      </c>
      <c r="AB19" s="89" t="n"/>
      <c r="AC19" s="89" t="n"/>
      <c r="AD19" s="89" t="n"/>
      <c r="AE19" s="89" t="n"/>
      <c r="AF19" s="89" t="n"/>
      <c r="AG19" s="90">
        <f>AB19+AC19+AD19+AE19+AF19</f>
        <v/>
      </c>
      <c r="AH19" s="89" t="n"/>
      <c r="AI19" s="89" t="n"/>
      <c r="AJ19" s="89" t="n"/>
      <c r="AK19" s="89" t="n"/>
      <c r="AL19" s="90">
        <f>AH19+AI19+AJ19+AK19</f>
        <v/>
      </c>
      <c r="AM19" s="89" t="n"/>
      <c r="AN19" s="89" t="n"/>
      <c r="AO19" s="89" t="n"/>
      <c r="AP19" s="89" t="n"/>
      <c r="AQ19" s="89" t="n"/>
      <c r="AR19" s="90">
        <f>AM19+AN19+AO19+AP19+AQ19</f>
        <v/>
      </c>
      <c r="AS19" s="89" t="n"/>
      <c r="AT19" s="89" t="n"/>
      <c r="AU19" s="89" t="n"/>
      <c r="AV19" s="89" t="n"/>
      <c r="AW19" s="90">
        <f>AS19+AT19+AU19+AV19</f>
        <v/>
      </c>
      <c r="AX19" s="89" t="n"/>
      <c r="AY19" s="89" t="n"/>
      <c r="AZ19" s="89" t="n"/>
      <c r="BA19" s="89" t="n"/>
      <c r="BB19" s="90">
        <f>AX19+AY19+AZ19+BA19</f>
        <v/>
      </c>
      <c r="BC19" s="89" t="n"/>
      <c r="BD19" s="89" t="n"/>
      <c r="BE19" s="89" t="n"/>
      <c r="BF19" s="89" t="n"/>
      <c r="BG19" s="89" t="n"/>
      <c r="BH19" s="90">
        <f>BC19+BD19+BE19+BF19+BG19</f>
        <v/>
      </c>
      <c r="BI19" s="89" t="n"/>
      <c r="BJ19" s="89" t="n"/>
      <c r="BK19" s="89" t="n"/>
      <c r="BL19" s="89" t="n"/>
      <c r="BM19" s="90">
        <f>BI19+BJ19+BK19+BL19</f>
        <v/>
      </c>
    </row>
    <row r="20" ht="15.75" customHeight="1">
      <c r="A20" s="92" t="inlineStr">
        <is>
          <t>SACOLA G VERDE</t>
        </is>
      </c>
      <c r="B20" s="89" t="n">
        <v>0</v>
      </c>
      <c r="C20" s="89" t="n">
        <v>45</v>
      </c>
      <c r="D20" s="89" t="n">
        <v>24</v>
      </c>
      <c r="E20" s="89" t="n">
        <v>20</v>
      </c>
      <c r="F20" s="90">
        <f>B20+C20+D20+E20</f>
        <v/>
      </c>
      <c r="G20" s="89" t="n">
        <v>20</v>
      </c>
      <c r="H20" s="89" t="n">
        <v>0</v>
      </c>
      <c r="I20" s="89" t="n">
        <v>0</v>
      </c>
      <c r="J20" s="89" t="n">
        <v>15</v>
      </c>
      <c r="K20" s="90">
        <f>G20+H20+I20+J20</f>
        <v/>
      </c>
      <c r="L20" s="89" t="n">
        <v>40</v>
      </c>
      <c r="M20" s="89" t="n">
        <v>0</v>
      </c>
      <c r="N20" s="89" t="n">
        <v>0</v>
      </c>
      <c r="O20" s="89" t="n">
        <v>0</v>
      </c>
      <c r="P20" s="89" t="n">
        <v>0</v>
      </c>
      <c r="Q20" s="90">
        <f>L20+M20+N20+O20+P20</f>
        <v/>
      </c>
      <c r="R20" s="89" t="n"/>
      <c r="S20" s="89" t="n"/>
      <c r="T20" s="89" t="n"/>
      <c r="U20" s="89" t="n"/>
      <c r="V20" s="90">
        <f>R20+S20+T20+U20</f>
        <v/>
      </c>
      <c r="W20" s="89" t="n">
        <v>0</v>
      </c>
      <c r="X20" s="89" t="n">
        <v>160</v>
      </c>
      <c r="Y20" s="89" t="n"/>
      <c r="Z20" s="89" t="n"/>
      <c r="AA20" s="90">
        <f>W20+X20+Y20+Z20</f>
        <v/>
      </c>
      <c r="AB20" s="89" t="n"/>
      <c r="AC20" s="89" t="n"/>
      <c r="AD20" s="89" t="n"/>
      <c r="AE20" s="89" t="n"/>
      <c r="AF20" s="89" t="n"/>
      <c r="AG20" s="90">
        <f>AB20+AC20+AD20+AE20+AF20</f>
        <v/>
      </c>
      <c r="AH20" s="89" t="n"/>
      <c r="AI20" s="89" t="n"/>
      <c r="AJ20" s="89" t="n"/>
      <c r="AK20" s="89" t="n"/>
      <c r="AL20" s="90">
        <f>AH20+AI20+AJ20+AK20</f>
        <v/>
      </c>
      <c r="AM20" s="89" t="n"/>
      <c r="AN20" s="89" t="n"/>
      <c r="AO20" s="89" t="n"/>
      <c r="AP20" s="89" t="n"/>
      <c r="AQ20" s="89" t="n"/>
      <c r="AR20" s="90">
        <f>AM20+AN20+AO20+AP20+AQ20</f>
        <v/>
      </c>
      <c r="AS20" s="89" t="n"/>
      <c r="AT20" s="89" t="n"/>
      <c r="AU20" s="89" t="n"/>
      <c r="AV20" s="89" t="n"/>
      <c r="AW20" s="90">
        <f>AS20+AT20+AU20+AV20</f>
        <v/>
      </c>
      <c r="AX20" s="89" t="n"/>
      <c r="AY20" s="89" t="n"/>
      <c r="AZ20" s="89" t="n"/>
      <c r="BA20" s="89" t="n"/>
      <c r="BB20" s="90">
        <f>AX20+AY20+AZ20+BA20</f>
        <v/>
      </c>
      <c r="BC20" s="89" t="n"/>
      <c r="BD20" s="89" t="n"/>
      <c r="BE20" s="89" t="n"/>
      <c r="BF20" s="89" t="n"/>
      <c r="BG20" s="89" t="n"/>
      <c r="BH20" s="90">
        <f>BC20+BD20+BE20+BF20+BG20</f>
        <v/>
      </c>
      <c r="BI20" s="89" t="n"/>
      <c r="BJ20" s="89" t="n"/>
      <c r="BK20" s="89" t="n"/>
      <c r="BL20" s="89" t="n"/>
      <c r="BM20" s="90">
        <f>BI20+BJ20+BK20+BL20</f>
        <v/>
      </c>
    </row>
    <row r="21" ht="15.75" customHeight="1">
      <c r="A21" s="93" t="inlineStr">
        <is>
          <t xml:space="preserve">PAPEL DE SEDA </t>
        </is>
      </c>
      <c r="B21" s="89" t="n">
        <v>0</v>
      </c>
      <c r="C21" s="89" t="n">
        <v>0</v>
      </c>
      <c r="D21" s="89" t="n">
        <v>0</v>
      </c>
      <c r="E21" s="89" t="n">
        <v>0</v>
      </c>
      <c r="F21" s="90">
        <f>B21+C21+D21+E21</f>
        <v/>
      </c>
      <c r="G21" s="89" t="n">
        <v>2</v>
      </c>
      <c r="H21" s="89" t="n">
        <v>2</v>
      </c>
      <c r="I21" s="89" t="n">
        <v>1</v>
      </c>
      <c r="J21" s="89" t="n">
        <v>0</v>
      </c>
      <c r="K21" s="90">
        <f>G21+H21+I21+J21</f>
        <v/>
      </c>
      <c r="L21" s="89" t="n">
        <v>2</v>
      </c>
      <c r="M21" s="89" t="n">
        <v>1</v>
      </c>
      <c r="N21" s="89" t="n">
        <v>0</v>
      </c>
      <c r="O21" s="89" t="n">
        <v>1</v>
      </c>
      <c r="P21" s="89" t="n">
        <v>0</v>
      </c>
      <c r="Q21" s="90">
        <f>L21+M21+N21+O21+P21</f>
        <v/>
      </c>
      <c r="R21" s="89" t="n"/>
      <c r="S21" s="89" t="n"/>
      <c r="T21" s="89" t="n"/>
      <c r="U21" s="89" t="n"/>
      <c r="V21" s="90">
        <f>R21+S21+T21+U21</f>
        <v/>
      </c>
      <c r="W21" s="89" t="n">
        <v>0</v>
      </c>
      <c r="X21" s="89" t="n">
        <v>5</v>
      </c>
      <c r="Y21" s="89" t="n"/>
      <c r="Z21" s="89" t="n"/>
      <c r="AA21" s="90">
        <f>W21+X21+Y21+Z21</f>
        <v/>
      </c>
      <c r="AB21" s="89" t="n"/>
      <c r="AC21" s="89" t="n"/>
      <c r="AD21" s="89" t="n"/>
      <c r="AE21" s="89" t="n"/>
      <c r="AF21" s="89" t="n"/>
      <c r="AG21" s="90">
        <f>AB21+AC21+AD21+AE21+AF21</f>
        <v/>
      </c>
      <c r="AH21" s="89" t="n"/>
      <c r="AI21" s="89" t="n"/>
      <c r="AJ21" s="89" t="n"/>
      <c r="AK21" s="89" t="n"/>
      <c r="AL21" s="90">
        <f>AH21+AI21+AJ21+AK21</f>
        <v/>
      </c>
      <c r="AM21" s="89" t="n"/>
      <c r="AN21" s="89" t="n"/>
      <c r="AO21" s="89" t="n"/>
      <c r="AP21" s="89" t="n"/>
      <c r="AQ21" s="89" t="n"/>
      <c r="AR21" s="90">
        <f>AM21+AN21+AO21+AP21+AQ21</f>
        <v/>
      </c>
      <c r="AS21" s="89" t="n"/>
      <c r="AT21" s="89" t="n"/>
      <c r="AU21" s="89" t="n"/>
      <c r="AV21" s="89" t="n"/>
      <c r="AW21" s="90">
        <f>AS21+AT21+AU21+AV21</f>
        <v/>
      </c>
      <c r="AX21" s="89" t="n"/>
      <c r="AY21" s="89" t="n"/>
      <c r="AZ21" s="89" t="n"/>
      <c r="BA21" s="89" t="n"/>
      <c r="BB21" s="90">
        <f>AX21+AY21+AZ21+BA21</f>
        <v/>
      </c>
      <c r="BC21" s="89" t="n"/>
      <c r="BD21" s="89" t="n"/>
      <c r="BE21" s="89" t="n"/>
      <c r="BF21" s="89" t="n"/>
      <c r="BG21" s="89" t="n"/>
      <c r="BH21" s="90">
        <f>BC21+BD21+BE21+BF21+BG21</f>
        <v/>
      </c>
      <c r="BI21" s="89" t="n"/>
      <c r="BJ21" s="89" t="n"/>
      <c r="BK21" s="89" t="n"/>
      <c r="BL21" s="89" t="n"/>
      <c r="BM21" s="90">
        <f>BI21+BJ21+BK21+BL21</f>
        <v/>
      </c>
    </row>
    <row r="22" ht="15.75" customHeight="1">
      <c r="A22" s="93" t="inlineStr">
        <is>
          <t>ETIQUETAS</t>
        </is>
      </c>
      <c r="B22" s="89" t="n">
        <v>0</v>
      </c>
      <c r="C22" s="89" t="n">
        <v>0</v>
      </c>
      <c r="D22" s="89" t="n">
        <v>0</v>
      </c>
      <c r="E22" s="89" t="n">
        <v>0</v>
      </c>
      <c r="F22" s="90">
        <f>B22+C22+D22+E22</f>
        <v/>
      </c>
      <c r="G22" s="89" t="n">
        <v>0</v>
      </c>
      <c r="H22" s="89" t="n">
        <v>0</v>
      </c>
      <c r="I22" s="89" t="n">
        <v>0</v>
      </c>
      <c r="J22" s="89" t="n">
        <v>0</v>
      </c>
      <c r="K22" s="90">
        <f>G22+H22+I22+J22</f>
        <v/>
      </c>
      <c r="L22" s="89" t="n">
        <v>0</v>
      </c>
      <c r="M22" s="89" t="n">
        <v>1</v>
      </c>
      <c r="N22" s="89" t="n">
        <v>0</v>
      </c>
      <c r="O22" s="89" t="n">
        <v>0</v>
      </c>
      <c r="P22" s="89" t="n">
        <v>1</v>
      </c>
      <c r="Q22" s="90">
        <f>L22+M22+N22+O22+P22</f>
        <v/>
      </c>
      <c r="R22" s="89" t="n"/>
      <c r="S22" s="89" t="n"/>
      <c r="T22" s="89" t="n"/>
      <c r="U22" s="89" t="n"/>
      <c r="V22" s="90">
        <f>R22+S22+T22+U22</f>
        <v/>
      </c>
      <c r="W22" s="89" t="n">
        <v>0</v>
      </c>
      <c r="X22" s="89" t="n">
        <v>1</v>
      </c>
      <c r="Y22" s="89" t="n"/>
      <c r="Z22" s="89" t="n"/>
      <c r="AA22" s="90">
        <f>W22+X22+Y22+Z22</f>
        <v/>
      </c>
      <c r="AB22" s="89" t="n"/>
      <c r="AC22" s="89" t="n"/>
      <c r="AD22" s="89" t="n"/>
      <c r="AE22" s="89" t="n"/>
      <c r="AF22" s="89" t="n"/>
      <c r="AG22" s="90">
        <f>AB22+AC22+AD22+AE22+AF22</f>
        <v/>
      </c>
      <c r="AH22" s="89" t="n"/>
      <c r="AI22" s="89" t="n"/>
      <c r="AJ22" s="89" t="n"/>
      <c r="AK22" s="89" t="n"/>
      <c r="AL22" s="90">
        <f>AH22+AI22+AJ22+AK22</f>
        <v/>
      </c>
      <c r="AM22" s="89" t="n"/>
      <c r="AN22" s="89" t="n"/>
      <c r="AO22" s="89" t="n"/>
      <c r="AP22" s="89" t="n"/>
      <c r="AQ22" s="89" t="n"/>
      <c r="AR22" s="90">
        <f>AM22+AN22+AO22+AP22+AQ22</f>
        <v/>
      </c>
      <c r="AS22" s="89" t="n"/>
      <c r="AT22" s="89" t="n"/>
      <c r="AU22" s="89" t="n"/>
      <c r="AV22" s="89" t="n"/>
      <c r="AW22" s="90">
        <f>AS22+AT22+AU22+AV22</f>
        <v/>
      </c>
      <c r="AX22" s="89" t="n"/>
      <c r="AY22" s="89" t="n"/>
      <c r="AZ22" s="89" t="n"/>
      <c r="BA22" s="89" t="n"/>
      <c r="BB22" s="90">
        <f>AX22+AY22+AZ22+BA22</f>
        <v/>
      </c>
      <c r="BC22" s="89" t="n"/>
      <c r="BD22" s="89" t="n"/>
      <c r="BE22" s="89" t="n"/>
      <c r="BF22" s="89" t="n"/>
      <c r="BG22" s="89" t="n"/>
      <c r="BH22" s="90">
        <f>BC22+BD22+BE22+BF22+BG22</f>
        <v/>
      </c>
      <c r="BI22" s="89" t="n"/>
      <c r="BJ22" s="89" t="n"/>
      <c r="BK22" s="89" t="n"/>
      <c r="BL22" s="89" t="n"/>
      <c r="BM22" s="90">
        <f>BI22+BJ22+BK22+BL22</f>
        <v/>
      </c>
    </row>
    <row r="23" ht="15.75" customHeight="1">
      <c r="A23" s="93" t="inlineStr">
        <is>
          <t xml:space="preserve">TAGS </t>
        </is>
      </c>
      <c r="B23" s="89" t="n">
        <v>0</v>
      </c>
      <c r="C23" s="89" t="n">
        <v>0</v>
      </c>
      <c r="D23" s="89" t="n">
        <v>1</v>
      </c>
      <c r="E23" s="89" t="n">
        <v>0</v>
      </c>
      <c r="F23" s="90">
        <f>B23+C23+D23+E23</f>
        <v/>
      </c>
      <c r="G23" s="89" t="n">
        <v>0</v>
      </c>
      <c r="H23" s="89" t="n">
        <v>1</v>
      </c>
      <c r="I23" s="89" t="n">
        <v>1</v>
      </c>
      <c r="J23" s="89" t="n">
        <v>0</v>
      </c>
      <c r="K23" s="90">
        <f>G23+H23+I23+J23</f>
        <v/>
      </c>
      <c r="L23" s="89" t="n">
        <v>0</v>
      </c>
      <c r="M23" s="89" t="n">
        <v>1</v>
      </c>
      <c r="N23" s="89" t="n">
        <v>0</v>
      </c>
      <c r="O23" s="89" t="n">
        <v>1</v>
      </c>
      <c r="P23" s="89" t="n">
        <v>0</v>
      </c>
      <c r="Q23" s="90">
        <f>L23+M23+N23+O23+P23</f>
        <v/>
      </c>
      <c r="R23" s="89" t="n"/>
      <c r="S23" s="89" t="n"/>
      <c r="T23" s="89" t="n"/>
      <c r="U23" s="89" t="n"/>
      <c r="V23" s="90">
        <f>R23+S23+T23+U23</f>
        <v/>
      </c>
      <c r="W23" s="89" t="n">
        <v>0</v>
      </c>
      <c r="X23" s="89" t="n">
        <v>4</v>
      </c>
      <c r="Y23" s="89" t="n"/>
      <c r="Z23" s="89" t="n"/>
      <c r="AA23" s="90">
        <f>W23+X23+Y23+Z23</f>
        <v/>
      </c>
      <c r="AB23" s="89" t="n"/>
      <c r="AC23" s="89" t="n"/>
      <c r="AD23" s="89" t="n"/>
      <c r="AE23" s="89" t="n"/>
      <c r="AF23" s="89" t="n"/>
      <c r="AG23" s="90">
        <f>AB23+AC23+AD23+AE23+AF23</f>
        <v/>
      </c>
      <c r="AH23" s="89" t="n"/>
      <c r="AI23" s="89" t="n"/>
      <c r="AJ23" s="89" t="n"/>
      <c r="AK23" s="89" t="n"/>
      <c r="AL23" s="90">
        <f>AH23+AI23+AJ23+AK23</f>
        <v/>
      </c>
      <c r="AM23" s="89" t="n"/>
      <c r="AN23" s="89" t="n"/>
      <c r="AO23" s="89" t="n"/>
      <c r="AP23" s="89" t="n"/>
      <c r="AQ23" s="89" t="n"/>
      <c r="AR23" s="90">
        <f>AM23+AN23+AO23+AP23+AQ23</f>
        <v/>
      </c>
      <c r="AS23" s="89" t="n"/>
      <c r="AT23" s="89" t="n"/>
      <c r="AU23" s="89" t="n"/>
      <c r="AV23" s="89" t="n"/>
      <c r="AW23" s="90">
        <f>AS23+AT23+AU23+AV23</f>
        <v/>
      </c>
      <c r="AX23" s="89" t="n"/>
      <c r="AY23" s="89" t="n"/>
      <c r="AZ23" s="89" t="n"/>
      <c r="BA23" s="89" t="n"/>
      <c r="BB23" s="90">
        <f>AX23+AY23+AZ23+BA23</f>
        <v/>
      </c>
      <c r="BC23" s="89" t="n"/>
      <c r="BD23" s="89" t="n"/>
      <c r="BE23" s="89" t="n"/>
      <c r="BF23" s="89" t="n"/>
      <c r="BG23" s="89" t="n"/>
      <c r="BH23" s="90">
        <f>BC23+BD23+BE23+BF23+BG23</f>
        <v/>
      </c>
      <c r="BI23" s="89" t="n"/>
      <c r="BJ23" s="89" t="n"/>
      <c r="BK23" s="89" t="n"/>
      <c r="BL23" s="89" t="n"/>
      <c r="BM23" s="90">
        <f>BI23+BJ23+BK23+BL23</f>
        <v/>
      </c>
    </row>
    <row r="24" ht="15.75" customHeight="1">
      <c r="A24" s="93" t="inlineStr">
        <is>
          <t>LÂMINA OLFATIVA</t>
        </is>
      </c>
      <c r="B24" s="89" t="n">
        <v>1</v>
      </c>
      <c r="C24" s="89" t="n">
        <v>0</v>
      </c>
      <c r="D24" s="89" t="n">
        <v>0</v>
      </c>
      <c r="E24" s="89" t="n">
        <v>0</v>
      </c>
      <c r="F24" s="90">
        <f>B24+C24+D24+E24</f>
        <v/>
      </c>
      <c r="G24" s="89" t="n">
        <v>0</v>
      </c>
      <c r="H24" s="89" t="n">
        <v>0</v>
      </c>
      <c r="I24" s="89" t="n">
        <v>1</v>
      </c>
      <c r="J24" s="89" t="n">
        <v>0</v>
      </c>
      <c r="K24" s="90">
        <f>G24+H24+I24+J24</f>
        <v/>
      </c>
      <c r="L24" s="89" t="n">
        <v>0</v>
      </c>
      <c r="M24" s="89" t="n">
        <v>0</v>
      </c>
      <c r="N24" s="89" t="n">
        <v>0</v>
      </c>
      <c r="O24" s="89" t="n">
        <v>1</v>
      </c>
      <c r="P24" s="89" t="n">
        <v>0</v>
      </c>
      <c r="Q24" s="90">
        <f>L24+M24+N24+O24+P24</f>
        <v/>
      </c>
      <c r="R24" s="89" t="n"/>
      <c r="S24" s="89" t="n"/>
      <c r="T24" s="89" t="n"/>
      <c r="U24" s="89" t="n"/>
      <c r="V24" s="90">
        <f>R24+S24+T24+U24</f>
        <v/>
      </c>
      <c r="W24" s="89" t="n">
        <v>1</v>
      </c>
      <c r="X24" s="89" t="n">
        <v>0</v>
      </c>
      <c r="Y24" s="89" t="n"/>
      <c r="Z24" s="89" t="n"/>
      <c r="AA24" s="90">
        <f>W24+X24+Y24+Z24</f>
        <v/>
      </c>
      <c r="AB24" s="89" t="n"/>
      <c r="AC24" s="89" t="n"/>
      <c r="AD24" s="89" t="n"/>
      <c r="AE24" s="89" t="n"/>
      <c r="AF24" s="89" t="n"/>
      <c r="AG24" s="90">
        <f>AB24+AC24+AD24+AE24+AF24</f>
        <v/>
      </c>
      <c r="AH24" s="89" t="n"/>
      <c r="AI24" s="89" t="n"/>
      <c r="AJ24" s="89" t="n"/>
      <c r="AK24" s="89" t="n"/>
      <c r="AL24" s="90">
        <f>AH24+AI24+AJ24+AK24</f>
        <v/>
      </c>
      <c r="AM24" s="89" t="n"/>
      <c r="AN24" s="89" t="n"/>
      <c r="AO24" s="89" t="n"/>
      <c r="AP24" s="89" t="n"/>
      <c r="AQ24" s="89" t="n"/>
      <c r="AR24" s="90">
        <f>AM24+AN24+AO24+AP24+AQ24</f>
        <v/>
      </c>
      <c r="AS24" s="89" t="n"/>
      <c r="AT24" s="89" t="n"/>
      <c r="AU24" s="89" t="n"/>
      <c r="AV24" s="89" t="n"/>
      <c r="AW24" s="90">
        <f>AS24+AT24+AU24+AV24</f>
        <v/>
      </c>
      <c r="AX24" s="89" t="n"/>
      <c r="AY24" s="89" t="n"/>
      <c r="AZ24" s="89" t="n"/>
      <c r="BA24" s="89" t="n"/>
      <c r="BB24" s="90">
        <f>AX24+AY24+AZ24+BA24</f>
        <v/>
      </c>
      <c r="BC24" s="89" t="n"/>
      <c r="BD24" s="89" t="n"/>
      <c r="BE24" s="89" t="n"/>
      <c r="BF24" s="89" t="n"/>
      <c r="BG24" s="89" t="n"/>
      <c r="BH24" s="90">
        <f>BC24+BD24+BE24+BF24+BG24</f>
        <v/>
      </c>
      <c r="BI24" s="89" t="n"/>
      <c r="BJ24" s="89" t="n"/>
      <c r="BK24" s="89" t="n"/>
      <c r="BL24" s="89" t="n"/>
      <c r="BM24" s="90">
        <f>BI24+BJ24+BK24+BL24</f>
        <v/>
      </c>
    </row>
    <row r="25" ht="15.75" customHeight="1">
      <c r="A25" s="94" t="inlineStr">
        <is>
          <t>TOTAL DE SACOLAS</t>
        </is>
      </c>
      <c r="B25" s="95">
        <f>SUM(B17:B20)</f>
        <v/>
      </c>
      <c r="C25" s="95">
        <f>SUM(C17:C20)</f>
        <v/>
      </c>
      <c r="D25" s="95">
        <f>SUM(D17:D20)</f>
        <v/>
      </c>
      <c r="E25" s="95">
        <f>SUM(E17:E20)</f>
        <v/>
      </c>
      <c r="F25" s="95">
        <f>SUM(F17:F20)</f>
        <v/>
      </c>
      <c r="G25" s="95">
        <f>SUM(G17:G20)</f>
        <v/>
      </c>
      <c r="H25" s="95">
        <f>SUM(H17:H20)</f>
        <v/>
      </c>
      <c r="I25" s="95">
        <f>SUM(I17:I20)</f>
        <v/>
      </c>
      <c r="J25" s="95">
        <f>SUM(J17:J20)</f>
        <v/>
      </c>
      <c r="K25" s="95">
        <f>SUM(K17:K20)</f>
        <v/>
      </c>
      <c r="L25" s="95">
        <f>SUM(L17:L20)</f>
        <v/>
      </c>
      <c r="M25" s="95">
        <f>SUM(M17:M20)</f>
        <v/>
      </c>
      <c r="N25" s="95">
        <f>SUM(N17:N20)</f>
        <v/>
      </c>
      <c r="O25" s="95">
        <f>SUM(O17:O20)</f>
        <v/>
      </c>
      <c r="P25" s="95">
        <f>SUM(P17:P20)</f>
        <v/>
      </c>
      <c r="Q25" s="95">
        <f>SUM(Q17:Q20)</f>
        <v/>
      </c>
      <c r="R25" s="95">
        <f>SUM(R17:R20)</f>
        <v/>
      </c>
      <c r="S25" s="95">
        <f>SUM(S17:S20)</f>
        <v/>
      </c>
      <c r="T25" s="95">
        <f>SUM(T17:T20)</f>
        <v/>
      </c>
      <c r="U25" s="95">
        <f>SUM(U17:U20)</f>
        <v/>
      </c>
      <c r="V25" s="95">
        <f>SUM(V17:V20)</f>
        <v/>
      </c>
      <c r="W25" s="95">
        <f>SUM(W17:W20)</f>
        <v/>
      </c>
      <c r="X25" s="95">
        <f>SUM(X17:X20)</f>
        <v/>
      </c>
      <c r="Y25" s="95">
        <f>SUM(Y17:Y20)</f>
        <v/>
      </c>
      <c r="Z25" s="95">
        <f>SUM(Z17:Z20)</f>
        <v/>
      </c>
      <c r="AA25" s="95">
        <f>SUM(AA17:AA20)</f>
        <v/>
      </c>
      <c r="AB25" s="95">
        <f>SUM(AB17:AB20)</f>
        <v/>
      </c>
      <c r="AC25" s="95">
        <f>SUM(AC17:AC20)</f>
        <v/>
      </c>
      <c r="AD25" s="95">
        <f>SUM(AD17:AD20)</f>
        <v/>
      </c>
      <c r="AE25" s="95">
        <f>SUM(AE17:AE20)</f>
        <v/>
      </c>
      <c r="AF25" s="95">
        <f>SUM(AF17:AF20)</f>
        <v/>
      </c>
      <c r="AG25" s="95">
        <f>SUM(AG17:AG20)</f>
        <v/>
      </c>
      <c r="AH25" s="95">
        <f>SUM(AH17:AH20)</f>
        <v/>
      </c>
      <c r="AI25" s="95">
        <f>SUM(AI17:AI20)</f>
        <v/>
      </c>
      <c r="AJ25" s="95">
        <f>SUM(AJ17:AJ20)</f>
        <v/>
      </c>
      <c r="AK25" s="95">
        <f>SUM(AK17:AK20)</f>
        <v/>
      </c>
      <c r="AL25" s="95">
        <f>SUM(AL17:AL20)</f>
        <v/>
      </c>
      <c r="AM25" s="95">
        <f>SUM(AM17:AM20)</f>
        <v/>
      </c>
      <c r="AN25" s="95">
        <f>SUM(AN17:AN20)</f>
        <v/>
      </c>
      <c r="AO25" s="95">
        <f>SUM(AO17:AO20)</f>
        <v/>
      </c>
      <c r="AP25" s="95">
        <f>SUM(AP17:AP20)</f>
        <v/>
      </c>
      <c r="AQ25" s="95">
        <f>SUM(AQ17:AQ20)</f>
        <v/>
      </c>
      <c r="AR25" s="95">
        <f>SUM(AR17:AR20)</f>
        <v/>
      </c>
      <c r="AS25" s="95">
        <f>SUM(AS17:AS20)</f>
        <v/>
      </c>
      <c r="AT25" s="95">
        <f>SUM(AT17:AT20)</f>
        <v/>
      </c>
      <c r="AU25" s="95">
        <f>SUM(AU17:AU20)</f>
        <v/>
      </c>
      <c r="AV25" s="95">
        <f>SUM(AV17:AV20)</f>
        <v/>
      </c>
      <c r="AW25" s="95">
        <f>SUM(AW17:AW20)</f>
        <v/>
      </c>
      <c r="AX25" s="95">
        <f>SUM(AX17:AX20)</f>
        <v/>
      </c>
      <c r="AY25" s="95">
        <f>SUM(AY17:AY20)</f>
        <v/>
      </c>
      <c r="AZ25" s="95">
        <f>SUM(AZ17:AZ20)</f>
        <v/>
      </c>
      <c r="BA25" s="95">
        <f>SUM(BA17:BA20)</f>
        <v/>
      </c>
      <c r="BB25" s="95">
        <f>SUM(BB17:BB20)</f>
        <v/>
      </c>
      <c r="BC25" s="95">
        <f>SUM(BC17:BC20)</f>
        <v/>
      </c>
      <c r="BD25" s="95">
        <f>SUM(BD17:BD20)</f>
        <v/>
      </c>
      <c r="BE25" s="95">
        <f>SUM(BE17:BE20)</f>
        <v/>
      </c>
      <c r="BF25" s="95">
        <f>SUM(BF17:BF20)</f>
        <v/>
      </c>
      <c r="BG25" s="95">
        <f>SUM(BG17:BG20)</f>
        <v/>
      </c>
      <c r="BH25" s="95">
        <f>SUM(BH17:BH20)</f>
        <v/>
      </c>
      <c r="BI25" s="95">
        <f>SUM(BI17:BI20)</f>
        <v/>
      </c>
      <c r="BJ25" s="95">
        <f>SUM(BJ17:BJ20)</f>
        <v/>
      </c>
      <c r="BK25" s="95">
        <f>SUM(BK17:BK20)</f>
        <v/>
      </c>
      <c r="BL25" s="95">
        <f>SUM(BL17:BL20)</f>
        <v/>
      </c>
      <c r="BM25" s="95">
        <f>SUM(BM17:BM20)</f>
        <v/>
      </c>
    </row>
    <row r="27" ht="18" customHeight="1">
      <c r="A27" s="506" t="inlineStr">
        <is>
          <t>GASTO DE SACOLAS E ITENS DOADOS 2026 - MENSAIS</t>
        </is>
      </c>
      <c r="B27" s="700" t="n"/>
      <c r="C27" s="700" t="n"/>
      <c r="D27" s="700" t="n"/>
      <c r="E27" s="700" t="n"/>
      <c r="F27" s="700" t="n"/>
      <c r="G27" s="700" t="n"/>
      <c r="H27" s="700" t="n"/>
      <c r="I27" s="700" t="n"/>
      <c r="J27" s="700" t="n"/>
      <c r="K27" s="700" t="n"/>
      <c r="L27" s="700" t="n"/>
      <c r="M27" s="700" t="n"/>
      <c r="N27" s="700" t="n"/>
      <c r="O27" s="700" t="n"/>
      <c r="P27" s="700" t="n"/>
      <c r="Q27" s="700" t="n"/>
      <c r="R27" s="700" t="n"/>
      <c r="S27" s="700" t="n"/>
      <c r="T27" s="700" t="n"/>
      <c r="U27" s="700" t="n"/>
      <c r="V27" s="700" t="n"/>
      <c r="W27" s="700" t="n"/>
      <c r="X27" s="700" t="n"/>
      <c r="Y27" s="700" t="n"/>
      <c r="Z27" s="700" t="n"/>
      <c r="AA27" s="700" t="n"/>
      <c r="AB27" s="700" t="n"/>
      <c r="AC27" s="700" t="n"/>
      <c r="AD27" s="700" t="n"/>
      <c r="AE27" s="700" t="n"/>
      <c r="AF27" s="700" t="n"/>
      <c r="AG27" s="700" t="n"/>
      <c r="AH27" s="700" t="n"/>
      <c r="AI27" s="700" t="n"/>
      <c r="AJ27" s="700" t="n"/>
      <c r="AK27" s="700" t="n"/>
      <c r="AL27" s="700" t="n"/>
      <c r="AM27" s="700" t="n"/>
      <c r="AN27" s="700" t="n"/>
      <c r="AO27" s="700" t="n"/>
      <c r="AP27" s="700" t="n"/>
      <c r="AQ27" s="700" t="n"/>
      <c r="AR27" s="700" t="n"/>
      <c r="AS27" s="700" t="n"/>
      <c r="AT27" s="700" t="n"/>
      <c r="AU27" s="700" t="n"/>
      <c r="AV27" s="700" t="n"/>
      <c r="AW27" s="700" t="n"/>
      <c r="AX27" s="700" t="n"/>
      <c r="AY27" s="700" t="n"/>
      <c r="AZ27" s="700" t="n"/>
      <c r="BA27" s="700" t="n"/>
      <c r="BB27" s="700" t="n"/>
      <c r="BC27" s="700" t="n"/>
      <c r="BD27" s="700" t="n"/>
      <c r="BE27" s="700" t="n"/>
      <c r="BF27" s="700" t="n"/>
      <c r="BG27" s="700" t="n"/>
      <c r="BH27" s="700" t="n"/>
      <c r="BI27" s="700" t="n"/>
      <c r="BJ27" s="700" t="n"/>
      <c r="BK27" s="700" t="n"/>
      <c r="BL27" s="700" t="n"/>
      <c r="BM27" s="700" t="n"/>
    </row>
    <row r="28" ht="18" customHeight="1">
      <c r="A28" s="701" t="inlineStr">
        <is>
          <t>BARRA BONITA</t>
        </is>
      </c>
      <c r="B28" s="701" t="inlineStr">
        <is>
          <t>JANEIRO</t>
        </is>
      </c>
      <c r="C28" s="666" t="n"/>
      <c r="D28" s="666" t="n"/>
      <c r="E28" s="666" t="n"/>
      <c r="F28" s="667" t="n"/>
      <c r="G28" s="701" t="inlineStr">
        <is>
          <t>FEVEREIRO</t>
        </is>
      </c>
      <c r="H28" s="666" t="n"/>
      <c r="I28" s="666" t="n"/>
      <c r="J28" s="666" t="n"/>
      <c r="K28" s="667" t="n"/>
      <c r="L28" s="701" t="inlineStr">
        <is>
          <t>MARÇO</t>
        </is>
      </c>
      <c r="M28" s="666" t="n"/>
      <c r="N28" s="666" t="n"/>
      <c r="O28" s="666" t="n"/>
      <c r="P28" s="666" t="n"/>
      <c r="Q28" s="667" t="n"/>
      <c r="R28" s="701" t="inlineStr">
        <is>
          <t>ABRIL</t>
        </is>
      </c>
      <c r="S28" s="666" t="n"/>
      <c r="T28" s="666" t="n"/>
      <c r="U28" s="666" t="n"/>
      <c r="V28" s="667" t="n"/>
      <c r="W28" s="701" t="inlineStr">
        <is>
          <t>MAIO</t>
        </is>
      </c>
      <c r="X28" s="666" t="n"/>
      <c r="Y28" s="666" t="n"/>
      <c r="Z28" s="666" t="n"/>
      <c r="AA28" s="667" t="n"/>
      <c r="AB28" s="701" t="inlineStr">
        <is>
          <t>JUNHO</t>
        </is>
      </c>
      <c r="AC28" s="666" t="n"/>
      <c r="AD28" s="666" t="n"/>
      <c r="AE28" s="666" t="n"/>
      <c r="AF28" s="666" t="n"/>
      <c r="AG28" s="667" t="n"/>
      <c r="AH28" s="701" t="inlineStr">
        <is>
          <t>JULHO</t>
        </is>
      </c>
      <c r="AI28" s="666" t="n"/>
      <c r="AJ28" s="666" t="n"/>
      <c r="AK28" s="666" t="n"/>
      <c r="AL28" s="667" t="n"/>
      <c r="AM28" s="701" t="inlineStr">
        <is>
          <t>AGOSTO</t>
        </is>
      </c>
      <c r="AN28" s="666" t="n"/>
      <c r="AO28" s="666" t="n"/>
      <c r="AP28" s="666" t="n"/>
      <c r="AQ28" s="666" t="n"/>
      <c r="AR28" s="667" t="n"/>
      <c r="AS28" s="701" t="inlineStr">
        <is>
          <t>SETEMBRO</t>
        </is>
      </c>
      <c r="AT28" s="666" t="n"/>
      <c r="AU28" s="666" t="n"/>
      <c r="AV28" s="666" t="n"/>
      <c r="AW28" s="667" t="n"/>
      <c r="AX28" s="701" t="inlineStr">
        <is>
          <t>OUTUBRO</t>
        </is>
      </c>
      <c r="AY28" s="666" t="n"/>
      <c r="AZ28" s="666" t="n"/>
      <c r="BA28" s="666" t="n"/>
      <c r="BB28" s="667" t="n"/>
      <c r="BC28" s="701" t="inlineStr">
        <is>
          <t>NOVEMBRO</t>
        </is>
      </c>
      <c r="BD28" s="666" t="n"/>
      <c r="BE28" s="666" t="n"/>
      <c r="BF28" s="666" t="n"/>
      <c r="BG28" s="666" t="n"/>
      <c r="BH28" s="667" t="n"/>
      <c r="BI28" s="701" t="inlineStr">
        <is>
          <t>DEZEMBRO</t>
        </is>
      </c>
      <c r="BJ28" s="666" t="n"/>
      <c r="BK28" s="666" t="n"/>
      <c r="BL28" s="666" t="n"/>
      <c r="BM28" s="667" t="n"/>
    </row>
    <row r="29" ht="15.75" customHeight="1">
      <c r="A29" s="668" t="n"/>
      <c r="B29" s="86" t="n">
        <v>46027</v>
      </c>
      <c r="C29" s="86" t="n">
        <v>46034</v>
      </c>
      <c r="D29" s="86" t="n">
        <v>46041</v>
      </c>
      <c r="E29" s="86" t="n">
        <v>46048</v>
      </c>
      <c r="F29" s="87" t="inlineStr">
        <is>
          <t>USOU</t>
        </is>
      </c>
      <c r="G29" s="86" t="n">
        <v>46055</v>
      </c>
      <c r="H29" s="86" t="n">
        <v>46062</v>
      </c>
      <c r="I29" s="86" t="n">
        <v>46069</v>
      </c>
      <c r="J29" s="86" t="n">
        <v>46076</v>
      </c>
      <c r="K29" s="87" t="inlineStr">
        <is>
          <t>USOU</t>
        </is>
      </c>
      <c r="L29" s="86" t="n">
        <v>46083</v>
      </c>
      <c r="M29" s="86" t="n">
        <v>46090</v>
      </c>
      <c r="N29" s="86" t="n">
        <v>46097</v>
      </c>
      <c r="O29" s="86" t="n">
        <v>46104</v>
      </c>
      <c r="P29" s="86" t="n">
        <v>46111</v>
      </c>
      <c r="Q29" s="87" t="inlineStr">
        <is>
          <t>USOU</t>
        </is>
      </c>
      <c r="R29" s="86" t="n">
        <v>46118</v>
      </c>
      <c r="S29" s="86" t="n">
        <v>46125</v>
      </c>
      <c r="T29" s="86" t="n">
        <v>46132</v>
      </c>
      <c r="U29" s="86" t="n">
        <v>46139</v>
      </c>
      <c r="V29" s="87" t="inlineStr">
        <is>
          <t>USOU</t>
        </is>
      </c>
      <c r="W29" s="86" t="n">
        <v>46146</v>
      </c>
      <c r="X29" s="86" t="n">
        <v>46153</v>
      </c>
      <c r="Y29" s="86" t="n">
        <v>46160</v>
      </c>
      <c r="Z29" s="86" t="n">
        <v>46167</v>
      </c>
      <c r="AA29" s="87" t="inlineStr">
        <is>
          <t>USOU</t>
        </is>
      </c>
      <c r="AB29" s="86" t="n">
        <v>46174</v>
      </c>
      <c r="AC29" s="86" t="n">
        <v>46181</v>
      </c>
      <c r="AD29" s="86" t="n">
        <v>46188</v>
      </c>
      <c r="AE29" s="86" t="n">
        <v>46195</v>
      </c>
      <c r="AF29" s="86" t="n">
        <v>46202</v>
      </c>
      <c r="AG29" s="87" t="inlineStr">
        <is>
          <t>USOU</t>
        </is>
      </c>
      <c r="AH29" s="86" t="n">
        <v>46209</v>
      </c>
      <c r="AI29" s="86" t="n">
        <v>46216</v>
      </c>
      <c r="AJ29" s="86" t="n">
        <v>46223</v>
      </c>
      <c r="AK29" s="86" t="n">
        <v>46230</v>
      </c>
      <c r="AL29" s="87" t="inlineStr">
        <is>
          <t>USOU</t>
        </is>
      </c>
      <c r="AM29" s="86" t="n">
        <v>46237</v>
      </c>
      <c r="AN29" s="86" t="n">
        <v>46244</v>
      </c>
      <c r="AO29" s="86" t="n">
        <v>46251</v>
      </c>
      <c r="AP29" s="86" t="n">
        <v>46258</v>
      </c>
      <c r="AQ29" s="86" t="n">
        <v>46265</v>
      </c>
      <c r="AR29" s="87" t="inlineStr">
        <is>
          <t>USOU</t>
        </is>
      </c>
      <c r="AS29" s="86" t="n">
        <v>46272</v>
      </c>
      <c r="AT29" s="86" t="n">
        <v>46279</v>
      </c>
      <c r="AU29" s="86" t="n">
        <v>46286</v>
      </c>
      <c r="AV29" s="86" t="n">
        <v>46293</v>
      </c>
      <c r="AW29" s="87" t="inlineStr">
        <is>
          <t>USOU</t>
        </is>
      </c>
      <c r="AX29" s="86" t="n">
        <v>46300</v>
      </c>
      <c r="AY29" s="86" t="n">
        <v>46307</v>
      </c>
      <c r="AZ29" s="86" t="n">
        <v>46314</v>
      </c>
      <c r="BA29" s="86" t="n">
        <v>46321</v>
      </c>
      <c r="BB29" s="87" t="inlineStr">
        <is>
          <t>USOU</t>
        </is>
      </c>
      <c r="BC29" s="86" t="n">
        <v>46328</v>
      </c>
      <c r="BD29" s="86" t="n">
        <v>46335</v>
      </c>
      <c r="BE29" s="86" t="n">
        <v>46342</v>
      </c>
      <c r="BF29" s="86" t="n">
        <v>46349</v>
      </c>
      <c r="BG29" s="86" t="n">
        <v>46356</v>
      </c>
      <c r="BH29" s="87" t="inlineStr">
        <is>
          <t>USOU</t>
        </is>
      </c>
      <c r="BI29" s="86" t="n">
        <v>46363</v>
      </c>
      <c r="BJ29" s="86" t="n">
        <v>46370</v>
      </c>
      <c r="BK29" s="86" t="n">
        <v>46377</v>
      </c>
      <c r="BL29" s="86" t="n">
        <v>46384</v>
      </c>
      <c r="BM29" s="87" t="inlineStr">
        <is>
          <t>USOU</t>
        </is>
      </c>
    </row>
    <row r="30" ht="15.75" customHeight="1">
      <c r="A30" s="91" t="inlineStr">
        <is>
          <t>SACOLA PP VERDE</t>
        </is>
      </c>
      <c r="B30" s="89" t="n">
        <v>0</v>
      </c>
      <c r="C30" s="89" t="n">
        <v>80</v>
      </c>
      <c r="D30" s="89" t="n">
        <v>20</v>
      </c>
      <c r="E30" s="89" t="n">
        <v>60</v>
      </c>
      <c r="F30" s="90">
        <f>B30+C30+D30+E30</f>
        <v/>
      </c>
      <c r="G30" s="89" t="n">
        <v>60</v>
      </c>
      <c r="H30" s="89" t="n">
        <v>60</v>
      </c>
      <c r="I30" s="89" t="n">
        <v>40</v>
      </c>
      <c r="J30" s="89" t="n">
        <v>100</v>
      </c>
      <c r="K30" s="90">
        <f>G30+H30+I30+J30</f>
        <v/>
      </c>
      <c r="L30" s="89" t="n">
        <v>60</v>
      </c>
      <c r="M30" s="89" t="n">
        <v>60</v>
      </c>
      <c r="N30" s="89" t="n">
        <v>60</v>
      </c>
      <c r="O30" s="89" t="n">
        <v>380</v>
      </c>
      <c r="P30" s="89" t="n">
        <v>60</v>
      </c>
      <c r="Q30" s="90">
        <f>L30+M30+N30+O30+P30</f>
        <v/>
      </c>
      <c r="R30" s="89" t="n"/>
      <c r="S30" s="89" t="n"/>
      <c r="T30" s="89" t="n"/>
      <c r="U30" s="89" t="n"/>
      <c r="V30" s="90">
        <f>R30+S30+T30+U30</f>
        <v/>
      </c>
      <c r="W30" s="89" t="n">
        <v>40</v>
      </c>
      <c r="X30" s="89" t="n">
        <v>40</v>
      </c>
      <c r="Y30" s="89" t="n"/>
      <c r="Z30" s="89" t="n"/>
      <c r="AA30" s="90">
        <f>W30+X30+Y30+Z30</f>
        <v/>
      </c>
      <c r="AB30" s="89" t="n"/>
      <c r="AC30" s="89" t="n"/>
      <c r="AD30" s="89" t="n"/>
      <c r="AE30" s="89" t="n"/>
      <c r="AF30" s="89" t="n"/>
      <c r="AG30" s="90">
        <f>AB30+AC30+AD30+AE30+AF30</f>
        <v/>
      </c>
      <c r="AH30" s="89" t="n"/>
      <c r="AI30" s="89" t="n"/>
      <c r="AJ30" s="89" t="n"/>
      <c r="AK30" s="89" t="n"/>
      <c r="AL30" s="90">
        <f>AH30+AI30+AJ30+AK30</f>
        <v/>
      </c>
      <c r="AM30" s="89" t="n"/>
      <c r="AN30" s="89" t="n"/>
      <c r="AO30" s="89" t="n"/>
      <c r="AP30" s="89" t="n"/>
      <c r="AQ30" s="89" t="n"/>
      <c r="AR30" s="90">
        <f>AM30+AN30+AO30+AP30+AQ30</f>
        <v/>
      </c>
      <c r="AS30" s="89" t="n"/>
      <c r="AT30" s="89" t="n"/>
      <c r="AU30" s="89" t="n"/>
      <c r="AV30" s="89" t="n"/>
      <c r="AW30" s="90">
        <f>AS30+AT30+AU30+AV30</f>
        <v/>
      </c>
      <c r="AX30" s="89" t="n"/>
      <c r="AY30" s="89" t="n"/>
      <c r="AZ30" s="89" t="n"/>
      <c r="BA30" s="89" t="n"/>
      <c r="BB30" s="90">
        <f>AX30+AY30+AZ30+BA30</f>
        <v/>
      </c>
      <c r="BC30" s="89" t="n"/>
      <c r="BD30" s="89" t="n"/>
      <c r="BE30" s="89" t="n"/>
      <c r="BF30" s="89" t="n"/>
      <c r="BG30" s="89" t="n"/>
      <c r="BH30" s="90">
        <f>BC30+BD30+BE30+BF30+BG30</f>
        <v/>
      </c>
      <c r="BI30" s="89" t="n"/>
      <c r="BJ30" s="89" t="n"/>
      <c r="BK30" s="89" t="n"/>
      <c r="BL30" s="89" t="n"/>
      <c r="BM30" s="90">
        <f>BI30+BJ30+BK30+BL30</f>
        <v/>
      </c>
    </row>
    <row r="31" ht="15.75" customHeight="1">
      <c r="A31" s="91" t="inlineStr">
        <is>
          <t>SACOLA P VERDE</t>
        </is>
      </c>
      <c r="B31" s="89" t="n">
        <v>220</v>
      </c>
      <c r="C31" s="89" t="n">
        <v>180</v>
      </c>
      <c r="D31" s="89" t="n">
        <v>140</v>
      </c>
      <c r="E31" s="89" t="n">
        <v>240</v>
      </c>
      <c r="F31" s="90">
        <f>B31+C31+D31+E31</f>
        <v/>
      </c>
      <c r="G31" s="89" t="n">
        <v>160</v>
      </c>
      <c r="H31" s="89" t="n">
        <v>180</v>
      </c>
      <c r="I31" s="89" t="n">
        <v>240</v>
      </c>
      <c r="J31" s="89" t="n">
        <v>140</v>
      </c>
      <c r="K31" s="90">
        <f>G31+H31+I31+J31</f>
        <v/>
      </c>
      <c r="L31" s="89" t="n">
        <v>200</v>
      </c>
      <c r="M31" s="89" t="n">
        <v>220</v>
      </c>
      <c r="N31" s="89" t="n">
        <v>240</v>
      </c>
      <c r="O31" s="89" t="n">
        <v>140</v>
      </c>
      <c r="P31" s="89" t="n">
        <v>220</v>
      </c>
      <c r="Q31" s="90">
        <f>L31+M31+N31+O31+P31</f>
        <v/>
      </c>
      <c r="R31" s="89" t="n"/>
      <c r="S31" s="89" t="n"/>
      <c r="T31" s="89" t="n"/>
      <c r="U31" s="89" t="n"/>
      <c r="V31" s="90">
        <f>R31+S31+T31+U31</f>
        <v/>
      </c>
      <c r="W31" s="89" t="n">
        <v>20</v>
      </c>
      <c r="X31" s="89" t="n">
        <v>0</v>
      </c>
      <c r="Y31" s="89" t="n"/>
      <c r="Z31" s="89" t="n"/>
      <c r="AA31" s="90">
        <f>W31+X31+Y31+Z31</f>
        <v/>
      </c>
      <c r="AB31" s="89" t="n"/>
      <c r="AC31" s="89" t="n"/>
      <c r="AD31" s="89" t="n"/>
      <c r="AE31" s="89" t="n"/>
      <c r="AF31" s="89" t="n"/>
      <c r="AG31" s="90">
        <f>AB31+AC31+AD31+AE31+AF31</f>
        <v/>
      </c>
      <c r="AH31" s="89" t="n"/>
      <c r="AI31" s="89" t="n"/>
      <c r="AJ31" s="89" t="n"/>
      <c r="AK31" s="89" t="n"/>
      <c r="AL31" s="90">
        <f>AH31+AI31+AJ31+AK31</f>
        <v/>
      </c>
      <c r="AM31" s="89" t="n"/>
      <c r="AN31" s="89" t="n"/>
      <c r="AO31" s="89" t="n"/>
      <c r="AP31" s="89" t="n"/>
      <c r="AQ31" s="89" t="n"/>
      <c r="AR31" s="90">
        <f>AM31+AN31+AO31+AP31+AQ31</f>
        <v/>
      </c>
      <c r="AS31" s="89" t="n"/>
      <c r="AT31" s="89" t="n"/>
      <c r="AU31" s="89" t="n"/>
      <c r="AV31" s="89" t="n"/>
      <c r="AW31" s="90">
        <f>AS31+AT31+AU31+AV31</f>
        <v/>
      </c>
      <c r="AX31" s="89" t="n"/>
      <c r="AY31" s="89" t="n"/>
      <c r="AZ31" s="89" t="n"/>
      <c r="BA31" s="89" t="n"/>
      <c r="BB31" s="90">
        <f>AX31+AY31+AZ31+BA31</f>
        <v/>
      </c>
      <c r="BC31" s="89" t="n"/>
      <c r="BD31" s="89" t="n"/>
      <c r="BE31" s="89" t="n"/>
      <c r="BF31" s="89" t="n"/>
      <c r="BG31" s="89" t="n"/>
      <c r="BH31" s="90">
        <f>BC31+BD31+BE31+BF31+BG31</f>
        <v/>
      </c>
      <c r="BI31" s="89" t="n"/>
      <c r="BJ31" s="89" t="n"/>
      <c r="BK31" s="89" t="n"/>
      <c r="BL31" s="89" t="n"/>
      <c r="BM31" s="90">
        <f>BI31+BJ31+BK31+BL31</f>
        <v/>
      </c>
    </row>
    <row r="32" ht="15.75" customHeight="1">
      <c r="A32" s="91" t="inlineStr">
        <is>
          <t>SACOLA M VERDE</t>
        </is>
      </c>
      <c r="B32" s="89" t="n">
        <v>160</v>
      </c>
      <c r="C32" s="89" t="n">
        <v>20</v>
      </c>
      <c r="D32" s="89" t="n">
        <v>0</v>
      </c>
      <c r="E32" s="89" t="n">
        <v>80</v>
      </c>
      <c r="F32" s="90">
        <f>B32+C32+D32+E32</f>
        <v/>
      </c>
      <c r="G32" s="89" t="n">
        <v>40</v>
      </c>
      <c r="H32" s="89" t="n">
        <v>80</v>
      </c>
      <c r="I32" s="89" t="n">
        <v>100</v>
      </c>
      <c r="J32" s="89" t="n">
        <v>60</v>
      </c>
      <c r="K32" s="90">
        <f>G32+H32+I32+J32</f>
        <v/>
      </c>
      <c r="L32" s="89" t="n">
        <v>60</v>
      </c>
      <c r="M32" s="89" t="n">
        <v>80</v>
      </c>
      <c r="N32" s="89" t="n">
        <v>80</v>
      </c>
      <c r="O32" s="89" t="n">
        <v>280</v>
      </c>
      <c r="P32" s="89" t="n">
        <v>80</v>
      </c>
      <c r="Q32" s="90">
        <f>L32+M32+N32+O32+P32</f>
        <v/>
      </c>
      <c r="R32" s="89" t="n"/>
      <c r="S32" s="89" t="n"/>
      <c r="T32" s="89" t="n"/>
      <c r="U32" s="89" t="n"/>
      <c r="V32" s="90">
        <f>R32+S32+T32+U32</f>
        <v/>
      </c>
      <c r="W32" s="89" t="n">
        <v>0</v>
      </c>
      <c r="X32" s="89" t="n">
        <v>20</v>
      </c>
      <c r="Y32" s="89" t="n"/>
      <c r="Z32" s="89" t="n"/>
      <c r="AA32" s="90">
        <f>W32+X32+Y32+Z32</f>
        <v/>
      </c>
      <c r="AB32" s="89" t="n"/>
      <c r="AC32" s="89" t="n"/>
      <c r="AD32" s="89" t="n"/>
      <c r="AE32" s="89" t="n"/>
      <c r="AF32" s="89" t="n"/>
      <c r="AG32" s="90">
        <f>AB32+AC32+AD32+AE32+AF32</f>
        <v/>
      </c>
      <c r="AH32" s="89" t="n"/>
      <c r="AI32" s="89" t="n"/>
      <c r="AJ32" s="89" t="n"/>
      <c r="AK32" s="89" t="n"/>
      <c r="AL32" s="90">
        <f>AH32+AI32+AJ32+AK32</f>
        <v/>
      </c>
      <c r="AM32" s="89" t="n"/>
      <c r="AN32" s="89" t="n"/>
      <c r="AO32" s="89" t="n"/>
      <c r="AP32" s="89" t="n"/>
      <c r="AQ32" s="89" t="n"/>
      <c r="AR32" s="90">
        <f>AM32+AN32+AO32+AP32+AQ32</f>
        <v/>
      </c>
      <c r="AS32" s="89" t="n"/>
      <c r="AT32" s="89" t="n"/>
      <c r="AU32" s="89" t="n"/>
      <c r="AV32" s="89" t="n"/>
      <c r="AW32" s="90">
        <f>AS32+AT32+AU32+AV32</f>
        <v/>
      </c>
      <c r="AX32" s="89" t="n"/>
      <c r="AY32" s="89" t="n"/>
      <c r="AZ32" s="89" t="n"/>
      <c r="BA32" s="89" t="n"/>
      <c r="BB32" s="90">
        <f>AX32+AY32+AZ32+BA32</f>
        <v/>
      </c>
      <c r="BC32" s="89" t="n"/>
      <c r="BD32" s="89" t="n"/>
      <c r="BE32" s="89" t="n"/>
      <c r="BF32" s="89" t="n"/>
      <c r="BG32" s="89" t="n"/>
      <c r="BH32" s="90">
        <f>BC32+BD32+BE32+BF32+BG32</f>
        <v/>
      </c>
      <c r="BI32" s="89" t="n"/>
      <c r="BJ32" s="89" t="n"/>
      <c r="BK32" s="89" t="n"/>
      <c r="BL32" s="89" t="n"/>
      <c r="BM32" s="90">
        <f>BI32+BJ32+BK32+BL32</f>
        <v/>
      </c>
    </row>
    <row r="33" ht="15.75" customHeight="1">
      <c r="A33" s="92" t="inlineStr">
        <is>
          <t>SACOLA G VERDE</t>
        </is>
      </c>
      <c r="B33" s="89" t="n">
        <v>0</v>
      </c>
      <c r="C33" s="89" t="n">
        <v>60</v>
      </c>
      <c r="D33" s="89" t="n">
        <v>20</v>
      </c>
      <c r="E33" s="89" t="n">
        <v>20</v>
      </c>
      <c r="F33" s="90">
        <f>B33+C33+D33+E33</f>
        <v/>
      </c>
      <c r="G33" s="89" t="n">
        <v>20</v>
      </c>
      <c r="H33" s="89" t="n">
        <v>20</v>
      </c>
      <c r="I33" s="89" t="n">
        <v>0</v>
      </c>
      <c r="J33" s="89" t="n">
        <v>20</v>
      </c>
      <c r="K33" s="90">
        <f>G33+H33+I33+J33</f>
        <v/>
      </c>
      <c r="L33" s="89" t="n">
        <v>0</v>
      </c>
      <c r="M33" s="89" t="n">
        <v>40</v>
      </c>
      <c r="N33" s="89" t="n">
        <v>20</v>
      </c>
      <c r="O33" s="89" t="n">
        <v>100</v>
      </c>
      <c r="P33" s="89" t="n">
        <v>0</v>
      </c>
      <c r="Q33" s="90">
        <f>L33+M33+N33+O33+P33</f>
        <v/>
      </c>
      <c r="R33" s="89" t="n"/>
      <c r="S33" s="89" t="n"/>
      <c r="T33" s="89" t="n"/>
      <c r="U33" s="89" t="n"/>
      <c r="V33" s="90">
        <f>R33+S33+T33+U33</f>
        <v/>
      </c>
      <c r="W33" s="89" t="n">
        <v>0</v>
      </c>
      <c r="X33" s="89" t="n">
        <v>100</v>
      </c>
      <c r="Y33" s="89" t="n"/>
      <c r="Z33" s="89" t="n"/>
      <c r="AA33" s="90">
        <f>W33+X33+Y33+Z33</f>
        <v/>
      </c>
      <c r="AB33" s="89" t="n"/>
      <c r="AC33" s="89" t="n"/>
      <c r="AD33" s="89" t="n"/>
      <c r="AE33" s="89" t="n"/>
      <c r="AF33" s="89" t="n"/>
      <c r="AG33" s="90">
        <f>AB33+AC33+AD33+AE33+AF33</f>
        <v/>
      </c>
      <c r="AH33" s="89" t="n"/>
      <c r="AI33" s="89" t="n"/>
      <c r="AJ33" s="89" t="n"/>
      <c r="AK33" s="89" t="n"/>
      <c r="AL33" s="90">
        <f>AH33+AI33+AJ33+AK33</f>
        <v/>
      </c>
      <c r="AM33" s="89" t="n"/>
      <c r="AN33" s="89" t="n"/>
      <c r="AO33" s="89" t="n"/>
      <c r="AP33" s="89" t="n"/>
      <c r="AQ33" s="89" t="n"/>
      <c r="AR33" s="90">
        <f>AM33+AN33+AO33+AP33+AQ33</f>
        <v/>
      </c>
      <c r="AS33" s="89" t="n"/>
      <c r="AT33" s="89" t="n"/>
      <c r="AU33" s="89" t="n"/>
      <c r="AV33" s="89" t="n"/>
      <c r="AW33" s="90">
        <f>AS33+AT33+AU33+AV33</f>
        <v/>
      </c>
      <c r="AX33" s="89" t="n"/>
      <c r="AY33" s="89" t="n"/>
      <c r="AZ33" s="89" t="n"/>
      <c r="BA33" s="89" t="n"/>
      <c r="BB33" s="90">
        <f>AX33+AY33+AZ33+BA33</f>
        <v/>
      </c>
      <c r="BC33" s="89" t="n"/>
      <c r="BD33" s="89" t="n"/>
      <c r="BE33" s="89" t="n"/>
      <c r="BF33" s="89" t="n"/>
      <c r="BG33" s="89" t="n"/>
      <c r="BH33" s="90">
        <f>BC33+BD33+BE33+BF33+BG33</f>
        <v/>
      </c>
      <c r="BI33" s="89" t="n"/>
      <c r="BJ33" s="89" t="n"/>
      <c r="BK33" s="89" t="n"/>
      <c r="BL33" s="89" t="n"/>
      <c r="BM33" s="90">
        <f>BI33+BJ33+BK33+BL33</f>
        <v/>
      </c>
    </row>
    <row r="34" ht="15.75" customHeight="1">
      <c r="A34" s="93" t="inlineStr">
        <is>
          <t xml:space="preserve">PAPEL DE SEDA </t>
        </is>
      </c>
      <c r="B34" s="89" t="n">
        <v>2</v>
      </c>
      <c r="C34" s="89" t="n">
        <v>1</v>
      </c>
      <c r="D34" s="89" t="n">
        <v>0</v>
      </c>
      <c r="E34" s="89" t="n">
        <v>3</v>
      </c>
      <c r="F34" s="90">
        <f>B34+C34+D34+E34</f>
        <v/>
      </c>
      <c r="G34" s="89" t="n">
        <v>0</v>
      </c>
      <c r="H34" s="89" t="n">
        <v>1</v>
      </c>
      <c r="I34" s="89" t="n">
        <v>2</v>
      </c>
      <c r="J34" s="89" t="n">
        <v>1</v>
      </c>
      <c r="K34" s="90">
        <f>G34+H34+I34+J34</f>
        <v/>
      </c>
      <c r="L34" s="89" t="n">
        <v>0</v>
      </c>
      <c r="M34" s="89" t="n">
        <v>2</v>
      </c>
      <c r="N34" s="89" t="n">
        <v>2</v>
      </c>
      <c r="O34" s="89" t="n">
        <v>1</v>
      </c>
      <c r="P34" s="89" t="n">
        <v>2</v>
      </c>
      <c r="Q34" s="90">
        <f>L34+M34+N34+O34+P34</f>
        <v/>
      </c>
      <c r="R34" s="89" t="n"/>
      <c r="S34" s="89" t="n"/>
      <c r="T34" s="89" t="n"/>
      <c r="U34" s="89" t="n"/>
      <c r="V34" s="90">
        <f>R34+S34+T34+U34</f>
        <v/>
      </c>
      <c r="W34" s="89" t="n">
        <v>0</v>
      </c>
      <c r="X34" s="89" t="n">
        <v>2</v>
      </c>
      <c r="Y34" s="89" t="n"/>
      <c r="Z34" s="89" t="n"/>
      <c r="AA34" s="90">
        <f>W34+X34+Y34+Z34</f>
        <v/>
      </c>
      <c r="AB34" s="89" t="n"/>
      <c r="AC34" s="89" t="n"/>
      <c r="AD34" s="89" t="n"/>
      <c r="AE34" s="89" t="n"/>
      <c r="AF34" s="89" t="n"/>
      <c r="AG34" s="90">
        <f>AB34+AC34+AD34+AE34+AF34</f>
        <v/>
      </c>
      <c r="AH34" s="89" t="n"/>
      <c r="AI34" s="89" t="n"/>
      <c r="AJ34" s="89" t="n"/>
      <c r="AK34" s="89" t="n"/>
      <c r="AL34" s="90">
        <f>AH34+AI34+AJ34+AK34</f>
        <v/>
      </c>
      <c r="AM34" s="89" t="n"/>
      <c r="AN34" s="89" t="n"/>
      <c r="AO34" s="89" t="n"/>
      <c r="AP34" s="89" t="n"/>
      <c r="AQ34" s="89" t="n"/>
      <c r="AR34" s="90">
        <f>AM34+AN34+AO34+AP34+AQ34</f>
        <v/>
      </c>
      <c r="AS34" s="89" t="n"/>
      <c r="AT34" s="89" t="n"/>
      <c r="AU34" s="89" t="n"/>
      <c r="AV34" s="89" t="n"/>
      <c r="AW34" s="90">
        <f>AS34+AT34+AU34+AV34</f>
        <v/>
      </c>
      <c r="AX34" s="89" t="n"/>
      <c r="AY34" s="89" t="n"/>
      <c r="AZ34" s="89" t="n"/>
      <c r="BA34" s="89" t="n"/>
      <c r="BB34" s="90">
        <f>AX34+AY34+AZ34+BA34</f>
        <v/>
      </c>
      <c r="BC34" s="89" t="n"/>
      <c r="BD34" s="89" t="n"/>
      <c r="BE34" s="89" t="n"/>
      <c r="BF34" s="89" t="n"/>
      <c r="BG34" s="89" t="n"/>
      <c r="BH34" s="90">
        <f>BC34+BD34+BE34+BF34+BG34</f>
        <v/>
      </c>
      <c r="BI34" s="89" t="n"/>
      <c r="BJ34" s="89" t="n"/>
      <c r="BK34" s="89" t="n"/>
      <c r="BL34" s="89" t="n"/>
      <c r="BM34" s="90">
        <f>BI34+BJ34+BK34+BL34</f>
        <v/>
      </c>
    </row>
    <row r="35" ht="15.75" customHeight="1">
      <c r="A35" s="93" t="inlineStr">
        <is>
          <t>ETIQUETAS</t>
        </is>
      </c>
      <c r="B35" s="89" t="n">
        <v>0</v>
      </c>
      <c r="C35" s="89" t="n">
        <v>0</v>
      </c>
      <c r="D35" s="89" t="n">
        <v>0</v>
      </c>
      <c r="E35" s="89" t="n">
        <v>0</v>
      </c>
      <c r="F35" s="90">
        <f>B35+C35+D35+E35</f>
        <v/>
      </c>
      <c r="G35" s="89" t="n">
        <v>0</v>
      </c>
      <c r="H35" s="89" t="n">
        <v>0</v>
      </c>
      <c r="I35" s="89" t="n">
        <v>0</v>
      </c>
      <c r="J35" s="89" t="n">
        <v>0</v>
      </c>
      <c r="K35" s="90">
        <f>G35+H35+I35+J35</f>
        <v/>
      </c>
      <c r="L35" s="89" t="n">
        <v>0</v>
      </c>
      <c r="M35" s="89" t="n">
        <v>0</v>
      </c>
      <c r="N35" s="89" t="n">
        <v>0</v>
      </c>
      <c r="O35" s="89" t="n">
        <v>0</v>
      </c>
      <c r="P35" s="89" t="n">
        <v>0</v>
      </c>
      <c r="Q35" s="90">
        <f>L35+M35+N35+O35+P35</f>
        <v/>
      </c>
      <c r="R35" s="89" t="n"/>
      <c r="S35" s="89" t="n"/>
      <c r="T35" s="89" t="n"/>
      <c r="U35" s="89" t="n"/>
      <c r="V35" s="90">
        <f>R35+S35+T35+U35</f>
        <v/>
      </c>
      <c r="W35" s="89" t="n">
        <v>0</v>
      </c>
      <c r="X35" s="89" t="n">
        <v>2</v>
      </c>
      <c r="Y35" s="89" t="n"/>
      <c r="Z35" s="89" t="n"/>
      <c r="AA35" s="90">
        <f>W35+X35+Y35+Z35</f>
        <v/>
      </c>
      <c r="AB35" s="89" t="n"/>
      <c r="AC35" s="89" t="n"/>
      <c r="AD35" s="89" t="n"/>
      <c r="AE35" s="89" t="n"/>
      <c r="AF35" s="89" t="n"/>
      <c r="AG35" s="90">
        <f>AB35+AC35+AD35+AE35+AF35</f>
        <v/>
      </c>
      <c r="AH35" s="89" t="n"/>
      <c r="AI35" s="89" t="n"/>
      <c r="AJ35" s="89" t="n"/>
      <c r="AK35" s="89" t="n"/>
      <c r="AL35" s="90">
        <f>AH35+AI35+AJ35+AK35</f>
        <v/>
      </c>
      <c r="AM35" s="89" t="n"/>
      <c r="AN35" s="89" t="n"/>
      <c r="AO35" s="89" t="n"/>
      <c r="AP35" s="89" t="n"/>
      <c r="AQ35" s="89" t="n"/>
      <c r="AR35" s="90">
        <f>AM35+AN35+AO35+AP35+AQ35</f>
        <v/>
      </c>
      <c r="AS35" s="89" t="n"/>
      <c r="AT35" s="89" t="n"/>
      <c r="AU35" s="89" t="n"/>
      <c r="AV35" s="89" t="n"/>
      <c r="AW35" s="90">
        <f>AS35+AT35+AU35+AV35</f>
        <v/>
      </c>
      <c r="AX35" s="89" t="n"/>
      <c r="AY35" s="89" t="n"/>
      <c r="AZ35" s="89" t="n"/>
      <c r="BA35" s="89" t="n"/>
      <c r="BB35" s="90">
        <f>AX35+AY35+AZ35+BA35</f>
        <v/>
      </c>
      <c r="BC35" s="89" t="n"/>
      <c r="BD35" s="89" t="n"/>
      <c r="BE35" s="89" t="n"/>
      <c r="BF35" s="89" t="n"/>
      <c r="BG35" s="89" t="n"/>
      <c r="BH35" s="90">
        <f>BC35+BD35+BE35+BF35+BG35</f>
        <v/>
      </c>
      <c r="BI35" s="89" t="n"/>
      <c r="BJ35" s="89" t="n"/>
      <c r="BK35" s="89" t="n"/>
      <c r="BL35" s="89" t="n"/>
      <c r="BM35" s="90">
        <f>BI35+BJ35+BK35+BL35</f>
        <v/>
      </c>
    </row>
    <row r="36" ht="15.75" customHeight="1">
      <c r="A36" s="93" t="inlineStr">
        <is>
          <t xml:space="preserve">TAGS </t>
        </is>
      </c>
      <c r="B36" s="89" t="n">
        <v>0</v>
      </c>
      <c r="C36" s="89" t="n">
        <v>0</v>
      </c>
      <c r="D36" s="89" t="n">
        <v>0</v>
      </c>
      <c r="E36" s="89" t="n">
        <v>1</v>
      </c>
      <c r="F36" s="90">
        <f>B36+C36+D36+E36</f>
        <v/>
      </c>
      <c r="G36" s="89" t="n">
        <v>0</v>
      </c>
      <c r="H36" s="89" t="n">
        <v>1</v>
      </c>
      <c r="I36" s="89" t="n">
        <v>0</v>
      </c>
      <c r="J36" s="89" t="n">
        <v>1</v>
      </c>
      <c r="K36" s="90">
        <f>G36+H36+I36+J36</f>
        <v/>
      </c>
      <c r="L36" s="89" t="n">
        <v>1</v>
      </c>
      <c r="M36" s="89" t="n">
        <v>0</v>
      </c>
      <c r="N36" s="89" t="n">
        <v>1</v>
      </c>
      <c r="O36" s="89" t="n">
        <v>1</v>
      </c>
      <c r="P36" s="89" t="n">
        <v>1</v>
      </c>
      <c r="Q36" s="90">
        <f>L36+M36+N36+O36+P36</f>
        <v/>
      </c>
      <c r="R36" s="89" t="n"/>
      <c r="S36" s="89" t="n"/>
      <c r="T36" s="89" t="n"/>
      <c r="U36" s="89" t="n"/>
      <c r="V36" s="90">
        <f>R36+S36+T36+U36</f>
        <v/>
      </c>
      <c r="W36" s="89" t="n">
        <v>0</v>
      </c>
      <c r="X36" s="89" t="n">
        <v>3</v>
      </c>
      <c r="Y36" s="89" t="n"/>
      <c r="Z36" s="89" t="n"/>
      <c r="AA36" s="90">
        <f>W36+X36+Y36+Z36</f>
        <v/>
      </c>
      <c r="AB36" s="89" t="n"/>
      <c r="AC36" s="89" t="n"/>
      <c r="AD36" s="89" t="n"/>
      <c r="AE36" s="89" t="n"/>
      <c r="AF36" s="89" t="n"/>
      <c r="AG36" s="90">
        <f>AB36+AC36+AD36+AE36+AF36</f>
        <v/>
      </c>
      <c r="AH36" s="89" t="n"/>
      <c r="AI36" s="89" t="n"/>
      <c r="AJ36" s="89" t="n"/>
      <c r="AK36" s="89" t="n"/>
      <c r="AL36" s="90">
        <f>AH36+AI36+AJ36+AK36</f>
        <v/>
      </c>
      <c r="AM36" s="89" t="n"/>
      <c r="AN36" s="89" t="n"/>
      <c r="AO36" s="89" t="n"/>
      <c r="AP36" s="89" t="n"/>
      <c r="AQ36" s="89" t="n"/>
      <c r="AR36" s="90">
        <f>AM36+AN36+AO36+AP36+AQ36</f>
        <v/>
      </c>
      <c r="AS36" s="89" t="n"/>
      <c r="AT36" s="89" t="n"/>
      <c r="AU36" s="89" t="n"/>
      <c r="AV36" s="89" t="n"/>
      <c r="AW36" s="90">
        <f>AS36+AT36+AU36+AV36</f>
        <v/>
      </c>
      <c r="AX36" s="89" t="n"/>
      <c r="AY36" s="89" t="n"/>
      <c r="AZ36" s="89" t="n"/>
      <c r="BA36" s="89" t="n"/>
      <c r="BB36" s="90">
        <f>AX36+AY36+AZ36+BA36</f>
        <v/>
      </c>
      <c r="BC36" s="89" t="n"/>
      <c r="BD36" s="89" t="n"/>
      <c r="BE36" s="89" t="n"/>
      <c r="BF36" s="89" t="n"/>
      <c r="BG36" s="89" t="n"/>
      <c r="BH36" s="90">
        <f>BC36+BD36+BE36+BF36+BG36</f>
        <v/>
      </c>
      <c r="BI36" s="89" t="n"/>
      <c r="BJ36" s="89" t="n"/>
      <c r="BK36" s="89" t="n"/>
      <c r="BL36" s="89" t="n"/>
      <c r="BM36" s="90">
        <f>BI36+BJ36+BK36+BL36</f>
        <v/>
      </c>
    </row>
    <row r="37" ht="15.75" customHeight="1">
      <c r="A37" s="93" t="inlineStr">
        <is>
          <t>LÂMINA OLFATIVA</t>
        </is>
      </c>
      <c r="B37" s="89" t="n">
        <v>0</v>
      </c>
      <c r="C37" s="89" t="n">
        <v>0</v>
      </c>
      <c r="D37" s="89" t="n">
        <v>0</v>
      </c>
      <c r="E37" s="89" t="n">
        <v>1</v>
      </c>
      <c r="F37" s="90">
        <f>B37+C37+D37+E37</f>
        <v/>
      </c>
      <c r="G37" s="89" t="n">
        <v>0</v>
      </c>
      <c r="H37" s="89" t="n">
        <v>1</v>
      </c>
      <c r="I37" s="89" t="n">
        <v>0</v>
      </c>
      <c r="J37" s="89" t="n">
        <v>1</v>
      </c>
      <c r="K37" s="90">
        <f>G37+H37+I37+J37</f>
        <v/>
      </c>
      <c r="L37" s="89" t="n">
        <v>0</v>
      </c>
      <c r="M37" s="89" t="n">
        <v>0</v>
      </c>
      <c r="N37" s="89" t="n">
        <v>1</v>
      </c>
      <c r="O37" s="89" t="n">
        <v>0</v>
      </c>
      <c r="P37" s="89" t="n">
        <v>0</v>
      </c>
      <c r="Q37" s="90">
        <f>L37+M37+N37+O37+P37</f>
        <v/>
      </c>
      <c r="R37" s="89" t="n"/>
      <c r="S37" s="89" t="n"/>
      <c r="T37" s="89" t="n"/>
      <c r="U37" s="89" t="n"/>
      <c r="V37" s="90">
        <f>R37+S37+T37+U37</f>
        <v/>
      </c>
      <c r="W37" s="89" t="n">
        <v>1</v>
      </c>
      <c r="X37" s="89" t="n">
        <v>0</v>
      </c>
      <c r="Y37" s="89" t="n"/>
      <c r="Z37" s="89" t="n"/>
      <c r="AA37" s="90">
        <f>W37+X37+Y37+Z37</f>
        <v/>
      </c>
      <c r="AB37" s="89" t="n"/>
      <c r="AC37" s="89" t="n"/>
      <c r="AD37" s="89" t="n"/>
      <c r="AE37" s="89" t="n"/>
      <c r="AF37" s="89" t="n"/>
      <c r="AG37" s="90">
        <f>AB37+AC37+AD37+AE37+AF37</f>
        <v/>
      </c>
      <c r="AH37" s="89" t="n"/>
      <c r="AI37" s="89" t="n"/>
      <c r="AJ37" s="89" t="n"/>
      <c r="AK37" s="89" t="n"/>
      <c r="AL37" s="90">
        <f>AH37+AI37+AJ37+AK37</f>
        <v/>
      </c>
      <c r="AM37" s="89" t="n"/>
      <c r="AN37" s="89" t="n"/>
      <c r="AO37" s="89" t="n"/>
      <c r="AP37" s="89" t="n"/>
      <c r="AQ37" s="89" t="n"/>
      <c r="AR37" s="90">
        <f>AM37+AN37+AO37+AP37+AQ37</f>
        <v/>
      </c>
      <c r="AS37" s="89" t="n"/>
      <c r="AT37" s="89" t="n"/>
      <c r="AU37" s="89" t="n"/>
      <c r="AV37" s="89" t="n"/>
      <c r="AW37" s="90">
        <f>AS37+AT37+AU37+AV37</f>
        <v/>
      </c>
      <c r="AX37" s="89" t="n"/>
      <c r="AY37" s="89" t="n"/>
      <c r="AZ37" s="89" t="n"/>
      <c r="BA37" s="89" t="n"/>
      <c r="BB37" s="90">
        <f>AX37+AY37+AZ37+BA37</f>
        <v/>
      </c>
      <c r="BC37" s="89" t="n"/>
      <c r="BD37" s="89" t="n"/>
      <c r="BE37" s="89" t="n"/>
      <c r="BF37" s="89" t="n"/>
      <c r="BG37" s="89" t="n"/>
      <c r="BH37" s="90">
        <f>BC37+BD37+BE37+BF37+BG37</f>
        <v/>
      </c>
      <c r="BI37" s="89" t="n"/>
      <c r="BJ37" s="89" t="n"/>
      <c r="BK37" s="89" t="n"/>
      <c r="BL37" s="89" t="n"/>
      <c r="BM37" s="90">
        <f>BI37+BJ37+BK37+BL37</f>
        <v/>
      </c>
    </row>
    <row r="38" ht="15.75" customHeight="1">
      <c r="A38" s="94" t="inlineStr">
        <is>
          <t>TOTAL DE SACOLAS</t>
        </is>
      </c>
      <c r="B38" s="95">
        <f>SUM(B30:B33)</f>
        <v/>
      </c>
      <c r="C38" s="95">
        <f>SUM(C30:C33)</f>
        <v/>
      </c>
      <c r="D38" s="95">
        <f>SUM(D30:D33)</f>
        <v/>
      </c>
      <c r="E38" s="95">
        <f>SUM(E30:E33)</f>
        <v/>
      </c>
      <c r="F38" s="95">
        <f>SUM(F30:F33)</f>
        <v/>
      </c>
      <c r="G38" s="95">
        <f>SUM(G30:G33)</f>
        <v/>
      </c>
      <c r="H38" s="95">
        <f>SUM(H30:H33)</f>
        <v/>
      </c>
      <c r="I38" s="95">
        <f>SUM(I30:I33)</f>
        <v/>
      </c>
      <c r="J38" s="95">
        <f>SUM(J30:J33)</f>
        <v/>
      </c>
      <c r="K38" s="95">
        <f>SUM(K30:K33)</f>
        <v/>
      </c>
      <c r="L38" s="95">
        <f>SUM(L30:L33)</f>
        <v/>
      </c>
      <c r="M38" s="95">
        <f>SUM(M30:M33)</f>
        <v/>
      </c>
      <c r="N38" s="95">
        <f>SUM(N30:N33)</f>
        <v/>
      </c>
      <c r="O38" s="95">
        <f>SUM(O30:O33)</f>
        <v/>
      </c>
      <c r="P38" s="95">
        <f>SUM(P30:P33)</f>
        <v/>
      </c>
      <c r="Q38" s="95">
        <f>SUM(Q30:Q33)</f>
        <v/>
      </c>
      <c r="R38" s="95">
        <f>SUM(R30:R33)</f>
        <v/>
      </c>
      <c r="S38" s="95">
        <f>SUM(S30:S33)</f>
        <v/>
      </c>
      <c r="T38" s="95">
        <f>SUM(T30:T33)</f>
        <v/>
      </c>
      <c r="U38" s="95">
        <f>SUM(U30:U33)</f>
        <v/>
      </c>
      <c r="V38" s="95">
        <f>SUM(V30:V33)</f>
        <v/>
      </c>
      <c r="W38" s="95">
        <f>SUM(W30:W33)</f>
        <v/>
      </c>
      <c r="X38" s="95">
        <f>SUM(X30:X33)</f>
        <v/>
      </c>
      <c r="Y38" s="95">
        <f>SUM(Y30:Y33)</f>
        <v/>
      </c>
      <c r="Z38" s="95">
        <f>SUM(Z30:Z33)</f>
        <v/>
      </c>
      <c r="AA38" s="95">
        <f>SUM(AA30:AA33)</f>
        <v/>
      </c>
      <c r="AB38" s="95">
        <f>SUM(AB30:AB33)</f>
        <v/>
      </c>
      <c r="AC38" s="95">
        <f>SUM(AC30:AC33)</f>
        <v/>
      </c>
      <c r="AD38" s="95">
        <f>SUM(AD30:AD33)</f>
        <v/>
      </c>
      <c r="AE38" s="95">
        <f>SUM(AE30:AE33)</f>
        <v/>
      </c>
      <c r="AF38" s="95">
        <f>SUM(AF30:AF33)</f>
        <v/>
      </c>
      <c r="AG38" s="95">
        <f>SUM(AG30:AG33)</f>
        <v/>
      </c>
      <c r="AH38" s="95">
        <f>SUM(AH30:AH33)</f>
        <v/>
      </c>
      <c r="AI38" s="95">
        <f>SUM(AI30:AI33)</f>
        <v/>
      </c>
      <c r="AJ38" s="95">
        <f>SUM(AJ30:AJ33)</f>
        <v/>
      </c>
      <c r="AK38" s="95">
        <f>SUM(AK30:AK33)</f>
        <v/>
      </c>
      <c r="AL38" s="95">
        <f>SUM(AL30:AL33)</f>
        <v/>
      </c>
      <c r="AM38" s="95">
        <f>SUM(AM30:AM33)</f>
        <v/>
      </c>
      <c r="AN38" s="95">
        <f>SUM(AN30:AN33)</f>
        <v/>
      </c>
      <c r="AO38" s="95">
        <f>SUM(AO30:AO33)</f>
        <v/>
      </c>
      <c r="AP38" s="95">
        <f>SUM(AP30:AP33)</f>
        <v/>
      </c>
      <c r="AQ38" s="95">
        <f>SUM(AQ30:AQ33)</f>
        <v/>
      </c>
      <c r="AR38" s="95">
        <f>SUM(AR30:AR33)</f>
        <v/>
      </c>
      <c r="AS38" s="95">
        <f>SUM(AS30:AS33)</f>
        <v/>
      </c>
      <c r="AT38" s="95">
        <f>SUM(AT30:AT33)</f>
        <v/>
      </c>
      <c r="AU38" s="95">
        <f>SUM(AU30:AU33)</f>
        <v/>
      </c>
      <c r="AV38" s="95">
        <f>SUM(AV30:AV33)</f>
        <v/>
      </c>
      <c r="AW38" s="95">
        <f>SUM(AW30:AW33)</f>
        <v/>
      </c>
      <c r="AX38" s="95">
        <f>SUM(AX30:AX33)</f>
        <v/>
      </c>
      <c r="AY38" s="95">
        <f>SUM(AY30:AY33)</f>
        <v/>
      </c>
      <c r="AZ38" s="95">
        <f>SUM(AZ30:AZ33)</f>
        <v/>
      </c>
      <c r="BA38" s="95">
        <f>SUM(BA30:BA33)</f>
        <v/>
      </c>
      <c r="BB38" s="95">
        <f>SUM(BB30:BB33)</f>
        <v/>
      </c>
      <c r="BC38" s="95">
        <f>SUM(BC30:BC33)</f>
        <v/>
      </c>
      <c r="BD38" s="95">
        <f>SUM(BD30:BD33)</f>
        <v/>
      </c>
      <c r="BE38" s="95">
        <f>SUM(BE30:BE33)</f>
        <v/>
      </c>
      <c r="BF38" s="95">
        <f>SUM(BF30:BF33)</f>
        <v/>
      </c>
      <c r="BG38" s="95">
        <f>SUM(BG30:BG33)</f>
        <v/>
      </c>
      <c r="BH38" s="95">
        <f>SUM(BH30:BH33)</f>
        <v/>
      </c>
      <c r="BI38" s="95">
        <f>SUM(BI30:BI33)</f>
        <v/>
      </c>
      <c r="BJ38" s="95">
        <f>SUM(BJ30:BJ33)</f>
        <v/>
      </c>
      <c r="BK38" s="95">
        <f>SUM(BK30:BK33)</f>
        <v/>
      </c>
      <c r="BL38" s="95">
        <f>SUM(BL30:BL33)</f>
        <v/>
      </c>
      <c r="BM38" s="95">
        <f>SUM(BM30:BM33)</f>
        <v/>
      </c>
    </row>
    <row r="40" ht="18" customHeight="1">
      <c r="A40" s="506" t="inlineStr">
        <is>
          <t>GASTO DE SACOLAS E ITENS DOADOS 2026 - MENSAIS</t>
        </is>
      </c>
      <c r="B40" s="700" t="n"/>
      <c r="C40" s="700" t="n"/>
      <c r="D40" s="700" t="n"/>
      <c r="E40" s="700" t="n"/>
      <c r="F40" s="700" t="n"/>
      <c r="G40" s="700" t="n"/>
      <c r="H40" s="700" t="n"/>
      <c r="I40" s="700" t="n"/>
      <c r="J40" s="700" t="n"/>
      <c r="K40" s="700" t="n"/>
      <c r="L40" s="700" t="n"/>
      <c r="M40" s="700" t="n"/>
      <c r="N40" s="700" t="n"/>
      <c r="O40" s="700" t="n"/>
      <c r="P40" s="700" t="n"/>
      <c r="Q40" s="700" t="n"/>
      <c r="R40" s="700" t="n"/>
      <c r="S40" s="700" t="n"/>
      <c r="T40" s="700" t="n"/>
      <c r="U40" s="700" t="n"/>
      <c r="V40" s="700" t="n"/>
      <c r="W40" s="700" t="n"/>
      <c r="X40" s="700" t="n"/>
      <c r="Y40" s="700" t="n"/>
      <c r="Z40" s="700" t="n"/>
      <c r="AA40" s="700" t="n"/>
      <c r="AB40" s="700" t="n"/>
      <c r="AC40" s="700" t="n"/>
      <c r="AD40" s="700" t="n"/>
      <c r="AE40" s="700" t="n"/>
      <c r="AF40" s="700" t="n"/>
      <c r="AG40" s="700" t="n"/>
      <c r="AH40" s="700" t="n"/>
      <c r="AI40" s="700" t="n"/>
      <c r="AJ40" s="700" t="n"/>
      <c r="AK40" s="700" t="n"/>
      <c r="AL40" s="700" t="n"/>
      <c r="AM40" s="700" t="n"/>
      <c r="AN40" s="700" t="n"/>
      <c r="AO40" s="700" t="n"/>
      <c r="AP40" s="700" t="n"/>
      <c r="AQ40" s="700" t="n"/>
      <c r="AR40" s="700" t="n"/>
      <c r="AS40" s="700" t="n"/>
      <c r="AT40" s="700" t="n"/>
      <c r="AU40" s="700" t="n"/>
      <c r="AV40" s="700" t="n"/>
      <c r="AW40" s="700" t="n"/>
      <c r="AX40" s="700" t="n"/>
      <c r="AY40" s="700" t="n"/>
      <c r="AZ40" s="700" t="n"/>
      <c r="BA40" s="700" t="n"/>
      <c r="BB40" s="700" t="n"/>
      <c r="BC40" s="700" t="n"/>
      <c r="BD40" s="700" t="n"/>
      <c r="BE40" s="700" t="n"/>
      <c r="BF40" s="700" t="n"/>
      <c r="BG40" s="700" t="n"/>
      <c r="BH40" s="700" t="n"/>
      <c r="BI40" s="700" t="n"/>
      <c r="BJ40" s="700" t="n"/>
      <c r="BK40" s="700" t="n"/>
      <c r="BL40" s="700" t="n"/>
      <c r="BM40" s="700" t="n"/>
    </row>
    <row r="41" ht="18" customHeight="1">
      <c r="A41" s="701" t="inlineStr">
        <is>
          <t>SÃO MANUEL</t>
        </is>
      </c>
      <c r="B41" s="701" t="inlineStr">
        <is>
          <t>JANEIRO</t>
        </is>
      </c>
      <c r="C41" s="666" t="n"/>
      <c r="D41" s="666" t="n"/>
      <c r="E41" s="666" t="n"/>
      <c r="F41" s="667" t="n"/>
      <c r="G41" s="701" t="inlineStr">
        <is>
          <t>FEVEREIRO</t>
        </is>
      </c>
      <c r="H41" s="666" t="n"/>
      <c r="I41" s="666" t="n"/>
      <c r="J41" s="666" t="n"/>
      <c r="K41" s="667" t="n"/>
      <c r="L41" s="701" t="inlineStr">
        <is>
          <t>MARÇO</t>
        </is>
      </c>
      <c r="M41" s="666" t="n"/>
      <c r="N41" s="666" t="n"/>
      <c r="O41" s="666" t="n"/>
      <c r="P41" s="666" t="n"/>
      <c r="Q41" s="667" t="n"/>
      <c r="R41" s="701" t="inlineStr">
        <is>
          <t>ABRIL</t>
        </is>
      </c>
      <c r="S41" s="666" t="n"/>
      <c r="T41" s="666" t="n"/>
      <c r="U41" s="666" t="n"/>
      <c r="V41" s="667" t="n"/>
      <c r="W41" s="701" t="inlineStr">
        <is>
          <t>MAIO</t>
        </is>
      </c>
      <c r="X41" s="666" t="n"/>
      <c r="Y41" s="666" t="n"/>
      <c r="Z41" s="666" t="n"/>
      <c r="AA41" s="667" t="n"/>
      <c r="AB41" s="701" t="inlineStr">
        <is>
          <t>JUNHO</t>
        </is>
      </c>
      <c r="AC41" s="666" t="n"/>
      <c r="AD41" s="666" t="n"/>
      <c r="AE41" s="666" t="n"/>
      <c r="AF41" s="666" t="n"/>
      <c r="AG41" s="667" t="n"/>
      <c r="AH41" s="701" t="inlineStr">
        <is>
          <t>JULHO</t>
        </is>
      </c>
      <c r="AI41" s="666" t="n"/>
      <c r="AJ41" s="666" t="n"/>
      <c r="AK41" s="666" t="n"/>
      <c r="AL41" s="667" t="n"/>
      <c r="AM41" s="701" t="inlineStr">
        <is>
          <t>AGOSTO</t>
        </is>
      </c>
      <c r="AN41" s="666" t="n"/>
      <c r="AO41" s="666" t="n"/>
      <c r="AP41" s="666" t="n"/>
      <c r="AQ41" s="666" t="n"/>
      <c r="AR41" s="667" t="n"/>
      <c r="AS41" s="701" t="inlineStr">
        <is>
          <t>SETEMBRO</t>
        </is>
      </c>
      <c r="AT41" s="666" t="n"/>
      <c r="AU41" s="666" t="n"/>
      <c r="AV41" s="666" t="n"/>
      <c r="AW41" s="667" t="n"/>
      <c r="AX41" s="701" t="inlineStr">
        <is>
          <t>OUTUBRO</t>
        </is>
      </c>
      <c r="AY41" s="666" t="n"/>
      <c r="AZ41" s="666" t="n"/>
      <c r="BA41" s="666" t="n"/>
      <c r="BB41" s="667" t="n"/>
      <c r="BC41" s="701" t="inlineStr">
        <is>
          <t>NOVEMBRO</t>
        </is>
      </c>
      <c r="BD41" s="666" t="n"/>
      <c r="BE41" s="666" t="n"/>
      <c r="BF41" s="666" t="n"/>
      <c r="BG41" s="666" t="n"/>
      <c r="BH41" s="667" t="n"/>
      <c r="BI41" s="701" t="inlineStr">
        <is>
          <t>DEZEMBRO</t>
        </is>
      </c>
      <c r="BJ41" s="666" t="n"/>
      <c r="BK41" s="666" t="n"/>
      <c r="BL41" s="666" t="n"/>
      <c r="BM41" s="667" t="n"/>
    </row>
    <row r="42" ht="15.75" customHeight="1">
      <c r="A42" s="668" t="n"/>
      <c r="B42" s="86" t="n">
        <v>46027</v>
      </c>
      <c r="C42" s="86" t="n">
        <v>46034</v>
      </c>
      <c r="D42" s="86" t="n">
        <v>46041</v>
      </c>
      <c r="E42" s="86" t="n">
        <v>46048</v>
      </c>
      <c r="F42" s="87" t="inlineStr">
        <is>
          <t>USOU</t>
        </is>
      </c>
      <c r="G42" s="86" t="n">
        <v>46055</v>
      </c>
      <c r="H42" s="86" t="n">
        <v>46062</v>
      </c>
      <c r="I42" s="86" t="n">
        <v>46069</v>
      </c>
      <c r="J42" s="86" t="n">
        <v>46076</v>
      </c>
      <c r="K42" s="87" t="inlineStr">
        <is>
          <t>USOU</t>
        </is>
      </c>
      <c r="L42" s="86" t="n">
        <v>46083</v>
      </c>
      <c r="M42" s="86" t="n">
        <v>46090</v>
      </c>
      <c r="N42" s="86" t="n">
        <v>46097</v>
      </c>
      <c r="O42" s="86" t="n">
        <v>46104</v>
      </c>
      <c r="P42" s="86" t="n">
        <v>46111</v>
      </c>
      <c r="Q42" s="87" t="inlineStr">
        <is>
          <t>USOU</t>
        </is>
      </c>
      <c r="R42" s="86" t="n">
        <v>46118</v>
      </c>
      <c r="S42" s="86" t="n">
        <v>46125</v>
      </c>
      <c r="T42" s="86" t="n">
        <v>46132</v>
      </c>
      <c r="U42" s="86" t="n">
        <v>46139</v>
      </c>
      <c r="V42" s="87" t="inlineStr">
        <is>
          <t>USOU</t>
        </is>
      </c>
      <c r="W42" s="86" t="n">
        <v>46146</v>
      </c>
      <c r="X42" s="86" t="n">
        <v>46153</v>
      </c>
      <c r="Y42" s="86" t="n">
        <v>46160</v>
      </c>
      <c r="Z42" s="86" t="n">
        <v>46167</v>
      </c>
      <c r="AA42" s="87" t="inlineStr">
        <is>
          <t>USOU</t>
        </is>
      </c>
      <c r="AB42" s="86" t="n">
        <v>46174</v>
      </c>
      <c r="AC42" s="86" t="n">
        <v>46181</v>
      </c>
      <c r="AD42" s="86" t="n">
        <v>46188</v>
      </c>
      <c r="AE42" s="86" t="n">
        <v>46195</v>
      </c>
      <c r="AF42" s="86" t="n">
        <v>46202</v>
      </c>
      <c r="AG42" s="87" t="inlineStr">
        <is>
          <t>USOU</t>
        </is>
      </c>
      <c r="AH42" s="86" t="n">
        <v>46209</v>
      </c>
      <c r="AI42" s="86" t="n">
        <v>46216</v>
      </c>
      <c r="AJ42" s="86" t="n">
        <v>46223</v>
      </c>
      <c r="AK42" s="86" t="n">
        <v>46230</v>
      </c>
      <c r="AL42" s="87" t="inlineStr">
        <is>
          <t>USOU</t>
        </is>
      </c>
      <c r="AM42" s="86" t="n">
        <v>46237</v>
      </c>
      <c r="AN42" s="86" t="n">
        <v>46244</v>
      </c>
      <c r="AO42" s="86" t="n">
        <v>46251</v>
      </c>
      <c r="AP42" s="86" t="n">
        <v>46258</v>
      </c>
      <c r="AQ42" s="86" t="n">
        <v>46265</v>
      </c>
      <c r="AR42" s="87" t="inlineStr">
        <is>
          <t>USOU</t>
        </is>
      </c>
      <c r="AS42" s="86" t="n">
        <v>46272</v>
      </c>
      <c r="AT42" s="86" t="n">
        <v>46279</v>
      </c>
      <c r="AU42" s="86" t="n">
        <v>46286</v>
      </c>
      <c r="AV42" s="86" t="n">
        <v>46293</v>
      </c>
      <c r="AW42" s="87" t="inlineStr">
        <is>
          <t>USOU</t>
        </is>
      </c>
      <c r="AX42" s="86" t="n">
        <v>46300</v>
      </c>
      <c r="AY42" s="86" t="n">
        <v>46307</v>
      </c>
      <c r="AZ42" s="86" t="n">
        <v>46314</v>
      </c>
      <c r="BA42" s="86" t="n">
        <v>46321</v>
      </c>
      <c r="BB42" s="87" t="inlineStr">
        <is>
          <t>USOU</t>
        </is>
      </c>
      <c r="BC42" s="86" t="n">
        <v>46328</v>
      </c>
      <c r="BD42" s="86" t="n">
        <v>46335</v>
      </c>
      <c r="BE42" s="86" t="n">
        <v>46342</v>
      </c>
      <c r="BF42" s="86" t="n">
        <v>46349</v>
      </c>
      <c r="BG42" s="86" t="n">
        <v>46356</v>
      </c>
      <c r="BH42" s="87" t="inlineStr">
        <is>
          <t>USOU</t>
        </is>
      </c>
      <c r="BI42" s="86" t="n">
        <v>46363</v>
      </c>
      <c r="BJ42" s="86" t="n">
        <v>46370</v>
      </c>
      <c r="BK42" s="86" t="n">
        <v>46377</v>
      </c>
      <c r="BL42" s="86" t="n">
        <v>46384</v>
      </c>
      <c r="BM42" s="87" t="inlineStr">
        <is>
          <t>USOU</t>
        </is>
      </c>
    </row>
    <row r="43" ht="15.75" customHeight="1">
      <c r="A43" s="91" t="inlineStr">
        <is>
          <t>SACOLA PP VERDE</t>
        </is>
      </c>
      <c r="B43" s="89" t="n">
        <v>30</v>
      </c>
      <c r="C43" s="89" t="n">
        <v>0</v>
      </c>
      <c r="D43" s="89" t="n">
        <v>30</v>
      </c>
      <c r="E43" s="89" t="n">
        <v>15</v>
      </c>
      <c r="F43" s="90">
        <f>B43+C43+D43+E43</f>
        <v/>
      </c>
      <c r="G43" s="89" t="n">
        <v>45</v>
      </c>
      <c r="H43" s="89" t="n">
        <v>30</v>
      </c>
      <c r="I43" s="89" t="n">
        <v>45</v>
      </c>
      <c r="J43" s="89" t="n">
        <v>0</v>
      </c>
      <c r="K43" s="90">
        <f>G43+H43+I43+J43</f>
        <v/>
      </c>
      <c r="L43" s="89" t="n">
        <v>60</v>
      </c>
      <c r="M43" s="89" t="n">
        <v>45</v>
      </c>
      <c r="N43" s="89" t="n">
        <v>45</v>
      </c>
      <c r="O43" s="89" t="n">
        <v>45</v>
      </c>
      <c r="P43" s="89" t="n">
        <v>30</v>
      </c>
      <c r="Q43" s="90">
        <f>L43+M43+N43+O43+P43</f>
        <v/>
      </c>
      <c r="R43" s="89" t="n"/>
      <c r="S43" s="89" t="n"/>
      <c r="T43" s="89" t="n"/>
      <c r="U43" s="89" t="n"/>
      <c r="V43" s="90">
        <f>R43+S43+T43+U43</f>
        <v/>
      </c>
      <c r="W43" s="89" t="n">
        <v>45</v>
      </c>
      <c r="X43" s="89" t="n">
        <v>105</v>
      </c>
      <c r="Y43" s="89" t="n"/>
      <c r="Z43" s="89" t="n"/>
      <c r="AA43" s="90">
        <f>W43+X43+Y43+Z43</f>
        <v/>
      </c>
      <c r="AB43" s="89" t="n"/>
      <c r="AC43" s="89" t="n"/>
      <c r="AD43" s="89" t="n"/>
      <c r="AE43" s="89" t="n"/>
      <c r="AF43" s="89" t="n"/>
      <c r="AG43" s="90">
        <f>AB43+AC43+AD43+AE43+AF43</f>
        <v/>
      </c>
      <c r="AH43" s="89" t="n"/>
      <c r="AI43" s="89" t="n"/>
      <c r="AJ43" s="89" t="n"/>
      <c r="AK43" s="89" t="n"/>
      <c r="AL43" s="90">
        <f>AH43+AI43+AJ43+AK43</f>
        <v/>
      </c>
      <c r="AM43" s="89" t="n"/>
      <c r="AN43" s="89" t="n"/>
      <c r="AO43" s="89" t="n"/>
      <c r="AP43" s="89" t="n"/>
      <c r="AQ43" s="89" t="n"/>
      <c r="AR43" s="90">
        <f>AM43+AN43+AO43+AP43+AQ43</f>
        <v/>
      </c>
      <c r="AS43" s="89" t="n"/>
      <c r="AT43" s="89" t="n"/>
      <c r="AU43" s="89" t="n"/>
      <c r="AV43" s="89" t="n"/>
      <c r="AW43" s="90">
        <f>AS43+AT43+AU43+AV43</f>
        <v/>
      </c>
      <c r="AX43" s="89" t="n"/>
      <c r="AY43" s="89" t="n"/>
      <c r="AZ43" s="89" t="n"/>
      <c r="BA43" s="89" t="n"/>
      <c r="BB43" s="90">
        <f>AX43+AY43+AZ43+BA43</f>
        <v/>
      </c>
      <c r="BC43" s="89" t="n"/>
      <c r="BD43" s="89" t="n"/>
      <c r="BE43" s="89" t="n"/>
      <c r="BF43" s="89" t="n"/>
      <c r="BG43" s="89" t="n"/>
      <c r="BH43" s="90">
        <f>BC43+BD43+BE43+BF43+BG43</f>
        <v/>
      </c>
      <c r="BI43" s="89" t="n"/>
      <c r="BJ43" s="89" t="n"/>
      <c r="BK43" s="89" t="n"/>
      <c r="BL43" s="89" t="n"/>
      <c r="BM43" s="90">
        <f>BI43+BJ43+BK43+BL43</f>
        <v/>
      </c>
    </row>
    <row r="44" ht="15.75" customHeight="1">
      <c r="A44" s="91" t="inlineStr">
        <is>
          <t>SACOLA P VERDE</t>
        </is>
      </c>
      <c r="B44" s="89" t="n">
        <v>90</v>
      </c>
      <c r="C44" s="89" t="n">
        <v>155</v>
      </c>
      <c r="D44" s="89" t="n">
        <v>120</v>
      </c>
      <c r="E44" s="89" t="n">
        <v>95</v>
      </c>
      <c r="F44" s="90">
        <f>B44+C44+D44+E44</f>
        <v/>
      </c>
      <c r="G44" s="89" t="n">
        <v>135</v>
      </c>
      <c r="H44" s="89" t="n">
        <v>140</v>
      </c>
      <c r="I44" s="89" t="n">
        <v>140</v>
      </c>
      <c r="J44" s="89" t="n">
        <v>120</v>
      </c>
      <c r="K44" s="90">
        <f>G44+H44+I44+J44</f>
        <v/>
      </c>
      <c r="L44" s="89" t="n">
        <v>110</v>
      </c>
      <c r="M44" s="89" t="n">
        <v>170</v>
      </c>
      <c r="N44" s="89" t="n">
        <v>150</v>
      </c>
      <c r="O44" s="89" t="n">
        <v>185</v>
      </c>
      <c r="P44" s="89" t="n">
        <v>110</v>
      </c>
      <c r="Q44" s="90">
        <f>L44+M44+N44+O44+P44</f>
        <v/>
      </c>
      <c r="R44" s="89" t="n"/>
      <c r="S44" s="89" t="n"/>
      <c r="T44" s="89" t="n"/>
      <c r="U44" s="89" t="n"/>
      <c r="V44" s="90">
        <f>R44+S44+T44+U44</f>
        <v/>
      </c>
      <c r="W44" s="89" t="n">
        <v>0</v>
      </c>
      <c r="X44" s="89" t="n">
        <v>60</v>
      </c>
      <c r="Y44" s="89" t="n"/>
      <c r="Z44" s="89" t="n"/>
      <c r="AA44" s="90">
        <f>W44+X44+Y44+Z44</f>
        <v/>
      </c>
      <c r="AB44" s="89" t="n"/>
      <c r="AC44" s="89" t="n"/>
      <c r="AD44" s="89" t="n"/>
      <c r="AE44" s="89" t="n"/>
      <c r="AF44" s="89" t="n"/>
      <c r="AG44" s="90">
        <f>AB44+AC44+AD44+AE44+AF44</f>
        <v/>
      </c>
      <c r="AH44" s="89" t="n"/>
      <c r="AI44" s="89" t="n"/>
      <c r="AJ44" s="89" t="n"/>
      <c r="AK44" s="89" t="n"/>
      <c r="AL44" s="90">
        <f>AH44+AI44+AJ44+AK44</f>
        <v/>
      </c>
      <c r="AM44" s="89" t="n"/>
      <c r="AN44" s="89" t="n"/>
      <c r="AO44" s="89" t="n"/>
      <c r="AP44" s="89" t="n"/>
      <c r="AQ44" s="89" t="n"/>
      <c r="AR44" s="90">
        <f>AM44+AN44+AO44+AP44+AQ44</f>
        <v/>
      </c>
      <c r="AS44" s="89" t="n"/>
      <c r="AT44" s="89" t="n"/>
      <c r="AU44" s="89" t="n"/>
      <c r="AV44" s="89" t="n"/>
      <c r="AW44" s="90">
        <f>AS44+AT44+AU44+AV44</f>
        <v/>
      </c>
      <c r="AX44" s="89" t="n"/>
      <c r="AY44" s="89" t="n"/>
      <c r="AZ44" s="89" t="n"/>
      <c r="BA44" s="89" t="n"/>
      <c r="BB44" s="90">
        <f>AX44+AY44+AZ44+BA44</f>
        <v/>
      </c>
      <c r="BC44" s="89" t="n"/>
      <c r="BD44" s="89" t="n"/>
      <c r="BE44" s="89" t="n"/>
      <c r="BF44" s="89" t="n"/>
      <c r="BG44" s="89" t="n"/>
      <c r="BH44" s="90">
        <f>BC44+BD44+BE44+BF44+BG44</f>
        <v/>
      </c>
      <c r="BI44" s="89" t="n"/>
      <c r="BJ44" s="89" t="n"/>
      <c r="BK44" s="89" t="n"/>
      <c r="BL44" s="89" t="n"/>
      <c r="BM44" s="90">
        <f>BI44+BJ44+BK44+BL44</f>
        <v/>
      </c>
    </row>
    <row r="45" ht="15.75" customHeight="1">
      <c r="A45" s="91" t="inlineStr">
        <is>
          <t>SACOLA M VERDE</t>
        </is>
      </c>
      <c r="B45" s="89" t="n">
        <v>60</v>
      </c>
      <c r="C45" s="89" t="n">
        <v>60</v>
      </c>
      <c r="D45" s="89" t="n">
        <v>50</v>
      </c>
      <c r="E45" s="89" t="n">
        <v>45</v>
      </c>
      <c r="F45" s="90">
        <f>B45+C45+D45+E45</f>
        <v/>
      </c>
      <c r="G45" s="89" t="n">
        <v>45</v>
      </c>
      <c r="H45" s="89" t="n">
        <v>60</v>
      </c>
      <c r="I45" s="89" t="n">
        <v>30</v>
      </c>
      <c r="J45" s="89" t="n">
        <v>35</v>
      </c>
      <c r="K45" s="90">
        <f>G45+H45+I45+J45</f>
        <v/>
      </c>
      <c r="L45" s="89" t="n">
        <v>45</v>
      </c>
      <c r="M45" s="89" t="n">
        <v>60</v>
      </c>
      <c r="N45" s="89" t="n">
        <v>60</v>
      </c>
      <c r="O45" s="89" t="n">
        <v>50</v>
      </c>
      <c r="P45" s="89" t="n">
        <v>15</v>
      </c>
      <c r="Q45" s="90">
        <f>L45+M45+N45+O45+P45</f>
        <v/>
      </c>
      <c r="R45" s="89" t="n"/>
      <c r="S45" s="89" t="n"/>
      <c r="T45" s="89" t="n"/>
      <c r="U45" s="89" t="n"/>
      <c r="V45" s="90">
        <f>R45+S45+T45+U45</f>
        <v/>
      </c>
      <c r="W45" s="89" t="n">
        <v>0</v>
      </c>
      <c r="X45" s="89" t="n">
        <v>30</v>
      </c>
      <c r="Y45" s="89" t="n"/>
      <c r="Z45" s="89" t="n"/>
      <c r="AA45" s="90">
        <f>W45+X45+Y45+Z45</f>
        <v/>
      </c>
      <c r="AB45" s="89" t="n"/>
      <c r="AC45" s="89" t="n"/>
      <c r="AD45" s="89" t="n"/>
      <c r="AE45" s="89" t="n"/>
      <c r="AF45" s="89" t="n"/>
      <c r="AG45" s="90">
        <f>AB45+AC45+AD45+AE45+AF45</f>
        <v/>
      </c>
      <c r="AH45" s="89" t="n"/>
      <c r="AI45" s="89" t="n"/>
      <c r="AJ45" s="89" t="n"/>
      <c r="AK45" s="89" t="n"/>
      <c r="AL45" s="90">
        <f>AH45+AI45+AJ45+AK45</f>
        <v/>
      </c>
      <c r="AM45" s="89" t="n"/>
      <c r="AN45" s="89" t="n"/>
      <c r="AO45" s="89" t="n"/>
      <c r="AP45" s="89" t="n"/>
      <c r="AQ45" s="89" t="n"/>
      <c r="AR45" s="90">
        <f>AM45+AN45+AO45+AP45+AQ45</f>
        <v/>
      </c>
      <c r="AS45" s="89" t="n"/>
      <c r="AT45" s="89" t="n"/>
      <c r="AU45" s="89" t="n"/>
      <c r="AV45" s="89" t="n"/>
      <c r="AW45" s="90">
        <f>AS45+AT45+AU45+AV45</f>
        <v/>
      </c>
      <c r="AX45" s="89" t="n"/>
      <c r="AY45" s="89" t="n"/>
      <c r="AZ45" s="89" t="n"/>
      <c r="BA45" s="89" t="n"/>
      <c r="BB45" s="90">
        <f>AX45+AY45+AZ45+BA45</f>
        <v/>
      </c>
      <c r="BC45" s="89" t="n"/>
      <c r="BD45" s="89" t="n"/>
      <c r="BE45" s="89" t="n"/>
      <c r="BF45" s="89" t="n"/>
      <c r="BG45" s="89" t="n"/>
      <c r="BH45" s="90">
        <f>BC45+BD45+BE45+BF45+BG45</f>
        <v/>
      </c>
      <c r="BI45" s="89" t="n"/>
      <c r="BJ45" s="89" t="n"/>
      <c r="BK45" s="89" t="n"/>
      <c r="BL45" s="89" t="n"/>
      <c r="BM45" s="90">
        <f>BI45+BJ45+BK45+BL45</f>
        <v/>
      </c>
    </row>
    <row r="46" ht="15.75" customHeight="1">
      <c r="A46" s="92" t="inlineStr">
        <is>
          <t>SACOLA G VERDE</t>
        </is>
      </c>
      <c r="B46" s="89" t="n">
        <v>0</v>
      </c>
      <c r="C46" s="89" t="n">
        <v>0</v>
      </c>
      <c r="D46" s="89" t="n">
        <v>50</v>
      </c>
      <c r="E46" s="89" t="n">
        <v>0</v>
      </c>
      <c r="F46" s="90">
        <f>B46+C46+D46+E46</f>
        <v/>
      </c>
      <c r="G46" s="89" t="n">
        <v>0</v>
      </c>
      <c r="H46" s="89" t="n">
        <v>0</v>
      </c>
      <c r="I46" s="89" t="n">
        <v>0</v>
      </c>
      <c r="J46" s="89" t="n">
        <v>0</v>
      </c>
      <c r="K46" s="90">
        <f>G46+H46+I46+J46</f>
        <v/>
      </c>
      <c r="L46" s="89" t="n">
        <v>0</v>
      </c>
      <c r="M46" s="89" t="n">
        <v>0</v>
      </c>
      <c r="N46" s="89" t="n">
        <v>0</v>
      </c>
      <c r="O46" s="89" t="n">
        <v>0</v>
      </c>
      <c r="P46" s="89" t="n">
        <v>0</v>
      </c>
      <c r="Q46" s="90">
        <f>L46+M46+N46+O46+P46</f>
        <v/>
      </c>
      <c r="R46" s="89" t="n"/>
      <c r="S46" s="89" t="n"/>
      <c r="T46" s="89" t="n"/>
      <c r="U46" s="89" t="n"/>
      <c r="V46" s="90">
        <f>R46+S46+T46+U46</f>
        <v/>
      </c>
      <c r="W46" s="89" t="n">
        <v>0</v>
      </c>
      <c r="X46" s="89" t="n">
        <v>0</v>
      </c>
      <c r="Y46" s="89" t="n"/>
      <c r="Z46" s="89" t="n"/>
      <c r="AA46" s="90">
        <f>W46+X46+Y46+Z46</f>
        <v/>
      </c>
      <c r="AB46" s="89" t="n"/>
      <c r="AC46" s="89" t="n"/>
      <c r="AD46" s="89" t="n"/>
      <c r="AE46" s="89" t="n"/>
      <c r="AF46" s="89" t="n"/>
      <c r="AG46" s="90">
        <f>AB46+AC46+AD46+AE46+AF46</f>
        <v/>
      </c>
      <c r="AH46" s="89" t="n"/>
      <c r="AI46" s="89" t="n"/>
      <c r="AJ46" s="89" t="n"/>
      <c r="AK46" s="89" t="n"/>
      <c r="AL46" s="90">
        <f>AH46+AI46+AJ46+AK46</f>
        <v/>
      </c>
      <c r="AM46" s="89" t="n"/>
      <c r="AN46" s="89" t="n"/>
      <c r="AO46" s="89" t="n"/>
      <c r="AP46" s="89" t="n"/>
      <c r="AQ46" s="89" t="n"/>
      <c r="AR46" s="90">
        <f>AM46+AN46+AO46+AP46+AQ46</f>
        <v/>
      </c>
      <c r="AS46" s="89" t="n"/>
      <c r="AT46" s="89" t="n"/>
      <c r="AU46" s="89" t="n"/>
      <c r="AV46" s="89" t="n"/>
      <c r="AW46" s="90">
        <f>AS46+AT46+AU46+AV46</f>
        <v/>
      </c>
      <c r="AX46" s="89" t="n"/>
      <c r="AY46" s="89" t="n"/>
      <c r="AZ46" s="89" t="n"/>
      <c r="BA46" s="89" t="n"/>
      <c r="BB46" s="90">
        <f>AX46+AY46+AZ46+BA46</f>
        <v/>
      </c>
      <c r="BC46" s="89" t="n"/>
      <c r="BD46" s="89" t="n"/>
      <c r="BE46" s="89" t="n"/>
      <c r="BF46" s="89" t="n"/>
      <c r="BG46" s="89" t="n"/>
      <c r="BH46" s="90">
        <f>BC46+BD46+BE46+BF46+BG46</f>
        <v/>
      </c>
      <c r="BI46" s="89" t="n"/>
      <c r="BJ46" s="89" t="n"/>
      <c r="BK46" s="89" t="n"/>
      <c r="BL46" s="89" t="n"/>
      <c r="BM46" s="90">
        <f>BI46+BJ46+BK46+BL46</f>
        <v/>
      </c>
    </row>
    <row r="47" ht="15.75" customHeight="1">
      <c r="A47" s="93" t="inlineStr">
        <is>
          <t xml:space="preserve">PAPEL DE SEDA </t>
        </is>
      </c>
      <c r="B47" s="89" t="n">
        <v>0</v>
      </c>
      <c r="C47" s="89" t="n">
        <v>0</v>
      </c>
      <c r="D47" s="89" t="n">
        <v>0</v>
      </c>
      <c r="E47" s="89" t="n">
        <v>1</v>
      </c>
      <c r="F47" s="90">
        <f>B47+C47+D47+E47</f>
        <v/>
      </c>
      <c r="G47" s="89" t="n">
        <v>1</v>
      </c>
      <c r="H47" s="89" t="n">
        <v>1</v>
      </c>
      <c r="I47" s="89" t="n">
        <v>0</v>
      </c>
      <c r="J47" s="89" t="n">
        <v>1</v>
      </c>
      <c r="K47" s="90">
        <f>G47+H47+I47+J47</f>
        <v/>
      </c>
      <c r="L47" s="89" t="n">
        <v>1</v>
      </c>
      <c r="M47" s="89" t="n">
        <v>1</v>
      </c>
      <c r="N47" s="89" t="n">
        <v>1</v>
      </c>
      <c r="O47" s="89" t="n">
        <v>1</v>
      </c>
      <c r="P47" s="89" t="n">
        <v>0</v>
      </c>
      <c r="Q47" s="90">
        <f>L47+M47+N47+O47+P47</f>
        <v/>
      </c>
      <c r="R47" s="89" t="n"/>
      <c r="S47" s="89" t="n"/>
      <c r="T47" s="89" t="n"/>
      <c r="U47" s="89" t="n"/>
      <c r="V47" s="90">
        <f>R47+S47+T47+U47</f>
        <v/>
      </c>
      <c r="W47" s="89" t="n">
        <v>0</v>
      </c>
      <c r="X47" s="89" t="n">
        <v>0</v>
      </c>
      <c r="Y47" s="89" t="n"/>
      <c r="Z47" s="89" t="n"/>
      <c r="AA47" s="90">
        <f>W47+X47+Y47+Z47</f>
        <v/>
      </c>
      <c r="AB47" s="89" t="n"/>
      <c r="AC47" s="89" t="n"/>
      <c r="AD47" s="89" t="n"/>
      <c r="AE47" s="89" t="n"/>
      <c r="AF47" s="89" t="n"/>
      <c r="AG47" s="90">
        <f>AB47+AC47+AD47+AE47+AF47</f>
        <v/>
      </c>
      <c r="AH47" s="89" t="n"/>
      <c r="AI47" s="89" t="n"/>
      <c r="AJ47" s="89" t="n"/>
      <c r="AK47" s="89" t="n"/>
      <c r="AL47" s="90">
        <f>AH47+AI47+AJ47+AK47</f>
        <v/>
      </c>
      <c r="AM47" s="89" t="n"/>
      <c r="AN47" s="89" t="n"/>
      <c r="AO47" s="89" t="n"/>
      <c r="AP47" s="89" t="n"/>
      <c r="AQ47" s="89" t="n"/>
      <c r="AR47" s="90">
        <f>AM47+AN47+AO47+AP47+AQ47</f>
        <v/>
      </c>
      <c r="AS47" s="89" t="n"/>
      <c r="AT47" s="89" t="n"/>
      <c r="AU47" s="89" t="n"/>
      <c r="AV47" s="89" t="n"/>
      <c r="AW47" s="90">
        <f>AS47+AT47+AU47+AV47</f>
        <v/>
      </c>
      <c r="AX47" s="89" t="n"/>
      <c r="AY47" s="89" t="n"/>
      <c r="AZ47" s="89" t="n"/>
      <c r="BA47" s="89" t="n"/>
      <c r="BB47" s="90">
        <f>AX47+AY47+AZ47+BA47</f>
        <v/>
      </c>
      <c r="BC47" s="89" t="n"/>
      <c r="BD47" s="89" t="n"/>
      <c r="BE47" s="89" t="n"/>
      <c r="BF47" s="89" t="n"/>
      <c r="BG47" s="89" t="n"/>
      <c r="BH47" s="90">
        <f>BC47+BD47+BE47+BF47+BG47</f>
        <v/>
      </c>
      <c r="BI47" s="89" t="n"/>
      <c r="BJ47" s="89" t="n"/>
      <c r="BK47" s="89" t="n"/>
      <c r="BL47" s="89" t="n"/>
      <c r="BM47" s="90">
        <f>BI47+BJ47+BK47+BL47</f>
        <v/>
      </c>
    </row>
    <row r="48" ht="15.75" customHeight="1">
      <c r="A48" s="93" t="inlineStr">
        <is>
          <t>ETIQUETAS</t>
        </is>
      </c>
      <c r="B48" s="89" t="n">
        <v>0</v>
      </c>
      <c r="C48" s="89" t="n">
        <v>1</v>
      </c>
      <c r="D48" s="89" t="n">
        <v>1</v>
      </c>
      <c r="E48" s="89" t="n">
        <v>0</v>
      </c>
      <c r="F48" s="90">
        <f>B48+C48+D48+E48</f>
        <v/>
      </c>
      <c r="G48" s="89" t="n">
        <v>0</v>
      </c>
      <c r="H48" s="89" t="n">
        <v>0</v>
      </c>
      <c r="I48" s="89" t="n">
        <v>0</v>
      </c>
      <c r="J48" s="89" t="n">
        <v>0</v>
      </c>
      <c r="K48" s="90">
        <f>G48+H48+I48+J48</f>
        <v/>
      </c>
      <c r="L48" s="89" t="n">
        <v>0</v>
      </c>
      <c r="M48" s="89" t="n">
        <v>0</v>
      </c>
      <c r="N48" s="89" t="n">
        <v>0</v>
      </c>
      <c r="O48" s="89" t="n">
        <v>0</v>
      </c>
      <c r="P48" s="89" t="n">
        <v>0</v>
      </c>
      <c r="Q48" s="90">
        <f>L48+M48+N48+O48+P48</f>
        <v/>
      </c>
      <c r="R48" s="89" t="n"/>
      <c r="S48" s="89" t="n"/>
      <c r="T48" s="89" t="n"/>
      <c r="U48" s="89" t="n"/>
      <c r="V48" s="90">
        <f>R48+S48+T48+U48</f>
        <v/>
      </c>
      <c r="W48" s="89" t="n">
        <v>0</v>
      </c>
      <c r="X48" s="89" t="n">
        <v>0</v>
      </c>
      <c r="Y48" s="89" t="n"/>
      <c r="Z48" s="89" t="n"/>
      <c r="AA48" s="90">
        <f>W48+X48+Y48+Z48</f>
        <v/>
      </c>
      <c r="AB48" s="89" t="n"/>
      <c r="AC48" s="89" t="n"/>
      <c r="AD48" s="89" t="n"/>
      <c r="AE48" s="89" t="n"/>
      <c r="AF48" s="89" t="n"/>
      <c r="AG48" s="90">
        <f>AB48+AC48+AD48+AE48+AF48</f>
        <v/>
      </c>
      <c r="AH48" s="89" t="n"/>
      <c r="AI48" s="89" t="n"/>
      <c r="AJ48" s="89" t="n"/>
      <c r="AK48" s="89" t="n"/>
      <c r="AL48" s="90">
        <f>AH48+AI48+AJ48+AK48</f>
        <v/>
      </c>
      <c r="AM48" s="89" t="n"/>
      <c r="AN48" s="89" t="n"/>
      <c r="AO48" s="89" t="n"/>
      <c r="AP48" s="89" t="n"/>
      <c r="AQ48" s="89" t="n"/>
      <c r="AR48" s="90">
        <f>AM48+AN48+AO48+AP48+AQ48</f>
        <v/>
      </c>
      <c r="AS48" s="89" t="n"/>
      <c r="AT48" s="89" t="n"/>
      <c r="AU48" s="89" t="n"/>
      <c r="AV48" s="89" t="n"/>
      <c r="AW48" s="90">
        <f>AS48+AT48+AU48+AV48</f>
        <v/>
      </c>
      <c r="AX48" s="89" t="n"/>
      <c r="AY48" s="89" t="n"/>
      <c r="AZ48" s="89" t="n"/>
      <c r="BA48" s="89" t="n"/>
      <c r="BB48" s="90">
        <f>AX48+AY48+AZ48+BA48</f>
        <v/>
      </c>
      <c r="BC48" s="89" t="n"/>
      <c r="BD48" s="89" t="n"/>
      <c r="BE48" s="89" t="n"/>
      <c r="BF48" s="89" t="n"/>
      <c r="BG48" s="89" t="n"/>
      <c r="BH48" s="90">
        <f>BC48+BD48+BE48+BF48+BG48</f>
        <v/>
      </c>
      <c r="BI48" s="89" t="n"/>
      <c r="BJ48" s="89" t="n"/>
      <c r="BK48" s="89" t="n"/>
      <c r="BL48" s="89" t="n"/>
      <c r="BM48" s="90">
        <f>BI48+BJ48+BK48+BL48</f>
        <v/>
      </c>
    </row>
    <row r="49" ht="15.75" customHeight="1">
      <c r="A49" s="93" t="inlineStr">
        <is>
          <t xml:space="preserve">TAGS </t>
        </is>
      </c>
      <c r="B49" s="89" t="n">
        <v>1</v>
      </c>
      <c r="C49" s="89" t="n">
        <v>0</v>
      </c>
      <c r="D49" s="89" t="n">
        <v>0</v>
      </c>
      <c r="E49" s="89" t="n">
        <v>0</v>
      </c>
      <c r="F49" s="90">
        <f>B49+C49+D49+E49</f>
        <v/>
      </c>
      <c r="G49" s="89" t="n">
        <v>1</v>
      </c>
      <c r="H49" s="89" t="n">
        <v>0</v>
      </c>
      <c r="I49" s="89" t="n">
        <v>1</v>
      </c>
      <c r="J49" s="89" t="n">
        <v>0</v>
      </c>
      <c r="K49" s="90">
        <f>G49+H49+I49+J49</f>
        <v/>
      </c>
      <c r="L49" s="89" t="n">
        <v>0</v>
      </c>
      <c r="M49" s="89" t="n">
        <v>1</v>
      </c>
      <c r="N49" s="89" t="n">
        <v>0</v>
      </c>
      <c r="O49" s="89" t="n">
        <v>1</v>
      </c>
      <c r="P49" s="89" t="n">
        <v>0</v>
      </c>
      <c r="Q49" s="90">
        <f>L49+M49+N49+O49+P49</f>
        <v/>
      </c>
      <c r="R49" s="89" t="n"/>
      <c r="S49" s="89" t="n"/>
      <c r="T49" s="89" t="n"/>
      <c r="U49" s="89" t="n"/>
      <c r="V49" s="90">
        <f>R49+S49+T49+U49</f>
        <v/>
      </c>
      <c r="W49" s="89" t="n">
        <v>1</v>
      </c>
      <c r="X49" s="89" t="n">
        <v>0</v>
      </c>
      <c r="Y49" s="89" t="n"/>
      <c r="Z49" s="89" t="n"/>
      <c r="AA49" s="90">
        <f>W49+X49+Y49+Z49</f>
        <v/>
      </c>
      <c r="AB49" s="89" t="n"/>
      <c r="AC49" s="89" t="n"/>
      <c r="AD49" s="89" t="n"/>
      <c r="AE49" s="89" t="n"/>
      <c r="AF49" s="89" t="n"/>
      <c r="AG49" s="90">
        <f>AB49+AC49+AD49+AE49+AF49</f>
        <v/>
      </c>
      <c r="AH49" s="89" t="n"/>
      <c r="AI49" s="89" t="n"/>
      <c r="AJ49" s="89" t="n"/>
      <c r="AK49" s="89" t="n"/>
      <c r="AL49" s="90">
        <f>AH49+AI49+AJ49+AK49</f>
        <v/>
      </c>
      <c r="AM49" s="89" t="n"/>
      <c r="AN49" s="89" t="n"/>
      <c r="AO49" s="89" t="n"/>
      <c r="AP49" s="89" t="n"/>
      <c r="AQ49" s="89" t="n"/>
      <c r="AR49" s="90">
        <f>AM49+AN49+AO49+AP49+AQ49</f>
        <v/>
      </c>
      <c r="AS49" s="89" t="n"/>
      <c r="AT49" s="89" t="n"/>
      <c r="AU49" s="89" t="n"/>
      <c r="AV49" s="89" t="n"/>
      <c r="AW49" s="90">
        <f>AS49+AT49+AU49+AV49</f>
        <v/>
      </c>
      <c r="AX49" s="89" t="n"/>
      <c r="AY49" s="89" t="n"/>
      <c r="AZ49" s="89" t="n"/>
      <c r="BA49" s="89" t="n"/>
      <c r="BB49" s="90">
        <f>AX49+AY49+AZ49+BA49</f>
        <v/>
      </c>
      <c r="BC49" s="89" t="n"/>
      <c r="BD49" s="89" t="n"/>
      <c r="BE49" s="89" t="n"/>
      <c r="BF49" s="89" t="n"/>
      <c r="BG49" s="89" t="n"/>
      <c r="BH49" s="90">
        <f>BC49+BD49+BE49+BF49+BG49</f>
        <v/>
      </c>
      <c r="BI49" s="89" t="n"/>
      <c r="BJ49" s="89" t="n"/>
      <c r="BK49" s="89" t="n"/>
      <c r="BL49" s="89" t="n"/>
      <c r="BM49" s="90">
        <f>BI49+BJ49+BK49+BL49</f>
        <v/>
      </c>
    </row>
    <row r="50" ht="15.75" customHeight="1">
      <c r="A50" s="93" t="inlineStr">
        <is>
          <t>LÂMINA OLFATIVA</t>
        </is>
      </c>
      <c r="B50" s="89" t="n">
        <v>0</v>
      </c>
      <c r="C50" s="89" t="n">
        <v>0</v>
      </c>
      <c r="D50" s="89" t="n">
        <v>0</v>
      </c>
      <c r="E50" s="89" t="n">
        <v>1</v>
      </c>
      <c r="F50" s="90">
        <f>B50+C50+D50+E50</f>
        <v/>
      </c>
      <c r="G50" s="89" t="n">
        <v>0</v>
      </c>
      <c r="H50" s="89" t="n">
        <v>0</v>
      </c>
      <c r="I50" s="89" t="n">
        <v>0</v>
      </c>
      <c r="J50" s="89" t="n">
        <v>1</v>
      </c>
      <c r="K50" s="90">
        <f>G50+H50+I50+J50</f>
        <v/>
      </c>
      <c r="L50" s="89" t="n">
        <v>0</v>
      </c>
      <c r="M50" s="89" t="n">
        <v>0</v>
      </c>
      <c r="N50" s="89" t="n">
        <v>1</v>
      </c>
      <c r="O50" s="89" t="n">
        <v>0</v>
      </c>
      <c r="P50" s="89" t="n">
        <v>0</v>
      </c>
      <c r="Q50" s="90">
        <f>L50+M50+N50+O50+P50</f>
        <v/>
      </c>
      <c r="R50" s="89" t="n"/>
      <c r="S50" s="89" t="n"/>
      <c r="T50" s="89" t="n"/>
      <c r="U50" s="89" t="n"/>
      <c r="V50" s="90">
        <f>R50+S50+T50+U50</f>
        <v/>
      </c>
      <c r="W50" s="89" t="n">
        <v>0</v>
      </c>
      <c r="X50" s="89" t="n">
        <v>1</v>
      </c>
      <c r="Y50" s="89" t="n"/>
      <c r="Z50" s="89" t="n"/>
      <c r="AA50" s="90">
        <f>W50+X50+Y50+Z50</f>
        <v/>
      </c>
      <c r="AB50" s="89" t="n"/>
      <c r="AC50" s="89" t="n"/>
      <c r="AD50" s="89" t="n"/>
      <c r="AE50" s="89" t="n"/>
      <c r="AF50" s="89" t="n"/>
      <c r="AG50" s="90">
        <f>AB50+AC50+AD50+AE50+AF50</f>
        <v/>
      </c>
      <c r="AH50" s="89" t="n"/>
      <c r="AI50" s="89" t="n"/>
      <c r="AJ50" s="89" t="n"/>
      <c r="AK50" s="89" t="n"/>
      <c r="AL50" s="90">
        <f>AH50+AI50+AJ50+AK50</f>
        <v/>
      </c>
      <c r="AM50" s="89" t="n"/>
      <c r="AN50" s="89" t="n"/>
      <c r="AO50" s="89" t="n"/>
      <c r="AP50" s="89" t="n"/>
      <c r="AQ50" s="89" t="n"/>
      <c r="AR50" s="90">
        <f>AM50+AN50+AO50+AP50+AQ50</f>
        <v/>
      </c>
      <c r="AS50" s="89" t="n"/>
      <c r="AT50" s="89" t="n"/>
      <c r="AU50" s="89" t="n"/>
      <c r="AV50" s="89" t="n"/>
      <c r="AW50" s="90">
        <f>AS50+AT50+AU50+AV50</f>
        <v/>
      </c>
      <c r="AX50" s="89" t="n"/>
      <c r="AY50" s="89" t="n"/>
      <c r="AZ50" s="89" t="n"/>
      <c r="BA50" s="89" t="n"/>
      <c r="BB50" s="90">
        <f>AX50+AY50+AZ50+BA50</f>
        <v/>
      </c>
      <c r="BC50" s="89" t="n"/>
      <c r="BD50" s="89" t="n"/>
      <c r="BE50" s="89" t="n"/>
      <c r="BF50" s="89" t="n"/>
      <c r="BG50" s="89" t="n"/>
      <c r="BH50" s="90">
        <f>BC50+BD50+BE50+BF50+BG50</f>
        <v/>
      </c>
      <c r="BI50" s="89" t="n"/>
      <c r="BJ50" s="89" t="n"/>
      <c r="BK50" s="89" t="n"/>
      <c r="BL50" s="89" t="n"/>
      <c r="BM50" s="90">
        <f>BI50+BJ50+BK50+BL50</f>
        <v/>
      </c>
    </row>
    <row r="51" ht="15.75" customHeight="1">
      <c r="A51" s="94" t="inlineStr">
        <is>
          <t>TOTAL DE SACOLAS</t>
        </is>
      </c>
      <c r="B51" s="95">
        <f>SUM(B43:B46)</f>
        <v/>
      </c>
      <c r="C51" s="95">
        <f>SUM(C43:C46)</f>
        <v/>
      </c>
      <c r="D51" s="95">
        <f>SUM(D43:D46)</f>
        <v/>
      </c>
      <c r="E51" s="95">
        <f>SUM(E43:E46)</f>
        <v/>
      </c>
      <c r="F51" s="95">
        <f>SUM(F43:F46)</f>
        <v/>
      </c>
      <c r="G51" s="95">
        <f>SUM(G43:G46)</f>
        <v/>
      </c>
      <c r="H51" s="95">
        <f>SUM(H43:H46)</f>
        <v/>
      </c>
      <c r="I51" s="95">
        <f>SUM(I43:I46)</f>
        <v/>
      </c>
      <c r="J51" s="95">
        <f>SUM(J43:J46)</f>
        <v/>
      </c>
      <c r="K51" s="95">
        <f>SUM(K43:K46)</f>
        <v/>
      </c>
      <c r="L51" s="95">
        <f>SUM(L43:L46)</f>
        <v/>
      </c>
      <c r="M51" s="95">
        <f>SUM(M43:M46)</f>
        <v/>
      </c>
      <c r="N51" s="95">
        <f>SUM(N43:N46)</f>
        <v/>
      </c>
      <c r="O51" s="95">
        <f>SUM(O43:O46)</f>
        <v/>
      </c>
      <c r="P51" s="95">
        <f>SUM(P43:P46)</f>
        <v/>
      </c>
      <c r="Q51" s="95">
        <f>SUM(Q43:Q46)</f>
        <v/>
      </c>
      <c r="R51" s="95">
        <f>SUM(R43:R46)</f>
        <v/>
      </c>
      <c r="S51" s="95">
        <f>SUM(S43:S46)</f>
        <v/>
      </c>
      <c r="T51" s="95">
        <f>SUM(T43:T46)</f>
        <v/>
      </c>
      <c r="U51" s="95">
        <f>SUM(U43:U46)</f>
        <v/>
      </c>
      <c r="V51" s="95">
        <f>SUM(V43:V46)</f>
        <v/>
      </c>
      <c r="W51" s="95">
        <f>SUM(W43:W46)</f>
        <v/>
      </c>
      <c r="X51" s="95">
        <f>SUM(X43:X46)</f>
        <v/>
      </c>
      <c r="Y51" s="95">
        <f>SUM(Y43:Y46)</f>
        <v/>
      </c>
      <c r="Z51" s="95">
        <f>SUM(Z43:Z46)</f>
        <v/>
      </c>
      <c r="AA51" s="95">
        <f>SUM(AA43:AA46)</f>
        <v/>
      </c>
      <c r="AB51" s="95">
        <f>SUM(AB43:AB46)</f>
        <v/>
      </c>
      <c r="AC51" s="95">
        <f>SUM(AC43:AC46)</f>
        <v/>
      </c>
      <c r="AD51" s="95">
        <f>SUM(AD43:AD46)</f>
        <v/>
      </c>
      <c r="AE51" s="95">
        <f>SUM(AE43:AE46)</f>
        <v/>
      </c>
      <c r="AF51" s="95">
        <f>SUM(AF43:AF46)</f>
        <v/>
      </c>
      <c r="AG51" s="95">
        <f>SUM(AG43:AG46)</f>
        <v/>
      </c>
      <c r="AH51" s="95">
        <f>SUM(AH43:AH46)</f>
        <v/>
      </c>
      <c r="AI51" s="95">
        <f>SUM(AI43:AI46)</f>
        <v/>
      </c>
      <c r="AJ51" s="95">
        <f>SUM(AJ43:AJ46)</f>
        <v/>
      </c>
      <c r="AK51" s="95">
        <f>SUM(AK43:AK46)</f>
        <v/>
      </c>
      <c r="AL51" s="95">
        <f>SUM(AL43:AL46)</f>
        <v/>
      </c>
      <c r="AM51" s="95">
        <f>SUM(AM43:AM46)</f>
        <v/>
      </c>
      <c r="AN51" s="95">
        <f>SUM(AN43:AN46)</f>
        <v/>
      </c>
      <c r="AO51" s="95">
        <f>SUM(AO43:AO46)</f>
        <v/>
      </c>
      <c r="AP51" s="95">
        <f>SUM(AP43:AP46)</f>
        <v/>
      </c>
      <c r="AQ51" s="95">
        <f>SUM(AQ43:AQ46)</f>
        <v/>
      </c>
      <c r="AR51" s="95">
        <f>SUM(AR43:AR46)</f>
        <v/>
      </c>
      <c r="AS51" s="95">
        <f>SUM(AS43:AS46)</f>
        <v/>
      </c>
      <c r="AT51" s="95">
        <f>SUM(AT43:AT46)</f>
        <v/>
      </c>
      <c r="AU51" s="95">
        <f>SUM(AU43:AU46)</f>
        <v/>
      </c>
      <c r="AV51" s="95">
        <f>SUM(AV43:AV46)</f>
        <v/>
      </c>
      <c r="AW51" s="95">
        <f>SUM(AW43:AW46)</f>
        <v/>
      </c>
      <c r="AX51" s="95">
        <f>SUM(AX43:AX46)</f>
        <v/>
      </c>
      <c r="AY51" s="95">
        <f>SUM(AY43:AY46)</f>
        <v/>
      </c>
      <c r="AZ51" s="95">
        <f>SUM(AZ43:AZ46)</f>
        <v/>
      </c>
      <c r="BA51" s="95">
        <f>SUM(BA43:BA46)</f>
        <v/>
      </c>
      <c r="BB51" s="95">
        <f>SUM(BB43:BB46)</f>
        <v/>
      </c>
      <c r="BC51" s="95">
        <f>SUM(BC43:BC46)</f>
        <v/>
      </c>
      <c r="BD51" s="95">
        <f>SUM(BD43:BD46)</f>
        <v/>
      </c>
      <c r="BE51" s="95">
        <f>SUM(BE43:BE46)</f>
        <v/>
      </c>
      <c r="BF51" s="95">
        <f>SUM(BF43:BF46)</f>
        <v/>
      </c>
      <c r="BG51" s="95">
        <f>SUM(BG43:BG46)</f>
        <v/>
      </c>
      <c r="BH51" s="95">
        <f>SUM(BH43:BH46)</f>
        <v/>
      </c>
      <c r="BI51" s="95">
        <f>SUM(BI43:BI46)</f>
        <v/>
      </c>
      <c r="BJ51" s="95">
        <f>SUM(BJ43:BJ46)</f>
        <v/>
      </c>
      <c r="BK51" s="95">
        <f>SUM(BK43:BK46)</f>
        <v/>
      </c>
      <c r="BL51" s="95">
        <f>SUM(BL43:BL46)</f>
        <v/>
      </c>
      <c r="BM51" s="95">
        <f>SUM(BM43:BM46)</f>
        <v/>
      </c>
    </row>
    <row r="53" ht="18" customHeight="1">
      <c r="A53" s="506" t="inlineStr">
        <is>
          <t>GASTO DE SACOLAS E ITENS DOADOS 2026 - MENSAIS</t>
        </is>
      </c>
      <c r="B53" s="700" t="n"/>
      <c r="C53" s="700" t="n"/>
      <c r="D53" s="700" t="n"/>
      <c r="E53" s="700" t="n"/>
      <c r="F53" s="700" t="n"/>
      <c r="G53" s="700" t="n"/>
      <c r="H53" s="700" t="n"/>
      <c r="I53" s="700" t="n"/>
      <c r="J53" s="700" t="n"/>
      <c r="K53" s="700" t="n"/>
      <c r="L53" s="700" t="n"/>
      <c r="M53" s="700" t="n"/>
      <c r="N53" s="700" t="n"/>
      <c r="O53" s="700" t="n"/>
      <c r="P53" s="700" t="n"/>
      <c r="Q53" s="700" t="n"/>
      <c r="R53" s="700" t="n"/>
      <c r="S53" s="700" t="n"/>
      <c r="T53" s="700" t="n"/>
      <c r="U53" s="700" t="n"/>
      <c r="V53" s="700" t="n"/>
      <c r="W53" s="700" t="n"/>
      <c r="X53" s="700" t="n"/>
      <c r="Y53" s="700" t="n"/>
      <c r="Z53" s="700" t="n"/>
      <c r="AA53" s="700" t="n"/>
      <c r="AB53" s="700" t="n"/>
      <c r="AC53" s="700" t="n"/>
      <c r="AD53" s="700" t="n"/>
      <c r="AE53" s="700" t="n"/>
      <c r="AF53" s="700" t="n"/>
      <c r="AG53" s="700" t="n"/>
      <c r="AH53" s="700" t="n"/>
      <c r="AI53" s="700" t="n"/>
      <c r="AJ53" s="700" t="n"/>
      <c r="AK53" s="700" t="n"/>
      <c r="AL53" s="700" t="n"/>
      <c r="AM53" s="700" t="n"/>
      <c r="AN53" s="700" t="n"/>
      <c r="AO53" s="700" t="n"/>
      <c r="AP53" s="700" t="n"/>
      <c r="AQ53" s="700" t="n"/>
      <c r="AR53" s="700" t="n"/>
      <c r="AS53" s="700" t="n"/>
      <c r="AT53" s="700" t="n"/>
      <c r="AU53" s="700" t="n"/>
      <c r="AV53" s="700" t="n"/>
      <c r="AW53" s="700" t="n"/>
      <c r="AX53" s="700" t="n"/>
      <c r="AY53" s="700" t="n"/>
      <c r="AZ53" s="700" t="n"/>
      <c r="BA53" s="700" t="n"/>
      <c r="BB53" s="700" t="n"/>
      <c r="BC53" s="700" t="n"/>
      <c r="BD53" s="700" t="n"/>
      <c r="BE53" s="700" t="n"/>
      <c r="BF53" s="700" t="n"/>
      <c r="BG53" s="700" t="n"/>
      <c r="BH53" s="700" t="n"/>
      <c r="BI53" s="700" t="n"/>
      <c r="BJ53" s="700" t="n"/>
      <c r="BK53" s="700" t="n"/>
      <c r="BL53" s="700" t="n"/>
      <c r="BM53" s="700" t="n"/>
    </row>
    <row r="54" ht="18" customHeight="1">
      <c r="A54" s="701" t="inlineStr">
        <is>
          <t>JAÚ SHOPPING</t>
        </is>
      </c>
      <c r="B54" s="701" t="inlineStr">
        <is>
          <t>JANEIRO</t>
        </is>
      </c>
      <c r="C54" s="666" t="n"/>
      <c r="D54" s="666" t="n"/>
      <c r="E54" s="666" t="n"/>
      <c r="F54" s="667" t="n"/>
      <c r="G54" s="701" t="inlineStr">
        <is>
          <t>FEVEREIRO</t>
        </is>
      </c>
      <c r="H54" s="666" t="n"/>
      <c r="I54" s="666" t="n"/>
      <c r="J54" s="666" t="n"/>
      <c r="K54" s="667" t="n"/>
      <c r="L54" s="701" t="inlineStr">
        <is>
          <t>MARÇO</t>
        </is>
      </c>
      <c r="M54" s="666" t="n"/>
      <c r="N54" s="666" t="n"/>
      <c r="O54" s="666" t="n"/>
      <c r="P54" s="666" t="n"/>
      <c r="Q54" s="667" t="n"/>
      <c r="R54" s="701" t="inlineStr">
        <is>
          <t>ABRIL</t>
        </is>
      </c>
      <c r="S54" s="666" t="n"/>
      <c r="T54" s="666" t="n"/>
      <c r="U54" s="666" t="n"/>
      <c r="V54" s="667" t="n"/>
      <c r="W54" s="701" t="inlineStr">
        <is>
          <t>MAIO</t>
        </is>
      </c>
      <c r="X54" s="666" t="n"/>
      <c r="Y54" s="666" t="n"/>
      <c r="Z54" s="666" t="n"/>
      <c r="AA54" s="667" t="n"/>
      <c r="AB54" s="701" t="inlineStr">
        <is>
          <t>JUNHO</t>
        </is>
      </c>
      <c r="AC54" s="666" t="n"/>
      <c r="AD54" s="666" t="n"/>
      <c r="AE54" s="666" t="n"/>
      <c r="AF54" s="666" t="n"/>
      <c r="AG54" s="667" t="n"/>
      <c r="AH54" s="701" t="inlineStr">
        <is>
          <t>JULHO</t>
        </is>
      </c>
      <c r="AI54" s="666" t="n"/>
      <c r="AJ54" s="666" t="n"/>
      <c r="AK54" s="666" t="n"/>
      <c r="AL54" s="667" t="n"/>
      <c r="AM54" s="701" t="inlineStr">
        <is>
          <t>AGOSTO</t>
        </is>
      </c>
      <c r="AN54" s="666" t="n"/>
      <c r="AO54" s="666" t="n"/>
      <c r="AP54" s="666" t="n"/>
      <c r="AQ54" s="666" t="n"/>
      <c r="AR54" s="667" t="n"/>
      <c r="AS54" s="701" t="inlineStr">
        <is>
          <t>SETEMBRO</t>
        </is>
      </c>
      <c r="AT54" s="666" t="n"/>
      <c r="AU54" s="666" t="n"/>
      <c r="AV54" s="666" t="n"/>
      <c r="AW54" s="667" t="n"/>
      <c r="AX54" s="701" t="inlineStr">
        <is>
          <t>OUTUBRO</t>
        </is>
      </c>
      <c r="AY54" s="666" t="n"/>
      <c r="AZ54" s="666" t="n"/>
      <c r="BA54" s="666" t="n"/>
      <c r="BB54" s="667" t="n"/>
      <c r="BC54" s="701" t="inlineStr">
        <is>
          <t>NOVEMBRO</t>
        </is>
      </c>
      <c r="BD54" s="666" t="n"/>
      <c r="BE54" s="666" t="n"/>
      <c r="BF54" s="666" t="n"/>
      <c r="BG54" s="666" t="n"/>
      <c r="BH54" s="667" t="n"/>
      <c r="BI54" s="701" t="inlineStr">
        <is>
          <t>DEZEMBRO</t>
        </is>
      </c>
      <c r="BJ54" s="666" t="n"/>
      <c r="BK54" s="666" t="n"/>
      <c r="BL54" s="666" t="n"/>
      <c r="BM54" s="667" t="n"/>
    </row>
    <row r="55" ht="15.75" customHeight="1">
      <c r="A55" s="668" t="n"/>
      <c r="B55" s="86" t="n">
        <v>46027</v>
      </c>
      <c r="C55" s="86" t="n">
        <v>46034</v>
      </c>
      <c r="D55" s="86" t="n">
        <v>46041</v>
      </c>
      <c r="E55" s="86" t="n">
        <v>46048</v>
      </c>
      <c r="F55" s="87" t="inlineStr">
        <is>
          <t>USOU</t>
        </is>
      </c>
      <c r="G55" s="86" t="n">
        <v>46055</v>
      </c>
      <c r="H55" s="86" t="n">
        <v>46062</v>
      </c>
      <c r="I55" s="86" t="n">
        <v>46069</v>
      </c>
      <c r="J55" s="86" t="n">
        <v>46076</v>
      </c>
      <c r="K55" s="87" t="inlineStr">
        <is>
          <t>USOU</t>
        </is>
      </c>
      <c r="L55" s="86" t="n">
        <v>46083</v>
      </c>
      <c r="M55" s="86" t="n">
        <v>46090</v>
      </c>
      <c r="N55" s="86" t="n">
        <v>46097</v>
      </c>
      <c r="O55" s="86" t="n">
        <v>46104</v>
      </c>
      <c r="P55" s="86" t="n">
        <v>46111</v>
      </c>
      <c r="Q55" s="87" t="inlineStr">
        <is>
          <t>USOU</t>
        </is>
      </c>
      <c r="R55" s="86" t="n">
        <v>46118</v>
      </c>
      <c r="S55" s="86" t="n">
        <v>46125</v>
      </c>
      <c r="T55" s="86" t="n">
        <v>46132</v>
      </c>
      <c r="U55" s="86" t="n">
        <v>46139</v>
      </c>
      <c r="V55" s="87" t="inlineStr">
        <is>
          <t>USOU</t>
        </is>
      </c>
      <c r="W55" s="86" t="n">
        <v>46146</v>
      </c>
      <c r="X55" s="86" t="n">
        <v>46153</v>
      </c>
      <c r="Y55" s="86" t="n">
        <v>46160</v>
      </c>
      <c r="Z55" s="86" t="n">
        <v>46167</v>
      </c>
      <c r="AA55" s="87" t="inlineStr">
        <is>
          <t>USOU</t>
        </is>
      </c>
      <c r="AB55" s="86" t="n">
        <v>46174</v>
      </c>
      <c r="AC55" s="86" t="n">
        <v>46181</v>
      </c>
      <c r="AD55" s="86" t="n">
        <v>46188</v>
      </c>
      <c r="AE55" s="86" t="n">
        <v>46195</v>
      </c>
      <c r="AF55" s="86" t="n">
        <v>46202</v>
      </c>
      <c r="AG55" s="87" t="inlineStr">
        <is>
          <t>USOU</t>
        </is>
      </c>
      <c r="AH55" s="86" t="n">
        <v>46209</v>
      </c>
      <c r="AI55" s="86" t="n">
        <v>46216</v>
      </c>
      <c r="AJ55" s="86" t="n">
        <v>46223</v>
      </c>
      <c r="AK55" s="86" t="n">
        <v>46230</v>
      </c>
      <c r="AL55" s="87" t="inlineStr">
        <is>
          <t>USOU</t>
        </is>
      </c>
      <c r="AM55" s="86" t="n">
        <v>46237</v>
      </c>
      <c r="AN55" s="86" t="n">
        <v>46244</v>
      </c>
      <c r="AO55" s="86" t="n">
        <v>46251</v>
      </c>
      <c r="AP55" s="86" t="n">
        <v>46258</v>
      </c>
      <c r="AQ55" s="86" t="n">
        <v>46265</v>
      </c>
      <c r="AR55" s="87" t="inlineStr">
        <is>
          <t>USOU</t>
        </is>
      </c>
      <c r="AS55" s="86" t="n">
        <v>46272</v>
      </c>
      <c r="AT55" s="86" t="n">
        <v>46279</v>
      </c>
      <c r="AU55" s="86" t="n">
        <v>46286</v>
      </c>
      <c r="AV55" s="86" t="n">
        <v>46293</v>
      </c>
      <c r="AW55" s="87" t="inlineStr">
        <is>
          <t>USOU</t>
        </is>
      </c>
      <c r="AX55" s="86" t="n">
        <v>46300</v>
      </c>
      <c r="AY55" s="86" t="n">
        <v>46307</v>
      </c>
      <c r="AZ55" s="86" t="n">
        <v>46314</v>
      </c>
      <c r="BA55" s="86" t="n">
        <v>46321</v>
      </c>
      <c r="BB55" s="87" t="inlineStr">
        <is>
          <t>USOU</t>
        </is>
      </c>
      <c r="BC55" s="86" t="n">
        <v>46328</v>
      </c>
      <c r="BD55" s="86" t="n">
        <v>46335</v>
      </c>
      <c r="BE55" s="86" t="n">
        <v>46342</v>
      </c>
      <c r="BF55" s="86" t="n">
        <v>46349</v>
      </c>
      <c r="BG55" s="86" t="n">
        <v>46356</v>
      </c>
      <c r="BH55" s="87" t="inlineStr">
        <is>
          <t>USOU</t>
        </is>
      </c>
      <c r="BI55" s="86" t="n">
        <v>46363</v>
      </c>
      <c r="BJ55" s="86" t="n">
        <v>46370</v>
      </c>
      <c r="BK55" s="86" t="n">
        <v>46377</v>
      </c>
      <c r="BL55" s="86" t="n">
        <v>46384</v>
      </c>
      <c r="BM55" s="87" t="inlineStr">
        <is>
          <t>USOU</t>
        </is>
      </c>
    </row>
    <row r="56" ht="15.75" customHeight="1">
      <c r="A56" s="91" t="inlineStr">
        <is>
          <t>SACOLA PP VERDE</t>
        </is>
      </c>
      <c r="B56" s="89" t="n">
        <v>60</v>
      </c>
      <c r="C56" s="89" t="n">
        <v>40</v>
      </c>
      <c r="D56" s="89" t="n">
        <v>0</v>
      </c>
      <c r="E56" s="89" t="n">
        <v>20</v>
      </c>
      <c r="F56" s="90">
        <f>B56+C56+D56+E56</f>
        <v/>
      </c>
      <c r="G56" s="89" t="n">
        <v>28</v>
      </c>
      <c r="H56" s="89" t="n">
        <v>0</v>
      </c>
      <c r="I56" s="89" t="n">
        <v>66</v>
      </c>
      <c r="J56" s="89" t="n">
        <v>57</v>
      </c>
      <c r="K56" s="90">
        <f>G56+H56+I56+J56</f>
        <v/>
      </c>
      <c r="L56" s="89" t="n">
        <v>6</v>
      </c>
      <c r="M56" s="89" t="n">
        <v>779</v>
      </c>
      <c r="N56" s="89" t="n">
        <v>121</v>
      </c>
      <c r="O56" s="89" t="n">
        <v>222</v>
      </c>
      <c r="P56" s="89" t="n">
        <v>36</v>
      </c>
      <c r="Q56" s="90">
        <f>L56+M56+N56+O56+P56</f>
        <v/>
      </c>
      <c r="R56" s="89" t="n"/>
      <c r="S56" s="89" t="n"/>
      <c r="T56" s="89" t="n"/>
      <c r="U56" s="89" t="n"/>
      <c r="V56" s="90">
        <f>R56+S56+T56+U56</f>
        <v/>
      </c>
      <c r="W56" s="89" t="n">
        <v>135</v>
      </c>
      <c r="X56" s="89" t="n">
        <v>336</v>
      </c>
      <c r="Y56" s="89" t="n"/>
      <c r="Z56" s="89" t="n"/>
      <c r="AA56" s="90">
        <f>W56+X56+Y56+Z56</f>
        <v/>
      </c>
      <c r="AB56" s="89" t="n"/>
      <c r="AC56" s="89" t="n"/>
      <c r="AD56" s="89" t="n"/>
      <c r="AE56" s="89" t="n"/>
      <c r="AF56" s="89" t="n"/>
      <c r="AG56" s="90">
        <f>AB56+AC56+AD56+AE56+AF56</f>
        <v/>
      </c>
      <c r="AH56" s="89" t="n"/>
      <c r="AI56" s="89" t="n"/>
      <c r="AJ56" s="89" t="n"/>
      <c r="AK56" s="89" t="n"/>
      <c r="AL56" s="90">
        <f>AH56+AI56+AJ56+AK56</f>
        <v/>
      </c>
      <c r="AM56" s="89" t="n"/>
      <c r="AN56" s="89" t="n"/>
      <c r="AO56" s="89" t="n"/>
      <c r="AP56" s="89" t="n"/>
      <c r="AQ56" s="89" t="n"/>
      <c r="AR56" s="90">
        <f>AM56+AN56+AO56+AP56+AQ56</f>
        <v/>
      </c>
      <c r="AS56" s="89" t="n"/>
      <c r="AT56" s="89" t="n"/>
      <c r="AU56" s="89" t="n"/>
      <c r="AV56" s="89" t="n"/>
      <c r="AW56" s="90">
        <f>AS56+AT56+AU56+AV56</f>
        <v/>
      </c>
      <c r="AX56" s="89" t="n"/>
      <c r="AY56" s="89" t="n"/>
      <c r="AZ56" s="89" t="n"/>
      <c r="BA56" s="89" t="n"/>
      <c r="BB56" s="90">
        <f>AX56+AY56+AZ56+BA56</f>
        <v/>
      </c>
      <c r="BC56" s="89" t="n"/>
      <c r="BD56" s="89" t="n"/>
      <c r="BE56" s="89" t="n"/>
      <c r="BF56" s="89" t="n"/>
      <c r="BG56" s="89" t="n"/>
      <c r="BH56" s="90">
        <f>BC56+BD56+BE56+BF56+BG56</f>
        <v/>
      </c>
      <c r="BI56" s="89" t="n"/>
      <c r="BJ56" s="89" t="n"/>
      <c r="BK56" s="89" t="n"/>
      <c r="BL56" s="89" t="n"/>
      <c r="BM56" s="90">
        <f>BI56+BJ56+BK56+BL56</f>
        <v/>
      </c>
    </row>
    <row r="57" ht="15.75" customHeight="1">
      <c r="A57" s="91" t="inlineStr">
        <is>
          <t>SACOLA P VERDE</t>
        </is>
      </c>
      <c r="B57" s="89" t="n">
        <v>287</v>
      </c>
      <c r="C57" s="89" t="n">
        <v>546</v>
      </c>
      <c r="D57" s="89" t="n">
        <v>55</v>
      </c>
      <c r="E57" s="89" t="n">
        <v>557</v>
      </c>
      <c r="F57" s="90">
        <f>B57+C57+D57+E57</f>
        <v/>
      </c>
      <c r="G57" s="89" t="n">
        <v>225</v>
      </c>
      <c r="H57" s="89" t="n">
        <v>490</v>
      </c>
      <c r="I57" s="89" t="n">
        <v>310</v>
      </c>
      <c r="J57" s="89" t="n">
        <v>295</v>
      </c>
      <c r="K57" s="90">
        <f>G57+H57+I57+J57</f>
        <v/>
      </c>
      <c r="L57" s="89" t="n">
        <v>292</v>
      </c>
      <c r="M57" s="89" t="n">
        <v>570</v>
      </c>
      <c r="N57" s="89" t="n">
        <v>443</v>
      </c>
      <c r="O57" s="89" t="n">
        <v>346</v>
      </c>
      <c r="P57" s="89" t="n">
        <v>290</v>
      </c>
      <c r="Q57" s="90">
        <f>L57+M57+N57+O57+P57</f>
        <v/>
      </c>
      <c r="R57" s="89" t="n"/>
      <c r="S57" s="89" t="n"/>
      <c r="T57" s="89" t="n"/>
      <c r="U57" s="89" t="n"/>
      <c r="V57" s="90">
        <f>R57+S57+T57+U57</f>
        <v/>
      </c>
      <c r="W57" s="89" t="n">
        <v>0</v>
      </c>
      <c r="X57" s="89" t="n">
        <v>400</v>
      </c>
      <c r="Y57" s="89" t="n"/>
      <c r="Z57" s="89" t="n"/>
      <c r="AA57" s="90">
        <f>W57+X57+Y57+Z57</f>
        <v/>
      </c>
      <c r="AB57" s="89" t="n"/>
      <c r="AC57" s="89" t="n"/>
      <c r="AD57" s="89" t="n"/>
      <c r="AE57" s="89" t="n"/>
      <c r="AF57" s="89" t="n"/>
      <c r="AG57" s="90">
        <f>AB57+AC57+AD57+AE57+AF57</f>
        <v/>
      </c>
      <c r="AH57" s="89" t="n"/>
      <c r="AI57" s="89" t="n"/>
      <c r="AJ57" s="89" t="n"/>
      <c r="AK57" s="89" t="n"/>
      <c r="AL57" s="90">
        <f>AH57+AI57+AJ57+AK57</f>
        <v/>
      </c>
      <c r="AM57" s="89" t="n"/>
      <c r="AN57" s="89" t="n"/>
      <c r="AO57" s="89" t="n"/>
      <c r="AP57" s="89" t="n"/>
      <c r="AQ57" s="89" t="n"/>
      <c r="AR57" s="90">
        <f>AM57+AN57+AO57+AP57+AQ57</f>
        <v/>
      </c>
      <c r="AS57" s="89" t="n"/>
      <c r="AT57" s="89" t="n"/>
      <c r="AU57" s="89" t="n"/>
      <c r="AV57" s="89" t="n"/>
      <c r="AW57" s="90">
        <f>AS57+AT57+AU57+AV57</f>
        <v/>
      </c>
      <c r="AX57" s="89" t="n"/>
      <c r="AY57" s="89" t="n"/>
      <c r="AZ57" s="89" t="n"/>
      <c r="BA57" s="89" t="n"/>
      <c r="BB57" s="90">
        <f>AX57+AY57+AZ57+BA57</f>
        <v/>
      </c>
      <c r="BC57" s="89" t="n"/>
      <c r="BD57" s="89" t="n"/>
      <c r="BE57" s="89" t="n"/>
      <c r="BF57" s="89" t="n"/>
      <c r="BG57" s="89" t="n"/>
      <c r="BH57" s="90">
        <f>BC57+BD57+BE57+BF57+BG57</f>
        <v/>
      </c>
      <c r="BI57" s="89" t="n"/>
      <c r="BJ57" s="89" t="n"/>
      <c r="BK57" s="89" t="n"/>
      <c r="BL57" s="89" t="n"/>
      <c r="BM57" s="90">
        <f>BI57+BJ57+BK57+BL57</f>
        <v/>
      </c>
    </row>
    <row r="58" ht="15.75" customHeight="1">
      <c r="A58" s="91" t="inlineStr">
        <is>
          <t>SACOLA M VERDE</t>
        </is>
      </c>
      <c r="B58" s="89" t="n">
        <v>62</v>
      </c>
      <c r="C58" s="89" t="n">
        <v>99</v>
      </c>
      <c r="D58" s="89" t="n">
        <v>93</v>
      </c>
      <c r="E58" s="89" t="n">
        <v>131</v>
      </c>
      <c r="F58" s="90">
        <f>B58+C58+D58+E58</f>
        <v/>
      </c>
      <c r="G58" s="89" t="n">
        <v>277</v>
      </c>
      <c r="H58" s="89" t="n">
        <v>0</v>
      </c>
      <c r="I58" s="89" t="n">
        <v>189</v>
      </c>
      <c r="J58" s="89" t="n">
        <v>83</v>
      </c>
      <c r="K58" s="90">
        <f>G58+H58+I58+J58</f>
        <v/>
      </c>
      <c r="L58" s="89" t="n">
        <v>105</v>
      </c>
      <c r="M58" s="89" t="n">
        <v>389</v>
      </c>
      <c r="N58" s="89" t="n">
        <v>197</v>
      </c>
      <c r="O58" s="89" t="n">
        <v>237</v>
      </c>
      <c r="P58" s="89" t="n">
        <v>178</v>
      </c>
      <c r="Q58" s="90">
        <f>L58+M58+N58+O58+P58</f>
        <v/>
      </c>
      <c r="R58" s="89" t="n"/>
      <c r="S58" s="89" t="n"/>
      <c r="T58" s="89" t="n"/>
      <c r="U58" s="89" t="n"/>
      <c r="V58" s="90">
        <f>R58+S58+T58+U58</f>
        <v/>
      </c>
      <c r="W58" s="89" t="n">
        <v>0</v>
      </c>
      <c r="X58" s="89" t="n">
        <v>149</v>
      </c>
      <c r="Y58" s="89" t="n"/>
      <c r="Z58" s="89" t="n"/>
      <c r="AA58" s="90">
        <f>W58+X58+Y58+Z58</f>
        <v/>
      </c>
      <c r="AB58" s="89" t="n"/>
      <c r="AC58" s="89" t="n"/>
      <c r="AD58" s="89" t="n"/>
      <c r="AE58" s="89" t="n"/>
      <c r="AF58" s="89" t="n"/>
      <c r="AG58" s="90">
        <f>AB58+AC58+AD58+AE58+AF58</f>
        <v/>
      </c>
      <c r="AH58" s="89" t="n"/>
      <c r="AI58" s="89" t="n"/>
      <c r="AJ58" s="89" t="n"/>
      <c r="AK58" s="89" t="n"/>
      <c r="AL58" s="90">
        <f>AH58+AI58+AJ58+AK58</f>
        <v/>
      </c>
      <c r="AM58" s="89" t="n"/>
      <c r="AN58" s="89" t="n"/>
      <c r="AO58" s="89" t="n"/>
      <c r="AP58" s="89" t="n"/>
      <c r="AQ58" s="89" t="n"/>
      <c r="AR58" s="90">
        <f>AM58+AN58+AO58+AP58+AQ58</f>
        <v/>
      </c>
      <c r="AS58" s="89" t="n"/>
      <c r="AT58" s="89" t="n"/>
      <c r="AU58" s="89" t="n"/>
      <c r="AV58" s="89" t="n"/>
      <c r="AW58" s="90">
        <f>AS58+AT58+AU58+AV58</f>
        <v/>
      </c>
      <c r="AX58" s="89" t="n"/>
      <c r="AY58" s="89" t="n"/>
      <c r="AZ58" s="89" t="n"/>
      <c r="BA58" s="89" t="n"/>
      <c r="BB58" s="90">
        <f>AX58+AY58+AZ58+BA58</f>
        <v/>
      </c>
      <c r="BC58" s="89" t="n"/>
      <c r="BD58" s="89" t="n"/>
      <c r="BE58" s="89" t="n"/>
      <c r="BF58" s="89" t="n"/>
      <c r="BG58" s="89" t="n"/>
      <c r="BH58" s="90">
        <f>BC58+BD58+BE58+BF58+BG58</f>
        <v/>
      </c>
      <c r="BI58" s="89" t="n"/>
      <c r="BJ58" s="89" t="n"/>
      <c r="BK58" s="89" t="n"/>
      <c r="BL58" s="89" t="n"/>
      <c r="BM58" s="90">
        <f>BI58+BJ58+BK58+BL58</f>
        <v/>
      </c>
    </row>
    <row r="59" ht="15.75" customHeight="1">
      <c r="A59" s="92" t="inlineStr">
        <is>
          <t>SACOLA G VERDE</t>
        </is>
      </c>
      <c r="B59" s="89" t="n">
        <v>0</v>
      </c>
      <c r="C59" s="89" t="n">
        <v>50</v>
      </c>
      <c r="D59" s="89" t="n">
        <v>0</v>
      </c>
      <c r="E59" s="89" t="n">
        <v>0</v>
      </c>
      <c r="F59" s="90">
        <f>B59+C59+D59+E59</f>
        <v/>
      </c>
      <c r="G59" s="89" t="n">
        <v>14</v>
      </c>
      <c r="H59" s="89" t="n">
        <v>0</v>
      </c>
      <c r="I59" s="89" t="n">
        <v>2</v>
      </c>
      <c r="J59" s="89" t="n">
        <v>22</v>
      </c>
      <c r="K59" s="90">
        <f>G59+H59+I59+J59</f>
        <v/>
      </c>
      <c r="L59" s="89" t="n">
        <v>3</v>
      </c>
      <c r="M59" s="89" t="n">
        <v>9</v>
      </c>
      <c r="N59" s="89" t="n">
        <v>0</v>
      </c>
      <c r="O59" s="89" t="n">
        <v>0</v>
      </c>
      <c r="P59" s="89" t="n">
        <v>0</v>
      </c>
      <c r="Q59" s="90">
        <f>L59+M59+N59+O59+P59</f>
        <v/>
      </c>
      <c r="R59" s="89" t="n"/>
      <c r="S59" s="89" t="n"/>
      <c r="T59" s="89" t="n"/>
      <c r="U59" s="89" t="n"/>
      <c r="V59" s="90">
        <f>R59+S59+T59+U59</f>
        <v/>
      </c>
      <c r="W59" s="89" t="n">
        <v>34</v>
      </c>
      <c r="X59" s="89" t="n">
        <v>35</v>
      </c>
      <c r="Y59" s="89" t="n"/>
      <c r="Z59" s="89" t="n"/>
      <c r="AA59" s="90">
        <f>W59+X59+Y59+Z59</f>
        <v/>
      </c>
      <c r="AB59" s="89" t="n"/>
      <c r="AC59" s="89" t="n"/>
      <c r="AD59" s="89" t="n"/>
      <c r="AE59" s="89" t="n"/>
      <c r="AF59" s="89" t="n"/>
      <c r="AG59" s="90">
        <f>AB59+AC59+AD59+AE59+AF59</f>
        <v/>
      </c>
      <c r="AH59" s="89" t="n"/>
      <c r="AI59" s="89" t="n"/>
      <c r="AJ59" s="89" t="n"/>
      <c r="AK59" s="89" t="n"/>
      <c r="AL59" s="90">
        <f>AH59+AI59+AJ59+AK59</f>
        <v/>
      </c>
      <c r="AM59" s="89" t="n"/>
      <c r="AN59" s="89" t="n"/>
      <c r="AO59" s="89" t="n"/>
      <c r="AP59" s="89" t="n"/>
      <c r="AQ59" s="89" t="n"/>
      <c r="AR59" s="90">
        <f>AM59+AN59+AO59+AP59+AQ59</f>
        <v/>
      </c>
      <c r="AS59" s="89" t="n"/>
      <c r="AT59" s="89" t="n"/>
      <c r="AU59" s="89" t="n"/>
      <c r="AV59" s="89" t="n"/>
      <c r="AW59" s="90">
        <f>AS59+AT59+AU59+AV59</f>
        <v/>
      </c>
      <c r="AX59" s="89" t="n"/>
      <c r="AY59" s="89" t="n"/>
      <c r="AZ59" s="89" t="n"/>
      <c r="BA59" s="89" t="n"/>
      <c r="BB59" s="90">
        <f>AX59+AY59+AZ59+BA59</f>
        <v/>
      </c>
      <c r="BC59" s="89" t="n"/>
      <c r="BD59" s="89" t="n"/>
      <c r="BE59" s="89" t="n"/>
      <c r="BF59" s="89" t="n"/>
      <c r="BG59" s="89" t="n"/>
      <c r="BH59" s="90">
        <f>BC59+BD59+BE59+BF59+BG59</f>
        <v/>
      </c>
      <c r="BI59" s="89" t="n"/>
      <c r="BJ59" s="89" t="n"/>
      <c r="BK59" s="89" t="n"/>
      <c r="BL59" s="89" t="n"/>
      <c r="BM59" s="90">
        <f>BI59+BJ59+BK59+BL59</f>
        <v/>
      </c>
    </row>
    <row r="60" ht="15.75" customHeight="1">
      <c r="A60" s="93" t="inlineStr">
        <is>
          <t xml:space="preserve">PAPEL DE SEDA </t>
        </is>
      </c>
      <c r="B60" s="89" t="n">
        <v>1</v>
      </c>
      <c r="C60" s="89" t="n">
        <v>0</v>
      </c>
      <c r="D60" s="89" t="n">
        <v>1</v>
      </c>
      <c r="E60" s="89" t="n">
        <v>1</v>
      </c>
      <c r="F60" s="90">
        <f>B60+C60+D60+E60</f>
        <v/>
      </c>
      <c r="G60" s="89" t="n">
        <v>1</v>
      </c>
      <c r="H60" s="89" t="n">
        <v>3</v>
      </c>
      <c r="I60" s="89" t="n">
        <v>1</v>
      </c>
      <c r="J60" s="89" t="n">
        <v>2</v>
      </c>
      <c r="K60" s="90">
        <f>G60+H60+I60+J60</f>
        <v/>
      </c>
      <c r="L60" s="89" t="n">
        <v>0</v>
      </c>
      <c r="M60" s="89" t="n">
        <v>5</v>
      </c>
      <c r="N60" s="89" t="n">
        <v>2</v>
      </c>
      <c r="O60" s="89" t="n">
        <v>3</v>
      </c>
      <c r="P60" s="89" t="n">
        <v>1</v>
      </c>
      <c r="Q60" s="90">
        <f>L60+M60+N60+O60+P60</f>
        <v/>
      </c>
      <c r="R60" s="89" t="n"/>
      <c r="S60" s="89" t="n"/>
      <c r="T60" s="89" t="n"/>
      <c r="U60" s="89" t="n"/>
      <c r="V60" s="90">
        <f>R60+S60+T60+U60</f>
        <v/>
      </c>
      <c r="W60" s="89" t="n">
        <v>2</v>
      </c>
      <c r="X60" s="89" t="n">
        <v>0</v>
      </c>
      <c r="Y60" s="89" t="n"/>
      <c r="Z60" s="89" t="n"/>
      <c r="AA60" s="90">
        <f>W60+X60+Y60+Z60</f>
        <v/>
      </c>
      <c r="AB60" s="89" t="n"/>
      <c r="AC60" s="89" t="n"/>
      <c r="AD60" s="89" t="n"/>
      <c r="AE60" s="89" t="n"/>
      <c r="AF60" s="89" t="n"/>
      <c r="AG60" s="90">
        <f>AB60+AC60+AD60+AE60+AF60</f>
        <v/>
      </c>
      <c r="AH60" s="89" t="n"/>
      <c r="AI60" s="89" t="n"/>
      <c r="AJ60" s="89" t="n"/>
      <c r="AK60" s="89" t="n"/>
      <c r="AL60" s="90">
        <f>AH60+AI60+AJ60+AK60</f>
        <v/>
      </c>
      <c r="AM60" s="89" t="n"/>
      <c r="AN60" s="89" t="n"/>
      <c r="AO60" s="89" t="n"/>
      <c r="AP60" s="89" t="n"/>
      <c r="AQ60" s="89" t="n"/>
      <c r="AR60" s="90">
        <f>AM60+AN60+AO60+AP60+AQ60</f>
        <v/>
      </c>
      <c r="AS60" s="89" t="n"/>
      <c r="AT60" s="89" t="n"/>
      <c r="AU60" s="89" t="n"/>
      <c r="AV60" s="89" t="n"/>
      <c r="AW60" s="90">
        <f>AS60+AT60+AU60+AV60</f>
        <v/>
      </c>
      <c r="AX60" s="89" t="n"/>
      <c r="AY60" s="89" t="n"/>
      <c r="AZ60" s="89" t="n"/>
      <c r="BA60" s="89" t="n"/>
      <c r="BB60" s="90">
        <f>AX60+AY60+AZ60+BA60</f>
        <v/>
      </c>
      <c r="BC60" s="89" t="n"/>
      <c r="BD60" s="89" t="n"/>
      <c r="BE60" s="89" t="n"/>
      <c r="BF60" s="89" t="n"/>
      <c r="BG60" s="89" t="n"/>
      <c r="BH60" s="90">
        <f>BC60+BD60+BE60+BF60+BG60</f>
        <v/>
      </c>
      <c r="BI60" s="89" t="n"/>
      <c r="BJ60" s="89" t="n"/>
      <c r="BK60" s="89" t="n"/>
      <c r="BL60" s="89" t="n"/>
      <c r="BM60" s="90">
        <f>BI60+BJ60+BK60+BL60</f>
        <v/>
      </c>
    </row>
    <row r="61" ht="15.75" customHeight="1">
      <c r="A61" s="93" t="inlineStr">
        <is>
          <t>ETIQUETAS</t>
        </is>
      </c>
      <c r="B61" s="89" t="n">
        <v>0</v>
      </c>
      <c r="C61" s="89" t="n">
        <v>0</v>
      </c>
      <c r="D61" s="89" t="n">
        <v>0</v>
      </c>
      <c r="E61" s="89" t="n">
        <v>0</v>
      </c>
      <c r="F61" s="90">
        <f>B61+C61+D61+E61</f>
        <v/>
      </c>
      <c r="G61" s="89" t="n">
        <v>0</v>
      </c>
      <c r="H61" s="89" t="n">
        <v>0</v>
      </c>
      <c r="I61" s="89" t="n">
        <v>0</v>
      </c>
      <c r="J61" s="89" t="n">
        <v>1</v>
      </c>
      <c r="K61" s="90">
        <f>G61+H61+I61+J61</f>
        <v/>
      </c>
      <c r="L61" s="89" t="n">
        <v>0</v>
      </c>
      <c r="M61" s="89" t="n">
        <v>1</v>
      </c>
      <c r="N61" s="89" t="n">
        <v>0</v>
      </c>
      <c r="O61" s="89" t="n">
        <v>0</v>
      </c>
      <c r="P61" s="89" t="n">
        <v>0</v>
      </c>
      <c r="Q61" s="90">
        <f>L61+M61+N61+O61+P61</f>
        <v/>
      </c>
      <c r="R61" s="89" t="n"/>
      <c r="S61" s="89" t="n"/>
      <c r="T61" s="89" t="n"/>
      <c r="U61" s="89" t="n"/>
      <c r="V61" s="90">
        <f>R61+S61+T61+U61</f>
        <v/>
      </c>
      <c r="W61" s="89" t="n">
        <v>1</v>
      </c>
      <c r="X61" s="89" t="n">
        <v>1</v>
      </c>
      <c r="Y61" s="89" t="n"/>
      <c r="Z61" s="89" t="n"/>
      <c r="AA61" s="90">
        <f>W61+X61+Y61+Z61</f>
        <v/>
      </c>
      <c r="AB61" s="89" t="n"/>
      <c r="AC61" s="89" t="n"/>
      <c r="AD61" s="89" t="n"/>
      <c r="AE61" s="89" t="n"/>
      <c r="AF61" s="89" t="n"/>
      <c r="AG61" s="90">
        <f>AB61+AC61+AD61+AE61+AF61</f>
        <v/>
      </c>
      <c r="AH61" s="89" t="n"/>
      <c r="AI61" s="89" t="n"/>
      <c r="AJ61" s="89" t="n"/>
      <c r="AK61" s="89" t="n"/>
      <c r="AL61" s="90">
        <f>AH61+AI61+AJ61+AK61</f>
        <v/>
      </c>
      <c r="AM61" s="89" t="n"/>
      <c r="AN61" s="89" t="n"/>
      <c r="AO61" s="89" t="n"/>
      <c r="AP61" s="89" t="n"/>
      <c r="AQ61" s="89" t="n"/>
      <c r="AR61" s="90">
        <f>AM61+AN61+AO61+AP61+AQ61</f>
        <v/>
      </c>
      <c r="AS61" s="89" t="n"/>
      <c r="AT61" s="89" t="n"/>
      <c r="AU61" s="89" t="n"/>
      <c r="AV61" s="89" t="n"/>
      <c r="AW61" s="90">
        <f>AS61+AT61+AU61+AV61</f>
        <v/>
      </c>
      <c r="AX61" s="89" t="n"/>
      <c r="AY61" s="89" t="n"/>
      <c r="AZ61" s="89" t="n"/>
      <c r="BA61" s="89" t="n"/>
      <c r="BB61" s="90">
        <f>AX61+AY61+AZ61+BA61</f>
        <v/>
      </c>
      <c r="BC61" s="89" t="n"/>
      <c r="BD61" s="89" t="n"/>
      <c r="BE61" s="89" t="n"/>
      <c r="BF61" s="89" t="n"/>
      <c r="BG61" s="89" t="n"/>
      <c r="BH61" s="90">
        <f>BC61+BD61+BE61+BF61+BG61</f>
        <v/>
      </c>
      <c r="BI61" s="89" t="n"/>
      <c r="BJ61" s="89" t="n"/>
      <c r="BK61" s="89" t="n"/>
      <c r="BL61" s="89" t="n"/>
      <c r="BM61" s="90">
        <f>BI61+BJ61+BK61+BL61</f>
        <v/>
      </c>
    </row>
    <row r="62" ht="15.75" customHeight="1">
      <c r="A62" s="93" t="inlineStr">
        <is>
          <t xml:space="preserve">TAGS </t>
        </is>
      </c>
      <c r="B62" s="89" t="n">
        <v>1</v>
      </c>
      <c r="C62" s="89" t="n">
        <v>0</v>
      </c>
      <c r="D62" s="89" t="n">
        <v>0</v>
      </c>
      <c r="E62" s="89" t="n">
        <v>0</v>
      </c>
      <c r="F62" s="90">
        <f>B62+C62+D62+E62</f>
        <v/>
      </c>
      <c r="G62" s="89" t="n">
        <v>2</v>
      </c>
      <c r="H62" s="89" t="n">
        <v>1</v>
      </c>
      <c r="I62" s="89" t="n">
        <v>1</v>
      </c>
      <c r="J62" s="89" t="n">
        <v>0</v>
      </c>
      <c r="K62" s="90">
        <f>G62+H62+I62+J62</f>
        <v/>
      </c>
      <c r="L62" s="89" t="n">
        <v>1</v>
      </c>
      <c r="M62" s="89" t="n">
        <v>1</v>
      </c>
      <c r="N62" s="89" t="n">
        <v>1</v>
      </c>
      <c r="O62" s="89" t="n">
        <v>0</v>
      </c>
      <c r="P62" s="89" t="n">
        <v>1</v>
      </c>
      <c r="Q62" s="90">
        <f>L62+M62+N62+O62+P62</f>
        <v/>
      </c>
      <c r="R62" s="89" t="n"/>
      <c r="S62" s="89" t="n"/>
      <c r="T62" s="89" t="n"/>
      <c r="U62" s="89" t="n"/>
      <c r="V62" s="90">
        <f>R62+S62+T62+U62</f>
        <v/>
      </c>
      <c r="W62" s="89" t="n">
        <v>0</v>
      </c>
      <c r="X62" s="89" t="n">
        <v>0</v>
      </c>
      <c r="Y62" s="89" t="n"/>
      <c r="Z62" s="89" t="n"/>
      <c r="AA62" s="90">
        <f>W62+X62+Y62+Z62</f>
        <v/>
      </c>
      <c r="AB62" s="89" t="n"/>
      <c r="AC62" s="89" t="n"/>
      <c r="AD62" s="89" t="n"/>
      <c r="AE62" s="89" t="n"/>
      <c r="AF62" s="89" t="n"/>
      <c r="AG62" s="90">
        <f>AB62+AC62+AD62+AE62+AF62</f>
        <v/>
      </c>
      <c r="AH62" s="89" t="n"/>
      <c r="AI62" s="89" t="n"/>
      <c r="AJ62" s="89" t="n"/>
      <c r="AK62" s="89" t="n"/>
      <c r="AL62" s="90">
        <f>AH62+AI62+AJ62+AK62</f>
        <v/>
      </c>
      <c r="AM62" s="89" t="n"/>
      <c r="AN62" s="89" t="n"/>
      <c r="AO62" s="89" t="n"/>
      <c r="AP62" s="89" t="n"/>
      <c r="AQ62" s="89" t="n"/>
      <c r="AR62" s="90">
        <f>AM62+AN62+AO62+AP62+AQ62</f>
        <v/>
      </c>
      <c r="AS62" s="89" t="n"/>
      <c r="AT62" s="89" t="n"/>
      <c r="AU62" s="89" t="n"/>
      <c r="AV62" s="89" t="n"/>
      <c r="AW62" s="90">
        <f>AS62+AT62+AU62+AV62</f>
        <v/>
      </c>
      <c r="AX62" s="89" t="n"/>
      <c r="AY62" s="89" t="n"/>
      <c r="AZ62" s="89" t="n"/>
      <c r="BA62" s="89" t="n"/>
      <c r="BB62" s="90">
        <f>AX62+AY62+AZ62+BA62</f>
        <v/>
      </c>
      <c r="BC62" s="89" t="n"/>
      <c r="BD62" s="89" t="n"/>
      <c r="BE62" s="89" t="n"/>
      <c r="BF62" s="89" t="n"/>
      <c r="BG62" s="89" t="n"/>
      <c r="BH62" s="90">
        <f>BC62+BD62+BE62+BF62+BG62</f>
        <v/>
      </c>
      <c r="BI62" s="89" t="n"/>
      <c r="BJ62" s="89" t="n"/>
      <c r="BK62" s="89" t="n"/>
      <c r="BL62" s="89" t="n"/>
      <c r="BM62" s="90">
        <f>BI62+BJ62+BK62+BL62</f>
        <v/>
      </c>
    </row>
    <row r="63" ht="15.75" customHeight="1">
      <c r="A63" s="93" t="inlineStr">
        <is>
          <t>LÂMINA OLFATIVA</t>
        </is>
      </c>
      <c r="B63" s="89" t="n">
        <v>1</v>
      </c>
      <c r="C63" s="89" t="n">
        <v>1</v>
      </c>
      <c r="D63" s="89" t="n">
        <v>0</v>
      </c>
      <c r="E63" s="89" t="n">
        <v>0</v>
      </c>
      <c r="F63" s="90">
        <f>B63+C63+D63+E63</f>
        <v/>
      </c>
      <c r="G63" s="89" t="n">
        <v>1</v>
      </c>
      <c r="H63" s="89" t="n">
        <v>2</v>
      </c>
      <c r="I63" s="89" t="n">
        <v>0</v>
      </c>
      <c r="J63" s="89" t="n">
        <v>0</v>
      </c>
      <c r="K63" s="90">
        <f>G63+H63+I63+J63</f>
        <v/>
      </c>
      <c r="L63" s="89" t="n">
        <v>1</v>
      </c>
      <c r="M63" s="89" t="n">
        <v>1</v>
      </c>
      <c r="N63" s="89" t="n">
        <v>0</v>
      </c>
      <c r="O63" s="89" t="n">
        <v>1</v>
      </c>
      <c r="P63" s="89" t="n">
        <v>1</v>
      </c>
      <c r="Q63" s="90">
        <f>L63+M63+N63+O63+P63</f>
        <v/>
      </c>
      <c r="R63" s="89" t="n"/>
      <c r="S63" s="89" t="n"/>
      <c r="T63" s="89" t="n"/>
      <c r="U63" s="89" t="n"/>
      <c r="V63" s="90">
        <f>R63+S63+T63+U63</f>
        <v/>
      </c>
      <c r="W63" s="89" t="n">
        <v>1</v>
      </c>
      <c r="X63" s="89" t="n">
        <v>1</v>
      </c>
      <c r="Y63" s="89" t="n"/>
      <c r="Z63" s="89" t="n"/>
      <c r="AA63" s="90">
        <f>W63+X63+Y63+Z63</f>
        <v/>
      </c>
      <c r="AB63" s="89" t="n"/>
      <c r="AC63" s="89" t="n"/>
      <c r="AD63" s="89" t="n"/>
      <c r="AE63" s="89" t="n"/>
      <c r="AF63" s="89" t="n"/>
      <c r="AG63" s="90">
        <f>AB63+AC63+AD63+AE63+AF63</f>
        <v/>
      </c>
      <c r="AH63" s="89" t="n"/>
      <c r="AI63" s="89" t="n"/>
      <c r="AJ63" s="89" t="n"/>
      <c r="AK63" s="89" t="n"/>
      <c r="AL63" s="90">
        <f>AH63+AI63+AJ63+AK63</f>
        <v/>
      </c>
      <c r="AM63" s="89" t="n"/>
      <c r="AN63" s="89" t="n"/>
      <c r="AO63" s="89" t="n"/>
      <c r="AP63" s="89" t="n"/>
      <c r="AQ63" s="89" t="n"/>
      <c r="AR63" s="90">
        <f>AM63+AN63+AO63+AP63+AQ63</f>
        <v/>
      </c>
      <c r="AS63" s="89" t="n"/>
      <c r="AT63" s="89" t="n"/>
      <c r="AU63" s="89" t="n"/>
      <c r="AV63" s="89" t="n"/>
      <c r="AW63" s="90">
        <f>AS63+AT63+AU63+AV63</f>
        <v/>
      </c>
      <c r="AX63" s="89" t="n"/>
      <c r="AY63" s="89" t="n"/>
      <c r="AZ63" s="89" t="n"/>
      <c r="BA63" s="89" t="n"/>
      <c r="BB63" s="90">
        <f>AX63+AY63+AZ63+BA63</f>
        <v/>
      </c>
      <c r="BC63" s="89" t="n"/>
      <c r="BD63" s="89" t="n"/>
      <c r="BE63" s="89" t="n"/>
      <c r="BF63" s="89" t="n"/>
      <c r="BG63" s="89" t="n"/>
      <c r="BH63" s="90">
        <f>BC63+BD63+BE63+BF63+BG63</f>
        <v/>
      </c>
      <c r="BI63" s="89" t="n"/>
      <c r="BJ63" s="89" t="n"/>
      <c r="BK63" s="89" t="n"/>
      <c r="BL63" s="89" t="n"/>
      <c r="BM63" s="90">
        <f>BI63+BJ63+BK63+BL63</f>
        <v/>
      </c>
    </row>
    <row r="64" ht="15.75" customHeight="1">
      <c r="A64" s="94" t="inlineStr">
        <is>
          <t>TOTAL DE SACOLAS</t>
        </is>
      </c>
      <c r="B64" s="95">
        <f>SUM(B56:B59)</f>
        <v/>
      </c>
      <c r="C64" s="95">
        <f>SUM(C56:C59)</f>
        <v/>
      </c>
      <c r="D64" s="95">
        <f>SUM(D56:D59)</f>
        <v/>
      </c>
      <c r="E64" s="95">
        <f>SUM(E56:E59)</f>
        <v/>
      </c>
      <c r="F64" s="95">
        <f>SUM(F56:F59)</f>
        <v/>
      </c>
      <c r="G64" s="95">
        <f>SUM(G56:G59)</f>
        <v/>
      </c>
      <c r="H64" s="95">
        <f>SUM(H56:H59)</f>
        <v/>
      </c>
      <c r="I64" s="95">
        <f>SUM(I56:I59)</f>
        <v/>
      </c>
      <c r="J64" s="95">
        <f>SUM(J56:J59)</f>
        <v/>
      </c>
      <c r="K64" s="95">
        <f>SUM(K56:K59)</f>
        <v/>
      </c>
      <c r="L64" s="95">
        <f>SUM(L56:L59)</f>
        <v/>
      </c>
      <c r="M64" s="95">
        <f>SUM(M56:M59)</f>
        <v/>
      </c>
      <c r="N64" s="95">
        <f>SUM(N56:N59)</f>
        <v/>
      </c>
      <c r="O64" s="95">
        <f>SUM(O56:O59)</f>
        <v/>
      </c>
      <c r="P64" s="95">
        <f>SUM(P56:P59)</f>
        <v/>
      </c>
      <c r="Q64" s="95">
        <f>SUM(Q56:Q59)</f>
        <v/>
      </c>
      <c r="R64" s="95">
        <f>SUM(R56:R59)</f>
        <v/>
      </c>
      <c r="S64" s="95">
        <f>SUM(S56:S59)</f>
        <v/>
      </c>
      <c r="T64" s="95">
        <f>SUM(T56:T59)</f>
        <v/>
      </c>
      <c r="U64" s="95">
        <f>SUM(U56:U59)</f>
        <v/>
      </c>
      <c r="V64" s="95">
        <f>SUM(V56:V59)</f>
        <v/>
      </c>
      <c r="W64" s="95">
        <f>SUM(W56:W59)</f>
        <v/>
      </c>
      <c r="X64" s="95">
        <f>SUM(X56:X59)</f>
        <v/>
      </c>
      <c r="Y64" s="95">
        <f>SUM(Y56:Y59)</f>
        <v/>
      </c>
      <c r="Z64" s="95">
        <f>SUM(Z56:Z59)</f>
        <v/>
      </c>
      <c r="AA64" s="95">
        <f>SUM(AA56:AA59)</f>
        <v/>
      </c>
      <c r="AB64" s="95">
        <f>SUM(AB56:AB59)</f>
        <v/>
      </c>
      <c r="AC64" s="95">
        <f>SUM(AC56:AC59)</f>
        <v/>
      </c>
      <c r="AD64" s="95">
        <f>SUM(AD56:AD59)</f>
        <v/>
      </c>
      <c r="AE64" s="95">
        <f>SUM(AE56:AE59)</f>
        <v/>
      </c>
      <c r="AF64" s="95">
        <f>SUM(AF56:AF59)</f>
        <v/>
      </c>
      <c r="AG64" s="95">
        <f>SUM(AG56:AG59)</f>
        <v/>
      </c>
      <c r="AH64" s="95">
        <f>SUM(AH56:AH59)</f>
        <v/>
      </c>
      <c r="AI64" s="95">
        <f>SUM(AI56:AI59)</f>
        <v/>
      </c>
      <c r="AJ64" s="95">
        <f>SUM(AJ56:AJ59)</f>
        <v/>
      </c>
      <c r="AK64" s="95">
        <f>SUM(AK56:AK59)</f>
        <v/>
      </c>
      <c r="AL64" s="95">
        <f>SUM(AL56:AL59)</f>
        <v/>
      </c>
      <c r="AM64" s="95">
        <f>SUM(AM56:AM59)</f>
        <v/>
      </c>
      <c r="AN64" s="95">
        <f>SUM(AN56:AN59)</f>
        <v/>
      </c>
      <c r="AO64" s="95">
        <f>SUM(AO56:AO59)</f>
        <v/>
      </c>
      <c r="AP64" s="95">
        <f>SUM(AP56:AP59)</f>
        <v/>
      </c>
      <c r="AQ64" s="95">
        <f>SUM(AQ56:AQ59)</f>
        <v/>
      </c>
      <c r="AR64" s="95">
        <f>SUM(AR56:AR59)</f>
        <v/>
      </c>
      <c r="AS64" s="95">
        <f>SUM(AS56:AS59)</f>
        <v/>
      </c>
      <c r="AT64" s="95">
        <f>SUM(AT56:AT59)</f>
        <v/>
      </c>
      <c r="AU64" s="95">
        <f>SUM(AU56:AU59)</f>
        <v/>
      </c>
      <c r="AV64" s="95">
        <f>SUM(AV56:AV59)</f>
        <v/>
      </c>
      <c r="AW64" s="95">
        <f>SUM(AW56:AW59)</f>
        <v/>
      </c>
      <c r="AX64" s="95">
        <f>SUM(AX56:AX59)</f>
        <v/>
      </c>
      <c r="AY64" s="95">
        <f>SUM(AY56:AY59)</f>
        <v/>
      </c>
      <c r="AZ64" s="95">
        <f>SUM(AZ56:AZ59)</f>
        <v/>
      </c>
      <c r="BA64" s="95">
        <f>SUM(BA56:BA59)</f>
        <v/>
      </c>
      <c r="BB64" s="95">
        <f>SUM(BB56:BB59)</f>
        <v/>
      </c>
      <c r="BC64" s="95">
        <f>SUM(BC56:BC59)</f>
        <v/>
      </c>
      <c r="BD64" s="95">
        <f>SUM(BD56:BD59)</f>
        <v/>
      </c>
      <c r="BE64" s="95">
        <f>SUM(BE56:BE59)</f>
        <v/>
      </c>
      <c r="BF64" s="95">
        <f>SUM(BF56:BF59)</f>
        <v/>
      </c>
      <c r="BG64" s="95">
        <f>SUM(BG56:BG59)</f>
        <v/>
      </c>
      <c r="BH64" s="95">
        <f>SUM(BH56:BH59)</f>
        <v/>
      </c>
      <c r="BI64" s="95">
        <f>SUM(BI56:BI59)</f>
        <v/>
      </c>
      <c r="BJ64" s="95">
        <f>SUM(BJ56:BJ59)</f>
        <v/>
      </c>
      <c r="BK64" s="95">
        <f>SUM(BK56:BK59)</f>
        <v/>
      </c>
      <c r="BL64" s="95">
        <f>SUM(BL56:BL59)</f>
        <v/>
      </c>
      <c r="BM64" s="95">
        <f>SUM(BM56:BM59)</f>
        <v/>
      </c>
    </row>
    <row r="66" ht="18" customHeight="1">
      <c r="A66" s="506" t="inlineStr">
        <is>
          <t>GASTO DE SACOLAS E ITENS DOADOS 2026 - MENSAIS</t>
        </is>
      </c>
      <c r="B66" s="700" t="n"/>
      <c r="C66" s="700" t="n"/>
      <c r="D66" s="700" t="n"/>
      <c r="E66" s="700" t="n"/>
      <c r="F66" s="700" t="n"/>
      <c r="G66" s="700" t="n"/>
      <c r="H66" s="700" t="n"/>
      <c r="I66" s="700" t="n"/>
      <c r="J66" s="700" t="n"/>
      <c r="K66" s="700" t="n"/>
      <c r="L66" s="700" t="n"/>
      <c r="M66" s="700" t="n"/>
      <c r="N66" s="700" t="n"/>
      <c r="O66" s="700" t="n"/>
      <c r="P66" s="700" t="n"/>
      <c r="Q66" s="700" t="n"/>
      <c r="R66" s="700" t="n"/>
      <c r="S66" s="700" t="n"/>
      <c r="T66" s="700" t="n"/>
      <c r="U66" s="700" t="n"/>
      <c r="V66" s="700" t="n"/>
      <c r="W66" s="700" t="n"/>
      <c r="X66" s="700" t="n"/>
      <c r="Y66" s="700" t="n"/>
      <c r="Z66" s="700" t="n"/>
      <c r="AA66" s="700" t="n"/>
      <c r="AB66" s="700" t="n"/>
      <c r="AC66" s="700" t="n"/>
      <c r="AD66" s="700" t="n"/>
      <c r="AE66" s="700" t="n"/>
      <c r="AF66" s="700" t="n"/>
      <c r="AG66" s="700" t="n"/>
      <c r="AH66" s="700" t="n"/>
      <c r="AI66" s="700" t="n"/>
      <c r="AJ66" s="700" t="n"/>
      <c r="AK66" s="700" t="n"/>
      <c r="AL66" s="700" t="n"/>
      <c r="AM66" s="700" t="n"/>
      <c r="AN66" s="700" t="n"/>
      <c r="AO66" s="700" t="n"/>
      <c r="AP66" s="700" t="n"/>
      <c r="AQ66" s="700" t="n"/>
      <c r="AR66" s="700" t="n"/>
      <c r="AS66" s="700" t="n"/>
      <c r="AT66" s="700" t="n"/>
      <c r="AU66" s="700" t="n"/>
      <c r="AV66" s="700" t="n"/>
      <c r="AW66" s="700" t="n"/>
      <c r="AX66" s="700" t="n"/>
      <c r="AY66" s="700" t="n"/>
      <c r="AZ66" s="700" t="n"/>
      <c r="BA66" s="700" t="n"/>
      <c r="BB66" s="700" t="n"/>
      <c r="BC66" s="700" t="n"/>
      <c r="BD66" s="700" t="n"/>
      <c r="BE66" s="700" t="n"/>
      <c r="BF66" s="700" t="n"/>
      <c r="BG66" s="700" t="n"/>
      <c r="BH66" s="700" t="n"/>
      <c r="BI66" s="700" t="n"/>
      <c r="BJ66" s="700" t="n"/>
      <c r="BK66" s="700" t="n"/>
      <c r="BL66" s="700" t="n"/>
      <c r="BM66" s="700" t="n"/>
    </row>
    <row r="67" ht="18" customHeight="1">
      <c r="A67" s="701" t="inlineStr">
        <is>
          <t>CONFIANÇA</t>
        </is>
      </c>
      <c r="B67" s="701" t="inlineStr">
        <is>
          <t>JANEIRO</t>
        </is>
      </c>
      <c r="C67" s="666" t="n"/>
      <c r="D67" s="666" t="n"/>
      <c r="E67" s="666" t="n"/>
      <c r="F67" s="667" t="n"/>
      <c r="G67" s="701" t="inlineStr">
        <is>
          <t>FEVEREIRO</t>
        </is>
      </c>
      <c r="H67" s="666" t="n"/>
      <c r="I67" s="666" t="n"/>
      <c r="J67" s="666" t="n"/>
      <c r="K67" s="667" t="n"/>
      <c r="L67" s="701" t="inlineStr">
        <is>
          <t>MARÇO</t>
        </is>
      </c>
      <c r="M67" s="666" t="n"/>
      <c r="N67" s="666" t="n"/>
      <c r="O67" s="666" t="n"/>
      <c r="P67" s="666" t="n"/>
      <c r="Q67" s="667" t="n"/>
      <c r="R67" s="701" t="inlineStr">
        <is>
          <t>ABRIL</t>
        </is>
      </c>
      <c r="S67" s="666" t="n"/>
      <c r="T67" s="666" t="n"/>
      <c r="U67" s="666" t="n"/>
      <c r="V67" s="667" t="n"/>
      <c r="W67" s="701" t="inlineStr">
        <is>
          <t>MAIO</t>
        </is>
      </c>
      <c r="X67" s="666" t="n"/>
      <c r="Y67" s="666" t="n"/>
      <c r="Z67" s="666" t="n"/>
      <c r="AA67" s="667" t="n"/>
      <c r="AB67" s="701" t="inlineStr">
        <is>
          <t>JUNHO</t>
        </is>
      </c>
      <c r="AC67" s="666" t="n"/>
      <c r="AD67" s="666" t="n"/>
      <c r="AE67" s="666" t="n"/>
      <c r="AF67" s="666" t="n"/>
      <c r="AG67" s="667" t="n"/>
      <c r="AH67" s="701" t="inlineStr">
        <is>
          <t>JULHO</t>
        </is>
      </c>
      <c r="AI67" s="666" t="n"/>
      <c r="AJ67" s="666" t="n"/>
      <c r="AK67" s="666" t="n"/>
      <c r="AL67" s="667" t="n"/>
      <c r="AM67" s="701" t="inlineStr">
        <is>
          <t>AGOSTO</t>
        </is>
      </c>
      <c r="AN67" s="666" t="n"/>
      <c r="AO67" s="666" t="n"/>
      <c r="AP67" s="666" t="n"/>
      <c r="AQ67" s="666" t="n"/>
      <c r="AR67" s="667" t="n"/>
      <c r="AS67" s="701" t="inlineStr">
        <is>
          <t>SETEMBRO</t>
        </is>
      </c>
      <c r="AT67" s="666" t="n"/>
      <c r="AU67" s="666" t="n"/>
      <c r="AV67" s="666" t="n"/>
      <c r="AW67" s="667" t="n"/>
      <c r="AX67" s="701" t="inlineStr">
        <is>
          <t>OUTUBRO</t>
        </is>
      </c>
      <c r="AY67" s="666" t="n"/>
      <c r="AZ67" s="666" t="n"/>
      <c r="BA67" s="666" t="n"/>
      <c r="BB67" s="667" t="n"/>
      <c r="BC67" s="701" t="inlineStr">
        <is>
          <t>NOVEMBRO</t>
        </is>
      </c>
      <c r="BD67" s="666" t="n"/>
      <c r="BE67" s="666" t="n"/>
      <c r="BF67" s="666" t="n"/>
      <c r="BG67" s="666" t="n"/>
      <c r="BH67" s="667" t="n"/>
      <c r="BI67" s="701" t="inlineStr">
        <is>
          <t>DEZEMBRO</t>
        </is>
      </c>
      <c r="BJ67" s="666" t="n"/>
      <c r="BK67" s="666" t="n"/>
      <c r="BL67" s="666" t="n"/>
      <c r="BM67" s="667" t="n"/>
    </row>
    <row r="68" ht="15.75" customHeight="1">
      <c r="A68" s="668" t="n"/>
      <c r="B68" s="86" t="n">
        <v>46027</v>
      </c>
      <c r="C68" s="86" t="n">
        <v>46034</v>
      </c>
      <c r="D68" s="86" t="n">
        <v>46041</v>
      </c>
      <c r="E68" s="86" t="n">
        <v>46048</v>
      </c>
      <c r="F68" s="87" t="inlineStr">
        <is>
          <t>USOU</t>
        </is>
      </c>
      <c r="G68" s="86" t="n">
        <v>46055</v>
      </c>
      <c r="H68" s="86" t="n">
        <v>46062</v>
      </c>
      <c r="I68" s="86" t="n">
        <v>46069</v>
      </c>
      <c r="J68" s="86" t="n">
        <v>46076</v>
      </c>
      <c r="K68" s="87" t="inlineStr">
        <is>
          <t>USOU</t>
        </is>
      </c>
      <c r="L68" s="86" t="n">
        <v>46083</v>
      </c>
      <c r="M68" s="86" t="n">
        <v>46090</v>
      </c>
      <c r="N68" s="86" t="n">
        <v>46097</v>
      </c>
      <c r="O68" s="86" t="n">
        <v>46104</v>
      </c>
      <c r="P68" s="86" t="n">
        <v>46111</v>
      </c>
      <c r="Q68" s="87" t="inlineStr">
        <is>
          <t>USOU</t>
        </is>
      </c>
      <c r="R68" s="86" t="n">
        <v>46118</v>
      </c>
      <c r="S68" s="86" t="n">
        <v>46125</v>
      </c>
      <c r="T68" s="86" t="n">
        <v>46132</v>
      </c>
      <c r="U68" s="86" t="n">
        <v>46139</v>
      </c>
      <c r="V68" s="87" t="inlineStr">
        <is>
          <t>USOU</t>
        </is>
      </c>
      <c r="W68" s="86" t="n">
        <v>46146</v>
      </c>
      <c r="X68" s="86" t="n">
        <v>46153</v>
      </c>
      <c r="Y68" s="86" t="n">
        <v>46160</v>
      </c>
      <c r="Z68" s="86" t="n">
        <v>46167</v>
      </c>
      <c r="AA68" s="87" t="inlineStr">
        <is>
          <t>USOU</t>
        </is>
      </c>
      <c r="AB68" s="86" t="n">
        <v>46174</v>
      </c>
      <c r="AC68" s="86" t="n">
        <v>46181</v>
      </c>
      <c r="AD68" s="86" t="n">
        <v>46188</v>
      </c>
      <c r="AE68" s="86" t="n">
        <v>46195</v>
      </c>
      <c r="AF68" s="86" t="n">
        <v>46202</v>
      </c>
      <c r="AG68" s="87" t="inlineStr">
        <is>
          <t>USOU</t>
        </is>
      </c>
      <c r="AH68" s="86" t="n">
        <v>46209</v>
      </c>
      <c r="AI68" s="86" t="n">
        <v>46216</v>
      </c>
      <c r="AJ68" s="86" t="n">
        <v>46223</v>
      </c>
      <c r="AK68" s="86" t="n">
        <v>46230</v>
      </c>
      <c r="AL68" s="87" t="inlineStr">
        <is>
          <t>USOU</t>
        </is>
      </c>
      <c r="AM68" s="86" t="n">
        <v>46237</v>
      </c>
      <c r="AN68" s="86" t="n">
        <v>46244</v>
      </c>
      <c r="AO68" s="86" t="n">
        <v>46251</v>
      </c>
      <c r="AP68" s="86" t="n">
        <v>46258</v>
      </c>
      <c r="AQ68" s="86" t="n">
        <v>46265</v>
      </c>
      <c r="AR68" s="87" t="inlineStr">
        <is>
          <t>USOU</t>
        </is>
      </c>
      <c r="AS68" s="86" t="n">
        <v>46272</v>
      </c>
      <c r="AT68" s="86" t="n">
        <v>46279</v>
      </c>
      <c r="AU68" s="86" t="n">
        <v>46286</v>
      </c>
      <c r="AV68" s="86" t="n">
        <v>46293</v>
      </c>
      <c r="AW68" s="87" t="inlineStr">
        <is>
          <t>USOU</t>
        </is>
      </c>
      <c r="AX68" s="86" t="n">
        <v>46300</v>
      </c>
      <c r="AY68" s="86" t="n">
        <v>46307</v>
      </c>
      <c r="AZ68" s="86" t="n">
        <v>46314</v>
      </c>
      <c r="BA68" s="86" t="n">
        <v>46321</v>
      </c>
      <c r="BB68" s="87" t="inlineStr">
        <is>
          <t>USOU</t>
        </is>
      </c>
      <c r="BC68" s="86" t="n">
        <v>46328</v>
      </c>
      <c r="BD68" s="86" t="n">
        <v>46335</v>
      </c>
      <c r="BE68" s="86" t="n">
        <v>46342</v>
      </c>
      <c r="BF68" s="86" t="n">
        <v>46349</v>
      </c>
      <c r="BG68" s="86" t="n">
        <v>46356</v>
      </c>
      <c r="BH68" s="87" t="inlineStr">
        <is>
          <t>USOU</t>
        </is>
      </c>
      <c r="BI68" s="86" t="n">
        <v>46363</v>
      </c>
      <c r="BJ68" s="86" t="n">
        <v>46370</v>
      </c>
      <c r="BK68" s="86" t="n">
        <v>46377</v>
      </c>
      <c r="BL68" s="86" t="n">
        <v>46384</v>
      </c>
      <c r="BM68" s="87" t="inlineStr">
        <is>
          <t>USOU</t>
        </is>
      </c>
    </row>
    <row r="69" ht="15.75" customHeight="1">
      <c r="A69" s="91" t="inlineStr">
        <is>
          <t>SACOLA PP VERDE</t>
        </is>
      </c>
      <c r="B69" s="89" t="n">
        <v>100</v>
      </c>
      <c r="C69" s="89" t="n">
        <v>35</v>
      </c>
      <c r="D69" s="89" t="n">
        <v>0</v>
      </c>
      <c r="E69" s="89" t="n">
        <v>0</v>
      </c>
      <c r="F69" s="90">
        <f>B69+C69+D69+E69</f>
        <v/>
      </c>
      <c r="G69" s="89" t="n">
        <v>0</v>
      </c>
      <c r="H69" s="89" t="n">
        <v>0</v>
      </c>
      <c r="I69" s="89" t="n">
        <v>0</v>
      </c>
      <c r="J69" s="89" t="n">
        <v>0</v>
      </c>
      <c r="K69" s="90">
        <f>G69+H69+I69+J69</f>
        <v/>
      </c>
      <c r="L69" s="89" t="n">
        <v>300</v>
      </c>
      <c r="M69" s="89" t="n">
        <v>0</v>
      </c>
      <c r="N69" s="89" t="n">
        <v>0</v>
      </c>
      <c r="O69" s="89" t="n">
        <v>0</v>
      </c>
      <c r="P69" s="89" t="n">
        <v>0</v>
      </c>
      <c r="Q69" s="90">
        <f>L69+M69+N69+O69+P69</f>
        <v/>
      </c>
      <c r="R69" s="89" t="n"/>
      <c r="S69" s="89" t="n"/>
      <c r="T69" s="89" t="n"/>
      <c r="U69" s="89" t="n"/>
      <c r="V69" s="90">
        <f>R69+S69+T69+U69</f>
        <v/>
      </c>
      <c r="W69" s="89" t="n">
        <v>0</v>
      </c>
      <c r="X69" s="89" t="n">
        <v>0</v>
      </c>
      <c r="Y69" s="89" t="n"/>
      <c r="Z69" s="89" t="n"/>
      <c r="AA69" s="90">
        <f>W69+X69+Y69+Z69</f>
        <v/>
      </c>
      <c r="AB69" s="89" t="n"/>
      <c r="AC69" s="89" t="n"/>
      <c r="AD69" s="89" t="n"/>
      <c r="AE69" s="89" t="n"/>
      <c r="AF69" s="89" t="n"/>
      <c r="AG69" s="90">
        <f>AB69+AC69+AD69+AE69+AF69</f>
        <v/>
      </c>
      <c r="AH69" s="89" t="n"/>
      <c r="AI69" s="89" t="n"/>
      <c r="AJ69" s="89" t="n"/>
      <c r="AK69" s="89" t="n"/>
      <c r="AL69" s="90">
        <f>AH69+AI69+AJ69+AK69</f>
        <v/>
      </c>
      <c r="AM69" s="89" t="n"/>
      <c r="AN69" s="89" t="n"/>
      <c r="AO69" s="89" t="n"/>
      <c r="AP69" s="89" t="n"/>
      <c r="AQ69" s="89" t="n"/>
      <c r="AR69" s="90">
        <f>AM69+AN69+AO69+AP69+AQ69</f>
        <v/>
      </c>
      <c r="AS69" s="89" t="n"/>
      <c r="AT69" s="89" t="n"/>
      <c r="AU69" s="89" t="n"/>
      <c r="AV69" s="89" t="n"/>
      <c r="AW69" s="90">
        <f>AS69+AT69+AU69+AV69</f>
        <v/>
      </c>
      <c r="AX69" s="89" t="n"/>
      <c r="AY69" s="89" t="n"/>
      <c r="AZ69" s="89" t="n"/>
      <c r="BA69" s="89" t="n"/>
      <c r="BB69" s="90">
        <f>AX69+AY69+AZ69+BA69</f>
        <v/>
      </c>
      <c r="BC69" s="89" t="n"/>
      <c r="BD69" s="89" t="n"/>
      <c r="BE69" s="89" t="n"/>
      <c r="BF69" s="89" t="n"/>
      <c r="BG69" s="89" t="n"/>
      <c r="BH69" s="90">
        <f>BC69+BD69+BE69+BF69+BG69</f>
        <v/>
      </c>
      <c r="BI69" s="89" t="n"/>
      <c r="BJ69" s="89" t="n"/>
      <c r="BK69" s="89" t="n"/>
      <c r="BL69" s="89" t="n"/>
      <c r="BM69" s="90">
        <f>BI69+BJ69+BK69+BL69</f>
        <v/>
      </c>
    </row>
    <row r="70" ht="15.75" customHeight="1">
      <c r="A70" s="91" t="inlineStr">
        <is>
          <t>SACOLA P VERDE</t>
        </is>
      </c>
      <c r="B70" s="89" t="n">
        <v>200</v>
      </c>
      <c r="C70" s="89" t="n">
        <v>200</v>
      </c>
      <c r="D70" s="89" t="n">
        <v>200</v>
      </c>
      <c r="E70" s="89" t="n">
        <v>50</v>
      </c>
      <c r="F70" s="90">
        <f>B70+C70+D70+E70</f>
        <v/>
      </c>
      <c r="G70" s="89" t="n">
        <v>0</v>
      </c>
      <c r="H70" s="89" t="n">
        <v>150</v>
      </c>
      <c r="I70" s="89" t="n">
        <v>200</v>
      </c>
      <c r="J70" s="89" t="n">
        <v>200</v>
      </c>
      <c r="K70" s="90">
        <f>G70+H70+I70+J70</f>
        <v/>
      </c>
      <c r="L70" s="89" t="n">
        <v>200</v>
      </c>
      <c r="M70" s="89" t="n">
        <v>0</v>
      </c>
      <c r="N70" s="89" t="n">
        <v>200</v>
      </c>
      <c r="O70" s="89" t="n">
        <v>200</v>
      </c>
      <c r="P70" s="89" t="n">
        <v>200</v>
      </c>
      <c r="Q70" s="90">
        <f>L70+M70+N70+O70+P70</f>
        <v/>
      </c>
      <c r="R70" s="89" t="n"/>
      <c r="S70" s="89" t="n"/>
      <c r="T70" s="89" t="n"/>
      <c r="U70" s="89" t="n"/>
      <c r="V70" s="90">
        <f>R70+S70+T70+U70</f>
        <v/>
      </c>
      <c r="W70" s="89" t="n">
        <v>0</v>
      </c>
      <c r="X70" s="89" t="n">
        <v>200</v>
      </c>
      <c r="Y70" s="89" t="n"/>
      <c r="Z70" s="89" t="n"/>
      <c r="AA70" s="90">
        <f>W70+X70+Y70+Z70</f>
        <v/>
      </c>
      <c r="AB70" s="89" t="n"/>
      <c r="AC70" s="89" t="n"/>
      <c r="AD70" s="89" t="n"/>
      <c r="AE70" s="89" t="n"/>
      <c r="AF70" s="89" t="n"/>
      <c r="AG70" s="90">
        <f>AB70+AC70+AD70+AE70+AF70</f>
        <v/>
      </c>
      <c r="AH70" s="89" t="n"/>
      <c r="AI70" s="89" t="n"/>
      <c r="AJ70" s="89" t="n"/>
      <c r="AK70" s="89" t="n"/>
      <c r="AL70" s="90">
        <f>AH70+AI70+AJ70+AK70</f>
        <v/>
      </c>
      <c r="AM70" s="89" t="n"/>
      <c r="AN70" s="89" t="n"/>
      <c r="AO70" s="89" t="n"/>
      <c r="AP70" s="89" t="n"/>
      <c r="AQ70" s="89" t="n"/>
      <c r="AR70" s="90">
        <f>AM70+AN70+AO70+AP70+AQ70</f>
        <v/>
      </c>
      <c r="AS70" s="89" t="n"/>
      <c r="AT70" s="89" t="n"/>
      <c r="AU70" s="89" t="n"/>
      <c r="AV70" s="89" t="n"/>
      <c r="AW70" s="90">
        <f>AS70+AT70+AU70+AV70</f>
        <v/>
      </c>
      <c r="AX70" s="89" t="n"/>
      <c r="AY70" s="89" t="n"/>
      <c r="AZ70" s="89" t="n"/>
      <c r="BA70" s="89" t="n"/>
      <c r="BB70" s="90">
        <f>AX70+AY70+AZ70+BA70</f>
        <v/>
      </c>
      <c r="BC70" s="89" t="n"/>
      <c r="BD70" s="89" t="n"/>
      <c r="BE70" s="89" t="n"/>
      <c r="BF70" s="89" t="n"/>
      <c r="BG70" s="89" t="n"/>
      <c r="BH70" s="90">
        <f>BC70+BD70+BE70+BF70+BG70</f>
        <v/>
      </c>
      <c r="BI70" s="89" t="n"/>
      <c r="BJ70" s="89" t="n"/>
      <c r="BK70" s="89" t="n"/>
      <c r="BL70" s="89" t="n"/>
      <c r="BM70" s="90">
        <f>BI70+BJ70+BK70+BL70</f>
        <v/>
      </c>
    </row>
    <row r="71" ht="15.75" customHeight="1">
      <c r="A71" s="91" t="inlineStr">
        <is>
          <t>SACOLA M VERDE</t>
        </is>
      </c>
      <c r="B71" s="89" t="n">
        <v>0</v>
      </c>
      <c r="C71" s="89" t="n">
        <v>0</v>
      </c>
      <c r="D71" s="89" t="n">
        <v>200</v>
      </c>
      <c r="E71" s="89" t="n">
        <v>0</v>
      </c>
      <c r="F71" s="90">
        <f>B71+C71+D71+E71</f>
        <v/>
      </c>
      <c r="G71" s="89" t="n">
        <v>0</v>
      </c>
      <c r="H71" s="89" t="n">
        <v>0</v>
      </c>
      <c r="I71" s="89" t="n">
        <v>0</v>
      </c>
      <c r="J71" s="89" t="n">
        <v>0</v>
      </c>
      <c r="K71" s="90">
        <f>G71+H71+I71+J71</f>
        <v/>
      </c>
      <c r="L71" s="89" t="n">
        <v>0</v>
      </c>
      <c r="M71" s="89" t="n">
        <v>200</v>
      </c>
      <c r="N71" s="89" t="n">
        <v>0</v>
      </c>
      <c r="O71" s="89" t="n">
        <v>200</v>
      </c>
      <c r="P71" s="89" t="n">
        <v>0</v>
      </c>
      <c r="Q71" s="90">
        <f>L71+M71+N71+O71+P71</f>
        <v/>
      </c>
      <c r="R71" s="89" t="n"/>
      <c r="S71" s="89" t="n"/>
      <c r="T71" s="89" t="n"/>
      <c r="U71" s="89" t="n"/>
      <c r="V71" s="90">
        <f>R71+S71+T71+U71</f>
        <v/>
      </c>
      <c r="W71" s="89" t="n">
        <v>0</v>
      </c>
      <c r="X71" s="89" t="n">
        <v>200</v>
      </c>
      <c r="Y71" s="89" t="n"/>
      <c r="Z71" s="89" t="n"/>
      <c r="AA71" s="90">
        <f>W71+X71+Y71+Z71</f>
        <v/>
      </c>
      <c r="AB71" s="89" t="n"/>
      <c r="AC71" s="89" t="n"/>
      <c r="AD71" s="89" t="n"/>
      <c r="AE71" s="89" t="n"/>
      <c r="AF71" s="89" t="n"/>
      <c r="AG71" s="90">
        <f>AB71+AC71+AD71+AE71+AF71</f>
        <v/>
      </c>
      <c r="AH71" s="89" t="n"/>
      <c r="AI71" s="89" t="n"/>
      <c r="AJ71" s="89" t="n"/>
      <c r="AK71" s="89" t="n"/>
      <c r="AL71" s="90">
        <f>AH71+AI71+AJ71+AK71</f>
        <v/>
      </c>
      <c r="AM71" s="89" t="n"/>
      <c r="AN71" s="89" t="n"/>
      <c r="AO71" s="89" t="n"/>
      <c r="AP71" s="89" t="n"/>
      <c r="AQ71" s="89" t="n"/>
      <c r="AR71" s="90">
        <f>AM71+AN71+AO71+AP71+AQ71</f>
        <v/>
      </c>
      <c r="AS71" s="89" t="n"/>
      <c r="AT71" s="89" t="n"/>
      <c r="AU71" s="89" t="n"/>
      <c r="AV71" s="89" t="n"/>
      <c r="AW71" s="90">
        <f>AS71+AT71+AU71+AV71</f>
        <v/>
      </c>
      <c r="AX71" s="89" t="n"/>
      <c r="AY71" s="89" t="n"/>
      <c r="AZ71" s="89" t="n"/>
      <c r="BA71" s="89" t="n"/>
      <c r="BB71" s="90">
        <f>AX71+AY71+AZ71+BA71</f>
        <v/>
      </c>
      <c r="BC71" s="89" t="n"/>
      <c r="BD71" s="89" t="n"/>
      <c r="BE71" s="89" t="n"/>
      <c r="BF71" s="89" t="n"/>
      <c r="BG71" s="89" t="n"/>
      <c r="BH71" s="90">
        <f>BC71+BD71+BE71+BF71+BG71</f>
        <v/>
      </c>
      <c r="BI71" s="89" t="n"/>
      <c r="BJ71" s="89" t="n"/>
      <c r="BK71" s="89" t="n"/>
      <c r="BL71" s="89" t="n"/>
      <c r="BM71" s="90">
        <f>BI71+BJ71+BK71+BL71</f>
        <v/>
      </c>
    </row>
    <row r="72" ht="15.75" customHeight="1">
      <c r="A72" s="92" t="inlineStr">
        <is>
          <t>SACOLA G VERDE</t>
        </is>
      </c>
      <c r="B72" s="89" t="n">
        <v>0</v>
      </c>
      <c r="C72" s="89" t="n">
        <v>0</v>
      </c>
      <c r="D72" s="89" t="n">
        <v>0</v>
      </c>
      <c r="E72" s="89" t="n">
        <v>0</v>
      </c>
      <c r="F72" s="90">
        <f>B72+C72+D72+E72</f>
        <v/>
      </c>
      <c r="G72" s="89" t="n">
        <v>32</v>
      </c>
      <c r="H72" s="89" t="n">
        <v>0</v>
      </c>
      <c r="I72" s="89" t="n">
        <v>0</v>
      </c>
      <c r="J72" s="89" t="n">
        <v>0</v>
      </c>
      <c r="K72" s="90">
        <f>G72+H72+I72+J72</f>
        <v/>
      </c>
      <c r="L72" s="89" t="n">
        <v>0</v>
      </c>
      <c r="M72" s="89" t="n">
        <v>0</v>
      </c>
      <c r="N72" s="89" t="n">
        <v>0</v>
      </c>
      <c r="O72" s="89" t="n">
        <v>0</v>
      </c>
      <c r="P72" s="89" t="n">
        <v>0</v>
      </c>
      <c r="Q72" s="90">
        <f>L72+M72+N72+O72+P72</f>
        <v/>
      </c>
      <c r="R72" s="89" t="n"/>
      <c r="S72" s="89" t="n"/>
      <c r="T72" s="89" t="n"/>
      <c r="U72" s="89" t="n"/>
      <c r="V72" s="90">
        <f>R72+S72+T72+U72</f>
        <v/>
      </c>
      <c r="W72" s="89" t="n">
        <v>0</v>
      </c>
      <c r="X72" s="89" t="n">
        <v>0</v>
      </c>
      <c r="Y72" s="89" t="n"/>
      <c r="Z72" s="89" t="n"/>
      <c r="AA72" s="90">
        <f>W72+X72+Y72+Z72</f>
        <v/>
      </c>
      <c r="AB72" s="89" t="n"/>
      <c r="AC72" s="89" t="n"/>
      <c r="AD72" s="89" t="n"/>
      <c r="AE72" s="89" t="n"/>
      <c r="AF72" s="89" t="n"/>
      <c r="AG72" s="90">
        <f>AB72+AC72+AD72+AE72+AF72</f>
        <v/>
      </c>
      <c r="AH72" s="89" t="n"/>
      <c r="AI72" s="89" t="n"/>
      <c r="AJ72" s="89" t="n"/>
      <c r="AK72" s="89" t="n"/>
      <c r="AL72" s="90">
        <f>AH72+AI72+AJ72+AK72</f>
        <v/>
      </c>
      <c r="AM72" s="89" t="n"/>
      <c r="AN72" s="89" t="n"/>
      <c r="AO72" s="89" t="n"/>
      <c r="AP72" s="89" t="n"/>
      <c r="AQ72" s="89" t="n"/>
      <c r="AR72" s="90">
        <f>AM72+AN72+AO72+AP72+AQ72</f>
        <v/>
      </c>
      <c r="AS72" s="89" t="n"/>
      <c r="AT72" s="89" t="n"/>
      <c r="AU72" s="89" t="n"/>
      <c r="AV72" s="89" t="n"/>
      <c r="AW72" s="90">
        <f>AS72+AT72+AU72+AV72</f>
        <v/>
      </c>
      <c r="AX72" s="89" t="n"/>
      <c r="AY72" s="89" t="n"/>
      <c r="AZ72" s="89" t="n"/>
      <c r="BA72" s="89" t="n"/>
      <c r="BB72" s="90">
        <f>AX72+AY72+AZ72+BA72</f>
        <v/>
      </c>
      <c r="BC72" s="89" t="n"/>
      <c r="BD72" s="89" t="n"/>
      <c r="BE72" s="89" t="n"/>
      <c r="BF72" s="89" t="n"/>
      <c r="BG72" s="89" t="n"/>
      <c r="BH72" s="90">
        <f>BC72+BD72+BE72+BF72+BG72</f>
        <v/>
      </c>
      <c r="BI72" s="89" t="n"/>
      <c r="BJ72" s="89" t="n"/>
      <c r="BK72" s="89" t="n"/>
      <c r="BL72" s="89" t="n"/>
      <c r="BM72" s="90">
        <f>BI72+BJ72+BK72+BL72</f>
        <v/>
      </c>
    </row>
    <row r="73" ht="15.75" customHeight="1">
      <c r="A73" s="93" t="inlineStr">
        <is>
          <t xml:space="preserve">PAPEL DE SEDA </t>
        </is>
      </c>
      <c r="B73" s="89" t="n">
        <v>0</v>
      </c>
      <c r="C73" s="89" t="n">
        <v>0</v>
      </c>
      <c r="D73" s="89" t="n">
        <v>0</v>
      </c>
      <c r="E73" s="89" t="n">
        <v>1</v>
      </c>
      <c r="F73" s="90">
        <f>B73+C73+D73+E73</f>
        <v/>
      </c>
      <c r="G73" s="89" t="n">
        <v>1</v>
      </c>
      <c r="H73" s="89" t="n">
        <v>1</v>
      </c>
      <c r="I73" s="89" t="n">
        <v>0</v>
      </c>
      <c r="J73" s="89" t="n">
        <v>0</v>
      </c>
      <c r="K73" s="90">
        <f>G73+H73+I73+J73</f>
        <v/>
      </c>
      <c r="L73" s="89" t="n">
        <v>0</v>
      </c>
      <c r="M73" s="89" t="n">
        <v>1</v>
      </c>
      <c r="N73" s="89" t="n">
        <v>1</v>
      </c>
      <c r="O73" s="89" t="n">
        <v>0</v>
      </c>
      <c r="P73" s="89" t="n">
        <v>2</v>
      </c>
      <c r="Q73" s="90">
        <f>L73+M73+N73+O73+P73</f>
        <v/>
      </c>
      <c r="R73" s="89" t="n"/>
      <c r="S73" s="89" t="n"/>
      <c r="T73" s="89" t="n"/>
      <c r="U73" s="89" t="n"/>
      <c r="V73" s="90">
        <f>R73+S73+T73+U73</f>
        <v/>
      </c>
      <c r="W73" s="89" t="n">
        <v>0</v>
      </c>
      <c r="X73" s="89" t="n">
        <v>1</v>
      </c>
      <c r="Y73" s="89" t="n"/>
      <c r="Z73" s="89" t="n"/>
      <c r="AA73" s="90">
        <f>W73+X73+Y73+Z73</f>
        <v/>
      </c>
      <c r="AB73" s="89" t="n"/>
      <c r="AC73" s="89" t="n"/>
      <c r="AD73" s="89" t="n"/>
      <c r="AE73" s="89" t="n"/>
      <c r="AF73" s="89" t="n"/>
      <c r="AG73" s="90">
        <f>AB73+AC73+AD73+AE73+AF73</f>
        <v/>
      </c>
      <c r="AH73" s="89" t="n"/>
      <c r="AI73" s="89" t="n"/>
      <c r="AJ73" s="89" t="n"/>
      <c r="AK73" s="89" t="n"/>
      <c r="AL73" s="90">
        <f>AH73+AI73+AJ73+AK73</f>
        <v/>
      </c>
      <c r="AM73" s="89" t="n"/>
      <c r="AN73" s="89" t="n"/>
      <c r="AO73" s="89" t="n"/>
      <c r="AP73" s="89" t="n"/>
      <c r="AQ73" s="89" t="n"/>
      <c r="AR73" s="90">
        <f>AM73+AN73+AO73+AP73+AQ73</f>
        <v/>
      </c>
      <c r="AS73" s="89" t="n"/>
      <c r="AT73" s="89" t="n"/>
      <c r="AU73" s="89" t="n"/>
      <c r="AV73" s="89" t="n"/>
      <c r="AW73" s="90">
        <f>AS73+AT73+AU73+AV73</f>
        <v/>
      </c>
      <c r="AX73" s="89" t="n"/>
      <c r="AY73" s="89" t="n"/>
      <c r="AZ73" s="89" t="n"/>
      <c r="BA73" s="89" t="n"/>
      <c r="BB73" s="90">
        <f>AX73+AY73+AZ73+BA73</f>
        <v/>
      </c>
      <c r="BC73" s="89" t="n"/>
      <c r="BD73" s="89" t="n"/>
      <c r="BE73" s="89" t="n"/>
      <c r="BF73" s="89" t="n"/>
      <c r="BG73" s="89" t="n"/>
      <c r="BH73" s="90">
        <f>BC73+BD73+BE73+BF73+BG73</f>
        <v/>
      </c>
      <c r="BI73" s="89" t="n"/>
      <c r="BJ73" s="89" t="n"/>
      <c r="BK73" s="89" t="n"/>
      <c r="BL73" s="89" t="n"/>
      <c r="BM73" s="90">
        <f>BI73+BJ73+BK73+BL73</f>
        <v/>
      </c>
    </row>
    <row r="74" ht="15.75" customHeight="1">
      <c r="A74" s="93" t="inlineStr">
        <is>
          <t>ETIQUETAS</t>
        </is>
      </c>
      <c r="B74" s="89" t="n">
        <v>0</v>
      </c>
      <c r="C74" s="89" t="n">
        <v>0</v>
      </c>
      <c r="D74" s="89" t="n">
        <v>0</v>
      </c>
      <c r="E74" s="89" t="n">
        <v>0</v>
      </c>
      <c r="F74" s="90">
        <f>B74+C74+D74+E74</f>
        <v/>
      </c>
      <c r="G74" s="89" t="n">
        <v>0</v>
      </c>
      <c r="H74" s="89" t="n">
        <v>0</v>
      </c>
      <c r="I74" s="89" t="n">
        <v>0</v>
      </c>
      <c r="J74" s="89" t="n">
        <v>0</v>
      </c>
      <c r="K74" s="90">
        <f>G74+H74+I74+J74</f>
        <v/>
      </c>
      <c r="L74" s="89" t="n">
        <v>0</v>
      </c>
      <c r="M74" s="89" t="n">
        <v>0</v>
      </c>
      <c r="N74" s="89" t="n">
        <v>0</v>
      </c>
      <c r="O74" s="89" t="n">
        <v>1</v>
      </c>
      <c r="P74" s="89" t="n">
        <v>0</v>
      </c>
      <c r="Q74" s="90">
        <f>L74+M74+N74+O74+P74</f>
        <v/>
      </c>
      <c r="R74" s="89" t="n"/>
      <c r="S74" s="89" t="n"/>
      <c r="T74" s="89" t="n"/>
      <c r="U74" s="89" t="n"/>
      <c r="V74" s="90">
        <f>R74+S74+T74+U74</f>
        <v/>
      </c>
      <c r="W74" s="89" t="n">
        <v>0</v>
      </c>
      <c r="X74" s="89" t="n">
        <v>1</v>
      </c>
      <c r="Y74" s="89" t="n"/>
      <c r="Z74" s="89" t="n"/>
      <c r="AA74" s="90">
        <f>W74+X74+Y74+Z74</f>
        <v/>
      </c>
      <c r="AB74" s="89" t="n"/>
      <c r="AC74" s="89" t="n"/>
      <c r="AD74" s="89" t="n"/>
      <c r="AE74" s="89" t="n"/>
      <c r="AF74" s="89" t="n"/>
      <c r="AG74" s="90">
        <f>AB74+AC74+AD74+AE74+AF74</f>
        <v/>
      </c>
      <c r="AH74" s="89" t="n"/>
      <c r="AI74" s="89" t="n"/>
      <c r="AJ74" s="89" t="n"/>
      <c r="AK74" s="89" t="n"/>
      <c r="AL74" s="90">
        <f>AH74+AI74+AJ74+AK74</f>
        <v/>
      </c>
      <c r="AM74" s="89" t="n"/>
      <c r="AN74" s="89" t="n"/>
      <c r="AO74" s="89" t="n"/>
      <c r="AP74" s="89" t="n"/>
      <c r="AQ74" s="89" t="n"/>
      <c r="AR74" s="90">
        <f>AM74+AN74+AO74+AP74+AQ74</f>
        <v/>
      </c>
      <c r="AS74" s="89" t="n"/>
      <c r="AT74" s="89" t="n"/>
      <c r="AU74" s="89" t="n"/>
      <c r="AV74" s="89" t="n"/>
      <c r="AW74" s="90">
        <f>AS74+AT74+AU74+AV74</f>
        <v/>
      </c>
      <c r="AX74" s="89" t="n"/>
      <c r="AY74" s="89" t="n"/>
      <c r="AZ74" s="89" t="n"/>
      <c r="BA74" s="89" t="n"/>
      <c r="BB74" s="90">
        <f>AX74+AY74+AZ74+BA74</f>
        <v/>
      </c>
      <c r="BC74" s="89" t="n"/>
      <c r="BD74" s="89" t="n"/>
      <c r="BE74" s="89" t="n"/>
      <c r="BF74" s="89" t="n"/>
      <c r="BG74" s="89" t="n"/>
      <c r="BH74" s="90">
        <f>BC74+BD74+BE74+BF74+BG74</f>
        <v/>
      </c>
      <c r="BI74" s="89" t="n"/>
      <c r="BJ74" s="89" t="n"/>
      <c r="BK74" s="89" t="n"/>
      <c r="BL74" s="89" t="n"/>
      <c r="BM74" s="90">
        <f>BI74+BJ74+BK74+BL74</f>
        <v/>
      </c>
    </row>
    <row r="75" ht="15.75" customHeight="1">
      <c r="A75" s="93" t="inlineStr">
        <is>
          <t xml:space="preserve">TAGS </t>
        </is>
      </c>
      <c r="B75" s="89" t="n">
        <v>0</v>
      </c>
      <c r="C75" s="89" t="n">
        <v>0</v>
      </c>
      <c r="D75" s="89" t="n">
        <v>0</v>
      </c>
      <c r="E75" s="89" t="n">
        <v>0</v>
      </c>
      <c r="F75" s="90">
        <f>B75+C75+D75+E75</f>
        <v/>
      </c>
      <c r="G75" s="89" t="n">
        <v>1</v>
      </c>
      <c r="H75" s="89" t="n">
        <v>1</v>
      </c>
      <c r="I75" s="89" t="n">
        <v>1</v>
      </c>
      <c r="J75" s="89" t="n">
        <v>0</v>
      </c>
      <c r="K75" s="90">
        <f>G75+H75+I75+J75</f>
        <v/>
      </c>
      <c r="L75" s="89" t="n">
        <v>0</v>
      </c>
      <c r="M75" s="89" t="n">
        <v>0</v>
      </c>
      <c r="N75" s="89" t="n">
        <v>0</v>
      </c>
      <c r="O75" s="89" t="n">
        <v>1</v>
      </c>
      <c r="P75" s="89" t="n">
        <v>0</v>
      </c>
      <c r="Q75" s="90">
        <f>L75+M75+N75+O75+P75</f>
        <v/>
      </c>
      <c r="R75" s="89" t="n"/>
      <c r="S75" s="89" t="n"/>
      <c r="T75" s="89" t="n"/>
      <c r="U75" s="89" t="n"/>
      <c r="V75" s="90">
        <f>R75+S75+T75+U75</f>
        <v/>
      </c>
      <c r="W75" s="89" t="n">
        <v>0</v>
      </c>
      <c r="X75" s="89" t="n">
        <v>2</v>
      </c>
      <c r="Y75" s="89" t="n"/>
      <c r="Z75" s="89" t="n"/>
      <c r="AA75" s="90">
        <f>W75+X75+Y75+Z75</f>
        <v/>
      </c>
      <c r="AB75" s="89" t="n"/>
      <c r="AC75" s="89" t="n"/>
      <c r="AD75" s="89" t="n"/>
      <c r="AE75" s="89" t="n"/>
      <c r="AF75" s="89" t="n"/>
      <c r="AG75" s="90">
        <f>AB75+AC75+AD75+AE75+AF75</f>
        <v/>
      </c>
      <c r="AH75" s="89" t="n"/>
      <c r="AI75" s="89" t="n"/>
      <c r="AJ75" s="89" t="n"/>
      <c r="AK75" s="89" t="n"/>
      <c r="AL75" s="90">
        <f>AH75+AI75+AJ75+AK75</f>
        <v/>
      </c>
      <c r="AM75" s="89" t="n"/>
      <c r="AN75" s="89" t="n"/>
      <c r="AO75" s="89" t="n"/>
      <c r="AP75" s="89" t="n"/>
      <c r="AQ75" s="89" t="n"/>
      <c r="AR75" s="90">
        <f>AM75+AN75+AO75+AP75+AQ75</f>
        <v/>
      </c>
      <c r="AS75" s="89" t="n"/>
      <c r="AT75" s="89" t="n"/>
      <c r="AU75" s="89" t="n"/>
      <c r="AV75" s="89" t="n"/>
      <c r="AW75" s="90">
        <f>AS75+AT75+AU75+AV75</f>
        <v/>
      </c>
      <c r="AX75" s="89" t="n"/>
      <c r="AY75" s="89" t="n"/>
      <c r="AZ75" s="89" t="n"/>
      <c r="BA75" s="89" t="n"/>
      <c r="BB75" s="90">
        <f>AX75+AY75+AZ75+BA75</f>
        <v/>
      </c>
      <c r="BC75" s="89" t="n"/>
      <c r="BD75" s="89" t="n"/>
      <c r="BE75" s="89" t="n"/>
      <c r="BF75" s="89" t="n"/>
      <c r="BG75" s="89" t="n"/>
      <c r="BH75" s="90">
        <f>BC75+BD75+BE75+BF75+BG75</f>
        <v/>
      </c>
      <c r="BI75" s="89" t="n"/>
      <c r="BJ75" s="89" t="n"/>
      <c r="BK75" s="89" t="n"/>
      <c r="BL75" s="89" t="n"/>
      <c r="BM75" s="90">
        <f>BI75+BJ75+BK75+BL75</f>
        <v/>
      </c>
    </row>
    <row r="76" ht="15.75" customHeight="1">
      <c r="A76" s="93" t="inlineStr">
        <is>
          <t>LÂMINA OLFATIVA</t>
        </is>
      </c>
      <c r="B76" s="89" t="n">
        <v>0</v>
      </c>
      <c r="C76" s="89" t="n">
        <v>0</v>
      </c>
      <c r="D76" s="89" t="n">
        <v>0</v>
      </c>
      <c r="E76" s="89" t="n">
        <v>0</v>
      </c>
      <c r="F76" s="90">
        <f>B76+C76+D76+E76</f>
        <v/>
      </c>
      <c r="G76" s="89" t="n">
        <v>0</v>
      </c>
      <c r="H76" s="89" t="n">
        <v>0</v>
      </c>
      <c r="I76" s="89" t="n">
        <v>0</v>
      </c>
      <c r="J76" s="89" t="n">
        <v>0</v>
      </c>
      <c r="K76" s="90">
        <f>G76+H76+I76+J76</f>
        <v/>
      </c>
      <c r="L76" s="89" t="n">
        <v>0</v>
      </c>
      <c r="M76" s="89" t="n">
        <v>0</v>
      </c>
      <c r="N76" s="89" t="n">
        <v>0</v>
      </c>
      <c r="O76" s="89" t="n">
        <v>1</v>
      </c>
      <c r="P76" s="89" t="n">
        <v>2</v>
      </c>
      <c r="Q76" s="90">
        <f>L76+M76+N76+O76+P76</f>
        <v/>
      </c>
      <c r="R76" s="89" t="n"/>
      <c r="S76" s="89" t="n"/>
      <c r="T76" s="89" t="n"/>
      <c r="U76" s="89" t="n"/>
      <c r="V76" s="90">
        <f>R76+S76+T76+U76</f>
        <v/>
      </c>
      <c r="W76" s="89" t="n">
        <v>0</v>
      </c>
      <c r="X76" s="89" t="n">
        <v>0</v>
      </c>
      <c r="Y76" s="89" t="n"/>
      <c r="Z76" s="89" t="n"/>
      <c r="AA76" s="90">
        <f>W76+X76+Y76+Z76</f>
        <v/>
      </c>
      <c r="AB76" s="89" t="n"/>
      <c r="AC76" s="89" t="n"/>
      <c r="AD76" s="89" t="n"/>
      <c r="AE76" s="89" t="n"/>
      <c r="AF76" s="89" t="n"/>
      <c r="AG76" s="90">
        <f>AB76+AC76+AD76+AE76+AF76</f>
        <v/>
      </c>
      <c r="AH76" s="89" t="n"/>
      <c r="AI76" s="89" t="n"/>
      <c r="AJ76" s="89" t="n"/>
      <c r="AK76" s="89" t="n"/>
      <c r="AL76" s="90">
        <f>AH76+AI76+AJ76+AK76</f>
        <v/>
      </c>
      <c r="AM76" s="89" t="n"/>
      <c r="AN76" s="89" t="n"/>
      <c r="AO76" s="89" t="n"/>
      <c r="AP76" s="89" t="n"/>
      <c r="AQ76" s="89" t="n"/>
      <c r="AR76" s="90">
        <f>AM76+AN76+AO76+AP76+AQ76</f>
        <v/>
      </c>
      <c r="AS76" s="89" t="n"/>
      <c r="AT76" s="89" t="n"/>
      <c r="AU76" s="89" t="n"/>
      <c r="AV76" s="89" t="n"/>
      <c r="AW76" s="90">
        <f>AS76+AT76+AU76+AV76</f>
        <v/>
      </c>
      <c r="AX76" s="89" t="n"/>
      <c r="AY76" s="89" t="n"/>
      <c r="AZ76" s="89" t="n"/>
      <c r="BA76" s="89" t="n"/>
      <c r="BB76" s="90">
        <f>AX76+AY76+AZ76+BA76</f>
        <v/>
      </c>
      <c r="BC76" s="89" t="n"/>
      <c r="BD76" s="89" t="n"/>
      <c r="BE76" s="89" t="n"/>
      <c r="BF76" s="89" t="n"/>
      <c r="BG76" s="89" t="n"/>
      <c r="BH76" s="90">
        <f>BC76+BD76+BE76+BF76+BG76</f>
        <v/>
      </c>
      <c r="BI76" s="89" t="n"/>
      <c r="BJ76" s="89" t="n"/>
      <c r="BK76" s="89" t="n"/>
      <c r="BL76" s="89" t="n"/>
      <c r="BM76" s="90">
        <f>BI76+BJ76+BK76+BL76</f>
        <v/>
      </c>
    </row>
    <row r="77" ht="15.75" customHeight="1">
      <c r="A77" s="94" t="inlineStr">
        <is>
          <t>TOTAL DE SACOLAS</t>
        </is>
      </c>
      <c r="B77" s="95">
        <f>SUM(B69:B72)</f>
        <v/>
      </c>
      <c r="C77" s="95">
        <f>SUM(C69:C72)</f>
        <v/>
      </c>
      <c r="D77" s="95">
        <f>SUM(D69:D72)</f>
        <v/>
      </c>
      <c r="E77" s="95">
        <f>SUM(E69:E72)</f>
        <v/>
      </c>
      <c r="F77" s="95">
        <f>SUM(F69:F72)</f>
        <v/>
      </c>
      <c r="G77" s="95">
        <f>SUM(G69:G72)</f>
        <v/>
      </c>
      <c r="H77" s="95">
        <f>SUM(H69:H72)</f>
        <v/>
      </c>
      <c r="I77" s="95">
        <f>SUM(I69:I72)</f>
        <v/>
      </c>
      <c r="J77" s="95">
        <f>SUM(J69:J72)</f>
        <v/>
      </c>
      <c r="K77" s="95">
        <f>SUM(K69:K72)</f>
        <v/>
      </c>
      <c r="L77" s="95">
        <f>SUM(L69:L72)</f>
        <v/>
      </c>
      <c r="M77" s="95">
        <f>SUM(M69:M72)</f>
        <v/>
      </c>
      <c r="N77" s="95">
        <f>SUM(N69:N72)</f>
        <v/>
      </c>
      <c r="O77" s="95">
        <f>SUM(O69:O72)</f>
        <v/>
      </c>
      <c r="P77" s="95">
        <f>SUM(P69:P72)</f>
        <v/>
      </c>
      <c r="Q77" s="95">
        <f>SUM(Q69:Q72)</f>
        <v/>
      </c>
      <c r="R77" s="95">
        <f>SUM(R69:R72)</f>
        <v/>
      </c>
      <c r="S77" s="95">
        <f>SUM(S69:S72)</f>
        <v/>
      </c>
      <c r="T77" s="95">
        <f>SUM(T69:T72)</f>
        <v/>
      </c>
      <c r="U77" s="95">
        <f>SUM(U69:U72)</f>
        <v/>
      </c>
      <c r="V77" s="95">
        <f>SUM(V69:V72)</f>
        <v/>
      </c>
      <c r="W77" s="95">
        <f>SUM(W69:W72)</f>
        <v/>
      </c>
      <c r="X77" s="95">
        <f>SUM(X69:X72)</f>
        <v/>
      </c>
      <c r="Y77" s="95">
        <f>SUM(Y69:Y72)</f>
        <v/>
      </c>
      <c r="Z77" s="95">
        <f>SUM(Z69:Z72)</f>
        <v/>
      </c>
      <c r="AA77" s="95">
        <f>SUM(AA69:AA72)</f>
        <v/>
      </c>
      <c r="AB77" s="95">
        <f>SUM(AB69:AB72)</f>
        <v/>
      </c>
      <c r="AC77" s="95">
        <f>SUM(AC69:AC72)</f>
        <v/>
      </c>
      <c r="AD77" s="95">
        <f>SUM(AD69:AD72)</f>
        <v/>
      </c>
      <c r="AE77" s="95">
        <f>SUM(AE69:AE72)</f>
        <v/>
      </c>
      <c r="AF77" s="95">
        <f>SUM(AF69:AF72)</f>
        <v/>
      </c>
      <c r="AG77" s="95">
        <f>SUM(AG69:AG72)</f>
        <v/>
      </c>
      <c r="AH77" s="95">
        <f>SUM(AH69:AH72)</f>
        <v/>
      </c>
      <c r="AI77" s="95">
        <f>SUM(AI69:AI72)</f>
        <v/>
      </c>
      <c r="AJ77" s="95">
        <f>SUM(AJ69:AJ72)</f>
        <v/>
      </c>
      <c r="AK77" s="95">
        <f>SUM(AK69:AK72)</f>
        <v/>
      </c>
      <c r="AL77" s="95">
        <f>SUM(AL69:AL72)</f>
        <v/>
      </c>
      <c r="AM77" s="95">
        <f>SUM(AM69:AM72)</f>
        <v/>
      </c>
      <c r="AN77" s="95">
        <f>SUM(AN69:AN72)</f>
        <v/>
      </c>
      <c r="AO77" s="95">
        <f>SUM(AO69:AO72)</f>
        <v/>
      </c>
      <c r="AP77" s="95">
        <f>SUM(AP69:AP72)</f>
        <v/>
      </c>
      <c r="AQ77" s="95">
        <f>SUM(AQ69:AQ72)</f>
        <v/>
      </c>
      <c r="AR77" s="95">
        <f>SUM(AR69:AR72)</f>
        <v/>
      </c>
      <c r="AS77" s="95">
        <f>SUM(AS69:AS72)</f>
        <v/>
      </c>
      <c r="AT77" s="95">
        <f>SUM(AT69:AT72)</f>
        <v/>
      </c>
      <c r="AU77" s="95">
        <f>SUM(AU69:AU72)</f>
        <v/>
      </c>
      <c r="AV77" s="95">
        <f>SUM(AV69:AV72)</f>
        <v/>
      </c>
      <c r="AW77" s="95">
        <f>SUM(AW69:AW72)</f>
        <v/>
      </c>
      <c r="AX77" s="95">
        <f>SUM(AX69:AX72)</f>
        <v/>
      </c>
      <c r="AY77" s="95">
        <f>SUM(AY69:AY72)</f>
        <v/>
      </c>
      <c r="AZ77" s="95">
        <f>SUM(AZ69:AZ72)</f>
        <v/>
      </c>
      <c r="BA77" s="95">
        <f>SUM(BA69:BA72)</f>
        <v/>
      </c>
      <c r="BB77" s="95">
        <f>SUM(BB69:BB72)</f>
        <v/>
      </c>
      <c r="BC77" s="95">
        <f>SUM(BC69:BC72)</f>
        <v/>
      </c>
      <c r="BD77" s="95">
        <f>SUM(BD69:BD72)</f>
        <v/>
      </c>
      <c r="BE77" s="95">
        <f>SUM(BE69:BE72)</f>
        <v/>
      </c>
      <c r="BF77" s="95">
        <f>SUM(BF69:BF72)</f>
        <v/>
      </c>
      <c r="BG77" s="95">
        <f>SUM(BG69:BG72)</f>
        <v/>
      </c>
      <c r="BH77" s="95">
        <f>SUM(BH69:BH72)</f>
        <v/>
      </c>
      <c r="BI77" s="95">
        <f>SUM(BI69:BI72)</f>
        <v/>
      </c>
      <c r="BJ77" s="95">
        <f>SUM(BJ69:BJ72)</f>
        <v/>
      </c>
      <c r="BK77" s="95">
        <f>SUM(BK69:BK72)</f>
        <v/>
      </c>
      <c r="BL77" s="95">
        <f>SUM(BL69:BL72)</f>
        <v/>
      </c>
      <c r="BM77" s="95">
        <f>SUM(BM69:BM72)</f>
        <v/>
      </c>
    </row>
    <row r="79" ht="18" customHeight="1">
      <c r="A79" s="506" t="inlineStr">
        <is>
          <t>GASTO DE SACOLAS E ITENS DOADOS 2026 - MENSAIS</t>
        </is>
      </c>
      <c r="B79" s="700" t="n"/>
      <c r="C79" s="700" t="n"/>
      <c r="D79" s="700" t="n"/>
      <c r="E79" s="700" t="n"/>
      <c r="F79" s="700" t="n"/>
      <c r="G79" s="700" t="n"/>
      <c r="H79" s="700" t="n"/>
      <c r="I79" s="700" t="n"/>
      <c r="J79" s="700" t="n"/>
      <c r="K79" s="700" t="n"/>
      <c r="L79" s="700" t="n"/>
      <c r="M79" s="700" t="n"/>
      <c r="N79" s="700" t="n"/>
      <c r="O79" s="700" t="n"/>
      <c r="P79" s="700" t="n"/>
      <c r="Q79" s="700" t="n"/>
      <c r="R79" s="700" t="n"/>
      <c r="S79" s="700" t="n"/>
      <c r="T79" s="700" t="n"/>
      <c r="U79" s="700" t="n"/>
      <c r="V79" s="700" t="n"/>
      <c r="W79" s="700" t="n"/>
      <c r="X79" s="700" t="n"/>
      <c r="Y79" s="700" t="n"/>
      <c r="Z79" s="700" t="n"/>
      <c r="AA79" s="700" t="n"/>
      <c r="AB79" s="700" t="n"/>
      <c r="AC79" s="700" t="n"/>
      <c r="AD79" s="700" t="n"/>
      <c r="AE79" s="700" t="n"/>
      <c r="AF79" s="700" t="n"/>
      <c r="AG79" s="700" t="n"/>
      <c r="AH79" s="700" t="n"/>
      <c r="AI79" s="700" t="n"/>
      <c r="AJ79" s="700" t="n"/>
      <c r="AK79" s="700" t="n"/>
      <c r="AL79" s="700" t="n"/>
      <c r="AM79" s="700" t="n"/>
      <c r="AN79" s="700" t="n"/>
      <c r="AO79" s="700" t="n"/>
      <c r="AP79" s="700" t="n"/>
      <c r="AQ79" s="700" t="n"/>
      <c r="AR79" s="700" t="n"/>
      <c r="AS79" s="700" t="n"/>
      <c r="AT79" s="700" t="n"/>
      <c r="AU79" s="700" t="n"/>
      <c r="AV79" s="700" t="n"/>
      <c r="AW79" s="700" t="n"/>
      <c r="AX79" s="700" t="n"/>
      <c r="AY79" s="700" t="n"/>
      <c r="AZ79" s="700" t="n"/>
      <c r="BA79" s="700" t="n"/>
      <c r="BB79" s="700" t="n"/>
      <c r="BC79" s="700" t="n"/>
      <c r="BD79" s="700" t="n"/>
      <c r="BE79" s="700" t="n"/>
      <c r="BF79" s="700" t="n"/>
      <c r="BG79" s="700" t="n"/>
      <c r="BH79" s="700" t="n"/>
      <c r="BI79" s="700" t="n"/>
      <c r="BJ79" s="700" t="n"/>
      <c r="BK79" s="700" t="n"/>
      <c r="BL79" s="700" t="n"/>
      <c r="BM79" s="700" t="n"/>
    </row>
    <row r="80" ht="18" customHeight="1">
      <c r="A80" s="701" t="inlineStr">
        <is>
          <t>DOIS CÓRREGOS</t>
        </is>
      </c>
      <c r="B80" s="701" t="inlineStr">
        <is>
          <t>JANEIRO</t>
        </is>
      </c>
      <c r="C80" s="666" t="n"/>
      <c r="D80" s="666" t="n"/>
      <c r="E80" s="666" t="n"/>
      <c r="F80" s="667" t="n"/>
      <c r="G80" s="701" t="inlineStr">
        <is>
          <t>FEVEREIRO</t>
        </is>
      </c>
      <c r="H80" s="666" t="n"/>
      <c r="I80" s="666" t="n"/>
      <c r="J80" s="666" t="n"/>
      <c r="K80" s="667" t="n"/>
      <c r="L80" s="701" t="inlineStr">
        <is>
          <t>MARÇO</t>
        </is>
      </c>
      <c r="M80" s="666" t="n"/>
      <c r="N80" s="666" t="n"/>
      <c r="O80" s="666" t="n"/>
      <c r="P80" s="666" t="n"/>
      <c r="Q80" s="667" t="n"/>
      <c r="R80" s="701" t="inlineStr">
        <is>
          <t>ABRIL</t>
        </is>
      </c>
      <c r="S80" s="666" t="n"/>
      <c r="T80" s="666" t="n"/>
      <c r="U80" s="666" t="n"/>
      <c r="V80" s="667" t="n"/>
      <c r="W80" s="701" t="inlineStr">
        <is>
          <t>MAIO</t>
        </is>
      </c>
      <c r="X80" s="666" t="n"/>
      <c r="Y80" s="666" t="n"/>
      <c r="Z80" s="666" t="n"/>
      <c r="AA80" s="667" t="n"/>
      <c r="AB80" s="701" t="inlineStr">
        <is>
          <t>JUNHO</t>
        </is>
      </c>
      <c r="AC80" s="666" t="n"/>
      <c r="AD80" s="666" t="n"/>
      <c r="AE80" s="666" t="n"/>
      <c r="AF80" s="666" t="n"/>
      <c r="AG80" s="667" t="n"/>
      <c r="AH80" s="701" t="inlineStr">
        <is>
          <t>JULHO</t>
        </is>
      </c>
      <c r="AI80" s="666" t="n"/>
      <c r="AJ80" s="666" t="n"/>
      <c r="AK80" s="666" t="n"/>
      <c r="AL80" s="667" t="n"/>
      <c r="AM80" s="701" t="inlineStr">
        <is>
          <t>AGOSTO</t>
        </is>
      </c>
      <c r="AN80" s="666" t="n"/>
      <c r="AO80" s="666" t="n"/>
      <c r="AP80" s="666" t="n"/>
      <c r="AQ80" s="666" t="n"/>
      <c r="AR80" s="667" t="n"/>
      <c r="AS80" s="701" t="inlineStr">
        <is>
          <t>SETEMBRO</t>
        </is>
      </c>
      <c r="AT80" s="666" t="n"/>
      <c r="AU80" s="666" t="n"/>
      <c r="AV80" s="666" t="n"/>
      <c r="AW80" s="667" t="n"/>
      <c r="AX80" s="701" t="inlineStr">
        <is>
          <t>OUTUBRO</t>
        </is>
      </c>
      <c r="AY80" s="666" t="n"/>
      <c r="AZ80" s="666" t="n"/>
      <c r="BA80" s="666" t="n"/>
      <c r="BB80" s="667" t="n"/>
      <c r="BC80" s="701" t="inlineStr">
        <is>
          <t>NOVEMBRO</t>
        </is>
      </c>
      <c r="BD80" s="666" t="n"/>
      <c r="BE80" s="666" t="n"/>
      <c r="BF80" s="666" t="n"/>
      <c r="BG80" s="666" t="n"/>
      <c r="BH80" s="667" t="n"/>
      <c r="BI80" s="701" t="inlineStr">
        <is>
          <t>DEZEMBRO</t>
        </is>
      </c>
      <c r="BJ80" s="666" t="n"/>
      <c r="BK80" s="666" t="n"/>
      <c r="BL80" s="666" t="n"/>
      <c r="BM80" s="667" t="n"/>
    </row>
    <row r="81" ht="15.75" customHeight="1">
      <c r="A81" s="668" t="n"/>
      <c r="B81" s="86" t="n">
        <v>46027</v>
      </c>
      <c r="C81" s="86" t="n">
        <v>46034</v>
      </c>
      <c r="D81" s="86" t="n">
        <v>46041</v>
      </c>
      <c r="E81" s="86" t="n">
        <v>46048</v>
      </c>
      <c r="F81" s="87" t="inlineStr">
        <is>
          <t>USOU</t>
        </is>
      </c>
      <c r="G81" s="86" t="n">
        <v>46055</v>
      </c>
      <c r="H81" s="86" t="n">
        <v>46062</v>
      </c>
      <c r="I81" s="86" t="n">
        <v>46069</v>
      </c>
      <c r="J81" s="86" t="n">
        <v>46076</v>
      </c>
      <c r="K81" s="87" t="inlineStr">
        <is>
          <t>USOU</t>
        </is>
      </c>
      <c r="L81" s="86" t="n">
        <v>46083</v>
      </c>
      <c r="M81" s="86" t="n">
        <v>46090</v>
      </c>
      <c r="N81" s="86" t="n">
        <v>46097</v>
      </c>
      <c r="O81" s="86" t="n">
        <v>46104</v>
      </c>
      <c r="P81" s="86" t="n">
        <v>46111</v>
      </c>
      <c r="Q81" s="87" t="inlineStr">
        <is>
          <t>USOU</t>
        </is>
      </c>
      <c r="R81" s="86" t="n">
        <v>46118</v>
      </c>
      <c r="S81" s="86" t="n">
        <v>46125</v>
      </c>
      <c r="T81" s="86" t="n">
        <v>46132</v>
      </c>
      <c r="U81" s="86" t="n">
        <v>46139</v>
      </c>
      <c r="V81" s="87" t="inlineStr">
        <is>
          <t>USOU</t>
        </is>
      </c>
      <c r="W81" s="86" t="n">
        <v>46146</v>
      </c>
      <c r="X81" s="86" t="n">
        <v>46153</v>
      </c>
      <c r="Y81" s="86" t="n">
        <v>46160</v>
      </c>
      <c r="Z81" s="86" t="n">
        <v>46167</v>
      </c>
      <c r="AA81" s="87" t="inlineStr">
        <is>
          <t>USOU</t>
        </is>
      </c>
      <c r="AB81" s="86" t="n">
        <v>46174</v>
      </c>
      <c r="AC81" s="86" t="n">
        <v>46181</v>
      </c>
      <c r="AD81" s="86" t="n">
        <v>46188</v>
      </c>
      <c r="AE81" s="86" t="n">
        <v>46195</v>
      </c>
      <c r="AF81" s="86" t="n">
        <v>46202</v>
      </c>
      <c r="AG81" s="87" t="inlineStr">
        <is>
          <t>USOU</t>
        </is>
      </c>
      <c r="AH81" s="86" t="n">
        <v>46209</v>
      </c>
      <c r="AI81" s="86" t="n">
        <v>46216</v>
      </c>
      <c r="AJ81" s="86" t="n">
        <v>46223</v>
      </c>
      <c r="AK81" s="86" t="n">
        <v>46230</v>
      </c>
      <c r="AL81" s="87" t="inlineStr">
        <is>
          <t>USOU</t>
        </is>
      </c>
      <c r="AM81" s="86" t="n">
        <v>46237</v>
      </c>
      <c r="AN81" s="86" t="n">
        <v>46244</v>
      </c>
      <c r="AO81" s="86" t="n">
        <v>46251</v>
      </c>
      <c r="AP81" s="86" t="n">
        <v>46258</v>
      </c>
      <c r="AQ81" s="86" t="n">
        <v>46265</v>
      </c>
      <c r="AR81" s="87" t="inlineStr">
        <is>
          <t>USOU</t>
        </is>
      </c>
      <c r="AS81" s="86" t="n">
        <v>46272</v>
      </c>
      <c r="AT81" s="86" t="n">
        <v>46279</v>
      </c>
      <c r="AU81" s="86" t="n">
        <v>46286</v>
      </c>
      <c r="AV81" s="86" t="n">
        <v>46293</v>
      </c>
      <c r="AW81" s="87" t="inlineStr">
        <is>
          <t>USOU</t>
        </is>
      </c>
      <c r="AX81" s="86" t="n">
        <v>46300</v>
      </c>
      <c r="AY81" s="86" t="n">
        <v>46307</v>
      </c>
      <c r="AZ81" s="86" t="n">
        <v>46314</v>
      </c>
      <c r="BA81" s="86" t="n">
        <v>46321</v>
      </c>
      <c r="BB81" s="87" t="inlineStr">
        <is>
          <t>USOU</t>
        </is>
      </c>
      <c r="BC81" s="86" t="n">
        <v>46328</v>
      </c>
      <c r="BD81" s="86" t="n">
        <v>46335</v>
      </c>
      <c r="BE81" s="86" t="n">
        <v>46342</v>
      </c>
      <c r="BF81" s="86" t="n">
        <v>46349</v>
      </c>
      <c r="BG81" s="86" t="n">
        <v>46356</v>
      </c>
      <c r="BH81" s="87" t="inlineStr">
        <is>
          <t>USOU</t>
        </is>
      </c>
      <c r="BI81" s="86" t="n">
        <v>46363</v>
      </c>
      <c r="BJ81" s="86" t="n">
        <v>46370</v>
      </c>
      <c r="BK81" s="86" t="n">
        <v>46377</v>
      </c>
      <c r="BL81" s="86" t="n">
        <v>46384</v>
      </c>
      <c r="BM81" s="87" t="inlineStr">
        <is>
          <t>USOU</t>
        </is>
      </c>
    </row>
    <row r="82" ht="15.75" customHeight="1">
      <c r="A82" s="91" t="inlineStr">
        <is>
          <t>SACOLA PP VERDE</t>
        </is>
      </c>
      <c r="B82" s="89" t="n">
        <v>0</v>
      </c>
      <c r="C82" s="89" t="n">
        <v>0</v>
      </c>
      <c r="D82" s="89" t="n">
        <v>90</v>
      </c>
      <c r="E82" s="89" t="n">
        <v>0</v>
      </c>
      <c r="F82" s="90">
        <f>B82+C82+D82+E82</f>
        <v/>
      </c>
      <c r="G82" s="89" t="n">
        <v>0</v>
      </c>
      <c r="H82" s="89" t="n">
        <v>0</v>
      </c>
      <c r="I82" s="89" t="n">
        <v>0</v>
      </c>
      <c r="J82" s="89" t="n">
        <v>50</v>
      </c>
      <c r="K82" s="90">
        <f>G82+H82+I82+J82</f>
        <v/>
      </c>
      <c r="L82" s="89" t="n">
        <v>0</v>
      </c>
      <c r="M82" s="89" t="n">
        <v>0</v>
      </c>
      <c r="N82" s="89" t="n">
        <v>55</v>
      </c>
      <c r="O82" s="89" t="n">
        <v>15</v>
      </c>
      <c r="P82" s="89" t="n">
        <v>150</v>
      </c>
      <c r="Q82" s="90">
        <f>L82+M82+N82+O82+P82</f>
        <v/>
      </c>
      <c r="R82" s="89" t="n"/>
      <c r="S82" s="89" t="n"/>
      <c r="T82" s="89" t="n"/>
      <c r="U82" s="89" t="n"/>
      <c r="V82" s="90">
        <f>R82+S82+T82+U82</f>
        <v/>
      </c>
      <c r="W82" s="89" t="n">
        <v>0</v>
      </c>
      <c r="X82" s="89" t="n">
        <v>100</v>
      </c>
      <c r="Y82" s="89" t="n"/>
      <c r="Z82" s="89" t="n"/>
      <c r="AA82" s="90">
        <f>W82+X82+Y82+Z82</f>
        <v/>
      </c>
      <c r="AB82" s="89" t="n"/>
      <c r="AC82" s="89" t="n"/>
      <c r="AD82" s="89" t="n"/>
      <c r="AE82" s="89" t="n"/>
      <c r="AF82" s="89" t="n"/>
      <c r="AG82" s="90">
        <f>AB82+AC82+AD82+AE82+AF82</f>
        <v/>
      </c>
      <c r="AH82" s="89" t="n"/>
      <c r="AI82" s="89" t="n"/>
      <c r="AJ82" s="89" t="n"/>
      <c r="AK82" s="89" t="n"/>
      <c r="AL82" s="90">
        <f>AH82+AI82+AJ82+AK82</f>
        <v/>
      </c>
      <c r="AM82" s="89" t="n"/>
      <c r="AN82" s="89" t="n"/>
      <c r="AO82" s="89" t="n"/>
      <c r="AP82" s="89" t="n"/>
      <c r="AQ82" s="89" t="n"/>
      <c r="AR82" s="90">
        <f>AM82+AN82+AO82+AP82+AQ82</f>
        <v/>
      </c>
      <c r="AS82" s="89" t="n"/>
      <c r="AT82" s="89" t="n"/>
      <c r="AU82" s="89" t="n"/>
      <c r="AV82" s="89" t="n"/>
      <c r="AW82" s="90">
        <f>AS82+AT82+AU82+AV82</f>
        <v/>
      </c>
      <c r="AX82" s="89" t="n"/>
      <c r="AY82" s="89" t="n"/>
      <c r="AZ82" s="89" t="n"/>
      <c r="BA82" s="89" t="n"/>
      <c r="BB82" s="90">
        <f>AX82+AY82+AZ82+BA82</f>
        <v/>
      </c>
      <c r="BC82" s="89" t="n"/>
      <c r="BD82" s="89" t="n"/>
      <c r="BE82" s="89" t="n"/>
      <c r="BF82" s="89" t="n"/>
      <c r="BG82" s="89" t="n"/>
      <c r="BH82" s="90">
        <f>BC82+BD82+BE82+BF82+BG82</f>
        <v/>
      </c>
      <c r="BI82" s="89" t="n"/>
      <c r="BJ82" s="89" t="n"/>
      <c r="BK82" s="89" t="n"/>
      <c r="BL82" s="89" t="n"/>
      <c r="BM82" s="90">
        <f>BI82+BJ82+BK82+BL82</f>
        <v/>
      </c>
    </row>
    <row r="83" ht="15.75" customHeight="1">
      <c r="A83" s="91" t="inlineStr">
        <is>
          <t>SACOLA P VERDE</t>
        </is>
      </c>
      <c r="B83" s="89" t="n">
        <v>100</v>
      </c>
      <c r="C83" s="89" t="n">
        <v>110</v>
      </c>
      <c r="D83" s="89" t="n">
        <v>90</v>
      </c>
      <c r="E83" s="89" t="n">
        <v>200</v>
      </c>
      <c r="F83" s="90">
        <f>B83+C83+D83+E83</f>
        <v/>
      </c>
      <c r="G83" s="89" t="n">
        <v>0</v>
      </c>
      <c r="H83" s="89" t="n">
        <v>200</v>
      </c>
      <c r="I83" s="89" t="n">
        <v>160</v>
      </c>
      <c r="J83" s="89" t="n">
        <v>40</v>
      </c>
      <c r="K83" s="90">
        <f>G83+H83+I83+J83</f>
        <v/>
      </c>
      <c r="L83" s="89" t="n">
        <v>0</v>
      </c>
      <c r="M83" s="89" t="n">
        <v>290</v>
      </c>
      <c r="N83" s="89" t="n">
        <v>210</v>
      </c>
      <c r="O83" s="89" t="n">
        <v>20</v>
      </c>
      <c r="P83" s="89" t="n">
        <v>80</v>
      </c>
      <c r="Q83" s="90">
        <f>L83+M83+N83+O83+P83</f>
        <v/>
      </c>
      <c r="R83" s="89" t="n"/>
      <c r="S83" s="89" t="n"/>
      <c r="T83" s="89" t="n"/>
      <c r="U83" s="89" t="n"/>
      <c r="V83" s="90">
        <f>R83+S83+T83+U83</f>
        <v/>
      </c>
      <c r="W83" s="89" t="n">
        <v>30</v>
      </c>
      <c r="X83" s="89" t="n">
        <v>240</v>
      </c>
      <c r="Y83" s="89" t="n"/>
      <c r="Z83" s="89" t="n"/>
      <c r="AA83" s="90">
        <f>W83+X83+Y83+Z83</f>
        <v/>
      </c>
      <c r="AB83" s="89" t="n"/>
      <c r="AC83" s="89" t="n"/>
      <c r="AD83" s="89" t="n"/>
      <c r="AE83" s="89" t="n"/>
      <c r="AF83" s="89" t="n"/>
      <c r="AG83" s="90">
        <f>AB83+AC83+AD83+AE83+AF83</f>
        <v/>
      </c>
      <c r="AH83" s="89" t="n"/>
      <c r="AI83" s="89" t="n"/>
      <c r="AJ83" s="89" t="n"/>
      <c r="AK83" s="89" t="n"/>
      <c r="AL83" s="90">
        <f>AH83+AI83+AJ83+AK83</f>
        <v/>
      </c>
      <c r="AM83" s="89" t="n"/>
      <c r="AN83" s="89" t="n"/>
      <c r="AO83" s="89" t="n"/>
      <c r="AP83" s="89" t="n"/>
      <c r="AQ83" s="89" t="n"/>
      <c r="AR83" s="90">
        <f>AM83+AN83+AO83+AP83+AQ83</f>
        <v/>
      </c>
      <c r="AS83" s="89" t="n"/>
      <c r="AT83" s="89" t="n"/>
      <c r="AU83" s="89" t="n"/>
      <c r="AV83" s="89" t="n"/>
      <c r="AW83" s="90">
        <f>AS83+AT83+AU83+AV83</f>
        <v/>
      </c>
      <c r="AX83" s="89" t="n"/>
      <c r="AY83" s="89" t="n"/>
      <c r="AZ83" s="89" t="n"/>
      <c r="BA83" s="89" t="n"/>
      <c r="BB83" s="90">
        <f>AX83+AY83+AZ83+BA83</f>
        <v/>
      </c>
      <c r="BC83" s="89" t="n"/>
      <c r="BD83" s="89" t="n"/>
      <c r="BE83" s="89" t="n"/>
      <c r="BF83" s="89" t="n"/>
      <c r="BG83" s="89" t="n"/>
      <c r="BH83" s="90">
        <f>BC83+BD83+BE83+BF83+BG83</f>
        <v/>
      </c>
      <c r="BI83" s="89" t="n"/>
      <c r="BJ83" s="89" t="n"/>
      <c r="BK83" s="89" t="n"/>
      <c r="BL83" s="89" t="n"/>
      <c r="BM83" s="90">
        <f>BI83+BJ83+BK83+BL83</f>
        <v/>
      </c>
    </row>
    <row r="84" ht="15.75" customHeight="1">
      <c r="A84" s="91" t="inlineStr">
        <is>
          <t>SACOLA M VERDE</t>
        </is>
      </c>
      <c r="B84" s="89" t="n">
        <v>0</v>
      </c>
      <c r="C84" s="89" t="n">
        <v>100</v>
      </c>
      <c r="D84" s="89" t="n">
        <v>24</v>
      </c>
      <c r="E84" s="89" t="n">
        <v>30</v>
      </c>
      <c r="F84" s="90">
        <f>B84+C84+D84+E84</f>
        <v/>
      </c>
      <c r="G84" s="89" t="n">
        <v>120</v>
      </c>
      <c r="H84" s="89" t="n">
        <v>0</v>
      </c>
      <c r="I84" s="89" t="n">
        <v>0</v>
      </c>
      <c r="J84" s="89" t="n">
        <v>0</v>
      </c>
      <c r="K84" s="90">
        <f>G84+H84+I84+J84</f>
        <v/>
      </c>
      <c r="L84" s="89" t="n">
        <v>50</v>
      </c>
      <c r="M84" s="89" t="n">
        <v>0</v>
      </c>
      <c r="N84" s="89" t="n">
        <v>40</v>
      </c>
      <c r="O84" s="89" t="n">
        <v>0</v>
      </c>
      <c r="P84" s="89" t="n">
        <v>110</v>
      </c>
      <c r="Q84" s="90">
        <f>L84+M84+N84+O84+P84</f>
        <v/>
      </c>
      <c r="R84" s="89" t="n"/>
      <c r="S84" s="89" t="n"/>
      <c r="T84" s="89" t="n"/>
      <c r="U84" s="89" t="n"/>
      <c r="V84" s="90">
        <f>R84+S84+T84+U84</f>
        <v/>
      </c>
      <c r="W84" s="89" t="n">
        <v>0</v>
      </c>
      <c r="X84" s="89" t="n">
        <v>0</v>
      </c>
      <c r="Y84" s="89" t="n"/>
      <c r="Z84" s="89" t="n"/>
      <c r="AA84" s="90">
        <f>W84+X84+Y84+Z84</f>
        <v/>
      </c>
      <c r="AB84" s="89" t="n"/>
      <c r="AC84" s="89" t="n"/>
      <c r="AD84" s="89" t="n"/>
      <c r="AE84" s="89" t="n"/>
      <c r="AF84" s="89" t="n"/>
      <c r="AG84" s="90">
        <f>AB84+AC84+AD84+AE84+AF84</f>
        <v/>
      </c>
      <c r="AH84" s="89" t="n"/>
      <c r="AI84" s="89" t="n"/>
      <c r="AJ84" s="89" t="n"/>
      <c r="AK84" s="89" t="n"/>
      <c r="AL84" s="90">
        <f>AH84+AI84+AJ84+AK84</f>
        <v/>
      </c>
      <c r="AM84" s="89" t="n"/>
      <c r="AN84" s="89" t="n"/>
      <c r="AO84" s="89" t="n"/>
      <c r="AP84" s="89" t="n"/>
      <c r="AQ84" s="89" t="n"/>
      <c r="AR84" s="90">
        <f>AM84+AN84+AO84+AP84+AQ84</f>
        <v/>
      </c>
      <c r="AS84" s="89" t="n"/>
      <c r="AT84" s="89" t="n"/>
      <c r="AU84" s="89" t="n"/>
      <c r="AV84" s="89" t="n"/>
      <c r="AW84" s="90">
        <f>AS84+AT84+AU84+AV84</f>
        <v/>
      </c>
      <c r="AX84" s="89" t="n"/>
      <c r="AY84" s="89" t="n"/>
      <c r="AZ84" s="89" t="n"/>
      <c r="BA84" s="89" t="n"/>
      <c r="BB84" s="90">
        <f>AX84+AY84+AZ84+BA84</f>
        <v/>
      </c>
      <c r="BC84" s="89" t="n"/>
      <c r="BD84" s="89" t="n"/>
      <c r="BE84" s="89" t="n"/>
      <c r="BF84" s="89" t="n"/>
      <c r="BG84" s="89" t="n"/>
      <c r="BH84" s="90">
        <f>BC84+BD84+BE84+BF84+BG84</f>
        <v/>
      </c>
      <c r="BI84" s="89" t="n"/>
      <c r="BJ84" s="89" t="n"/>
      <c r="BK84" s="89" t="n"/>
      <c r="BL84" s="89" t="n"/>
      <c r="BM84" s="90">
        <f>BI84+BJ84+BK84+BL84</f>
        <v/>
      </c>
    </row>
    <row r="85" ht="15.75" customHeight="1">
      <c r="A85" s="92" t="inlineStr">
        <is>
          <t>SACOLA G VERDE</t>
        </is>
      </c>
      <c r="B85" s="89" t="n">
        <v>0</v>
      </c>
      <c r="C85" s="89" t="n">
        <v>0</v>
      </c>
      <c r="D85" s="89" t="n">
        <v>0</v>
      </c>
      <c r="E85" s="89" t="n">
        <v>0</v>
      </c>
      <c r="F85" s="90">
        <f>B85+C85+D85+E85</f>
        <v/>
      </c>
      <c r="G85" s="89" t="n">
        <v>0</v>
      </c>
      <c r="H85" s="89" t="n">
        <v>0</v>
      </c>
      <c r="I85" s="89" t="n">
        <v>0</v>
      </c>
      <c r="J85" s="89" t="n">
        <v>100</v>
      </c>
      <c r="K85" s="90">
        <f>G85+H85+I85+J85</f>
        <v/>
      </c>
      <c r="L85" s="89" t="n">
        <v>0</v>
      </c>
      <c r="M85" s="89" t="n">
        <v>0</v>
      </c>
      <c r="N85" s="89" t="n">
        <v>0</v>
      </c>
      <c r="O85" s="89" t="n">
        <v>0</v>
      </c>
      <c r="P85" s="89" t="n">
        <v>0</v>
      </c>
      <c r="Q85" s="90">
        <f>L85+M85+N85+O85+P85</f>
        <v/>
      </c>
      <c r="R85" s="89" t="n"/>
      <c r="S85" s="89" t="n"/>
      <c r="T85" s="89" t="n"/>
      <c r="U85" s="89" t="n"/>
      <c r="V85" s="90">
        <f>R85+S85+T85+U85</f>
        <v/>
      </c>
      <c r="W85" s="89" t="n">
        <v>0</v>
      </c>
      <c r="X85" s="89" t="n">
        <v>80</v>
      </c>
      <c r="Y85" s="89" t="n"/>
      <c r="Z85" s="89" t="n"/>
      <c r="AA85" s="90">
        <f>W85+X85+Y85+Z85</f>
        <v/>
      </c>
      <c r="AB85" s="89" t="n"/>
      <c r="AC85" s="89" t="n"/>
      <c r="AD85" s="89" t="n"/>
      <c r="AE85" s="89" t="n"/>
      <c r="AF85" s="89" t="n"/>
      <c r="AG85" s="90">
        <f>AB85+AC85+AD85+AE85+AF85</f>
        <v/>
      </c>
      <c r="AH85" s="89" t="n"/>
      <c r="AI85" s="89" t="n"/>
      <c r="AJ85" s="89" t="n"/>
      <c r="AK85" s="89" t="n"/>
      <c r="AL85" s="90">
        <f>AH85+AI85+AJ85+AK85</f>
        <v/>
      </c>
      <c r="AM85" s="89" t="n"/>
      <c r="AN85" s="89" t="n"/>
      <c r="AO85" s="89" t="n"/>
      <c r="AP85" s="89" t="n"/>
      <c r="AQ85" s="89" t="n"/>
      <c r="AR85" s="90">
        <f>AM85+AN85+AO85+AP85+AQ85</f>
        <v/>
      </c>
      <c r="AS85" s="89" t="n"/>
      <c r="AT85" s="89" t="n"/>
      <c r="AU85" s="89" t="n"/>
      <c r="AV85" s="89" t="n"/>
      <c r="AW85" s="90">
        <f>AS85+AT85+AU85+AV85</f>
        <v/>
      </c>
      <c r="AX85" s="89" t="n"/>
      <c r="AY85" s="89" t="n"/>
      <c r="AZ85" s="89" t="n"/>
      <c r="BA85" s="89" t="n"/>
      <c r="BB85" s="90">
        <f>AX85+AY85+AZ85+BA85</f>
        <v/>
      </c>
      <c r="BC85" s="89" t="n"/>
      <c r="BD85" s="89" t="n"/>
      <c r="BE85" s="89" t="n"/>
      <c r="BF85" s="89" t="n"/>
      <c r="BG85" s="89" t="n"/>
      <c r="BH85" s="90">
        <f>BC85+BD85+BE85+BF85+BG85</f>
        <v/>
      </c>
      <c r="BI85" s="89" t="n"/>
      <c r="BJ85" s="89" t="n"/>
      <c r="BK85" s="89" t="n"/>
      <c r="BL85" s="89" t="n"/>
      <c r="BM85" s="90">
        <f>BI85+BJ85+BK85+BL85</f>
        <v/>
      </c>
    </row>
    <row r="86" ht="15.75" customHeight="1">
      <c r="A86" s="93" t="inlineStr">
        <is>
          <t xml:space="preserve">PAPEL DE SEDA </t>
        </is>
      </c>
      <c r="B86" s="89" t="n">
        <v>0</v>
      </c>
      <c r="C86" s="89" t="n">
        <v>0</v>
      </c>
      <c r="D86" s="89" t="n">
        <v>1</v>
      </c>
      <c r="E86" s="89" t="n">
        <v>0</v>
      </c>
      <c r="F86" s="90">
        <f>B86+C86+D86+E86</f>
        <v/>
      </c>
      <c r="G86" s="89" t="n">
        <v>1</v>
      </c>
      <c r="H86" s="89" t="n">
        <v>0</v>
      </c>
      <c r="I86" s="89" t="n">
        <v>1</v>
      </c>
      <c r="J86" s="89" t="n">
        <v>1</v>
      </c>
      <c r="K86" s="90">
        <f>G86+H86+I86+J86</f>
        <v/>
      </c>
      <c r="L86" s="89" t="n">
        <v>0</v>
      </c>
      <c r="M86" s="89" t="n">
        <v>2</v>
      </c>
      <c r="N86" s="89" t="n">
        <v>0</v>
      </c>
      <c r="O86" s="89" t="n">
        <v>0</v>
      </c>
      <c r="P86" s="89" t="n">
        <v>1</v>
      </c>
      <c r="Q86" s="90">
        <f>L86+M86+N86+O86+P86</f>
        <v/>
      </c>
      <c r="R86" s="89" t="n"/>
      <c r="S86" s="89" t="n"/>
      <c r="T86" s="89" t="n"/>
      <c r="U86" s="89" t="n"/>
      <c r="V86" s="90">
        <f>R86+S86+T86+U86</f>
        <v/>
      </c>
      <c r="W86" s="89" t="n">
        <v>1</v>
      </c>
      <c r="X86" s="89" t="n">
        <v>0</v>
      </c>
      <c r="Y86" s="89" t="n"/>
      <c r="Z86" s="89" t="n"/>
      <c r="AA86" s="90">
        <f>W86+X86+Y86+Z86</f>
        <v/>
      </c>
      <c r="AB86" s="89" t="n"/>
      <c r="AC86" s="89" t="n"/>
      <c r="AD86" s="89" t="n"/>
      <c r="AE86" s="89" t="n"/>
      <c r="AF86" s="89" t="n"/>
      <c r="AG86" s="90">
        <f>AB86+AC86+AD86+AE86+AF86</f>
        <v/>
      </c>
      <c r="AH86" s="89" t="n"/>
      <c r="AI86" s="89" t="n"/>
      <c r="AJ86" s="89" t="n"/>
      <c r="AK86" s="89" t="n"/>
      <c r="AL86" s="90">
        <f>AH86+AI86+AJ86+AK86</f>
        <v/>
      </c>
      <c r="AM86" s="89" t="n"/>
      <c r="AN86" s="89" t="n"/>
      <c r="AO86" s="89" t="n"/>
      <c r="AP86" s="89" t="n"/>
      <c r="AQ86" s="89" t="n"/>
      <c r="AR86" s="90">
        <f>AM86+AN86+AO86+AP86+AQ86</f>
        <v/>
      </c>
      <c r="AS86" s="89" t="n"/>
      <c r="AT86" s="89" t="n"/>
      <c r="AU86" s="89" t="n"/>
      <c r="AV86" s="89" t="n"/>
      <c r="AW86" s="90">
        <f>AS86+AT86+AU86+AV86</f>
        <v/>
      </c>
      <c r="AX86" s="89" t="n"/>
      <c r="AY86" s="89" t="n"/>
      <c r="AZ86" s="89" t="n"/>
      <c r="BA86" s="89" t="n"/>
      <c r="BB86" s="90">
        <f>AX86+AY86+AZ86+BA86</f>
        <v/>
      </c>
      <c r="BC86" s="89" t="n"/>
      <c r="BD86" s="89" t="n"/>
      <c r="BE86" s="89" t="n"/>
      <c r="BF86" s="89" t="n"/>
      <c r="BG86" s="89" t="n"/>
      <c r="BH86" s="90">
        <f>BC86+BD86+BE86+BF86+BG86</f>
        <v/>
      </c>
      <c r="BI86" s="89" t="n"/>
      <c r="BJ86" s="89" t="n"/>
      <c r="BK86" s="89" t="n"/>
      <c r="BL86" s="89" t="n"/>
      <c r="BM86" s="90">
        <f>BI86+BJ86+BK86+BL86</f>
        <v/>
      </c>
    </row>
    <row r="87" ht="15.75" customHeight="1">
      <c r="A87" s="93" t="inlineStr">
        <is>
          <t>ETIQUETAS</t>
        </is>
      </c>
      <c r="B87" s="89" t="n">
        <v>0</v>
      </c>
      <c r="C87" s="89" t="n">
        <v>0</v>
      </c>
      <c r="D87" s="89" t="n">
        <v>0</v>
      </c>
      <c r="E87" s="89" t="n">
        <v>0</v>
      </c>
      <c r="F87" s="90">
        <f>B87+C87+D87+E87</f>
        <v/>
      </c>
      <c r="G87" s="89" t="n">
        <v>0</v>
      </c>
      <c r="H87" s="89" t="n">
        <v>0</v>
      </c>
      <c r="I87" s="89" t="n">
        <v>0</v>
      </c>
      <c r="J87" s="89" t="n">
        <v>0</v>
      </c>
      <c r="K87" s="90">
        <f>G87+H87+I87+J87</f>
        <v/>
      </c>
      <c r="L87" s="89" t="n">
        <v>0</v>
      </c>
      <c r="M87" s="89" t="n">
        <v>0</v>
      </c>
      <c r="N87" s="89" t="n">
        <v>0</v>
      </c>
      <c r="O87" s="89" t="n">
        <v>1</v>
      </c>
      <c r="P87" s="89" t="n">
        <v>0</v>
      </c>
      <c r="Q87" s="90">
        <f>L87+M87+N87+O87+P87</f>
        <v/>
      </c>
      <c r="R87" s="89" t="n"/>
      <c r="S87" s="89" t="n"/>
      <c r="T87" s="89" t="n"/>
      <c r="U87" s="89" t="n"/>
      <c r="V87" s="90">
        <f>R87+S87+T87+U87</f>
        <v/>
      </c>
      <c r="W87" s="89" t="n">
        <v>0</v>
      </c>
      <c r="X87" s="89" t="n">
        <v>0</v>
      </c>
      <c r="Y87" s="89" t="n"/>
      <c r="Z87" s="89" t="n"/>
      <c r="AA87" s="90">
        <f>W87+X87+Y87+Z87</f>
        <v/>
      </c>
      <c r="AB87" s="89" t="n"/>
      <c r="AC87" s="89" t="n"/>
      <c r="AD87" s="89" t="n"/>
      <c r="AE87" s="89" t="n"/>
      <c r="AF87" s="89" t="n"/>
      <c r="AG87" s="90">
        <f>AB87+AC87+AD87+AE87+AF87</f>
        <v/>
      </c>
      <c r="AH87" s="89" t="n"/>
      <c r="AI87" s="89" t="n"/>
      <c r="AJ87" s="89" t="n"/>
      <c r="AK87" s="89" t="n"/>
      <c r="AL87" s="90">
        <f>AH87+AI87+AJ87+AK87</f>
        <v/>
      </c>
      <c r="AM87" s="89" t="n"/>
      <c r="AN87" s="89" t="n"/>
      <c r="AO87" s="89" t="n"/>
      <c r="AP87" s="89" t="n"/>
      <c r="AQ87" s="89" t="n"/>
      <c r="AR87" s="90">
        <f>AM87+AN87+AO87+AP87+AQ87</f>
        <v/>
      </c>
      <c r="AS87" s="89" t="n"/>
      <c r="AT87" s="89" t="n"/>
      <c r="AU87" s="89" t="n"/>
      <c r="AV87" s="89" t="n"/>
      <c r="AW87" s="90">
        <f>AS87+AT87+AU87+AV87</f>
        <v/>
      </c>
      <c r="AX87" s="89" t="n"/>
      <c r="AY87" s="89" t="n"/>
      <c r="AZ87" s="89" t="n"/>
      <c r="BA87" s="89" t="n"/>
      <c r="BB87" s="90">
        <f>AX87+AY87+AZ87+BA87</f>
        <v/>
      </c>
      <c r="BC87" s="89" t="n"/>
      <c r="BD87" s="89" t="n"/>
      <c r="BE87" s="89" t="n"/>
      <c r="BF87" s="89" t="n"/>
      <c r="BG87" s="89" t="n"/>
      <c r="BH87" s="90">
        <f>BC87+BD87+BE87+BF87+BG87</f>
        <v/>
      </c>
      <c r="BI87" s="89" t="n"/>
      <c r="BJ87" s="89" t="n"/>
      <c r="BK87" s="89" t="n"/>
      <c r="BL87" s="89" t="n"/>
      <c r="BM87" s="90">
        <f>BI87+BJ87+BK87+BL87</f>
        <v/>
      </c>
    </row>
    <row r="88" ht="15.75" customHeight="1">
      <c r="A88" s="93" t="inlineStr">
        <is>
          <t xml:space="preserve">TAGS </t>
        </is>
      </c>
      <c r="B88" s="89" t="n">
        <v>0</v>
      </c>
      <c r="C88" s="89" t="n">
        <v>2</v>
      </c>
      <c r="D88" s="89" t="n">
        <v>0</v>
      </c>
      <c r="E88" s="89" t="n">
        <v>0</v>
      </c>
      <c r="F88" s="90">
        <f>B88+C88+D88+E88</f>
        <v/>
      </c>
      <c r="G88" s="89" t="n">
        <v>0</v>
      </c>
      <c r="H88" s="89" t="n">
        <v>0</v>
      </c>
      <c r="I88" s="89" t="n">
        <v>0</v>
      </c>
      <c r="J88" s="89" t="n">
        <v>0</v>
      </c>
      <c r="K88" s="90">
        <f>G88+H88+I88+J88</f>
        <v/>
      </c>
      <c r="L88" s="89" t="n">
        <v>0</v>
      </c>
      <c r="M88" s="89" t="n">
        <v>0</v>
      </c>
      <c r="N88" s="89" t="n">
        <v>0</v>
      </c>
      <c r="O88" s="89" t="n">
        <v>0</v>
      </c>
      <c r="P88" s="89" t="n">
        <v>0</v>
      </c>
      <c r="Q88" s="90">
        <f>L88+M88+N88+O88+P88</f>
        <v/>
      </c>
      <c r="R88" s="89" t="n"/>
      <c r="S88" s="89" t="n"/>
      <c r="T88" s="89" t="n"/>
      <c r="U88" s="89" t="n"/>
      <c r="V88" s="90">
        <f>R88+S88+T88+U88</f>
        <v/>
      </c>
      <c r="W88" s="89" t="n">
        <v>0</v>
      </c>
      <c r="X88" s="89" t="n">
        <v>0</v>
      </c>
      <c r="Y88" s="89" t="n"/>
      <c r="Z88" s="89" t="n"/>
      <c r="AA88" s="90">
        <f>W88+X88+Y88+Z88</f>
        <v/>
      </c>
      <c r="AB88" s="89" t="n"/>
      <c r="AC88" s="89" t="n"/>
      <c r="AD88" s="89" t="n"/>
      <c r="AE88" s="89" t="n"/>
      <c r="AF88" s="89" t="n"/>
      <c r="AG88" s="90">
        <f>AB88+AC88+AD88+AE88+AF88</f>
        <v/>
      </c>
      <c r="AH88" s="89" t="n"/>
      <c r="AI88" s="89" t="n"/>
      <c r="AJ88" s="89" t="n"/>
      <c r="AK88" s="89" t="n"/>
      <c r="AL88" s="90">
        <f>AH88+AI88+AJ88+AK88</f>
        <v/>
      </c>
      <c r="AM88" s="89" t="n"/>
      <c r="AN88" s="89" t="n"/>
      <c r="AO88" s="89" t="n"/>
      <c r="AP88" s="89" t="n"/>
      <c r="AQ88" s="89" t="n"/>
      <c r="AR88" s="90">
        <f>AM88+AN88+AO88+AP88+AQ88</f>
        <v/>
      </c>
      <c r="AS88" s="89" t="n"/>
      <c r="AT88" s="89" t="n"/>
      <c r="AU88" s="89" t="n"/>
      <c r="AV88" s="89" t="n"/>
      <c r="AW88" s="90">
        <f>AS88+AT88+AU88+AV88</f>
        <v/>
      </c>
      <c r="AX88" s="89" t="n"/>
      <c r="AY88" s="89" t="n"/>
      <c r="AZ88" s="89" t="n"/>
      <c r="BA88" s="89" t="n"/>
      <c r="BB88" s="90">
        <f>AX88+AY88+AZ88+BA88</f>
        <v/>
      </c>
      <c r="BC88" s="89" t="n"/>
      <c r="BD88" s="89" t="n"/>
      <c r="BE88" s="89" t="n"/>
      <c r="BF88" s="89" t="n"/>
      <c r="BG88" s="89" t="n"/>
      <c r="BH88" s="90">
        <f>BC88+BD88+BE88+BF88+BG88</f>
        <v/>
      </c>
      <c r="BI88" s="89" t="n"/>
      <c r="BJ88" s="89" t="n"/>
      <c r="BK88" s="89" t="n"/>
      <c r="BL88" s="89" t="n"/>
      <c r="BM88" s="90">
        <f>BI88+BJ88+BK88+BL88</f>
        <v/>
      </c>
    </row>
    <row r="89" ht="15.75" customHeight="1">
      <c r="A89" s="93" t="inlineStr">
        <is>
          <t>LÂMINA OLFATIVA</t>
        </is>
      </c>
      <c r="B89" s="89" t="n">
        <v>0</v>
      </c>
      <c r="C89" s="89" t="n">
        <v>0</v>
      </c>
      <c r="D89" s="89" t="n">
        <v>0</v>
      </c>
      <c r="E89" s="89" t="n">
        <v>0</v>
      </c>
      <c r="F89" s="90">
        <f>B89+C89+D89+E89</f>
        <v/>
      </c>
      <c r="G89" s="89" t="n">
        <v>1</v>
      </c>
      <c r="H89" s="89" t="n">
        <v>0</v>
      </c>
      <c r="I89" s="89" t="n">
        <v>0</v>
      </c>
      <c r="J89" s="89" t="n">
        <v>0</v>
      </c>
      <c r="K89" s="90">
        <f>G89+H89+I89+J89</f>
        <v/>
      </c>
      <c r="L89" s="89" t="n">
        <v>0</v>
      </c>
      <c r="M89" s="89" t="n">
        <v>0</v>
      </c>
      <c r="N89" s="89" t="n">
        <v>0</v>
      </c>
      <c r="O89" s="89" t="n">
        <v>1</v>
      </c>
      <c r="P89" s="89" t="n">
        <v>1</v>
      </c>
      <c r="Q89" s="90">
        <f>L89+M89+N89+O89+P89</f>
        <v/>
      </c>
      <c r="R89" s="89" t="n"/>
      <c r="S89" s="89" t="n"/>
      <c r="T89" s="89" t="n"/>
      <c r="U89" s="89" t="n"/>
      <c r="V89" s="90">
        <f>R89+S89+T89+U89</f>
        <v/>
      </c>
      <c r="W89" s="89" t="n">
        <v>0</v>
      </c>
      <c r="X89" s="89" t="n">
        <v>0</v>
      </c>
      <c r="Y89" s="89" t="n"/>
      <c r="Z89" s="89" t="n"/>
      <c r="AA89" s="90">
        <f>W89+X89+Y89+Z89</f>
        <v/>
      </c>
      <c r="AB89" s="89" t="n"/>
      <c r="AC89" s="89" t="n"/>
      <c r="AD89" s="89" t="n"/>
      <c r="AE89" s="89" t="n"/>
      <c r="AF89" s="89" t="n"/>
      <c r="AG89" s="90">
        <f>AB89+AC89+AD89+AE89+AF89</f>
        <v/>
      </c>
      <c r="AH89" s="89" t="n"/>
      <c r="AI89" s="89" t="n"/>
      <c r="AJ89" s="89" t="n"/>
      <c r="AK89" s="89" t="n"/>
      <c r="AL89" s="90">
        <f>AH89+AI89+AJ89+AK89</f>
        <v/>
      </c>
      <c r="AM89" s="89" t="n"/>
      <c r="AN89" s="89" t="n"/>
      <c r="AO89" s="89" t="n"/>
      <c r="AP89" s="89" t="n"/>
      <c r="AQ89" s="89" t="n"/>
      <c r="AR89" s="90">
        <f>AM89+AN89+AO89+AP89+AQ89</f>
        <v/>
      </c>
      <c r="AS89" s="89" t="n"/>
      <c r="AT89" s="89" t="n"/>
      <c r="AU89" s="89" t="n"/>
      <c r="AV89" s="89" t="n"/>
      <c r="AW89" s="90">
        <f>AS89+AT89+AU89+AV89</f>
        <v/>
      </c>
      <c r="AX89" s="89" t="n"/>
      <c r="AY89" s="89" t="n"/>
      <c r="AZ89" s="89" t="n"/>
      <c r="BA89" s="89" t="n"/>
      <c r="BB89" s="90">
        <f>AX89+AY89+AZ89+BA89</f>
        <v/>
      </c>
      <c r="BC89" s="89" t="n"/>
      <c r="BD89" s="89" t="n"/>
      <c r="BE89" s="89" t="n"/>
      <c r="BF89" s="89" t="n"/>
      <c r="BG89" s="89" t="n"/>
      <c r="BH89" s="90">
        <f>BC89+BD89+BE89+BF89+BG89</f>
        <v/>
      </c>
      <c r="BI89" s="89" t="n"/>
      <c r="BJ89" s="89" t="n"/>
      <c r="BK89" s="89" t="n"/>
      <c r="BL89" s="89" t="n"/>
      <c r="BM89" s="90">
        <f>BI89+BJ89+BK89+BL89</f>
        <v/>
      </c>
    </row>
    <row r="90" ht="15.75" customHeight="1">
      <c r="A90" s="94" t="inlineStr">
        <is>
          <t>TOTAL DE SACOLAS</t>
        </is>
      </c>
      <c r="B90" s="95">
        <f>SUM(B82:B85)</f>
        <v/>
      </c>
      <c r="C90" s="95">
        <f>SUM(C82:C85)</f>
        <v/>
      </c>
      <c r="D90" s="95">
        <f>SUM(D82:D85)</f>
        <v/>
      </c>
      <c r="E90" s="95">
        <f>SUM(E82:E85)</f>
        <v/>
      </c>
      <c r="F90" s="95">
        <f>SUM(F82:F85)</f>
        <v/>
      </c>
      <c r="G90" s="95">
        <f>SUM(G82:G85)</f>
        <v/>
      </c>
      <c r="H90" s="95">
        <f>SUM(H82:H85)</f>
        <v/>
      </c>
      <c r="I90" s="95">
        <f>SUM(I82:I85)</f>
        <v/>
      </c>
      <c r="J90" s="95">
        <f>SUM(J82:J85)</f>
        <v/>
      </c>
      <c r="K90" s="95">
        <f>SUM(K82:K85)</f>
        <v/>
      </c>
      <c r="L90" s="95">
        <f>SUM(L82:L85)</f>
        <v/>
      </c>
      <c r="M90" s="95">
        <f>SUM(M82:M85)</f>
        <v/>
      </c>
      <c r="N90" s="95">
        <f>SUM(N82:N85)</f>
        <v/>
      </c>
      <c r="O90" s="95">
        <f>SUM(O82:O85)</f>
        <v/>
      </c>
      <c r="P90" s="95">
        <f>SUM(P82:P85)</f>
        <v/>
      </c>
      <c r="Q90" s="95">
        <f>SUM(Q82:Q85)</f>
        <v/>
      </c>
      <c r="R90" s="95">
        <f>SUM(R82:R85)</f>
        <v/>
      </c>
      <c r="S90" s="95">
        <f>SUM(S82:S85)</f>
        <v/>
      </c>
      <c r="T90" s="95">
        <f>SUM(T82:T85)</f>
        <v/>
      </c>
      <c r="U90" s="95">
        <f>SUM(U82:U85)</f>
        <v/>
      </c>
      <c r="V90" s="95">
        <f>SUM(V82:V85)</f>
        <v/>
      </c>
      <c r="W90" s="95">
        <f>SUM(W82:W85)</f>
        <v/>
      </c>
      <c r="X90" s="95">
        <f>SUM(X82:X85)</f>
        <v/>
      </c>
      <c r="Y90" s="95">
        <f>SUM(Y82:Y85)</f>
        <v/>
      </c>
      <c r="Z90" s="95">
        <f>SUM(Z82:Z85)</f>
        <v/>
      </c>
      <c r="AA90" s="95">
        <f>SUM(AA82:AA85)</f>
        <v/>
      </c>
      <c r="AB90" s="95">
        <f>SUM(AB82:AB85)</f>
        <v/>
      </c>
      <c r="AC90" s="95">
        <f>SUM(AC82:AC85)</f>
        <v/>
      </c>
      <c r="AD90" s="95">
        <f>SUM(AD82:AD85)</f>
        <v/>
      </c>
      <c r="AE90" s="95">
        <f>SUM(AE82:AE85)</f>
        <v/>
      </c>
      <c r="AF90" s="95">
        <f>SUM(AF82:AF85)</f>
        <v/>
      </c>
      <c r="AG90" s="95">
        <f>SUM(AG82:AG85)</f>
        <v/>
      </c>
      <c r="AH90" s="95">
        <f>SUM(AH82:AH85)</f>
        <v/>
      </c>
      <c r="AI90" s="95">
        <f>SUM(AI82:AI85)</f>
        <v/>
      </c>
      <c r="AJ90" s="95">
        <f>SUM(AJ82:AJ85)</f>
        <v/>
      </c>
      <c r="AK90" s="95">
        <f>SUM(AK82:AK85)</f>
        <v/>
      </c>
      <c r="AL90" s="95">
        <f>SUM(AL82:AL85)</f>
        <v/>
      </c>
      <c r="AM90" s="95">
        <f>SUM(AM82:AM85)</f>
        <v/>
      </c>
      <c r="AN90" s="95">
        <f>SUM(AN82:AN85)</f>
        <v/>
      </c>
      <c r="AO90" s="95">
        <f>SUM(AO82:AO85)</f>
        <v/>
      </c>
      <c r="AP90" s="95">
        <f>SUM(AP82:AP85)</f>
        <v/>
      </c>
      <c r="AQ90" s="95">
        <f>SUM(AQ82:AQ85)</f>
        <v/>
      </c>
      <c r="AR90" s="95">
        <f>SUM(AR82:AR85)</f>
        <v/>
      </c>
      <c r="AS90" s="95">
        <f>SUM(AS82:AS85)</f>
        <v/>
      </c>
      <c r="AT90" s="95">
        <f>SUM(AT82:AT85)</f>
        <v/>
      </c>
      <c r="AU90" s="95">
        <f>SUM(AU82:AU85)</f>
        <v/>
      </c>
      <c r="AV90" s="95">
        <f>SUM(AV82:AV85)</f>
        <v/>
      </c>
      <c r="AW90" s="95">
        <f>SUM(AW82:AW85)</f>
        <v/>
      </c>
      <c r="AX90" s="95">
        <f>SUM(AX82:AX85)</f>
        <v/>
      </c>
      <c r="AY90" s="95">
        <f>SUM(AY82:AY85)</f>
        <v/>
      </c>
      <c r="AZ90" s="95">
        <f>SUM(AZ82:AZ85)</f>
        <v/>
      </c>
      <c r="BA90" s="95">
        <f>SUM(BA82:BA85)</f>
        <v/>
      </c>
      <c r="BB90" s="95">
        <f>SUM(BB82:BB85)</f>
        <v/>
      </c>
      <c r="BC90" s="95">
        <f>SUM(BC82:BC85)</f>
        <v/>
      </c>
      <c r="BD90" s="95">
        <f>SUM(BD82:BD85)</f>
        <v/>
      </c>
      <c r="BE90" s="95">
        <f>SUM(BE82:BE85)</f>
        <v/>
      </c>
      <c r="BF90" s="95">
        <f>SUM(BF82:BF85)</f>
        <v/>
      </c>
      <c r="BG90" s="95">
        <f>SUM(BG82:BG85)</f>
        <v/>
      </c>
      <c r="BH90" s="95">
        <f>SUM(BH82:BH85)</f>
        <v/>
      </c>
      <c r="BI90" s="95">
        <f>SUM(BI82:BI85)</f>
        <v/>
      </c>
      <c r="BJ90" s="95">
        <f>SUM(BJ82:BJ85)</f>
        <v/>
      </c>
      <c r="BK90" s="95">
        <f>SUM(BK82:BK85)</f>
        <v/>
      </c>
      <c r="BL90" s="95">
        <f>SUM(BL82:BL85)</f>
        <v/>
      </c>
      <c r="BM90" s="95">
        <f>SUM(BM82:BM85)</f>
        <v/>
      </c>
    </row>
    <row r="92" ht="18" customHeight="1">
      <c r="A92" s="506" t="inlineStr">
        <is>
          <t>GASTO DE SACOLAS E ITENS DOADOS 2026 - MENSAIS</t>
        </is>
      </c>
      <c r="B92" s="700" t="n"/>
      <c r="C92" s="700" t="n"/>
      <c r="D92" s="700" t="n"/>
      <c r="E92" s="700" t="n"/>
      <c r="F92" s="700" t="n"/>
      <c r="G92" s="700" t="n"/>
      <c r="H92" s="700" t="n"/>
      <c r="I92" s="700" t="n"/>
      <c r="J92" s="700" t="n"/>
      <c r="K92" s="700" t="n"/>
      <c r="L92" s="700" t="n"/>
      <c r="M92" s="700" t="n"/>
      <c r="N92" s="700" t="n"/>
      <c r="O92" s="700" t="n"/>
      <c r="P92" s="700" t="n"/>
      <c r="Q92" s="700" t="n"/>
      <c r="R92" s="700" t="n"/>
      <c r="S92" s="700" t="n"/>
      <c r="T92" s="700" t="n"/>
      <c r="U92" s="700" t="n"/>
      <c r="V92" s="700" t="n"/>
      <c r="W92" s="700" t="n"/>
      <c r="X92" s="700" t="n"/>
      <c r="Y92" s="700" t="n"/>
      <c r="Z92" s="700" t="n"/>
      <c r="AA92" s="700" t="n"/>
      <c r="AB92" s="700" t="n"/>
      <c r="AC92" s="700" t="n"/>
      <c r="AD92" s="700" t="n"/>
      <c r="AE92" s="700" t="n"/>
      <c r="AF92" s="700" t="n"/>
      <c r="AG92" s="700" t="n"/>
      <c r="AH92" s="700" t="n"/>
      <c r="AI92" s="700" t="n"/>
      <c r="AJ92" s="700" t="n"/>
      <c r="AK92" s="700" t="n"/>
      <c r="AL92" s="700" t="n"/>
      <c r="AM92" s="700" t="n"/>
      <c r="AN92" s="700" t="n"/>
      <c r="AO92" s="700" t="n"/>
      <c r="AP92" s="700" t="n"/>
      <c r="AQ92" s="700" t="n"/>
      <c r="AR92" s="700" t="n"/>
      <c r="AS92" s="700" t="n"/>
      <c r="AT92" s="700" t="n"/>
      <c r="AU92" s="700" t="n"/>
      <c r="AV92" s="700" t="n"/>
      <c r="AW92" s="700" t="n"/>
      <c r="AX92" s="700" t="n"/>
      <c r="AY92" s="700" t="n"/>
      <c r="AZ92" s="700" t="n"/>
      <c r="BA92" s="700" t="n"/>
      <c r="BB92" s="700" t="n"/>
      <c r="BC92" s="700" t="n"/>
      <c r="BD92" s="700" t="n"/>
      <c r="BE92" s="700" t="n"/>
      <c r="BF92" s="700" t="n"/>
      <c r="BG92" s="700" t="n"/>
      <c r="BH92" s="700" t="n"/>
      <c r="BI92" s="700" t="n"/>
      <c r="BJ92" s="700" t="n"/>
      <c r="BK92" s="700" t="n"/>
      <c r="BL92" s="700" t="n"/>
      <c r="BM92" s="700" t="n"/>
    </row>
    <row r="93" ht="18" customHeight="1">
      <c r="A93" s="701" t="inlineStr">
        <is>
          <t>ITIRAPINA</t>
        </is>
      </c>
      <c r="B93" s="701" t="inlineStr">
        <is>
          <t>JANEIRO</t>
        </is>
      </c>
      <c r="C93" s="666" t="n"/>
      <c r="D93" s="666" t="n"/>
      <c r="E93" s="666" t="n"/>
      <c r="F93" s="667" t="n"/>
      <c r="G93" s="701" t="inlineStr">
        <is>
          <t>FEVEREIRO</t>
        </is>
      </c>
      <c r="H93" s="666" t="n"/>
      <c r="I93" s="666" t="n"/>
      <c r="J93" s="666" t="n"/>
      <c r="K93" s="667" t="n"/>
      <c r="L93" s="701" t="inlineStr">
        <is>
          <t>MARÇO</t>
        </is>
      </c>
      <c r="M93" s="666" t="n"/>
      <c r="N93" s="666" t="n"/>
      <c r="O93" s="666" t="n"/>
      <c r="P93" s="666" t="n"/>
      <c r="Q93" s="667" t="n"/>
      <c r="R93" s="701" t="inlineStr">
        <is>
          <t>ABRIL</t>
        </is>
      </c>
      <c r="S93" s="666" t="n"/>
      <c r="T93" s="666" t="n"/>
      <c r="U93" s="666" t="n"/>
      <c r="V93" s="667" t="n"/>
      <c r="W93" s="701" t="inlineStr">
        <is>
          <t>MAIO</t>
        </is>
      </c>
      <c r="X93" s="666" t="n"/>
      <c r="Y93" s="666" t="n"/>
      <c r="Z93" s="666" t="n"/>
      <c r="AA93" s="667" t="n"/>
      <c r="AB93" s="701" t="inlineStr">
        <is>
          <t>JUNHO</t>
        </is>
      </c>
      <c r="AC93" s="666" t="n"/>
      <c r="AD93" s="666" t="n"/>
      <c r="AE93" s="666" t="n"/>
      <c r="AF93" s="666" t="n"/>
      <c r="AG93" s="667" t="n"/>
      <c r="AH93" s="701" t="inlineStr">
        <is>
          <t>JULHO</t>
        </is>
      </c>
      <c r="AI93" s="666" t="n"/>
      <c r="AJ93" s="666" t="n"/>
      <c r="AK93" s="666" t="n"/>
      <c r="AL93" s="667" t="n"/>
      <c r="AM93" s="701" t="inlineStr">
        <is>
          <t>AGOSTO</t>
        </is>
      </c>
      <c r="AN93" s="666" t="n"/>
      <c r="AO93" s="666" t="n"/>
      <c r="AP93" s="666" t="n"/>
      <c r="AQ93" s="666" t="n"/>
      <c r="AR93" s="667" t="n"/>
      <c r="AS93" s="701" t="inlineStr">
        <is>
          <t>SETEMBRO</t>
        </is>
      </c>
      <c r="AT93" s="666" t="n"/>
      <c r="AU93" s="666" t="n"/>
      <c r="AV93" s="666" t="n"/>
      <c r="AW93" s="667" t="n"/>
      <c r="AX93" s="701" t="inlineStr">
        <is>
          <t>OUTUBRO</t>
        </is>
      </c>
      <c r="AY93" s="666" t="n"/>
      <c r="AZ93" s="666" t="n"/>
      <c r="BA93" s="666" t="n"/>
      <c r="BB93" s="667" t="n"/>
      <c r="BC93" s="701" t="inlineStr">
        <is>
          <t>NOVEMBRO</t>
        </is>
      </c>
      <c r="BD93" s="666" t="n"/>
      <c r="BE93" s="666" t="n"/>
      <c r="BF93" s="666" t="n"/>
      <c r="BG93" s="666" t="n"/>
      <c r="BH93" s="667" t="n"/>
      <c r="BI93" s="701" t="inlineStr">
        <is>
          <t>DEZEMBRO</t>
        </is>
      </c>
      <c r="BJ93" s="666" t="n"/>
      <c r="BK93" s="666" t="n"/>
      <c r="BL93" s="666" t="n"/>
      <c r="BM93" s="667" t="n"/>
    </row>
    <row r="94" ht="15.75" customHeight="1">
      <c r="A94" s="668" t="n"/>
      <c r="B94" s="86" t="n">
        <v>46027</v>
      </c>
      <c r="C94" s="86" t="n">
        <v>46034</v>
      </c>
      <c r="D94" s="86" t="n">
        <v>46041</v>
      </c>
      <c r="E94" s="86" t="n">
        <v>46048</v>
      </c>
      <c r="F94" s="87" t="inlineStr">
        <is>
          <t>USOU</t>
        </is>
      </c>
      <c r="G94" s="86" t="n">
        <v>46055</v>
      </c>
      <c r="H94" s="86" t="n">
        <v>46062</v>
      </c>
      <c r="I94" s="86" t="n">
        <v>46069</v>
      </c>
      <c r="J94" s="86" t="n">
        <v>46076</v>
      </c>
      <c r="K94" s="87" t="inlineStr">
        <is>
          <t>USOU</t>
        </is>
      </c>
      <c r="L94" s="86" t="n">
        <v>46083</v>
      </c>
      <c r="M94" s="86" t="n">
        <v>46090</v>
      </c>
      <c r="N94" s="86" t="n">
        <v>46097</v>
      </c>
      <c r="O94" s="86" t="n">
        <v>46104</v>
      </c>
      <c r="P94" s="86" t="n">
        <v>46111</v>
      </c>
      <c r="Q94" s="87" t="inlineStr">
        <is>
          <t>USOU</t>
        </is>
      </c>
      <c r="R94" s="86" t="n">
        <v>46118</v>
      </c>
      <c r="S94" s="86" t="n">
        <v>46125</v>
      </c>
      <c r="T94" s="86" t="n">
        <v>46132</v>
      </c>
      <c r="U94" s="86" t="n">
        <v>46139</v>
      </c>
      <c r="V94" s="87" t="inlineStr">
        <is>
          <t>USOU</t>
        </is>
      </c>
      <c r="W94" s="86" t="n">
        <v>46146</v>
      </c>
      <c r="X94" s="86" t="n">
        <v>46153</v>
      </c>
      <c r="Y94" s="86" t="n">
        <v>46160</v>
      </c>
      <c r="Z94" s="86" t="n">
        <v>46167</v>
      </c>
      <c r="AA94" s="87" t="inlineStr">
        <is>
          <t>USOU</t>
        </is>
      </c>
      <c r="AB94" s="86" t="n">
        <v>46174</v>
      </c>
      <c r="AC94" s="86" t="n">
        <v>46181</v>
      </c>
      <c r="AD94" s="86" t="n">
        <v>46188</v>
      </c>
      <c r="AE94" s="86" t="n">
        <v>46195</v>
      </c>
      <c r="AF94" s="86" t="n">
        <v>46202</v>
      </c>
      <c r="AG94" s="87" t="inlineStr">
        <is>
          <t>USOU</t>
        </is>
      </c>
      <c r="AH94" s="86" t="n">
        <v>46209</v>
      </c>
      <c r="AI94" s="86" t="n">
        <v>46216</v>
      </c>
      <c r="AJ94" s="86" t="n">
        <v>46223</v>
      </c>
      <c r="AK94" s="86" t="n">
        <v>46230</v>
      </c>
      <c r="AL94" s="87" t="inlineStr">
        <is>
          <t>USOU</t>
        </is>
      </c>
      <c r="AM94" s="86" t="n">
        <v>46237</v>
      </c>
      <c r="AN94" s="86" t="n">
        <v>46244</v>
      </c>
      <c r="AO94" s="86" t="n">
        <v>46251</v>
      </c>
      <c r="AP94" s="86" t="n">
        <v>46258</v>
      </c>
      <c r="AQ94" s="86" t="n">
        <v>46265</v>
      </c>
      <c r="AR94" s="87" t="inlineStr">
        <is>
          <t>USOU</t>
        </is>
      </c>
      <c r="AS94" s="86" t="n">
        <v>46272</v>
      </c>
      <c r="AT94" s="86" t="n">
        <v>46279</v>
      </c>
      <c r="AU94" s="86" t="n">
        <v>46286</v>
      </c>
      <c r="AV94" s="86" t="n">
        <v>46293</v>
      </c>
      <c r="AW94" s="87" t="inlineStr">
        <is>
          <t>USOU</t>
        </is>
      </c>
      <c r="AX94" s="86" t="n">
        <v>46300</v>
      </c>
      <c r="AY94" s="86" t="n">
        <v>46307</v>
      </c>
      <c r="AZ94" s="86" t="n">
        <v>46314</v>
      </c>
      <c r="BA94" s="86" t="n">
        <v>46321</v>
      </c>
      <c r="BB94" s="87" t="inlineStr">
        <is>
          <t>USOU</t>
        </is>
      </c>
      <c r="BC94" s="86" t="n">
        <v>46328</v>
      </c>
      <c r="BD94" s="86" t="n">
        <v>46335</v>
      </c>
      <c r="BE94" s="86" t="n">
        <v>46342</v>
      </c>
      <c r="BF94" s="86" t="n">
        <v>46349</v>
      </c>
      <c r="BG94" s="86" t="n">
        <v>46356</v>
      </c>
      <c r="BH94" s="87" t="inlineStr">
        <is>
          <t>USOU</t>
        </is>
      </c>
      <c r="BI94" s="86" t="n">
        <v>46363</v>
      </c>
      <c r="BJ94" s="86" t="n">
        <v>46370</v>
      </c>
      <c r="BK94" s="86" t="n">
        <v>46377</v>
      </c>
      <c r="BL94" s="86" t="n">
        <v>46384</v>
      </c>
      <c r="BM94" s="87" t="inlineStr">
        <is>
          <t>USOU</t>
        </is>
      </c>
    </row>
    <row r="95" ht="15.75" customHeight="1">
      <c r="A95" s="91" t="inlineStr">
        <is>
          <t>SACOLA PP VERDE</t>
        </is>
      </c>
      <c r="B95" s="89" t="n">
        <v>0</v>
      </c>
      <c r="C95" s="89" t="n">
        <v>0</v>
      </c>
      <c r="D95" s="89" t="n">
        <v>0</v>
      </c>
      <c r="E95" s="89" t="n">
        <v>0</v>
      </c>
      <c r="F95" s="90">
        <f>B95+C95+D95+E95</f>
        <v/>
      </c>
      <c r="G95" s="89" t="n">
        <v>0</v>
      </c>
      <c r="H95" s="89" t="n">
        <v>0</v>
      </c>
      <c r="I95" s="89" t="n">
        <v>0</v>
      </c>
      <c r="J95" s="89" t="n">
        <v>70</v>
      </c>
      <c r="K95" s="90">
        <f>G95+H95+I95+J95</f>
        <v/>
      </c>
      <c r="L95" s="89" t="n">
        <v>0</v>
      </c>
      <c r="M95" s="89" t="n">
        <v>30</v>
      </c>
      <c r="N95" s="89" t="n">
        <v>0</v>
      </c>
      <c r="O95" s="89" t="n">
        <v>70</v>
      </c>
      <c r="P95" s="89" t="n">
        <v>0</v>
      </c>
      <c r="Q95" s="90">
        <f>L95+M95+N95+O95+P95</f>
        <v/>
      </c>
      <c r="R95" s="89" t="n"/>
      <c r="S95" s="89" t="n"/>
      <c r="T95" s="89" t="n"/>
      <c r="U95" s="89" t="n"/>
      <c r="V95" s="90">
        <f>R95+S95+T95+U95</f>
        <v/>
      </c>
      <c r="W95" s="89" t="n">
        <v>50</v>
      </c>
      <c r="X95" s="89" t="n">
        <v>26</v>
      </c>
      <c r="Y95" s="89" t="n"/>
      <c r="Z95" s="89" t="n"/>
      <c r="AA95" s="90">
        <f>W95+X95+Y95+Z95</f>
        <v/>
      </c>
      <c r="AB95" s="89" t="n"/>
      <c r="AC95" s="89" t="n"/>
      <c r="AD95" s="89" t="n"/>
      <c r="AE95" s="89" t="n"/>
      <c r="AF95" s="89" t="n"/>
      <c r="AG95" s="90">
        <f>AB95+AC95+AD95+AE95+AF95</f>
        <v/>
      </c>
      <c r="AH95" s="89" t="n"/>
      <c r="AI95" s="89" t="n"/>
      <c r="AJ95" s="89" t="n"/>
      <c r="AK95" s="89" t="n"/>
      <c r="AL95" s="90">
        <f>AH95+AI95+AJ95+AK95</f>
        <v/>
      </c>
      <c r="AM95" s="89" t="n"/>
      <c r="AN95" s="89" t="n"/>
      <c r="AO95" s="89" t="n"/>
      <c r="AP95" s="89" t="n"/>
      <c r="AQ95" s="89" t="n"/>
      <c r="AR95" s="90">
        <f>AM95+AN95+AO95+AP95+AQ95</f>
        <v/>
      </c>
      <c r="AS95" s="89" t="n"/>
      <c r="AT95" s="89" t="n"/>
      <c r="AU95" s="89" t="n"/>
      <c r="AV95" s="89" t="n"/>
      <c r="AW95" s="90">
        <f>AS95+AT95+AU95+AV95</f>
        <v/>
      </c>
      <c r="AX95" s="89" t="n"/>
      <c r="AY95" s="89" t="n"/>
      <c r="AZ95" s="89" t="n"/>
      <c r="BA95" s="89" t="n"/>
      <c r="BB95" s="90">
        <f>AX95+AY95+AZ95+BA95</f>
        <v/>
      </c>
      <c r="BC95" s="89" t="n"/>
      <c r="BD95" s="89" t="n"/>
      <c r="BE95" s="89" t="n"/>
      <c r="BF95" s="89" t="n"/>
      <c r="BG95" s="89" t="n"/>
      <c r="BH95" s="90">
        <f>BC95+BD95+BE95+BF95+BG95</f>
        <v/>
      </c>
      <c r="BI95" s="89" t="n"/>
      <c r="BJ95" s="89" t="n"/>
      <c r="BK95" s="89" t="n"/>
      <c r="BL95" s="89" t="n"/>
      <c r="BM95" s="90">
        <f>BI95+BJ95+BK95+BL95</f>
        <v/>
      </c>
    </row>
    <row r="96" ht="15.75" customHeight="1">
      <c r="A96" s="91" t="inlineStr">
        <is>
          <t>SACOLA P VERDE</t>
        </is>
      </c>
      <c r="B96" s="89" t="n">
        <v>72</v>
      </c>
      <c r="C96" s="89" t="n">
        <v>70</v>
      </c>
      <c r="D96" s="89" t="n">
        <v>20</v>
      </c>
      <c r="E96" s="89" t="n">
        <v>65</v>
      </c>
      <c r="F96" s="90">
        <f>B96+C96+D96+E96</f>
        <v/>
      </c>
      <c r="G96" s="89" t="n">
        <v>65</v>
      </c>
      <c r="H96" s="89" t="n">
        <v>60</v>
      </c>
      <c r="I96" s="89" t="n">
        <v>85</v>
      </c>
      <c r="J96" s="89" t="n">
        <v>55</v>
      </c>
      <c r="K96" s="90">
        <f>G96+H96+I96+J96</f>
        <v/>
      </c>
      <c r="L96" s="89" t="n">
        <v>60</v>
      </c>
      <c r="M96" s="89" t="n">
        <v>60</v>
      </c>
      <c r="N96" s="89" t="n">
        <v>45</v>
      </c>
      <c r="O96" s="89" t="n">
        <v>35</v>
      </c>
      <c r="P96" s="89" t="n">
        <v>50</v>
      </c>
      <c r="Q96" s="90">
        <f>L96+M96+N96+O96+P96</f>
        <v/>
      </c>
      <c r="R96" s="89" t="n"/>
      <c r="S96" s="89" t="n"/>
      <c r="T96" s="89" t="n"/>
      <c r="U96" s="89" t="n"/>
      <c r="V96" s="90">
        <f>R96+S96+T96+U96</f>
        <v/>
      </c>
      <c r="W96" s="89" t="n">
        <v>60</v>
      </c>
      <c r="X96" s="89" t="n">
        <v>140</v>
      </c>
      <c r="Y96" s="89" t="n"/>
      <c r="Z96" s="89" t="n"/>
      <c r="AA96" s="90">
        <f>W96+X96+Y96+Z96</f>
        <v/>
      </c>
      <c r="AB96" s="89" t="n"/>
      <c r="AC96" s="89" t="n"/>
      <c r="AD96" s="89" t="n"/>
      <c r="AE96" s="89" t="n"/>
      <c r="AF96" s="89" t="n"/>
      <c r="AG96" s="90">
        <f>AB96+AC96+AD96+AE96+AF96</f>
        <v/>
      </c>
      <c r="AH96" s="89" t="n"/>
      <c r="AI96" s="89" t="n"/>
      <c r="AJ96" s="89" t="n"/>
      <c r="AK96" s="89" t="n"/>
      <c r="AL96" s="90">
        <f>AH96+AI96+AJ96+AK96</f>
        <v/>
      </c>
      <c r="AM96" s="89" t="n"/>
      <c r="AN96" s="89" t="n"/>
      <c r="AO96" s="89" t="n"/>
      <c r="AP96" s="89" t="n"/>
      <c r="AQ96" s="89" t="n"/>
      <c r="AR96" s="90">
        <f>AM96+AN96+AO96+AP96+AQ96</f>
        <v/>
      </c>
      <c r="AS96" s="89" t="n"/>
      <c r="AT96" s="89" t="n"/>
      <c r="AU96" s="89" t="n"/>
      <c r="AV96" s="89" t="n"/>
      <c r="AW96" s="90">
        <f>AS96+AT96+AU96+AV96</f>
        <v/>
      </c>
      <c r="AX96" s="89" t="n"/>
      <c r="AY96" s="89" t="n"/>
      <c r="AZ96" s="89" t="n"/>
      <c r="BA96" s="89" t="n"/>
      <c r="BB96" s="90">
        <f>AX96+AY96+AZ96+BA96</f>
        <v/>
      </c>
      <c r="BC96" s="89" t="n"/>
      <c r="BD96" s="89" t="n"/>
      <c r="BE96" s="89" t="n"/>
      <c r="BF96" s="89" t="n"/>
      <c r="BG96" s="89" t="n"/>
      <c r="BH96" s="90">
        <f>BC96+BD96+BE96+BF96+BG96</f>
        <v/>
      </c>
      <c r="BI96" s="89" t="n"/>
      <c r="BJ96" s="89" t="n"/>
      <c r="BK96" s="89" t="n"/>
      <c r="BL96" s="89" t="n"/>
      <c r="BM96" s="90">
        <f>BI96+BJ96+BK96+BL96</f>
        <v/>
      </c>
    </row>
    <row r="97" ht="15.75" customHeight="1">
      <c r="A97" s="91" t="inlineStr">
        <is>
          <t>SACOLA M VERDE</t>
        </is>
      </c>
      <c r="B97" s="89" t="n">
        <v>20</v>
      </c>
      <c r="C97" s="89" t="n">
        <v>27</v>
      </c>
      <c r="D97" s="89" t="n">
        <v>40</v>
      </c>
      <c r="E97" s="89" t="n">
        <v>20</v>
      </c>
      <c r="F97" s="90">
        <f>B97+C97+D97+E97</f>
        <v/>
      </c>
      <c r="G97" s="89" t="n">
        <v>35</v>
      </c>
      <c r="H97" s="89" t="n">
        <v>30</v>
      </c>
      <c r="I97" s="89" t="n">
        <v>35</v>
      </c>
      <c r="J97" s="89" t="n">
        <v>80</v>
      </c>
      <c r="K97" s="90">
        <f>G97+H97+I97+J97</f>
        <v/>
      </c>
      <c r="L97" s="89" t="n">
        <v>0</v>
      </c>
      <c r="M97" s="89" t="n">
        <v>30</v>
      </c>
      <c r="N97" s="89" t="n">
        <v>30</v>
      </c>
      <c r="O97" s="89" t="n">
        <v>40</v>
      </c>
      <c r="P97" s="89" t="n">
        <v>25</v>
      </c>
      <c r="Q97" s="90">
        <f>L97+M97+N97+O97+P97</f>
        <v/>
      </c>
      <c r="R97" s="89" t="n"/>
      <c r="S97" s="89" t="n"/>
      <c r="T97" s="89" t="n"/>
      <c r="U97" s="89" t="n"/>
      <c r="V97" s="90">
        <f>R97+S97+T97+U97</f>
        <v/>
      </c>
      <c r="W97" s="89" t="n">
        <v>75</v>
      </c>
      <c r="X97" s="89" t="n">
        <v>0</v>
      </c>
      <c r="Y97" s="89" t="n"/>
      <c r="Z97" s="89" t="n"/>
      <c r="AA97" s="90">
        <f>W97+X97+Y97+Z97</f>
        <v/>
      </c>
      <c r="AB97" s="89" t="n"/>
      <c r="AC97" s="89" t="n"/>
      <c r="AD97" s="89" t="n"/>
      <c r="AE97" s="89" t="n"/>
      <c r="AF97" s="89" t="n"/>
      <c r="AG97" s="90">
        <f>AB97+AC97+AD97+AE97+AF97</f>
        <v/>
      </c>
      <c r="AH97" s="89" t="n"/>
      <c r="AI97" s="89" t="n"/>
      <c r="AJ97" s="89" t="n"/>
      <c r="AK97" s="89" t="n"/>
      <c r="AL97" s="90">
        <f>AH97+AI97+AJ97+AK97</f>
        <v/>
      </c>
      <c r="AM97" s="89" t="n"/>
      <c r="AN97" s="89" t="n"/>
      <c r="AO97" s="89" t="n"/>
      <c r="AP97" s="89" t="n"/>
      <c r="AQ97" s="89" t="n"/>
      <c r="AR97" s="90">
        <f>AM97+AN97+AO97+AP97+AQ97</f>
        <v/>
      </c>
      <c r="AS97" s="89" t="n"/>
      <c r="AT97" s="89" t="n"/>
      <c r="AU97" s="89" t="n"/>
      <c r="AV97" s="89" t="n"/>
      <c r="AW97" s="90">
        <f>AS97+AT97+AU97+AV97</f>
        <v/>
      </c>
      <c r="AX97" s="89" t="n"/>
      <c r="AY97" s="89" t="n"/>
      <c r="AZ97" s="89" t="n"/>
      <c r="BA97" s="89" t="n"/>
      <c r="BB97" s="90">
        <f>AX97+AY97+AZ97+BA97</f>
        <v/>
      </c>
      <c r="BC97" s="89" t="n"/>
      <c r="BD97" s="89" t="n"/>
      <c r="BE97" s="89" t="n"/>
      <c r="BF97" s="89" t="n"/>
      <c r="BG97" s="89" t="n"/>
      <c r="BH97" s="90">
        <f>BC97+BD97+BE97+BF97+BG97</f>
        <v/>
      </c>
      <c r="BI97" s="89" t="n"/>
      <c r="BJ97" s="89" t="n"/>
      <c r="BK97" s="89" t="n"/>
      <c r="BL97" s="89" t="n"/>
      <c r="BM97" s="90">
        <f>BI97+BJ97+BK97+BL97</f>
        <v/>
      </c>
    </row>
    <row r="98" ht="15.75" customHeight="1">
      <c r="A98" s="92" t="inlineStr">
        <is>
          <t>SACOLA G VERDE</t>
        </is>
      </c>
      <c r="B98" s="89" t="n">
        <v>0</v>
      </c>
      <c r="C98" s="89" t="n">
        <v>0</v>
      </c>
      <c r="D98" s="89" t="n">
        <v>0</v>
      </c>
      <c r="E98" s="89" t="n">
        <v>0</v>
      </c>
      <c r="F98" s="90">
        <f>B98+C98+D98+E98</f>
        <v/>
      </c>
      <c r="G98" s="89" t="n">
        <v>0</v>
      </c>
      <c r="H98" s="89" t="n">
        <v>0</v>
      </c>
      <c r="I98" s="89" t="n">
        <v>0</v>
      </c>
      <c r="J98" s="89" t="n">
        <v>0</v>
      </c>
      <c r="K98" s="90">
        <f>G98+H98+I98+J98</f>
        <v/>
      </c>
      <c r="L98" s="89" t="n">
        <v>0</v>
      </c>
      <c r="M98" s="89" t="n">
        <v>0</v>
      </c>
      <c r="N98" s="89" t="n">
        <v>0</v>
      </c>
      <c r="O98" s="89" t="n">
        <v>0</v>
      </c>
      <c r="P98" s="89" t="n">
        <v>0</v>
      </c>
      <c r="Q98" s="90">
        <f>L98+M98+N98+O98+P98</f>
        <v/>
      </c>
      <c r="R98" s="89" t="n"/>
      <c r="S98" s="89" t="n"/>
      <c r="T98" s="89" t="n"/>
      <c r="U98" s="89" t="n"/>
      <c r="V98" s="90">
        <f>R98+S98+T98+U98</f>
        <v/>
      </c>
      <c r="W98" s="89" t="n">
        <v>0</v>
      </c>
      <c r="X98" s="89" t="n">
        <v>0</v>
      </c>
      <c r="Y98" s="89" t="n"/>
      <c r="Z98" s="89" t="n"/>
      <c r="AA98" s="90">
        <f>W98+X98+Y98+Z98</f>
        <v/>
      </c>
      <c r="AB98" s="89" t="n"/>
      <c r="AC98" s="89" t="n"/>
      <c r="AD98" s="89" t="n"/>
      <c r="AE98" s="89" t="n"/>
      <c r="AF98" s="89" t="n"/>
      <c r="AG98" s="90">
        <f>AB98+AC98+AD98+AE98+AF98</f>
        <v/>
      </c>
      <c r="AH98" s="89" t="n"/>
      <c r="AI98" s="89" t="n"/>
      <c r="AJ98" s="89" t="n"/>
      <c r="AK98" s="89" t="n"/>
      <c r="AL98" s="90">
        <f>AH98+AI98+AJ98+AK98</f>
        <v/>
      </c>
      <c r="AM98" s="89" t="n"/>
      <c r="AN98" s="89" t="n"/>
      <c r="AO98" s="89" t="n"/>
      <c r="AP98" s="89" t="n"/>
      <c r="AQ98" s="89" t="n"/>
      <c r="AR98" s="90">
        <f>AM98+AN98+AO98+AP98+AQ98</f>
        <v/>
      </c>
      <c r="AS98" s="89" t="n"/>
      <c r="AT98" s="89" t="n"/>
      <c r="AU98" s="89" t="n"/>
      <c r="AV98" s="89" t="n"/>
      <c r="AW98" s="90">
        <f>AS98+AT98+AU98+AV98</f>
        <v/>
      </c>
      <c r="AX98" s="89" t="n"/>
      <c r="AY98" s="89" t="n"/>
      <c r="AZ98" s="89" t="n"/>
      <c r="BA98" s="89" t="n"/>
      <c r="BB98" s="90">
        <f>AX98+AY98+AZ98+BA98</f>
        <v/>
      </c>
      <c r="BC98" s="89" t="n"/>
      <c r="BD98" s="89" t="n"/>
      <c r="BE98" s="89" t="n"/>
      <c r="BF98" s="89" t="n"/>
      <c r="BG98" s="89" t="n"/>
      <c r="BH98" s="90">
        <f>BC98+BD98+BE98+BF98+BG98</f>
        <v/>
      </c>
      <c r="BI98" s="89" t="n"/>
      <c r="BJ98" s="89" t="n"/>
      <c r="BK98" s="89" t="n"/>
      <c r="BL98" s="89" t="n"/>
      <c r="BM98" s="90">
        <f>BI98+BJ98+BK98+BL98</f>
        <v/>
      </c>
    </row>
    <row r="99" ht="15.75" customHeight="1">
      <c r="A99" s="93" t="inlineStr">
        <is>
          <t xml:space="preserve">PAPEL DE SEDA </t>
        </is>
      </c>
      <c r="B99" s="89" t="n">
        <v>0</v>
      </c>
      <c r="C99" s="89" t="n">
        <v>1</v>
      </c>
      <c r="D99" s="89" t="n">
        <v>0</v>
      </c>
      <c r="E99" s="89" t="n">
        <v>0</v>
      </c>
      <c r="F99" s="90">
        <f>B99+C99+D99+E99</f>
        <v/>
      </c>
      <c r="G99" s="89" t="n">
        <v>0</v>
      </c>
      <c r="H99" s="89" t="n">
        <v>0</v>
      </c>
      <c r="I99" s="89" t="n">
        <v>0</v>
      </c>
      <c r="J99" s="89" t="n">
        <v>0</v>
      </c>
      <c r="K99" s="90">
        <f>G99+H99+I99+J99</f>
        <v/>
      </c>
      <c r="L99" s="89" t="n">
        <v>0</v>
      </c>
      <c r="M99" s="89" t="n">
        <v>0</v>
      </c>
      <c r="N99" s="89" t="n">
        <v>1</v>
      </c>
      <c r="O99" s="89" t="n">
        <v>0</v>
      </c>
      <c r="P99" s="89" t="n">
        <v>1</v>
      </c>
      <c r="Q99" s="90">
        <f>L99+M99+N99+O99+P99</f>
        <v/>
      </c>
      <c r="R99" s="89" t="n"/>
      <c r="S99" s="89" t="n"/>
      <c r="T99" s="89" t="n"/>
      <c r="U99" s="89" t="n"/>
      <c r="V99" s="90">
        <f>R99+S99+T99+U99</f>
        <v/>
      </c>
      <c r="W99" s="89" t="n">
        <v>0</v>
      </c>
      <c r="X99" s="89" t="n">
        <v>1</v>
      </c>
      <c r="Y99" s="89" t="n"/>
      <c r="Z99" s="89" t="n"/>
      <c r="AA99" s="90">
        <f>W99+X99+Y99+Z99</f>
        <v/>
      </c>
      <c r="AB99" s="89" t="n"/>
      <c r="AC99" s="89" t="n"/>
      <c r="AD99" s="89" t="n"/>
      <c r="AE99" s="89" t="n"/>
      <c r="AF99" s="89" t="n"/>
      <c r="AG99" s="90">
        <f>AB99+AC99+AD99+AE99+AF99</f>
        <v/>
      </c>
      <c r="AH99" s="89" t="n"/>
      <c r="AI99" s="89" t="n"/>
      <c r="AJ99" s="89" t="n"/>
      <c r="AK99" s="89" t="n"/>
      <c r="AL99" s="90">
        <f>AH99+AI99+AJ99+AK99</f>
        <v/>
      </c>
      <c r="AM99" s="89" t="n"/>
      <c r="AN99" s="89" t="n"/>
      <c r="AO99" s="89" t="n"/>
      <c r="AP99" s="89" t="n"/>
      <c r="AQ99" s="89" t="n"/>
      <c r="AR99" s="90">
        <f>AM99+AN99+AO99+AP99+AQ99</f>
        <v/>
      </c>
      <c r="AS99" s="89" t="n"/>
      <c r="AT99" s="89" t="n"/>
      <c r="AU99" s="89" t="n"/>
      <c r="AV99" s="89" t="n"/>
      <c r="AW99" s="90">
        <f>AS99+AT99+AU99+AV99</f>
        <v/>
      </c>
      <c r="AX99" s="89" t="n"/>
      <c r="AY99" s="89" t="n"/>
      <c r="AZ99" s="89" t="n"/>
      <c r="BA99" s="89" t="n"/>
      <c r="BB99" s="90">
        <f>AX99+AY99+AZ99+BA99</f>
        <v/>
      </c>
      <c r="BC99" s="89" t="n"/>
      <c r="BD99" s="89" t="n"/>
      <c r="BE99" s="89" t="n"/>
      <c r="BF99" s="89" t="n"/>
      <c r="BG99" s="89" t="n"/>
      <c r="BH99" s="90">
        <f>BC99+BD99+BE99+BF99+BG99</f>
        <v/>
      </c>
      <c r="BI99" s="89" t="n"/>
      <c r="BJ99" s="89" t="n"/>
      <c r="BK99" s="89" t="n"/>
      <c r="BL99" s="89" t="n"/>
      <c r="BM99" s="90">
        <f>BI99+BJ99+BK99+BL99</f>
        <v/>
      </c>
    </row>
    <row r="100" ht="15.75" customHeight="1">
      <c r="A100" s="93" t="inlineStr">
        <is>
          <t>ETIQUETAS</t>
        </is>
      </c>
      <c r="B100" s="89" t="n">
        <v>0</v>
      </c>
      <c r="C100" s="89" t="n">
        <v>1</v>
      </c>
      <c r="D100" s="89" t="n">
        <v>0</v>
      </c>
      <c r="E100" s="89" t="n">
        <v>0</v>
      </c>
      <c r="F100" s="90">
        <f>B100+C100+D100+E100</f>
        <v/>
      </c>
      <c r="G100" s="89" t="n">
        <v>0</v>
      </c>
      <c r="H100" s="89" t="n">
        <v>0</v>
      </c>
      <c r="I100" s="89" t="n">
        <v>0</v>
      </c>
      <c r="J100" s="89" t="n">
        <v>0</v>
      </c>
      <c r="K100" s="90">
        <f>G100+H100+I100+J100</f>
        <v/>
      </c>
      <c r="L100" s="89" t="n">
        <v>0</v>
      </c>
      <c r="M100" s="89" t="n">
        <v>0</v>
      </c>
      <c r="N100" s="89" t="n">
        <v>0</v>
      </c>
      <c r="O100" s="89" t="n">
        <v>0</v>
      </c>
      <c r="P100" s="89" t="n">
        <v>0</v>
      </c>
      <c r="Q100" s="90">
        <f>L100+M100+N100+O100+P100</f>
        <v/>
      </c>
      <c r="R100" s="89" t="n"/>
      <c r="S100" s="89" t="n"/>
      <c r="T100" s="89" t="n"/>
      <c r="U100" s="89" t="n"/>
      <c r="V100" s="90">
        <f>R100+S100+T100+U100</f>
        <v/>
      </c>
      <c r="W100" s="89" t="n">
        <v>0</v>
      </c>
      <c r="X100" s="89" t="n">
        <v>0</v>
      </c>
      <c r="Y100" s="89" t="n"/>
      <c r="Z100" s="89" t="n"/>
      <c r="AA100" s="90">
        <f>W100+X100+Y100+Z100</f>
        <v/>
      </c>
      <c r="AB100" s="89" t="n"/>
      <c r="AC100" s="89" t="n"/>
      <c r="AD100" s="89" t="n"/>
      <c r="AE100" s="89" t="n"/>
      <c r="AF100" s="89" t="n"/>
      <c r="AG100" s="90">
        <f>AB100+AC100+AD100+AE100+AF100</f>
        <v/>
      </c>
      <c r="AH100" s="89" t="n"/>
      <c r="AI100" s="89" t="n"/>
      <c r="AJ100" s="89" t="n"/>
      <c r="AK100" s="89" t="n"/>
      <c r="AL100" s="90">
        <f>AH100+AI100+AJ100+AK100</f>
        <v/>
      </c>
      <c r="AM100" s="89" t="n"/>
      <c r="AN100" s="89" t="n"/>
      <c r="AO100" s="89" t="n"/>
      <c r="AP100" s="89" t="n"/>
      <c r="AQ100" s="89" t="n"/>
      <c r="AR100" s="90">
        <f>AM100+AN100+AO100+AP100+AQ100</f>
        <v/>
      </c>
      <c r="AS100" s="89" t="n"/>
      <c r="AT100" s="89" t="n"/>
      <c r="AU100" s="89" t="n"/>
      <c r="AV100" s="89" t="n"/>
      <c r="AW100" s="90">
        <f>AS100+AT100+AU100+AV100</f>
        <v/>
      </c>
      <c r="AX100" s="89" t="n"/>
      <c r="AY100" s="89" t="n"/>
      <c r="AZ100" s="89" t="n"/>
      <c r="BA100" s="89" t="n"/>
      <c r="BB100" s="90">
        <f>AX100+AY100+AZ100+BA100</f>
        <v/>
      </c>
      <c r="BC100" s="89" t="n"/>
      <c r="BD100" s="89" t="n"/>
      <c r="BE100" s="89" t="n"/>
      <c r="BF100" s="89" t="n"/>
      <c r="BG100" s="89" t="n"/>
      <c r="BH100" s="90">
        <f>BC100+BD100+BE100+BF100+BG100</f>
        <v/>
      </c>
      <c r="BI100" s="89" t="n"/>
      <c r="BJ100" s="89" t="n"/>
      <c r="BK100" s="89" t="n"/>
      <c r="BL100" s="89" t="n"/>
      <c r="BM100" s="90">
        <f>BI100+BJ100+BK100+BL100</f>
        <v/>
      </c>
    </row>
    <row r="101" ht="15.75" customHeight="1">
      <c r="A101" s="93" t="inlineStr">
        <is>
          <t xml:space="preserve">TAGS </t>
        </is>
      </c>
      <c r="B101" s="89" t="n">
        <v>0</v>
      </c>
      <c r="C101" s="89" t="n">
        <v>0</v>
      </c>
      <c r="D101" s="89" t="n">
        <v>0</v>
      </c>
      <c r="E101" s="89" t="n">
        <v>0</v>
      </c>
      <c r="F101" s="90">
        <f>B101+C101+D101+E101</f>
        <v/>
      </c>
      <c r="G101" s="89" t="n">
        <v>1</v>
      </c>
      <c r="H101" s="89" t="n">
        <v>0</v>
      </c>
      <c r="I101" s="89" t="n">
        <v>0</v>
      </c>
      <c r="J101" s="89" t="n">
        <v>0</v>
      </c>
      <c r="K101" s="90">
        <f>G101+H101+I101+J101</f>
        <v/>
      </c>
      <c r="L101" s="89" t="n">
        <v>0</v>
      </c>
      <c r="M101" s="89" t="n">
        <v>0</v>
      </c>
      <c r="N101" s="89" t="n">
        <v>0</v>
      </c>
      <c r="O101" s="89" t="n">
        <v>0</v>
      </c>
      <c r="P101" s="89" t="n">
        <v>0</v>
      </c>
      <c r="Q101" s="90">
        <f>L101+M101+N101+O101+P101</f>
        <v/>
      </c>
      <c r="R101" s="89" t="n"/>
      <c r="S101" s="89" t="n"/>
      <c r="T101" s="89" t="n"/>
      <c r="U101" s="89" t="n"/>
      <c r="V101" s="90">
        <f>R101+S101+T101+U101</f>
        <v/>
      </c>
      <c r="W101" s="89" t="n">
        <v>0</v>
      </c>
      <c r="X101" s="89" t="n">
        <v>0</v>
      </c>
      <c r="Y101" s="89" t="n"/>
      <c r="Z101" s="89" t="n"/>
      <c r="AA101" s="90">
        <f>W101+X101+Y101+Z101</f>
        <v/>
      </c>
      <c r="AB101" s="89" t="n"/>
      <c r="AC101" s="89" t="n"/>
      <c r="AD101" s="89" t="n"/>
      <c r="AE101" s="89" t="n"/>
      <c r="AF101" s="89" t="n"/>
      <c r="AG101" s="90">
        <f>AB101+AC101+AD101+AE101+AF101</f>
        <v/>
      </c>
      <c r="AH101" s="89" t="n"/>
      <c r="AI101" s="89" t="n"/>
      <c r="AJ101" s="89" t="n"/>
      <c r="AK101" s="89" t="n"/>
      <c r="AL101" s="90">
        <f>AH101+AI101+AJ101+AK101</f>
        <v/>
      </c>
      <c r="AM101" s="89" t="n"/>
      <c r="AN101" s="89" t="n"/>
      <c r="AO101" s="89" t="n"/>
      <c r="AP101" s="89" t="n"/>
      <c r="AQ101" s="89" t="n"/>
      <c r="AR101" s="90">
        <f>AM101+AN101+AO101+AP101+AQ101</f>
        <v/>
      </c>
      <c r="AS101" s="89" t="n"/>
      <c r="AT101" s="89" t="n"/>
      <c r="AU101" s="89" t="n"/>
      <c r="AV101" s="89" t="n"/>
      <c r="AW101" s="90">
        <f>AS101+AT101+AU101+AV101</f>
        <v/>
      </c>
      <c r="AX101" s="89" t="n"/>
      <c r="AY101" s="89" t="n"/>
      <c r="AZ101" s="89" t="n"/>
      <c r="BA101" s="89" t="n"/>
      <c r="BB101" s="90">
        <f>AX101+AY101+AZ101+BA101</f>
        <v/>
      </c>
      <c r="BC101" s="89" t="n"/>
      <c r="BD101" s="89" t="n"/>
      <c r="BE101" s="89" t="n"/>
      <c r="BF101" s="89" t="n"/>
      <c r="BG101" s="89" t="n"/>
      <c r="BH101" s="90">
        <f>BC101+BD101+BE101+BF101+BG101</f>
        <v/>
      </c>
      <c r="BI101" s="89" t="n"/>
      <c r="BJ101" s="89" t="n"/>
      <c r="BK101" s="89" t="n"/>
      <c r="BL101" s="89" t="n"/>
      <c r="BM101" s="90">
        <f>BI101+BJ101+BK101+BL101</f>
        <v/>
      </c>
    </row>
    <row r="102" ht="15.75" customHeight="1">
      <c r="A102" s="93" t="inlineStr">
        <is>
          <t>LÂMINA OLFATIVA</t>
        </is>
      </c>
      <c r="B102" s="89" t="n">
        <v>0</v>
      </c>
      <c r="C102" s="89" t="n">
        <v>0</v>
      </c>
      <c r="D102" s="89" t="n">
        <v>0</v>
      </c>
      <c r="E102" s="89" t="n">
        <v>0</v>
      </c>
      <c r="F102" s="90">
        <f>B102+C102+D102+E102</f>
        <v/>
      </c>
      <c r="G102" s="89" t="n">
        <v>0</v>
      </c>
      <c r="H102" s="89" t="n">
        <v>0</v>
      </c>
      <c r="I102" s="89" t="n">
        <v>1</v>
      </c>
      <c r="J102" s="89" t="n">
        <v>0</v>
      </c>
      <c r="K102" s="90">
        <f>G102+H102+I102+J102</f>
        <v/>
      </c>
      <c r="L102" s="89" t="n">
        <v>0</v>
      </c>
      <c r="M102" s="89" t="n">
        <v>0</v>
      </c>
      <c r="N102" s="89" t="n">
        <v>0</v>
      </c>
      <c r="O102" s="89" t="n">
        <v>0</v>
      </c>
      <c r="P102" s="89" t="n">
        <v>0</v>
      </c>
      <c r="Q102" s="90">
        <f>L102+M102+N102+O102+P102</f>
        <v/>
      </c>
      <c r="R102" s="89" t="n"/>
      <c r="S102" s="89" t="n"/>
      <c r="T102" s="89" t="n"/>
      <c r="U102" s="89" t="n"/>
      <c r="V102" s="90">
        <f>R102+S102+T102+U102</f>
        <v/>
      </c>
      <c r="W102" s="89" t="n">
        <v>0</v>
      </c>
      <c r="X102" s="89" t="n">
        <v>1</v>
      </c>
      <c r="Y102" s="89" t="n"/>
      <c r="Z102" s="89" t="n"/>
      <c r="AA102" s="90">
        <f>W102+X102+Y102+Z102</f>
        <v/>
      </c>
      <c r="AB102" s="89" t="n"/>
      <c r="AC102" s="89" t="n"/>
      <c r="AD102" s="89" t="n"/>
      <c r="AE102" s="89" t="n"/>
      <c r="AF102" s="89" t="n"/>
      <c r="AG102" s="90">
        <f>AB102+AC102+AD102+AE102+AF102</f>
        <v/>
      </c>
      <c r="AH102" s="89" t="n"/>
      <c r="AI102" s="89" t="n"/>
      <c r="AJ102" s="89" t="n"/>
      <c r="AK102" s="89" t="n"/>
      <c r="AL102" s="90">
        <f>AH102+AI102+AJ102+AK102</f>
        <v/>
      </c>
      <c r="AM102" s="89" t="n"/>
      <c r="AN102" s="89" t="n"/>
      <c r="AO102" s="89" t="n"/>
      <c r="AP102" s="89" t="n"/>
      <c r="AQ102" s="89" t="n"/>
      <c r="AR102" s="90">
        <f>AM102+AN102+AO102+AP102+AQ102</f>
        <v/>
      </c>
      <c r="AS102" s="89" t="n"/>
      <c r="AT102" s="89" t="n"/>
      <c r="AU102" s="89" t="n"/>
      <c r="AV102" s="89" t="n"/>
      <c r="AW102" s="90">
        <f>AS102+AT102+AU102+AV102</f>
        <v/>
      </c>
      <c r="AX102" s="89" t="n"/>
      <c r="AY102" s="89" t="n"/>
      <c r="AZ102" s="89" t="n"/>
      <c r="BA102" s="89" t="n"/>
      <c r="BB102" s="90">
        <f>AX102+AY102+AZ102+BA102</f>
        <v/>
      </c>
      <c r="BC102" s="89" t="n"/>
      <c r="BD102" s="89" t="n"/>
      <c r="BE102" s="89" t="n"/>
      <c r="BF102" s="89" t="n"/>
      <c r="BG102" s="89" t="n"/>
      <c r="BH102" s="90">
        <f>BC102+BD102+BE102+BF102+BG102</f>
        <v/>
      </c>
      <c r="BI102" s="89" t="n"/>
      <c r="BJ102" s="89" t="n"/>
      <c r="BK102" s="89" t="n"/>
      <c r="BL102" s="89" t="n"/>
      <c r="BM102" s="90">
        <f>BI102+BJ102+BK102+BL102</f>
        <v/>
      </c>
    </row>
    <row r="103" ht="15.75" customHeight="1">
      <c r="A103" s="94" t="inlineStr">
        <is>
          <t>TOTAL DE SACOLAS</t>
        </is>
      </c>
      <c r="B103" s="95">
        <f>SUM(B95:B98)</f>
        <v/>
      </c>
      <c r="C103" s="95">
        <f>SUM(C95:C98)</f>
        <v/>
      </c>
      <c r="D103" s="95">
        <f>SUM(D95:D98)</f>
        <v/>
      </c>
      <c r="E103" s="95">
        <f>SUM(E95:E98)</f>
        <v/>
      </c>
      <c r="F103" s="95">
        <f>SUM(F95:F98)</f>
        <v/>
      </c>
      <c r="G103" s="95">
        <f>SUM(G95:G98)</f>
        <v/>
      </c>
      <c r="H103" s="95">
        <f>SUM(H95:H98)</f>
        <v/>
      </c>
      <c r="I103" s="95">
        <f>SUM(I95:I98)</f>
        <v/>
      </c>
      <c r="J103" s="95">
        <f>SUM(J95:J98)</f>
        <v/>
      </c>
      <c r="K103" s="95">
        <f>SUM(K95:K98)</f>
        <v/>
      </c>
      <c r="L103" s="95">
        <f>SUM(L95:L98)</f>
        <v/>
      </c>
      <c r="M103" s="95">
        <f>SUM(M95:M98)</f>
        <v/>
      </c>
      <c r="N103" s="95">
        <f>SUM(N95:N98)</f>
        <v/>
      </c>
      <c r="O103" s="95">
        <f>SUM(O95:O98)</f>
        <v/>
      </c>
      <c r="P103" s="95">
        <f>SUM(P95:P98)</f>
        <v/>
      </c>
      <c r="Q103" s="95">
        <f>SUM(Q95:Q98)</f>
        <v/>
      </c>
      <c r="R103" s="95">
        <f>SUM(R95:R98)</f>
        <v/>
      </c>
      <c r="S103" s="95">
        <f>SUM(S95:S98)</f>
        <v/>
      </c>
      <c r="T103" s="95">
        <f>SUM(T95:T98)</f>
        <v/>
      </c>
      <c r="U103" s="95">
        <f>SUM(U95:U98)</f>
        <v/>
      </c>
      <c r="V103" s="95">
        <f>SUM(V95:V98)</f>
        <v/>
      </c>
      <c r="W103" s="95">
        <f>SUM(W95:W98)</f>
        <v/>
      </c>
      <c r="X103" s="95">
        <f>SUM(X95:X98)</f>
        <v/>
      </c>
      <c r="Y103" s="95">
        <f>SUM(Y95:Y98)</f>
        <v/>
      </c>
      <c r="Z103" s="95">
        <f>SUM(Z95:Z98)</f>
        <v/>
      </c>
      <c r="AA103" s="95">
        <f>SUM(AA95:AA98)</f>
        <v/>
      </c>
      <c r="AB103" s="95">
        <f>SUM(AB95:AB98)</f>
        <v/>
      </c>
      <c r="AC103" s="95">
        <f>SUM(AC95:AC98)</f>
        <v/>
      </c>
      <c r="AD103" s="95">
        <f>SUM(AD95:AD98)</f>
        <v/>
      </c>
      <c r="AE103" s="95">
        <f>SUM(AE95:AE98)</f>
        <v/>
      </c>
      <c r="AF103" s="95">
        <f>SUM(AF95:AF98)</f>
        <v/>
      </c>
      <c r="AG103" s="95">
        <f>SUM(AG95:AG98)</f>
        <v/>
      </c>
      <c r="AH103" s="95">
        <f>SUM(AH95:AH98)</f>
        <v/>
      </c>
      <c r="AI103" s="95">
        <f>SUM(AI95:AI98)</f>
        <v/>
      </c>
      <c r="AJ103" s="95">
        <f>SUM(AJ95:AJ98)</f>
        <v/>
      </c>
      <c r="AK103" s="95">
        <f>SUM(AK95:AK98)</f>
        <v/>
      </c>
      <c r="AL103" s="95">
        <f>SUM(AL95:AL98)</f>
        <v/>
      </c>
      <c r="AM103" s="95">
        <f>SUM(AM95:AM98)</f>
        <v/>
      </c>
      <c r="AN103" s="95">
        <f>SUM(AN95:AN98)</f>
        <v/>
      </c>
      <c r="AO103" s="95">
        <f>SUM(AO95:AO98)</f>
        <v/>
      </c>
      <c r="AP103" s="95">
        <f>SUM(AP95:AP98)</f>
        <v/>
      </c>
      <c r="AQ103" s="95">
        <f>SUM(AQ95:AQ98)</f>
        <v/>
      </c>
      <c r="AR103" s="95">
        <f>SUM(AR95:AR98)</f>
        <v/>
      </c>
      <c r="AS103" s="95">
        <f>SUM(AS95:AS98)</f>
        <v/>
      </c>
      <c r="AT103" s="95">
        <f>SUM(AT95:AT98)</f>
        <v/>
      </c>
      <c r="AU103" s="95">
        <f>SUM(AU95:AU98)</f>
        <v/>
      </c>
      <c r="AV103" s="95">
        <f>SUM(AV95:AV98)</f>
        <v/>
      </c>
      <c r="AW103" s="95">
        <f>SUM(AW95:AW98)</f>
        <v/>
      </c>
      <c r="AX103" s="95">
        <f>SUM(AX95:AX98)</f>
        <v/>
      </c>
      <c r="AY103" s="95">
        <f>SUM(AY95:AY98)</f>
        <v/>
      </c>
      <c r="AZ103" s="95">
        <f>SUM(AZ95:AZ98)</f>
        <v/>
      </c>
      <c r="BA103" s="95">
        <f>SUM(BA95:BA98)</f>
        <v/>
      </c>
      <c r="BB103" s="95">
        <f>SUM(BB95:BB98)</f>
        <v/>
      </c>
      <c r="BC103" s="95">
        <f>SUM(BC95:BC98)</f>
        <v/>
      </c>
      <c r="BD103" s="95">
        <f>SUM(BD95:BD98)</f>
        <v/>
      </c>
      <c r="BE103" s="95">
        <f>SUM(BE95:BE98)</f>
        <v/>
      </c>
      <c r="BF103" s="95">
        <f>SUM(BF95:BF98)</f>
        <v/>
      </c>
      <c r="BG103" s="95">
        <f>SUM(BG95:BG98)</f>
        <v/>
      </c>
      <c r="BH103" s="95">
        <f>SUM(BH95:BH98)</f>
        <v/>
      </c>
      <c r="BI103" s="95">
        <f>SUM(BI95:BI98)</f>
        <v/>
      </c>
      <c r="BJ103" s="95">
        <f>SUM(BJ95:BJ98)</f>
        <v/>
      </c>
      <c r="BK103" s="95">
        <f>SUM(BK95:BK98)</f>
        <v/>
      </c>
      <c r="BL103" s="95">
        <f>SUM(BL95:BL98)</f>
        <v/>
      </c>
      <c r="BM103" s="95">
        <f>SUM(BM95:BM98)</f>
        <v/>
      </c>
    </row>
    <row r="105" ht="18" customHeight="1">
      <c r="A105" s="506" t="inlineStr">
        <is>
          <t>GASTO DE SACOLAS E ITENS DOADOS 2026 - MENSAIS</t>
        </is>
      </c>
      <c r="B105" s="700" t="n"/>
      <c r="C105" s="700" t="n"/>
      <c r="D105" s="700" t="n"/>
      <c r="E105" s="700" t="n"/>
      <c r="F105" s="700" t="n"/>
      <c r="G105" s="700" t="n"/>
      <c r="H105" s="700" t="n"/>
      <c r="I105" s="700" t="n"/>
      <c r="J105" s="700" t="n"/>
      <c r="K105" s="700" t="n"/>
      <c r="L105" s="700" t="n"/>
      <c r="M105" s="700" t="n"/>
      <c r="N105" s="700" t="n"/>
      <c r="O105" s="700" t="n"/>
      <c r="P105" s="700" t="n"/>
      <c r="Q105" s="700" t="n"/>
      <c r="R105" s="700" t="n"/>
      <c r="S105" s="700" t="n"/>
      <c r="T105" s="700" t="n"/>
      <c r="U105" s="700" t="n"/>
      <c r="V105" s="700" t="n"/>
      <c r="W105" s="700" t="n"/>
      <c r="X105" s="700" t="n"/>
      <c r="Y105" s="700" t="n"/>
      <c r="Z105" s="700" t="n"/>
      <c r="AA105" s="700" t="n"/>
      <c r="AB105" s="700" t="n"/>
      <c r="AC105" s="700" t="n"/>
      <c r="AD105" s="700" t="n"/>
      <c r="AE105" s="700" t="n"/>
      <c r="AF105" s="700" t="n"/>
      <c r="AG105" s="700" t="n"/>
      <c r="AH105" s="700" t="n"/>
      <c r="AI105" s="700" t="n"/>
      <c r="AJ105" s="700" t="n"/>
      <c r="AK105" s="700" t="n"/>
      <c r="AL105" s="700" t="n"/>
      <c r="AM105" s="700" t="n"/>
      <c r="AN105" s="700" t="n"/>
      <c r="AO105" s="700" t="n"/>
      <c r="AP105" s="700" t="n"/>
      <c r="AQ105" s="700" t="n"/>
      <c r="AR105" s="700" t="n"/>
      <c r="AS105" s="700" t="n"/>
      <c r="AT105" s="700" t="n"/>
      <c r="AU105" s="700" t="n"/>
      <c r="AV105" s="700" t="n"/>
      <c r="AW105" s="700" t="n"/>
      <c r="AX105" s="700" t="n"/>
      <c r="AY105" s="700" t="n"/>
      <c r="AZ105" s="700" t="n"/>
      <c r="BA105" s="700" t="n"/>
      <c r="BB105" s="700" t="n"/>
      <c r="BC105" s="700" t="n"/>
      <c r="BD105" s="700" t="n"/>
      <c r="BE105" s="700" t="n"/>
      <c r="BF105" s="700" t="n"/>
      <c r="BG105" s="700" t="n"/>
      <c r="BH105" s="700" t="n"/>
      <c r="BI105" s="700" t="n"/>
      <c r="BJ105" s="700" t="n"/>
      <c r="BK105" s="700" t="n"/>
      <c r="BL105" s="700" t="n"/>
      <c r="BM105" s="700" t="n"/>
    </row>
    <row r="106" ht="18" customHeight="1">
      <c r="A106" s="701" t="inlineStr">
        <is>
          <t>BROTAS</t>
        </is>
      </c>
      <c r="B106" s="701" t="inlineStr">
        <is>
          <t>JANEIRO</t>
        </is>
      </c>
      <c r="C106" s="666" t="n"/>
      <c r="D106" s="666" t="n"/>
      <c r="E106" s="666" t="n"/>
      <c r="F106" s="667" t="n"/>
      <c r="G106" s="701" t="inlineStr">
        <is>
          <t>FEVEREIRO</t>
        </is>
      </c>
      <c r="H106" s="666" t="n"/>
      <c r="I106" s="666" t="n"/>
      <c r="J106" s="666" t="n"/>
      <c r="K106" s="667" t="n"/>
      <c r="L106" s="701" t="inlineStr">
        <is>
          <t>MARÇO</t>
        </is>
      </c>
      <c r="M106" s="666" t="n"/>
      <c r="N106" s="666" t="n"/>
      <c r="O106" s="666" t="n"/>
      <c r="P106" s="666" t="n"/>
      <c r="Q106" s="667" t="n"/>
      <c r="R106" s="701" t="inlineStr">
        <is>
          <t>ABRIL</t>
        </is>
      </c>
      <c r="S106" s="666" t="n"/>
      <c r="T106" s="666" t="n"/>
      <c r="U106" s="666" t="n"/>
      <c r="V106" s="667" t="n"/>
      <c r="W106" s="701" t="inlineStr">
        <is>
          <t>MAIO</t>
        </is>
      </c>
      <c r="X106" s="666" t="n"/>
      <c r="Y106" s="666" t="n"/>
      <c r="Z106" s="666" t="n"/>
      <c r="AA106" s="667" t="n"/>
      <c r="AB106" s="701" t="inlineStr">
        <is>
          <t>JUNHO</t>
        </is>
      </c>
      <c r="AC106" s="666" t="n"/>
      <c r="AD106" s="666" t="n"/>
      <c r="AE106" s="666" t="n"/>
      <c r="AF106" s="666" t="n"/>
      <c r="AG106" s="667" t="n"/>
      <c r="AH106" s="701" t="inlineStr">
        <is>
          <t>JULHO</t>
        </is>
      </c>
      <c r="AI106" s="666" t="n"/>
      <c r="AJ106" s="666" t="n"/>
      <c r="AK106" s="666" t="n"/>
      <c r="AL106" s="667" t="n"/>
      <c r="AM106" s="701" t="inlineStr">
        <is>
          <t>AGOSTO</t>
        </is>
      </c>
      <c r="AN106" s="666" t="n"/>
      <c r="AO106" s="666" t="n"/>
      <c r="AP106" s="666" t="n"/>
      <c r="AQ106" s="666" t="n"/>
      <c r="AR106" s="667" t="n"/>
      <c r="AS106" s="701" t="inlineStr">
        <is>
          <t>SETEMBRO</t>
        </is>
      </c>
      <c r="AT106" s="666" t="n"/>
      <c r="AU106" s="666" t="n"/>
      <c r="AV106" s="666" t="n"/>
      <c r="AW106" s="667" t="n"/>
      <c r="AX106" s="701" t="inlineStr">
        <is>
          <t>OUTUBRO</t>
        </is>
      </c>
      <c r="AY106" s="666" t="n"/>
      <c r="AZ106" s="666" t="n"/>
      <c r="BA106" s="666" t="n"/>
      <c r="BB106" s="667" t="n"/>
      <c r="BC106" s="701" t="inlineStr">
        <is>
          <t>NOVEMBRO</t>
        </is>
      </c>
      <c r="BD106" s="666" t="n"/>
      <c r="BE106" s="666" t="n"/>
      <c r="BF106" s="666" t="n"/>
      <c r="BG106" s="666" t="n"/>
      <c r="BH106" s="667" t="n"/>
      <c r="BI106" s="701" t="inlineStr">
        <is>
          <t>DEZEMBRO</t>
        </is>
      </c>
      <c r="BJ106" s="666" t="n"/>
      <c r="BK106" s="666" t="n"/>
      <c r="BL106" s="666" t="n"/>
      <c r="BM106" s="667" t="n"/>
    </row>
    <row r="107" ht="15.75" customHeight="1">
      <c r="A107" s="668" t="n"/>
      <c r="B107" s="86" t="n">
        <v>46027</v>
      </c>
      <c r="C107" s="86" t="n">
        <v>46034</v>
      </c>
      <c r="D107" s="86" t="n">
        <v>46041</v>
      </c>
      <c r="E107" s="86" t="n">
        <v>46048</v>
      </c>
      <c r="F107" s="87" t="inlineStr">
        <is>
          <t>USOU</t>
        </is>
      </c>
      <c r="G107" s="86" t="n">
        <v>46055</v>
      </c>
      <c r="H107" s="86" t="n">
        <v>46062</v>
      </c>
      <c r="I107" s="86" t="n">
        <v>46069</v>
      </c>
      <c r="J107" s="86" t="n">
        <v>46076</v>
      </c>
      <c r="K107" s="87" t="inlineStr">
        <is>
          <t>USOU</t>
        </is>
      </c>
      <c r="L107" s="86" t="n">
        <v>46083</v>
      </c>
      <c r="M107" s="86" t="n">
        <v>46090</v>
      </c>
      <c r="N107" s="86" t="n">
        <v>46097</v>
      </c>
      <c r="O107" s="86" t="n">
        <v>46104</v>
      </c>
      <c r="P107" s="86" t="n">
        <v>46111</v>
      </c>
      <c r="Q107" s="87" t="inlineStr">
        <is>
          <t>USOU</t>
        </is>
      </c>
      <c r="R107" s="86" t="n">
        <v>46118</v>
      </c>
      <c r="S107" s="86" t="n">
        <v>46125</v>
      </c>
      <c r="T107" s="86" t="n">
        <v>46132</v>
      </c>
      <c r="U107" s="86" t="n">
        <v>46139</v>
      </c>
      <c r="V107" s="87" t="inlineStr">
        <is>
          <t>USOU</t>
        </is>
      </c>
      <c r="W107" s="86" t="n">
        <v>46146</v>
      </c>
      <c r="X107" s="86" t="n">
        <v>46153</v>
      </c>
      <c r="Y107" s="86" t="n">
        <v>46160</v>
      </c>
      <c r="Z107" s="86" t="n">
        <v>46167</v>
      </c>
      <c r="AA107" s="87" t="inlineStr">
        <is>
          <t>USOU</t>
        </is>
      </c>
      <c r="AB107" s="86" t="n">
        <v>46174</v>
      </c>
      <c r="AC107" s="86" t="n">
        <v>46181</v>
      </c>
      <c r="AD107" s="86" t="n">
        <v>46188</v>
      </c>
      <c r="AE107" s="86" t="n">
        <v>46195</v>
      </c>
      <c r="AF107" s="86" t="n">
        <v>46202</v>
      </c>
      <c r="AG107" s="87" t="inlineStr">
        <is>
          <t>USOU</t>
        </is>
      </c>
      <c r="AH107" s="86" t="n">
        <v>46209</v>
      </c>
      <c r="AI107" s="86" t="n">
        <v>46216</v>
      </c>
      <c r="AJ107" s="86" t="n">
        <v>46223</v>
      </c>
      <c r="AK107" s="86" t="n">
        <v>46230</v>
      </c>
      <c r="AL107" s="87" t="inlineStr">
        <is>
          <t>USOU</t>
        </is>
      </c>
      <c r="AM107" s="86" t="n">
        <v>46237</v>
      </c>
      <c r="AN107" s="86" t="n">
        <v>46244</v>
      </c>
      <c r="AO107" s="86" t="n">
        <v>46251</v>
      </c>
      <c r="AP107" s="86" t="n">
        <v>46258</v>
      </c>
      <c r="AQ107" s="86" t="n">
        <v>46265</v>
      </c>
      <c r="AR107" s="87" t="inlineStr">
        <is>
          <t>USOU</t>
        </is>
      </c>
      <c r="AS107" s="86" t="n">
        <v>46272</v>
      </c>
      <c r="AT107" s="86" t="n">
        <v>46279</v>
      </c>
      <c r="AU107" s="86" t="n">
        <v>46286</v>
      </c>
      <c r="AV107" s="86" t="n">
        <v>46293</v>
      </c>
      <c r="AW107" s="87" t="inlineStr">
        <is>
          <t>USOU</t>
        </is>
      </c>
      <c r="AX107" s="86" t="n">
        <v>46300</v>
      </c>
      <c r="AY107" s="86" t="n">
        <v>46307</v>
      </c>
      <c r="AZ107" s="86" t="n">
        <v>46314</v>
      </c>
      <c r="BA107" s="86" t="n">
        <v>46321</v>
      </c>
      <c r="BB107" s="87" t="inlineStr">
        <is>
          <t>USOU</t>
        </is>
      </c>
      <c r="BC107" s="86" t="n">
        <v>46328</v>
      </c>
      <c r="BD107" s="86" t="n">
        <v>46335</v>
      </c>
      <c r="BE107" s="86" t="n">
        <v>46342</v>
      </c>
      <c r="BF107" s="86" t="n">
        <v>46349</v>
      </c>
      <c r="BG107" s="86" t="n">
        <v>46356</v>
      </c>
      <c r="BH107" s="87" t="inlineStr">
        <is>
          <t>USOU</t>
        </is>
      </c>
      <c r="BI107" s="86" t="n">
        <v>46363</v>
      </c>
      <c r="BJ107" s="86" t="n">
        <v>46370</v>
      </c>
      <c r="BK107" s="86" t="n">
        <v>46377</v>
      </c>
      <c r="BL107" s="86" t="n">
        <v>46384</v>
      </c>
      <c r="BM107" s="87" t="inlineStr">
        <is>
          <t>USOU</t>
        </is>
      </c>
    </row>
    <row r="108" ht="15.75" customHeight="1">
      <c r="A108" s="91" t="inlineStr">
        <is>
          <t>SACOLA PP VERDE</t>
        </is>
      </c>
      <c r="B108" s="89" t="n">
        <v>0</v>
      </c>
      <c r="C108" s="89" t="n">
        <v>120</v>
      </c>
      <c r="D108" s="89" t="n">
        <v>0</v>
      </c>
      <c r="E108" s="89" t="n">
        <v>0</v>
      </c>
      <c r="F108" s="90">
        <f>B108+C108+D108+E108</f>
        <v/>
      </c>
      <c r="G108" s="89" t="n">
        <v>0</v>
      </c>
      <c r="H108" s="89" t="n">
        <v>0</v>
      </c>
      <c r="I108" s="89" t="n">
        <v>0</v>
      </c>
      <c r="J108" s="89" t="n">
        <v>120</v>
      </c>
      <c r="K108" s="90">
        <f>G108+H108+I108+J108</f>
        <v/>
      </c>
      <c r="L108" s="89" t="n">
        <v>40</v>
      </c>
      <c r="M108" s="89" t="n">
        <v>40</v>
      </c>
      <c r="N108" s="89" t="n">
        <v>0</v>
      </c>
      <c r="O108" s="89" t="n">
        <v>0</v>
      </c>
      <c r="P108" s="89" t="n">
        <v>0</v>
      </c>
      <c r="Q108" s="90">
        <f>L108+M108+N108+O108+P108</f>
        <v/>
      </c>
      <c r="R108" s="89" t="n"/>
      <c r="S108" s="89" t="n"/>
      <c r="T108" s="89" t="n"/>
      <c r="U108" s="89" t="n"/>
      <c r="V108" s="90">
        <f>R108+S108+T108+U108</f>
        <v/>
      </c>
      <c r="W108" s="89" t="n">
        <v>0</v>
      </c>
      <c r="X108" s="89" t="n">
        <v>60</v>
      </c>
      <c r="Y108" s="89" t="n"/>
      <c r="Z108" s="89" t="n"/>
      <c r="AA108" s="90">
        <f>W108+X108+Y108+Z108</f>
        <v/>
      </c>
      <c r="AB108" s="89" t="n"/>
      <c r="AC108" s="89" t="n"/>
      <c r="AD108" s="89" t="n"/>
      <c r="AE108" s="89" t="n"/>
      <c r="AF108" s="89" t="n"/>
      <c r="AG108" s="90">
        <f>AB108+AC108+AD108+AE108+AF108</f>
        <v/>
      </c>
      <c r="AH108" s="89" t="n"/>
      <c r="AI108" s="89" t="n"/>
      <c r="AJ108" s="89" t="n"/>
      <c r="AK108" s="89" t="n"/>
      <c r="AL108" s="90">
        <f>AH108+AI108+AJ108+AK108</f>
        <v/>
      </c>
      <c r="AM108" s="89" t="n"/>
      <c r="AN108" s="89" t="n"/>
      <c r="AO108" s="89" t="n"/>
      <c r="AP108" s="89" t="n"/>
      <c r="AQ108" s="89" t="n"/>
      <c r="AR108" s="90">
        <f>AM108+AN108+AO108+AP108+AQ108</f>
        <v/>
      </c>
      <c r="AS108" s="89" t="n"/>
      <c r="AT108" s="89" t="n"/>
      <c r="AU108" s="89" t="n"/>
      <c r="AV108" s="89" t="n"/>
      <c r="AW108" s="90">
        <f>AS108+AT108+AU108+AV108</f>
        <v/>
      </c>
      <c r="AX108" s="89" t="n"/>
      <c r="AY108" s="89" t="n"/>
      <c r="AZ108" s="89" t="n"/>
      <c r="BA108" s="89" t="n"/>
      <c r="BB108" s="90">
        <f>AX108+AY108+AZ108+BA108</f>
        <v/>
      </c>
      <c r="BC108" s="89" t="n"/>
      <c r="BD108" s="89" t="n"/>
      <c r="BE108" s="89" t="n"/>
      <c r="BF108" s="89" t="n"/>
      <c r="BG108" s="89" t="n"/>
      <c r="BH108" s="90">
        <f>BC108+BD108+BE108+BF108+BG108</f>
        <v/>
      </c>
      <c r="BI108" s="89" t="n"/>
      <c r="BJ108" s="89" t="n"/>
      <c r="BK108" s="89" t="n"/>
      <c r="BL108" s="89" t="n"/>
      <c r="BM108" s="90">
        <f>BI108+BJ108+BK108+BL108</f>
        <v/>
      </c>
    </row>
    <row r="109" ht="15.75" customHeight="1">
      <c r="A109" s="91" t="inlineStr">
        <is>
          <t>SACOLA P VERDE</t>
        </is>
      </c>
      <c r="B109" s="89" t="n">
        <v>160</v>
      </c>
      <c r="C109" s="89" t="n">
        <v>120</v>
      </c>
      <c r="D109" s="89" t="n">
        <v>160</v>
      </c>
      <c r="E109" s="89" t="n">
        <v>80</v>
      </c>
      <c r="F109" s="90">
        <f>B109+C109+D109+E109</f>
        <v/>
      </c>
      <c r="G109" s="89" t="n">
        <v>80</v>
      </c>
      <c r="H109" s="89" t="n">
        <v>20</v>
      </c>
      <c r="I109" s="89" t="n">
        <v>0</v>
      </c>
      <c r="J109" s="89" t="n">
        <v>60</v>
      </c>
      <c r="K109" s="90">
        <f>G109+H109+I109+J109</f>
        <v/>
      </c>
      <c r="L109" s="89" t="n">
        <v>360</v>
      </c>
      <c r="M109" s="89" t="n">
        <v>160</v>
      </c>
      <c r="N109" s="89" t="n">
        <v>180</v>
      </c>
      <c r="O109" s="89" t="n">
        <v>100</v>
      </c>
      <c r="P109" s="89" t="n">
        <v>100</v>
      </c>
      <c r="Q109" s="90">
        <f>L109+M109+N109+O109+P109</f>
        <v/>
      </c>
      <c r="R109" s="89" t="n"/>
      <c r="S109" s="89" t="n"/>
      <c r="T109" s="89" t="n"/>
      <c r="U109" s="89" t="n"/>
      <c r="V109" s="90">
        <f>R109+S109+T109+U109</f>
        <v/>
      </c>
      <c r="W109" s="89" t="n">
        <v>0</v>
      </c>
      <c r="X109" s="89" t="n">
        <v>0</v>
      </c>
      <c r="Y109" s="89" t="n"/>
      <c r="Z109" s="89" t="n"/>
      <c r="AA109" s="90">
        <f>W109+X109+Y109+Z109</f>
        <v/>
      </c>
      <c r="AB109" s="89" t="n"/>
      <c r="AC109" s="89" t="n"/>
      <c r="AD109" s="89" t="n"/>
      <c r="AE109" s="89" t="n"/>
      <c r="AF109" s="89" t="n"/>
      <c r="AG109" s="90">
        <f>AB109+AC109+AD109+AE109+AF109</f>
        <v/>
      </c>
      <c r="AH109" s="89" t="n"/>
      <c r="AI109" s="89" t="n"/>
      <c r="AJ109" s="89" t="n"/>
      <c r="AK109" s="89" t="n"/>
      <c r="AL109" s="90">
        <f>AH109+AI109+AJ109+AK109</f>
        <v/>
      </c>
      <c r="AM109" s="89" t="n"/>
      <c r="AN109" s="89" t="n"/>
      <c r="AO109" s="89" t="n"/>
      <c r="AP109" s="89" t="n"/>
      <c r="AQ109" s="89" t="n"/>
      <c r="AR109" s="90">
        <f>AM109+AN109+AO109+AP109+AQ109</f>
        <v/>
      </c>
      <c r="AS109" s="89" t="n"/>
      <c r="AT109" s="89" t="n"/>
      <c r="AU109" s="89" t="n"/>
      <c r="AV109" s="89" t="n"/>
      <c r="AW109" s="90">
        <f>AS109+AT109+AU109+AV109</f>
        <v/>
      </c>
      <c r="AX109" s="89" t="n"/>
      <c r="AY109" s="89" t="n"/>
      <c r="AZ109" s="89" t="n"/>
      <c r="BA109" s="89" t="n"/>
      <c r="BB109" s="90">
        <f>AX109+AY109+AZ109+BA109</f>
        <v/>
      </c>
      <c r="BC109" s="89" t="n"/>
      <c r="BD109" s="89" t="n"/>
      <c r="BE109" s="89" t="n"/>
      <c r="BF109" s="89" t="n"/>
      <c r="BG109" s="89" t="n"/>
      <c r="BH109" s="90">
        <f>BC109+BD109+BE109+BF109+BG109</f>
        <v/>
      </c>
      <c r="BI109" s="89" t="n"/>
      <c r="BJ109" s="89" t="n"/>
      <c r="BK109" s="89" t="n"/>
      <c r="BL109" s="89" t="n"/>
      <c r="BM109" s="90">
        <f>BI109+BJ109+BK109+BL109</f>
        <v/>
      </c>
    </row>
    <row r="110" ht="15.75" customHeight="1">
      <c r="A110" s="91" t="inlineStr">
        <is>
          <t>SACOLA M VERDE</t>
        </is>
      </c>
      <c r="B110" s="89" t="n">
        <v>320</v>
      </c>
      <c r="C110" s="89" t="n">
        <v>40</v>
      </c>
      <c r="D110" s="89" t="n">
        <v>20</v>
      </c>
      <c r="E110" s="89" t="n">
        <v>20</v>
      </c>
      <c r="F110" s="90">
        <f>B110+C110+D110+E110</f>
        <v/>
      </c>
      <c r="G110" s="89" t="n">
        <v>0</v>
      </c>
      <c r="H110" s="89" t="n">
        <v>80</v>
      </c>
      <c r="I110" s="89" t="n">
        <v>0</v>
      </c>
      <c r="J110" s="89" t="n">
        <v>40</v>
      </c>
      <c r="K110" s="90">
        <f>G110+H110+I110+J110</f>
        <v/>
      </c>
      <c r="L110" s="89" t="n">
        <v>20</v>
      </c>
      <c r="M110" s="89" t="n">
        <v>60</v>
      </c>
      <c r="N110" s="89" t="n">
        <v>80</v>
      </c>
      <c r="O110" s="89" t="n">
        <v>40</v>
      </c>
      <c r="P110" s="89" t="n">
        <v>0</v>
      </c>
      <c r="Q110" s="90">
        <f>L110+M110+N110+O110+P110</f>
        <v/>
      </c>
      <c r="R110" s="89" t="n"/>
      <c r="S110" s="89" t="n"/>
      <c r="T110" s="89" t="n"/>
      <c r="U110" s="89" t="n"/>
      <c r="V110" s="90">
        <f>R110+S110+T110+U110</f>
        <v/>
      </c>
      <c r="W110" s="89" t="n">
        <v>0</v>
      </c>
      <c r="X110" s="89" t="n">
        <v>0</v>
      </c>
      <c r="Y110" s="89" t="n"/>
      <c r="Z110" s="89" t="n"/>
      <c r="AA110" s="90">
        <f>W110+X110+Y110+Z110</f>
        <v/>
      </c>
      <c r="AB110" s="89" t="n"/>
      <c r="AC110" s="89" t="n"/>
      <c r="AD110" s="89" t="n"/>
      <c r="AE110" s="89" t="n"/>
      <c r="AF110" s="89" t="n"/>
      <c r="AG110" s="90">
        <f>AB110+AC110+AD110+AE110+AF110</f>
        <v/>
      </c>
      <c r="AH110" s="89" t="n"/>
      <c r="AI110" s="89" t="n"/>
      <c r="AJ110" s="89" t="n"/>
      <c r="AK110" s="89" t="n"/>
      <c r="AL110" s="90">
        <f>AH110+AI110+AJ110+AK110</f>
        <v/>
      </c>
      <c r="AM110" s="89" t="n"/>
      <c r="AN110" s="89" t="n"/>
      <c r="AO110" s="89" t="n"/>
      <c r="AP110" s="89" t="n"/>
      <c r="AQ110" s="89" t="n"/>
      <c r="AR110" s="90">
        <f>AM110+AN110+AO110+AP110+AQ110</f>
        <v/>
      </c>
      <c r="AS110" s="89" t="n"/>
      <c r="AT110" s="89" t="n"/>
      <c r="AU110" s="89" t="n"/>
      <c r="AV110" s="89" t="n"/>
      <c r="AW110" s="90">
        <f>AS110+AT110+AU110+AV110</f>
        <v/>
      </c>
      <c r="AX110" s="89" t="n"/>
      <c r="AY110" s="89" t="n"/>
      <c r="AZ110" s="89" t="n"/>
      <c r="BA110" s="89" t="n"/>
      <c r="BB110" s="90">
        <f>AX110+AY110+AZ110+BA110</f>
        <v/>
      </c>
      <c r="BC110" s="89" t="n"/>
      <c r="BD110" s="89" t="n"/>
      <c r="BE110" s="89" t="n"/>
      <c r="BF110" s="89" t="n"/>
      <c r="BG110" s="89" t="n"/>
      <c r="BH110" s="90">
        <f>BC110+BD110+BE110+BF110+BG110</f>
        <v/>
      </c>
      <c r="BI110" s="89" t="n"/>
      <c r="BJ110" s="89" t="n"/>
      <c r="BK110" s="89" t="n"/>
      <c r="BL110" s="89" t="n"/>
      <c r="BM110" s="90">
        <f>BI110+BJ110+BK110+BL110</f>
        <v/>
      </c>
    </row>
    <row r="111" ht="15.75" customHeight="1">
      <c r="A111" s="92" t="inlineStr">
        <is>
          <t>SACOLA G VERDE</t>
        </is>
      </c>
      <c r="B111" s="89" t="n">
        <v>0</v>
      </c>
      <c r="C111" s="89" t="n">
        <v>40</v>
      </c>
      <c r="D111" s="89" t="n">
        <v>0</v>
      </c>
      <c r="E111" s="89" t="n">
        <v>0</v>
      </c>
      <c r="F111" s="90">
        <f>B111+C111+D111+E111</f>
        <v/>
      </c>
      <c r="G111" s="89" t="n">
        <v>0</v>
      </c>
      <c r="H111" s="89" t="n">
        <v>0</v>
      </c>
      <c r="I111" s="89" t="n">
        <v>0</v>
      </c>
      <c r="J111" s="89" t="n">
        <v>60</v>
      </c>
      <c r="K111" s="90">
        <f>G111+H111+I111+J111</f>
        <v/>
      </c>
      <c r="L111" s="89" t="n">
        <v>0</v>
      </c>
      <c r="M111" s="89" t="n">
        <v>0</v>
      </c>
      <c r="N111" s="89" t="n">
        <v>0</v>
      </c>
      <c r="O111" s="89" t="n">
        <v>0</v>
      </c>
      <c r="P111" s="89" t="n">
        <v>0</v>
      </c>
      <c r="Q111" s="90">
        <f>L111+M111+N111+O111+P111</f>
        <v/>
      </c>
      <c r="R111" s="89" t="n"/>
      <c r="S111" s="89" t="n"/>
      <c r="T111" s="89" t="n"/>
      <c r="U111" s="89" t="n"/>
      <c r="V111" s="90">
        <f>R111+S111+T111+U111</f>
        <v/>
      </c>
      <c r="W111" s="89" t="n">
        <v>0</v>
      </c>
      <c r="X111" s="89" t="n">
        <v>0</v>
      </c>
      <c r="Y111" s="89" t="n"/>
      <c r="Z111" s="89" t="n"/>
      <c r="AA111" s="90">
        <f>W111+X111+Y111+Z111</f>
        <v/>
      </c>
      <c r="AB111" s="89" t="n"/>
      <c r="AC111" s="89" t="n"/>
      <c r="AD111" s="89" t="n"/>
      <c r="AE111" s="89" t="n"/>
      <c r="AF111" s="89" t="n"/>
      <c r="AG111" s="90">
        <f>AB111+AC111+AD111+AE111+AF111</f>
        <v/>
      </c>
      <c r="AH111" s="89" t="n"/>
      <c r="AI111" s="89" t="n"/>
      <c r="AJ111" s="89" t="n"/>
      <c r="AK111" s="89" t="n"/>
      <c r="AL111" s="90">
        <f>AH111+AI111+AJ111+AK111</f>
        <v/>
      </c>
      <c r="AM111" s="89" t="n"/>
      <c r="AN111" s="89" t="n"/>
      <c r="AO111" s="89" t="n"/>
      <c r="AP111" s="89" t="n"/>
      <c r="AQ111" s="89" t="n"/>
      <c r="AR111" s="90">
        <f>AM111+AN111+AO111+AP111+AQ111</f>
        <v/>
      </c>
      <c r="AS111" s="89" t="n"/>
      <c r="AT111" s="89" t="n"/>
      <c r="AU111" s="89" t="n"/>
      <c r="AV111" s="89" t="n"/>
      <c r="AW111" s="90">
        <f>AS111+AT111+AU111+AV111</f>
        <v/>
      </c>
      <c r="AX111" s="89" t="n"/>
      <c r="AY111" s="89" t="n"/>
      <c r="AZ111" s="89" t="n"/>
      <c r="BA111" s="89" t="n"/>
      <c r="BB111" s="90">
        <f>AX111+AY111+AZ111+BA111</f>
        <v/>
      </c>
      <c r="BC111" s="89" t="n"/>
      <c r="BD111" s="89" t="n"/>
      <c r="BE111" s="89" t="n"/>
      <c r="BF111" s="89" t="n"/>
      <c r="BG111" s="89" t="n"/>
      <c r="BH111" s="90">
        <f>BC111+BD111+BE111+BF111+BG111</f>
        <v/>
      </c>
      <c r="BI111" s="89" t="n"/>
      <c r="BJ111" s="89" t="n"/>
      <c r="BK111" s="89" t="n"/>
      <c r="BL111" s="89" t="n"/>
      <c r="BM111" s="90">
        <f>BI111+BJ111+BK111+BL111</f>
        <v/>
      </c>
    </row>
    <row r="112" ht="15.75" customHeight="1">
      <c r="A112" s="93" t="inlineStr">
        <is>
          <t xml:space="preserve">PAPEL DE SEDA </t>
        </is>
      </c>
      <c r="B112" s="89" t="n">
        <v>0</v>
      </c>
      <c r="C112" s="89" t="n">
        <v>0</v>
      </c>
      <c r="D112" s="89" t="n">
        <v>0</v>
      </c>
      <c r="E112" s="89" t="n">
        <v>0</v>
      </c>
      <c r="F112" s="90">
        <f>B112+C112+D112+E112</f>
        <v/>
      </c>
      <c r="G112" s="89" t="n">
        <v>0</v>
      </c>
      <c r="H112" s="89" t="n">
        <v>1</v>
      </c>
      <c r="I112" s="89" t="n">
        <v>0</v>
      </c>
      <c r="J112" s="89" t="n">
        <v>1</v>
      </c>
      <c r="K112" s="90">
        <f>G112+H112+I112+J112</f>
        <v/>
      </c>
      <c r="L112" s="89" t="n">
        <v>1</v>
      </c>
      <c r="M112" s="89" t="n">
        <v>1</v>
      </c>
      <c r="N112" s="89" t="n">
        <v>1</v>
      </c>
      <c r="O112" s="89" t="n">
        <v>1</v>
      </c>
      <c r="P112" s="89" t="n">
        <v>0</v>
      </c>
      <c r="Q112" s="90">
        <f>L112+M112+N112+O112+P112</f>
        <v/>
      </c>
      <c r="R112" s="89" t="n"/>
      <c r="S112" s="89" t="n"/>
      <c r="T112" s="89" t="n"/>
      <c r="U112" s="89" t="n"/>
      <c r="V112" s="90">
        <f>R112+S112+T112+U112</f>
        <v/>
      </c>
      <c r="W112" s="89" t="n">
        <v>0</v>
      </c>
      <c r="X112" s="89" t="n">
        <v>0</v>
      </c>
      <c r="Y112" s="89" t="n"/>
      <c r="Z112" s="89" t="n"/>
      <c r="AA112" s="90">
        <f>W112+X112+Y112+Z112</f>
        <v/>
      </c>
      <c r="AB112" s="89" t="n"/>
      <c r="AC112" s="89" t="n"/>
      <c r="AD112" s="89" t="n"/>
      <c r="AE112" s="89" t="n"/>
      <c r="AF112" s="89" t="n"/>
      <c r="AG112" s="90">
        <f>AB112+AC112+AD112+AE112+AF112</f>
        <v/>
      </c>
      <c r="AH112" s="89" t="n"/>
      <c r="AI112" s="89" t="n"/>
      <c r="AJ112" s="89" t="n"/>
      <c r="AK112" s="89" t="n"/>
      <c r="AL112" s="90">
        <f>AH112+AI112+AJ112+AK112</f>
        <v/>
      </c>
      <c r="AM112" s="89" t="n"/>
      <c r="AN112" s="89" t="n"/>
      <c r="AO112" s="89" t="n"/>
      <c r="AP112" s="89" t="n"/>
      <c r="AQ112" s="89" t="n"/>
      <c r="AR112" s="90">
        <f>AM112+AN112+AO112+AP112+AQ112</f>
        <v/>
      </c>
      <c r="AS112" s="89" t="n"/>
      <c r="AT112" s="89" t="n"/>
      <c r="AU112" s="89" t="n"/>
      <c r="AV112" s="89" t="n"/>
      <c r="AW112" s="90">
        <f>AS112+AT112+AU112+AV112</f>
        <v/>
      </c>
      <c r="AX112" s="89" t="n"/>
      <c r="AY112" s="89" t="n"/>
      <c r="AZ112" s="89" t="n"/>
      <c r="BA112" s="89" t="n"/>
      <c r="BB112" s="90">
        <f>AX112+AY112+AZ112+BA112</f>
        <v/>
      </c>
      <c r="BC112" s="89" t="n"/>
      <c r="BD112" s="89" t="n"/>
      <c r="BE112" s="89" t="n"/>
      <c r="BF112" s="89" t="n"/>
      <c r="BG112" s="89" t="n"/>
      <c r="BH112" s="90">
        <f>BC112+BD112+BE112+BF112+BG112</f>
        <v/>
      </c>
      <c r="BI112" s="89" t="n"/>
      <c r="BJ112" s="89" t="n"/>
      <c r="BK112" s="89" t="n"/>
      <c r="BL112" s="89" t="n"/>
      <c r="BM112" s="90">
        <f>BI112+BJ112+BK112+BL112</f>
        <v/>
      </c>
    </row>
    <row r="113" ht="15.75" customHeight="1">
      <c r="A113" s="93" t="inlineStr">
        <is>
          <t>ETIQUETAS</t>
        </is>
      </c>
      <c r="B113" s="89" t="n">
        <v>0</v>
      </c>
      <c r="C113" s="89" t="n">
        <v>1</v>
      </c>
      <c r="D113" s="89" t="n">
        <v>0</v>
      </c>
      <c r="E113" s="89" t="n">
        <v>0</v>
      </c>
      <c r="F113" s="90">
        <f>B113+C113+D113+E113</f>
        <v/>
      </c>
      <c r="G113" s="89" t="n">
        <v>0</v>
      </c>
      <c r="H113" s="89" t="n">
        <v>2</v>
      </c>
      <c r="I113" s="89" t="n">
        <v>0</v>
      </c>
      <c r="J113" s="89" t="n">
        <v>0</v>
      </c>
      <c r="K113" s="90">
        <f>G113+H113+I113+J113</f>
        <v/>
      </c>
      <c r="L113" s="89" t="n">
        <v>0</v>
      </c>
      <c r="M113" s="89" t="n">
        <v>0</v>
      </c>
      <c r="N113" s="89" t="n">
        <v>0</v>
      </c>
      <c r="O113" s="89" t="n">
        <v>0</v>
      </c>
      <c r="P113" s="89" t="n">
        <v>0</v>
      </c>
      <c r="Q113" s="90">
        <f>L113+M113+N113+O113+P113</f>
        <v/>
      </c>
      <c r="R113" s="89" t="n"/>
      <c r="S113" s="89" t="n"/>
      <c r="T113" s="89" t="n"/>
      <c r="U113" s="89" t="n"/>
      <c r="V113" s="90">
        <f>R113+S113+T113+U113</f>
        <v/>
      </c>
      <c r="W113" s="89" t="n">
        <v>0</v>
      </c>
      <c r="X113" s="89" t="n">
        <v>0</v>
      </c>
      <c r="Y113" s="89" t="n"/>
      <c r="Z113" s="89" t="n"/>
      <c r="AA113" s="90">
        <f>W113+X113+Y113+Z113</f>
        <v/>
      </c>
      <c r="AB113" s="89" t="n"/>
      <c r="AC113" s="89" t="n"/>
      <c r="AD113" s="89" t="n"/>
      <c r="AE113" s="89" t="n"/>
      <c r="AF113" s="89" t="n"/>
      <c r="AG113" s="90">
        <f>AB113+AC113+AD113+AE113+AF113</f>
        <v/>
      </c>
      <c r="AH113" s="89" t="n"/>
      <c r="AI113" s="89" t="n"/>
      <c r="AJ113" s="89" t="n"/>
      <c r="AK113" s="89" t="n"/>
      <c r="AL113" s="90">
        <f>AH113+AI113+AJ113+AK113</f>
        <v/>
      </c>
      <c r="AM113" s="89" t="n"/>
      <c r="AN113" s="89" t="n"/>
      <c r="AO113" s="89" t="n"/>
      <c r="AP113" s="89" t="n"/>
      <c r="AQ113" s="89" t="n"/>
      <c r="AR113" s="90">
        <f>AM113+AN113+AO113+AP113+AQ113</f>
        <v/>
      </c>
      <c r="AS113" s="89" t="n"/>
      <c r="AT113" s="89" t="n"/>
      <c r="AU113" s="89" t="n"/>
      <c r="AV113" s="89" t="n"/>
      <c r="AW113" s="90">
        <f>AS113+AT113+AU113+AV113</f>
        <v/>
      </c>
      <c r="AX113" s="89" t="n"/>
      <c r="AY113" s="89" t="n"/>
      <c r="AZ113" s="89" t="n"/>
      <c r="BA113" s="89" t="n"/>
      <c r="BB113" s="90">
        <f>AX113+AY113+AZ113+BA113</f>
        <v/>
      </c>
      <c r="BC113" s="89" t="n"/>
      <c r="BD113" s="89" t="n"/>
      <c r="BE113" s="89" t="n"/>
      <c r="BF113" s="89" t="n"/>
      <c r="BG113" s="89" t="n"/>
      <c r="BH113" s="90">
        <f>BC113+BD113+BE113+BF113+BG113</f>
        <v/>
      </c>
      <c r="BI113" s="89" t="n"/>
      <c r="BJ113" s="89" t="n"/>
      <c r="BK113" s="89" t="n"/>
      <c r="BL113" s="89" t="n"/>
      <c r="BM113" s="90">
        <f>BI113+BJ113+BK113+BL113</f>
        <v/>
      </c>
    </row>
    <row r="114" ht="15.75" customHeight="1">
      <c r="A114" s="93" t="inlineStr">
        <is>
          <t xml:space="preserve">TAGS </t>
        </is>
      </c>
      <c r="B114" s="89" t="n">
        <v>1</v>
      </c>
      <c r="C114" s="89" t="n">
        <v>0</v>
      </c>
      <c r="D114" s="89" t="n">
        <v>0</v>
      </c>
      <c r="E114" s="89" t="n">
        <v>1</v>
      </c>
      <c r="F114" s="90">
        <f>B114+C114+D114+E114</f>
        <v/>
      </c>
      <c r="G114" s="89" t="n">
        <v>0</v>
      </c>
      <c r="H114" s="89" t="n">
        <v>0</v>
      </c>
      <c r="I114" s="89" t="n">
        <v>0</v>
      </c>
      <c r="J114" s="89" t="n">
        <v>0</v>
      </c>
      <c r="K114" s="90">
        <f>G114+H114+I114+J114</f>
        <v/>
      </c>
      <c r="L114" s="89" t="n">
        <v>1</v>
      </c>
      <c r="M114" s="89" t="n">
        <v>1</v>
      </c>
      <c r="N114" s="89" t="n">
        <v>0</v>
      </c>
      <c r="O114" s="89" t="n">
        <v>0</v>
      </c>
      <c r="P114" s="89" t="n">
        <v>1</v>
      </c>
      <c r="Q114" s="90">
        <f>L114+M114+N114+O114+P114</f>
        <v/>
      </c>
      <c r="R114" s="89" t="n"/>
      <c r="S114" s="89" t="n"/>
      <c r="T114" s="89" t="n"/>
      <c r="U114" s="89" t="n"/>
      <c r="V114" s="90">
        <f>R114+S114+T114+U114</f>
        <v/>
      </c>
      <c r="W114" s="89" t="n">
        <v>0</v>
      </c>
      <c r="X114" s="89" t="n">
        <v>1</v>
      </c>
      <c r="Y114" s="89" t="n"/>
      <c r="Z114" s="89" t="n"/>
      <c r="AA114" s="90">
        <f>W114+X114+Y114+Z114</f>
        <v/>
      </c>
      <c r="AB114" s="89" t="n"/>
      <c r="AC114" s="89" t="n"/>
      <c r="AD114" s="89" t="n"/>
      <c r="AE114" s="89" t="n"/>
      <c r="AF114" s="89" t="n"/>
      <c r="AG114" s="90">
        <f>AB114+AC114+AD114+AE114+AF114</f>
        <v/>
      </c>
      <c r="AH114" s="89" t="n"/>
      <c r="AI114" s="89" t="n"/>
      <c r="AJ114" s="89" t="n"/>
      <c r="AK114" s="89" t="n"/>
      <c r="AL114" s="90">
        <f>AH114+AI114+AJ114+AK114</f>
        <v/>
      </c>
      <c r="AM114" s="89" t="n"/>
      <c r="AN114" s="89" t="n"/>
      <c r="AO114" s="89" t="n"/>
      <c r="AP114" s="89" t="n"/>
      <c r="AQ114" s="89" t="n"/>
      <c r="AR114" s="90">
        <f>AM114+AN114+AO114+AP114+AQ114</f>
        <v/>
      </c>
      <c r="AS114" s="89" t="n"/>
      <c r="AT114" s="89" t="n"/>
      <c r="AU114" s="89" t="n"/>
      <c r="AV114" s="89" t="n"/>
      <c r="AW114" s="90">
        <f>AS114+AT114+AU114+AV114</f>
        <v/>
      </c>
      <c r="AX114" s="89" t="n"/>
      <c r="AY114" s="89" t="n"/>
      <c r="AZ114" s="89" t="n"/>
      <c r="BA114" s="89" t="n"/>
      <c r="BB114" s="90">
        <f>AX114+AY114+AZ114+BA114</f>
        <v/>
      </c>
      <c r="BC114" s="89" t="n"/>
      <c r="BD114" s="89" t="n"/>
      <c r="BE114" s="89" t="n"/>
      <c r="BF114" s="89" t="n"/>
      <c r="BG114" s="89" t="n"/>
      <c r="BH114" s="90">
        <f>BC114+BD114+BE114+BF114+BG114</f>
        <v/>
      </c>
      <c r="BI114" s="89" t="n"/>
      <c r="BJ114" s="89" t="n"/>
      <c r="BK114" s="89" t="n"/>
      <c r="BL114" s="89" t="n"/>
      <c r="BM114" s="90">
        <f>BI114+BJ114+BK114+BL114</f>
        <v/>
      </c>
    </row>
    <row r="115" ht="15.75" customHeight="1">
      <c r="A115" s="93" t="inlineStr">
        <is>
          <t>LÂMINA OLFATIVA</t>
        </is>
      </c>
      <c r="B115" s="89" t="n">
        <v>1</v>
      </c>
      <c r="C115" s="89" t="n">
        <v>0</v>
      </c>
      <c r="D115" s="89" t="n">
        <v>0</v>
      </c>
      <c r="E115" s="89" t="n">
        <v>0</v>
      </c>
      <c r="F115" s="90">
        <f>B115+C115+D115+E115</f>
        <v/>
      </c>
      <c r="G115" s="89" t="n">
        <v>0</v>
      </c>
      <c r="H115" s="89" t="n">
        <v>0</v>
      </c>
      <c r="I115" s="89" t="n">
        <v>0</v>
      </c>
      <c r="J115" s="89" t="n">
        <v>1</v>
      </c>
      <c r="K115" s="90">
        <f>G115+H115+I115+J115</f>
        <v/>
      </c>
      <c r="L115" s="89" t="n">
        <v>0</v>
      </c>
      <c r="M115" s="89" t="n">
        <v>0</v>
      </c>
      <c r="N115" s="89" t="n">
        <v>0</v>
      </c>
      <c r="O115" s="89" t="n">
        <v>1</v>
      </c>
      <c r="P115" s="89" t="n">
        <v>0</v>
      </c>
      <c r="Q115" s="90">
        <f>L115+M115+N115+O115+P115</f>
        <v/>
      </c>
      <c r="R115" s="89" t="n"/>
      <c r="S115" s="89" t="n"/>
      <c r="T115" s="89" t="n"/>
      <c r="U115" s="89" t="n"/>
      <c r="V115" s="90">
        <f>R115+S115+T115+U115</f>
        <v/>
      </c>
      <c r="W115" s="89" t="n">
        <v>0</v>
      </c>
      <c r="X115" s="89" t="n">
        <v>0</v>
      </c>
      <c r="Y115" s="89" t="n"/>
      <c r="Z115" s="89" t="n"/>
      <c r="AA115" s="90">
        <f>W115+X115+Y115+Z115</f>
        <v/>
      </c>
      <c r="AB115" s="89" t="n"/>
      <c r="AC115" s="89" t="n"/>
      <c r="AD115" s="89" t="n"/>
      <c r="AE115" s="89" t="n"/>
      <c r="AF115" s="89" t="n"/>
      <c r="AG115" s="90">
        <f>AB115+AC115+AD115+AE115+AF115</f>
        <v/>
      </c>
      <c r="AH115" s="89" t="n"/>
      <c r="AI115" s="89" t="n"/>
      <c r="AJ115" s="89" t="n"/>
      <c r="AK115" s="89" t="n"/>
      <c r="AL115" s="90">
        <f>AH115+AI115+AJ115+AK115</f>
        <v/>
      </c>
      <c r="AM115" s="89" t="n"/>
      <c r="AN115" s="89" t="n"/>
      <c r="AO115" s="89" t="n"/>
      <c r="AP115" s="89" t="n"/>
      <c r="AQ115" s="89" t="n"/>
      <c r="AR115" s="90">
        <f>AM115+AN115+AO115+AP115+AQ115</f>
        <v/>
      </c>
      <c r="AS115" s="89" t="n"/>
      <c r="AT115" s="89" t="n"/>
      <c r="AU115" s="89" t="n"/>
      <c r="AV115" s="89" t="n"/>
      <c r="AW115" s="90">
        <f>AS115+AT115+AU115+AV115</f>
        <v/>
      </c>
      <c r="AX115" s="89" t="n"/>
      <c r="AY115" s="89" t="n"/>
      <c r="AZ115" s="89" t="n"/>
      <c r="BA115" s="89" t="n"/>
      <c r="BB115" s="90">
        <f>AX115+AY115+AZ115+BA115</f>
        <v/>
      </c>
      <c r="BC115" s="89" t="n"/>
      <c r="BD115" s="89" t="n"/>
      <c r="BE115" s="89" t="n"/>
      <c r="BF115" s="89" t="n"/>
      <c r="BG115" s="89" t="n"/>
      <c r="BH115" s="90">
        <f>BC115+BD115+BE115+BF115+BG115</f>
        <v/>
      </c>
      <c r="BI115" s="89" t="n"/>
      <c r="BJ115" s="89" t="n"/>
      <c r="BK115" s="89" t="n"/>
      <c r="BL115" s="89" t="n"/>
      <c r="BM115" s="90">
        <f>BI115+BJ115+BK115+BL115</f>
        <v/>
      </c>
    </row>
    <row r="116" ht="15.75" customHeight="1">
      <c r="A116" s="94" t="inlineStr">
        <is>
          <t>TOTAL DE SACOLAS</t>
        </is>
      </c>
      <c r="B116" s="95">
        <f>SUM(B108:B111)</f>
        <v/>
      </c>
      <c r="C116" s="95">
        <f>SUM(C108:C111)</f>
        <v/>
      </c>
      <c r="D116" s="95">
        <f>SUM(D108:D111)</f>
        <v/>
      </c>
      <c r="E116" s="95">
        <f>SUM(E108:E111)</f>
        <v/>
      </c>
      <c r="F116" s="95">
        <f>SUM(F108:F111)</f>
        <v/>
      </c>
      <c r="G116" s="95">
        <f>SUM(G108:G111)</f>
        <v/>
      </c>
      <c r="H116" s="95">
        <f>SUM(H108:H111)</f>
        <v/>
      </c>
      <c r="I116" s="95">
        <f>SUM(I108:I111)</f>
        <v/>
      </c>
      <c r="J116" s="95">
        <f>SUM(J108:J111)</f>
        <v/>
      </c>
      <c r="K116" s="95">
        <f>SUM(K108:K111)</f>
        <v/>
      </c>
      <c r="L116" s="95">
        <f>SUM(L108:L111)</f>
        <v/>
      </c>
      <c r="M116" s="95">
        <f>SUM(M108:M111)</f>
        <v/>
      </c>
      <c r="N116" s="95">
        <f>SUM(N108:N111)</f>
        <v/>
      </c>
      <c r="O116" s="95">
        <f>SUM(O108:O111)</f>
        <v/>
      </c>
      <c r="P116" s="95">
        <f>SUM(P108:P111)</f>
        <v/>
      </c>
      <c r="Q116" s="95">
        <f>SUM(Q108:Q111)</f>
        <v/>
      </c>
      <c r="R116" s="95">
        <f>SUM(R108:R111)</f>
        <v/>
      </c>
      <c r="S116" s="95">
        <f>SUM(S108:S111)</f>
        <v/>
      </c>
      <c r="T116" s="95">
        <f>SUM(T108:T111)</f>
        <v/>
      </c>
      <c r="U116" s="95">
        <f>SUM(U108:U111)</f>
        <v/>
      </c>
      <c r="V116" s="95">
        <f>SUM(V108:V111)</f>
        <v/>
      </c>
      <c r="W116" s="95">
        <f>SUM(W108:W111)</f>
        <v/>
      </c>
      <c r="X116" s="95">
        <f>SUM(X108:X111)</f>
        <v/>
      </c>
      <c r="Y116" s="95">
        <f>SUM(Y108:Y111)</f>
        <v/>
      </c>
      <c r="Z116" s="95">
        <f>SUM(Z108:Z111)</f>
        <v/>
      </c>
      <c r="AA116" s="95">
        <f>SUM(AA108:AA111)</f>
        <v/>
      </c>
      <c r="AB116" s="95">
        <f>SUM(AB108:AB111)</f>
        <v/>
      </c>
      <c r="AC116" s="95">
        <f>SUM(AC108:AC111)</f>
        <v/>
      </c>
      <c r="AD116" s="95">
        <f>SUM(AD108:AD111)</f>
        <v/>
      </c>
      <c r="AE116" s="95">
        <f>SUM(AE108:AE111)</f>
        <v/>
      </c>
      <c r="AF116" s="95">
        <f>SUM(AF108:AF111)</f>
        <v/>
      </c>
      <c r="AG116" s="95">
        <f>SUM(AG108:AG111)</f>
        <v/>
      </c>
      <c r="AH116" s="95">
        <f>SUM(AH108:AH111)</f>
        <v/>
      </c>
      <c r="AI116" s="95">
        <f>SUM(AI108:AI111)</f>
        <v/>
      </c>
      <c r="AJ116" s="95">
        <f>SUM(AJ108:AJ111)</f>
        <v/>
      </c>
      <c r="AK116" s="95">
        <f>SUM(AK108:AK111)</f>
        <v/>
      </c>
      <c r="AL116" s="95">
        <f>SUM(AL108:AL111)</f>
        <v/>
      </c>
      <c r="AM116" s="95">
        <f>SUM(AM108:AM111)</f>
        <v/>
      </c>
      <c r="AN116" s="95">
        <f>SUM(AN108:AN111)</f>
        <v/>
      </c>
      <c r="AO116" s="95">
        <f>SUM(AO108:AO111)</f>
        <v/>
      </c>
      <c r="AP116" s="95">
        <f>SUM(AP108:AP111)</f>
        <v/>
      </c>
      <c r="AQ116" s="95">
        <f>SUM(AQ108:AQ111)</f>
        <v/>
      </c>
      <c r="AR116" s="95">
        <f>SUM(AR108:AR111)</f>
        <v/>
      </c>
      <c r="AS116" s="95">
        <f>SUM(AS108:AS111)</f>
        <v/>
      </c>
      <c r="AT116" s="95">
        <f>SUM(AT108:AT111)</f>
        <v/>
      </c>
      <c r="AU116" s="95">
        <f>SUM(AU108:AU111)</f>
        <v/>
      </c>
      <c r="AV116" s="95">
        <f>SUM(AV108:AV111)</f>
        <v/>
      </c>
      <c r="AW116" s="95">
        <f>SUM(AW108:AW111)</f>
        <v/>
      </c>
      <c r="AX116" s="95">
        <f>SUM(AX108:AX111)</f>
        <v/>
      </c>
      <c r="AY116" s="95">
        <f>SUM(AY108:AY111)</f>
        <v/>
      </c>
      <c r="AZ116" s="95">
        <f>SUM(AZ108:AZ111)</f>
        <v/>
      </c>
      <c r="BA116" s="95">
        <f>SUM(BA108:BA111)</f>
        <v/>
      </c>
      <c r="BB116" s="95">
        <f>SUM(BB108:BB111)</f>
        <v/>
      </c>
      <c r="BC116" s="95">
        <f>SUM(BC108:BC111)</f>
        <v/>
      </c>
      <c r="BD116" s="95">
        <f>SUM(BD108:BD111)</f>
        <v/>
      </c>
      <c r="BE116" s="95">
        <f>SUM(BE108:BE111)</f>
        <v/>
      </c>
      <c r="BF116" s="95">
        <f>SUM(BF108:BF111)</f>
        <v/>
      </c>
      <c r="BG116" s="95">
        <f>SUM(BG108:BG111)</f>
        <v/>
      </c>
      <c r="BH116" s="95">
        <f>SUM(BH108:BH111)</f>
        <v/>
      </c>
      <c r="BI116" s="95">
        <f>SUM(BI108:BI111)</f>
        <v/>
      </c>
      <c r="BJ116" s="95">
        <f>SUM(BJ108:BJ111)</f>
        <v/>
      </c>
      <c r="BK116" s="95">
        <f>SUM(BK108:BK111)</f>
        <v/>
      </c>
      <c r="BL116" s="95">
        <f>SUM(BL108:BL111)</f>
        <v/>
      </c>
      <c r="BM116" s="95">
        <f>SUM(BM108:BM111)</f>
        <v/>
      </c>
    </row>
    <row r="118" ht="18" customHeight="1">
      <c r="A118" s="506" t="inlineStr">
        <is>
          <t>GASTO DE SACOLAS E ITENS DOADOS 2026 - MENSAIS</t>
        </is>
      </c>
      <c r="B118" s="700" t="n"/>
      <c r="C118" s="700" t="n"/>
      <c r="D118" s="700" t="n"/>
      <c r="E118" s="700" t="n"/>
      <c r="F118" s="700" t="n"/>
      <c r="G118" s="700" t="n"/>
      <c r="H118" s="700" t="n"/>
      <c r="I118" s="700" t="n"/>
      <c r="J118" s="700" t="n"/>
      <c r="K118" s="700" t="n"/>
      <c r="L118" s="700" t="n"/>
      <c r="M118" s="700" t="n"/>
      <c r="N118" s="700" t="n"/>
      <c r="O118" s="700" t="n"/>
      <c r="P118" s="700" t="n"/>
      <c r="Q118" s="700" t="n"/>
      <c r="R118" s="700" t="n"/>
      <c r="S118" s="700" t="n"/>
      <c r="T118" s="700" t="n"/>
      <c r="U118" s="700" t="n"/>
      <c r="V118" s="700" t="n"/>
      <c r="W118" s="700" t="n"/>
      <c r="X118" s="700" t="n"/>
      <c r="Y118" s="700" t="n"/>
      <c r="Z118" s="700" t="n"/>
      <c r="AA118" s="700" t="n"/>
      <c r="AB118" s="700" t="n"/>
      <c r="AC118" s="700" t="n"/>
      <c r="AD118" s="700" t="n"/>
      <c r="AE118" s="700" t="n"/>
      <c r="AF118" s="700" t="n"/>
      <c r="AG118" s="700" t="n"/>
      <c r="AH118" s="700" t="n"/>
      <c r="AI118" s="700" t="n"/>
      <c r="AJ118" s="700" t="n"/>
      <c r="AK118" s="700" t="n"/>
      <c r="AL118" s="700" t="n"/>
      <c r="AM118" s="700" t="n"/>
      <c r="AN118" s="700" t="n"/>
      <c r="AO118" s="700" t="n"/>
      <c r="AP118" s="700" t="n"/>
      <c r="AQ118" s="700" t="n"/>
      <c r="AR118" s="700" t="n"/>
      <c r="AS118" s="700" t="n"/>
      <c r="AT118" s="700" t="n"/>
      <c r="AU118" s="700" t="n"/>
      <c r="AV118" s="700" t="n"/>
      <c r="AW118" s="700" t="n"/>
      <c r="AX118" s="700" t="n"/>
      <c r="AY118" s="700" t="n"/>
      <c r="AZ118" s="700" t="n"/>
      <c r="BA118" s="700" t="n"/>
      <c r="BB118" s="700" t="n"/>
      <c r="BC118" s="700" t="n"/>
      <c r="BD118" s="700" t="n"/>
      <c r="BE118" s="700" t="n"/>
      <c r="BF118" s="700" t="n"/>
      <c r="BG118" s="700" t="n"/>
      <c r="BH118" s="700" t="n"/>
      <c r="BI118" s="700" t="n"/>
      <c r="BJ118" s="700" t="n"/>
      <c r="BK118" s="700" t="n"/>
      <c r="BL118" s="700" t="n"/>
      <c r="BM118" s="700" t="n"/>
    </row>
    <row r="119" ht="18" customHeight="1">
      <c r="A119" s="702" t="inlineStr">
        <is>
          <t>CD JAÚ</t>
        </is>
      </c>
      <c r="B119" s="510" t="inlineStr">
        <is>
          <t>JANEIRO</t>
        </is>
      </c>
      <c r="C119" s="666" t="n"/>
      <c r="D119" s="666" t="n"/>
      <c r="E119" s="666" t="n"/>
      <c r="F119" s="511" t="inlineStr">
        <is>
          <t>FEVEREIRO</t>
        </is>
      </c>
      <c r="G119" s="666" t="n"/>
      <c r="H119" s="666" t="n"/>
      <c r="I119" s="666" t="n"/>
      <c r="J119" s="666" t="n"/>
      <c r="K119" s="512" t="n"/>
      <c r="L119" s="701" t="inlineStr">
        <is>
          <t>MARÇO</t>
        </is>
      </c>
      <c r="M119" s="666" t="n"/>
      <c r="N119" s="666" t="n"/>
      <c r="O119" s="666" t="n"/>
      <c r="P119" s="666" t="n"/>
      <c r="Q119" s="667" t="n"/>
      <c r="R119" s="701" t="inlineStr">
        <is>
          <t>ABRIL</t>
        </is>
      </c>
      <c r="S119" s="666" t="n"/>
      <c r="T119" s="666" t="n"/>
      <c r="U119" s="666" t="n"/>
      <c r="V119" s="667" t="n"/>
      <c r="W119" s="701" t="inlineStr">
        <is>
          <t>MAIO</t>
        </is>
      </c>
      <c r="X119" s="666" t="n"/>
      <c r="Y119" s="666" t="n"/>
      <c r="Z119" s="666" t="n"/>
      <c r="AA119" s="667" t="n"/>
      <c r="AB119" s="701" t="inlineStr">
        <is>
          <t>JUNHO</t>
        </is>
      </c>
      <c r="AC119" s="666" t="n"/>
      <c r="AD119" s="666" t="n"/>
      <c r="AE119" s="666" t="n"/>
      <c r="AF119" s="666" t="n"/>
      <c r="AG119" s="667" t="n"/>
      <c r="AH119" s="701" t="inlineStr">
        <is>
          <t>JULHO</t>
        </is>
      </c>
      <c r="AI119" s="666" t="n"/>
      <c r="AJ119" s="666" t="n"/>
      <c r="AK119" s="666" t="n"/>
      <c r="AL119" s="667" t="n"/>
      <c r="AM119" s="701" t="inlineStr">
        <is>
          <t>AGOSTO</t>
        </is>
      </c>
      <c r="AN119" s="666" t="n"/>
      <c r="AO119" s="666" t="n"/>
      <c r="AP119" s="666" t="n"/>
      <c r="AQ119" s="666" t="n"/>
      <c r="AR119" s="667" t="n"/>
      <c r="AS119" s="701" t="inlineStr">
        <is>
          <t>SETEMBRO</t>
        </is>
      </c>
      <c r="AT119" s="666" t="n"/>
      <c r="AU119" s="666" t="n"/>
      <c r="AV119" s="666" t="n"/>
      <c r="AW119" s="667" t="n"/>
      <c r="AX119" s="701" t="inlineStr">
        <is>
          <t>OUTUBRO</t>
        </is>
      </c>
      <c r="AY119" s="666" t="n"/>
      <c r="AZ119" s="666" t="n"/>
      <c r="BA119" s="666" t="n"/>
      <c r="BB119" s="667" t="n"/>
      <c r="BC119" s="701" t="inlineStr">
        <is>
          <t>NOVEMBRO</t>
        </is>
      </c>
      <c r="BD119" s="666" t="n"/>
      <c r="BE119" s="666" t="n"/>
      <c r="BF119" s="666" t="n"/>
      <c r="BG119" s="666" t="n"/>
      <c r="BH119" s="667" t="n"/>
      <c r="BI119" s="701" t="inlineStr">
        <is>
          <t>DEZEMBRO</t>
        </is>
      </c>
      <c r="BJ119" s="666" t="n"/>
      <c r="BK119" s="666" t="n"/>
      <c r="BL119" s="666" t="n"/>
      <c r="BM119" s="667" t="n"/>
    </row>
    <row r="120" ht="15.75" customHeight="1">
      <c r="A120" s="703" t="n"/>
      <c r="B120" s="86" t="n">
        <v>46027</v>
      </c>
      <c r="C120" s="86" t="n">
        <v>46034</v>
      </c>
      <c r="D120" s="86" t="n">
        <v>46041</v>
      </c>
      <c r="E120" s="86" t="n">
        <v>46048</v>
      </c>
      <c r="F120" s="87" t="inlineStr">
        <is>
          <t>USOU</t>
        </is>
      </c>
      <c r="G120" s="86" t="n">
        <v>46055</v>
      </c>
      <c r="H120" s="86" t="n">
        <v>46062</v>
      </c>
      <c r="I120" s="86" t="n">
        <v>46069</v>
      </c>
      <c r="J120" s="86" t="n">
        <v>46076</v>
      </c>
      <c r="K120" s="87" t="inlineStr">
        <is>
          <t>USOU</t>
        </is>
      </c>
      <c r="L120" s="86" t="n">
        <v>46083</v>
      </c>
      <c r="M120" s="86" t="n">
        <v>46090</v>
      </c>
      <c r="N120" s="86" t="n">
        <v>46097</v>
      </c>
      <c r="O120" s="86" t="n">
        <v>46104</v>
      </c>
      <c r="P120" s="86" t="n">
        <v>46111</v>
      </c>
      <c r="Q120" s="87" t="inlineStr">
        <is>
          <t>USOU</t>
        </is>
      </c>
      <c r="R120" s="86" t="n">
        <v>46118</v>
      </c>
      <c r="S120" s="86" t="n">
        <v>46125</v>
      </c>
      <c r="T120" s="86" t="n">
        <v>46132</v>
      </c>
      <c r="U120" s="86" t="n">
        <v>46139</v>
      </c>
      <c r="V120" s="87" t="inlineStr">
        <is>
          <t>USOU</t>
        </is>
      </c>
      <c r="W120" s="86" t="n">
        <v>46146</v>
      </c>
      <c r="X120" s="86" t="n">
        <v>46153</v>
      </c>
      <c r="Y120" s="86" t="n">
        <v>46160</v>
      </c>
      <c r="Z120" s="86" t="n">
        <v>46167</v>
      </c>
      <c r="AA120" s="87" t="inlineStr">
        <is>
          <t>USOU</t>
        </is>
      </c>
      <c r="AB120" s="86" t="n">
        <v>46174</v>
      </c>
      <c r="AC120" s="86" t="n">
        <v>46181</v>
      </c>
      <c r="AD120" s="86" t="n">
        <v>46188</v>
      </c>
      <c r="AE120" s="86" t="n">
        <v>46195</v>
      </c>
      <c r="AF120" s="86" t="n">
        <v>46202</v>
      </c>
      <c r="AG120" s="87" t="inlineStr">
        <is>
          <t>USOU</t>
        </is>
      </c>
      <c r="AH120" s="86" t="n">
        <v>46209</v>
      </c>
      <c r="AI120" s="86" t="n">
        <v>46216</v>
      </c>
      <c r="AJ120" s="86" t="n">
        <v>46223</v>
      </c>
      <c r="AK120" s="86" t="n">
        <v>46230</v>
      </c>
      <c r="AL120" s="87" t="inlineStr">
        <is>
          <t>USOU</t>
        </is>
      </c>
      <c r="AM120" s="86" t="n">
        <v>46237</v>
      </c>
      <c r="AN120" s="86" t="n">
        <v>46244</v>
      </c>
      <c r="AO120" s="86" t="n">
        <v>46251</v>
      </c>
      <c r="AP120" s="86" t="n">
        <v>46258</v>
      </c>
      <c r="AQ120" s="86" t="n">
        <v>46265</v>
      </c>
      <c r="AR120" s="87" t="inlineStr">
        <is>
          <t>USOU</t>
        </is>
      </c>
      <c r="AS120" s="86" t="n">
        <v>46272</v>
      </c>
      <c r="AT120" s="86" t="n">
        <v>46279</v>
      </c>
      <c r="AU120" s="86" t="n">
        <v>46286</v>
      </c>
      <c r="AV120" s="86" t="n">
        <v>46293</v>
      </c>
      <c r="AW120" s="87" t="inlineStr">
        <is>
          <t>USOU</t>
        </is>
      </c>
      <c r="AX120" s="86" t="n">
        <v>46300</v>
      </c>
      <c r="AY120" s="86" t="n">
        <v>46307</v>
      </c>
      <c r="AZ120" s="86" t="n">
        <v>46314</v>
      </c>
      <c r="BA120" s="86" t="n">
        <v>46321</v>
      </c>
      <c r="BB120" s="87" t="inlineStr">
        <is>
          <t>USOU</t>
        </is>
      </c>
      <c r="BC120" s="86" t="n">
        <v>46328</v>
      </c>
      <c r="BD120" s="86" t="n">
        <v>46335</v>
      </c>
      <c r="BE120" s="86" t="n">
        <v>46342</v>
      </c>
      <c r="BF120" s="86" t="n">
        <v>46349</v>
      </c>
      <c r="BG120" s="86" t="n">
        <v>46356</v>
      </c>
      <c r="BH120" s="87" t="inlineStr">
        <is>
          <t>USOU</t>
        </is>
      </c>
      <c r="BI120" s="86" t="n">
        <v>46363</v>
      </c>
      <c r="BJ120" s="86" t="n">
        <v>46370</v>
      </c>
      <c r="BK120" s="86" t="n">
        <v>46377</v>
      </c>
      <c r="BL120" s="86" t="n">
        <v>46384</v>
      </c>
      <c r="BM120" s="87" t="inlineStr">
        <is>
          <t>USOU</t>
        </is>
      </c>
    </row>
    <row r="121" ht="15.75" customHeight="1">
      <c r="A121" s="152" t="inlineStr">
        <is>
          <t>SACOLA PP VERDE</t>
        </is>
      </c>
      <c r="B121" s="89" t="n">
        <v>600</v>
      </c>
      <c r="C121" s="89" t="n">
        <v>0</v>
      </c>
      <c r="D121" s="89" t="n">
        <v>300</v>
      </c>
      <c r="E121" s="89" t="n">
        <v>300</v>
      </c>
      <c r="F121" s="90">
        <f>B121+C121+D121+E121</f>
        <v/>
      </c>
      <c r="G121" s="89" t="n">
        <v>300</v>
      </c>
      <c r="H121" s="89" t="n">
        <v>0</v>
      </c>
      <c r="I121" s="89" t="n">
        <v>300</v>
      </c>
      <c r="J121" s="89" t="n">
        <v>0</v>
      </c>
      <c r="K121" s="90">
        <f>G121+H121+I121+J121</f>
        <v/>
      </c>
      <c r="L121" s="89" t="n">
        <v>300</v>
      </c>
      <c r="M121" s="89" t="n">
        <v>300</v>
      </c>
      <c r="N121" s="89" t="n">
        <v>300</v>
      </c>
      <c r="O121" s="89" t="n">
        <v>0</v>
      </c>
      <c r="P121" s="89" t="n">
        <v>300</v>
      </c>
      <c r="Q121" s="90">
        <f>L121+M121+N121+O121+P121</f>
        <v/>
      </c>
      <c r="R121" s="89" t="n"/>
      <c r="S121" s="89" t="n"/>
      <c r="T121" s="89" t="n"/>
      <c r="U121" s="89" t="n"/>
      <c r="V121" s="90">
        <f>R121+S121+T121+U121</f>
        <v/>
      </c>
      <c r="W121" s="89" t="n">
        <v>300</v>
      </c>
      <c r="X121" s="89" t="n">
        <v>0</v>
      </c>
      <c r="Y121" s="89" t="n"/>
      <c r="Z121" s="89" t="n"/>
      <c r="AA121" s="90">
        <f>W121+X121+Y121+Z121</f>
        <v/>
      </c>
      <c r="AB121" s="89" t="n"/>
      <c r="AC121" s="89" t="n"/>
      <c r="AD121" s="89" t="n"/>
      <c r="AE121" s="89" t="n"/>
      <c r="AF121" s="89" t="n"/>
      <c r="AG121" s="90">
        <f>AB121+AC121+AD121+AE121+AF121</f>
        <v/>
      </c>
      <c r="AH121" s="89" t="n"/>
      <c r="AI121" s="89" t="n"/>
      <c r="AJ121" s="89" t="n"/>
      <c r="AK121" s="89" t="n"/>
      <c r="AL121" s="90">
        <f>AH121+AI121+AJ121+AK121</f>
        <v/>
      </c>
      <c r="AM121" s="89" t="n"/>
      <c r="AN121" s="89" t="n"/>
      <c r="AO121" s="89" t="n"/>
      <c r="AP121" s="89" t="n"/>
      <c r="AQ121" s="89" t="n"/>
      <c r="AR121" s="90">
        <f>AM121+AN121+AO121+AP121+AQ121</f>
        <v/>
      </c>
      <c r="AS121" s="89" t="n"/>
      <c r="AT121" s="89" t="n"/>
      <c r="AU121" s="89" t="n"/>
      <c r="AV121" s="89" t="n"/>
      <c r="AW121" s="90">
        <f>AS121+AT121+AU121+AV121</f>
        <v/>
      </c>
      <c r="AX121" s="89" t="n"/>
      <c r="AY121" s="89" t="n"/>
      <c r="AZ121" s="89" t="n"/>
      <c r="BA121" s="89" t="n"/>
      <c r="BB121" s="90">
        <f>AX121+AY121+AZ121+BA121</f>
        <v/>
      </c>
      <c r="BC121" s="89" t="n"/>
      <c r="BD121" s="89" t="n"/>
      <c r="BE121" s="89" t="n"/>
      <c r="BF121" s="89" t="n"/>
      <c r="BG121" s="89" t="n"/>
      <c r="BH121" s="90">
        <f>BC121+BD121+BE121+BF121+BG121</f>
        <v/>
      </c>
      <c r="BI121" s="89" t="n"/>
      <c r="BJ121" s="89" t="n"/>
      <c r="BK121" s="89" t="n"/>
      <c r="BL121" s="89" t="n"/>
      <c r="BM121" s="90">
        <f>BI121+BJ121+BK121+BL121</f>
        <v/>
      </c>
    </row>
    <row r="122" ht="15.75" customHeight="1">
      <c r="A122" s="91" t="inlineStr">
        <is>
          <t>SACOLA P VERDE</t>
        </is>
      </c>
      <c r="B122" s="89" t="n">
        <v>1000</v>
      </c>
      <c r="C122" s="89" t="n">
        <v>1000</v>
      </c>
      <c r="D122" s="89" t="n">
        <v>1200</v>
      </c>
      <c r="E122" s="89" t="n">
        <v>1200</v>
      </c>
      <c r="F122" s="90">
        <f>B122+C122+D122+E122</f>
        <v/>
      </c>
      <c r="G122" s="89" t="n">
        <v>1000</v>
      </c>
      <c r="H122" s="89" t="n">
        <v>200</v>
      </c>
      <c r="I122" s="89" t="n">
        <v>1000</v>
      </c>
      <c r="J122" s="89" t="n">
        <v>1400</v>
      </c>
      <c r="K122" s="90">
        <f>G122+H122+I122+J122</f>
        <v/>
      </c>
      <c r="L122" s="89" t="n">
        <v>1000</v>
      </c>
      <c r="M122" s="89" t="n">
        <v>2000</v>
      </c>
      <c r="N122" s="89" t="n">
        <v>1000</v>
      </c>
      <c r="O122" s="89" t="n">
        <v>200</v>
      </c>
      <c r="P122" s="89" t="n">
        <v>1000</v>
      </c>
      <c r="Q122" s="90">
        <f>L122+M122+N122+O122+P122</f>
        <v/>
      </c>
      <c r="R122" s="89" t="n"/>
      <c r="S122" s="89" t="n"/>
      <c r="T122" s="89" t="n"/>
      <c r="U122" s="89" t="n"/>
      <c r="V122" s="90">
        <f>R122+S122+T122+U122</f>
        <v/>
      </c>
      <c r="W122" s="89" t="n">
        <v>0</v>
      </c>
      <c r="X122" s="89" t="n">
        <v>4400</v>
      </c>
      <c r="Y122" s="89" t="n"/>
      <c r="Z122" s="89" t="n"/>
      <c r="AA122" s="90">
        <f>W122+X122+Y122+Z122</f>
        <v/>
      </c>
      <c r="AB122" s="89" t="n"/>
      <c r="AC122" s="89" t="n"/>
      <c r="AD122" s="89" t="n"/>
      <c r="AE122" s="89" t="n"/>
      <c r="AF122" s="89" t="n"/>
      <c r="AG122" s="90">
        <f>AB122+AC122+AD122+AE122+AF122</f>
        <v/>
      </c>
      <c r="AH122" s="89" t="n"/>
      <c r="AI122" s="89" t="n"/>
      <c r="AJ122" s="89" t="n"/>
      <c r="AK122" s="89" t="n"/>
      <c r="AL122" s="90">
        <f>AH122+AI122+AJ122+AK122</f>
        <v/>
      </c>
      <c r="AM122" s="89" t="n"/>
      <c r="AN122" s="89" t="n"/>
      <c r="AO122" s="89" t="n"/>
      <c r="AP122" s="89" t="n"/>
      <c r="AQ122" s="89" t="n"/>
      <c r="AR122" s="90">
        <f>AM122+AN122+AO122+AP122+AQ122</f>
        <v/>
      </c>
      <c r="AS122" s="89" t="n"/>
      <c r="AT122" s="89" t="n"/>
      <c r="AU122" s="89" t="n"/>
      <c r="AV122" s="89" t="n"/>
      <c r="AW122" s="90">
        <f>AS122+AT122+AU122+AV122</f>
        <v/>
      </c>
      <c r="AX122" s="89" t="n"/>
      <c r="AY122" s="89" t="n"/>
      <c r="AZ122" s="89" t="n"/>
      <c r="BA122" s="89" t="n"/>
      <c r="BB122" s="90">
        <f>AX122+AY122+AZ122+BA122</f>
        <v/>
      </c>
      <c r="BC122" s="89" t="n"/>
      <c r="BD122" s="89" t="n"/>
      <c r="BE122" s="89" t="n"/>
      <c r="BF122" s="89" t="n"/>
      <c r="BG122" s="89" t="n"/>
      <c r="BH122" s="90">
        <f>BC122+BD122+BE122+BF122+BG122</f>
        <v/>
      </c>
      <c r="BI122" s="89" t="n"/>
      <c r="BJ122" s="89" t="n"/>
      <c r="BK122" s="89" t="n"/>
      <c r="BL122" s="89" t="n"/>
      <c r="BM122" s="90">
        <f>BI122+BJ122+BK122+BL122</f>
        <v/>
      </c>
    </row>
    <row r="123" ht="15.75" customHeight="1">
      <c r="A123" s="91" t="inlineStr">
        <is>
          <t>SACOLA M VERDE</t>
        </is>
      </c>
      <c r="B123" s="89" t="n">
        <v>200</v>
      </c>
      <c r="C123" s="89" t="n">
        <v>200</v>
      </c>
      <c r="D123" s="89" t="n">
        <v>0</v>
      </c>
      <c r="E123" s="89" t="n">
        <v>200</v>
      </c>
      <c r="F123" s="90">
        <f>B123+C123+D123+E123</f>
        <v/>
      </c>
      <c r="G123" s="89" t="n">
        <v>0</v>
      </c>
      <c r="H123" s="89" t="n">
        <v>0</v>
      </c>
      <c r="I123" s="89" t="n">
        <v>200</v>
      </c>
      <c r="J123" s="89" t="n">
        <v>200</v>
      </c>
      <c r="K123" s="90">
        <f>G123+H123+I123+J123</f>
        <v/>
      </c>
      <c r="L123" s="89" t="n">
        <v>0</v>
      </c>
      <c r="M123" s="89" t="n">
        <v>800</v>
      </c>
      <c r="N123" s="89" t="n">
        <v>0</v>
      </c>
      <c r="O123" s="89" t="n">
        <v>200</v>
      </c>
      <c r="P123" s="89" t="n">
        <v>0</v>
      </c>
      <c r="Q123" s="90">
        <f>L123+M123+N123+O123+P123</f>
        <v/>
      </c>
      <c r="R123" s="89" t="n"/>
      <c r="S123" s="89" t="n"/>
      <c r="T123" s="89" t="n"/>
      <c r="U123" s="89" t="n"/>
      <c r="V123" s="90">
        <f>R123+S123+T123+U123</f>
        <v/>
      </c>
      <c r="W123" s="89" t="n">
        <v>0</v>
      </c>
      <c r="X123" s="89" t="n">
        <v>0</v>
      </c>
      <c r="Y123" s="89" t="n"/>
      <c r="Z123" s="89" t="n"/>
      <c r="AA123" s="90">
        <f>W123+X123+Y123+Z123</f>
        <v/>
      </c>
      <c r="AB123" s="89" t="n"/>
      <c r="AC123" s="89" t="n"/>
      <c r="AD123" s="89" t="n"/>
      <c r="AE123" s="89" t="n"/>
      <c r="AF123" s="89" t="n"/>
      <c r="AG123" s="90">
        <f>AB123+AC123+AD123+AE123+AF123</f>
        <v/>
      </c>
      <c r="AH123" s="89" t="n"/>
      <c r="AI123" s="89" t="n"/>
      <c r="AJ123" s="89" t="n"/>
      <c r="AK123" s="89" t="n"/>
      <c r="AL123" s="90">
        <f>AH123+AI123+AJ123+AK123</f>
        <v/>
      </c>
      <c r="AM123" s="89" t="n"/>
      <c r="AN123" s="89" t="n"/>
      <c r="AO123" s="89" t="n"/>
      <c r="AP123" s="89" t="n"/>
      <c r="AQ123" s="89" t="n"/>
      <c r="AR123" s="90">
        <f>AM123+AN123+AO123+AP123+AQ123</f>
        <v/>
      </c>
      <c r="AS123" s="89" t="n"/>
      <c r="AT123" s="89" t="n"/>
      <c r="AU123" s="89" t="n"/>
      <c r="AV123" s="89" t="n"/>
      <c r="AW123" s="90">
        <f>AS123+AT123+AU123+AV123</f>
        <v/>
      </c>
      <c r="AX123" s="89" t="n"/>
      <c r="AY123" s="89" t="n"/>
      <c r="AZ123" s="89" t="n"/>
      <c r="BA123" s="89" t="n"/>
      <c r="BB123" s="90">
        <f>AX123+AY123+AZ123+BA123</f>
        <v/>
      </c>
      <c r="BC123" s="89" t="n"/>
      <c r="BD123" s="89" t="n"/>
      <c r="BE123" s="89" t="n"/>
      <c r="BF123" s="89" t="n"/>
      <c r="BG123" s="89" t="n"/>
      <c r="BH123" s="90">
        <f>BC123+BD123+BE123+BF123+BG123</f>
        <v/>
      </c>
      <c r="BI123" s="89" t="n"/>
      <c r="BJ123" s="89" t="n"/>
      <c r="BK123" s="89" t="n"/>
      <c r="BL123" s="89" t="n"/>
      <c r="BM123" s="90">
        <f>BI123+BJ123+BK123+BL123</f>
        <v/>
      </c>
    </row>
    <row r="124" ht="15.75" customHeight="1">
      <c r="A124" s="92" t="inlineStr">
        <is>
          <t>SACOLA G VERDE</t>
        </is>
      </c>
      <c r="B124" s="89" t="n">
        <v>100</v>
      </c>
      <c r="C124" s="89" t="n">
        <v>0</v>
      </c>
      <c r="D124" s="89" t="n">
        <v>0</v>
      </c>
      <c r="E124" s="89" t="n">
        <v>0</v>
      </c>
      <c r="F124" s="90">
        <f>B124+C124+D124+E124</f>
        <v/>
      </c>
      <c r="G124" s="89" t="n">
        <v>0</v>
      </c>
      <c r="H124" s="89" t="n">
        <v>0</v>
      </c>
      <c r="I124" s="89" t="n">
        <v>100</v>
      </c>
      <c r="J124" s="89" t="n">
        <v>0</v>
      </c>
      <c r="K124" s="90">
        <f>G124+H124+I124+J124</f>
        <v/>
      </c>
      <c r="L124" s="89" t="n">
        <v>200</v>
      </c>
      <c r="M124" s="89" t="n">
        <v>0</v>
      </c>
      <c r="N124" s="89" t="n">
        <v>100</v>
      </c>
      <c r="O124" s="89" t="n">
        <v>0</v>
      </c>
      <c r="P124" s="89" t="n">
        <v>200</v>
      </c>
      <c r="Q124" s="90">
        <f>L124+M124+N124+O124+P124</f>
        <v/>
      </c>
      <c r="R124" s="89" t="n"/>
      <c r="S124" s="89" t="n"/>
      <c r="T124" s="89" t="n"/>
      <c r="U124" s="89" t="n"/>
      <c r="V124" s="90">
        <f>R124+S124+T124+U124</f>
        <v/>
      </c>
      <c r="W124" s="89" t="n">
        <v>0</v>
      </c>
      <c r="X124" s="89" t="n">
        <v>0</v>
      </c>
      <c r="Y124" s="89" t="n"/>
      <c r="Z124" s="89" t="n"/>
      <c r="AA124" s="90">
        <f>W124+X124+Y124+Z124</f>
        <v/>
      </c>
      <c r="AB124" s="89" t="n"/>
      <c r="AC124" s="89" t="n"/>
      <c r="AD124" s="89" t="n"/>
      <c r="AE124" s="89" t="n"/>
      <c r="AF124" s="89" t="n"/>
      <c r="AG124" s="90">
        <f>AB124+AC124+AD124+AE124+AF124</f>
        <v/>
      </c>
      <c r="AH124" s="89" t="n"/>
      <c r="AI124" s="89" t="n"/>
      <c r="AJ124" s="89" t="n"/>
      <c r="AK124" s="89" t="n"/>
      <c r="AL124" s="90">
        <f>AH124+AI124+AJ124+AK124</f>
        <v/>
      </c>
      <c r="AM124" s="89" t="n"/>
      <c r="AN124" s="89" t="n"/>
      <c r="AO124" s="89" t="n"/>
      <c r="AP124" s="89" t="n"/>
      <c r="AQ124" s="89" t="n"/>
      <c r="AR124" s="90">
        <f>AM124+AN124+AO124+AP124+AQ124</f>
        <v/>
      </c>
      <c r="AS124" s="89" t="n"/>
      <c r="AT124" s="89" t="n"/>
      <c r="AU124" s="89" t="n"/>
      <c r="AV124" s="89" t="n"/>
      <c r="AW124" s="90">
        <f>AS124+AT124+AU124+AV124</f>
        <v/>
      </c>
      <c r="AX124" s="89" t="n"/>
      <c r="AY124" s="89" t="n"/>
      <c r="AZ124" s="89" t="n"/>
      <c r="BA124" s="89" t="n"/>
      <c r="BB124" s="90">
        <f>AX124+AY124+AZ124+BA124</f>
        <v/>
      </c>
      <c r="BC124" s="89" t="n"/>
      <c r="BD124" s="89" t="n"/>
      <c r="BE124" s="89" t="n"/>
      <c r="BF124" s="89" t="n"/>
      <c r="BG124" s="89" t="n"/>
      <c r="BH124" s="90">
        <f>BC124+BD124+BE124+BF124+BG124</f>
        <v/>
      </c>
      <c r="BI124" s="89" t="n"/>
      <c r="BJ124" s="89" t="n"/>
      <c r="BK124" s="89" t="n"/>
      <c r="BL124" s="89" t="n"/>
      <c r="BM124" s="90">
        <f>BI124+BJ124+BK124+BL124</f>
        <v/>
      </c>
    </row>
    <row r="125" ht="15.75" customHeight="1">
      <c r="A125" s="93" t="inlineStr">
        <is>
          <t>SACO M OUI (BRINDE)</t>
        </is>
      </c>
      <c r="B125" s="89" t="n">
        <v>0</v>
      </c>
      <c r="C125" s="89" t="n">
        <v>0</v>
      </c>
      <c r="D125" s="89" t="n">
        <v>0</v>
      </c>
      <c r="E125" s="89" t="n">
        <v>0</v>
      </c>
      <c r="F125" s="90">
        <f>B125+C125+D125+E125</f>
        <v/>
      </c>
      <c r="G125" s="89" t="n">
        <v>200</v>
      </c>
      <c r="H125" s="89" t="n">
        <v>0</v>
      </c>
      <c r="I125" s="89" t="n">
        <v>0</v>
      </c>
      <c r="J125" s="89" t="n">
        <v>0</v>
      </c>
      <c r="K125" s="90">
        <f>G125+H125+I125+J125</f>
        <v/>
      </c>
      <c r="L125" s="89" t="n">
        <v>0</v>
      </c>
      <c r="M125" s="89" t="n">
        <v>0</v>
      </c>
      <c r="N125" s="89" t="n">
        <v>0</v>
      </c>
      <c r="O125" s="89" t="n">
        <v>0</v>
      </c>
      <c r="P125" s="89" t="n">
        <v>0</v>
      </c>
      <c r="Q125" s="90">
        <f>L125+M125+N125+O125+P125</f>
        <v/>
      </c>
      <c r="R125" s="89" t="n"/>
      <c r="S125" s="89" t="n"/>
      <c r="T125" s="89" t="n"/>
      <c r="U125" s="89" t="n"/>
      <c r="V125" s="90">
        <f>R125+S125+T125+U125</f>
        <v/>
      </c>
      <c r="W125" s="89" t="n">
        <v>0</v>
      </c>
      <c r="X125" s="89" t="n">
        <v>0</v>
      </c>
      <c r="Y125" s="89" t="n"/>
      <c r="Z125" s="89" t="n"/>
      <c r="AA125" s="90">
        <f>W125+X125+Y125+Z125</f>
        <v/>
      </c>
      <c r="AB125" s="89" t="n"/>
      <c r="AC125" s="89" t="n"/>
      <c r="AD125" s="89" t="n"/>
      <c r="AE125" s="89" t="n"/>
      <c r="AF125" s="89" t="n"/>
      <c r="AG125" s="90">
        <f>AB125+AC125+AD125+AE125+AF125</f>
        <v/>
      </c>
      <c r="AH125" s="89" t="n"/>
      <c r="AI125" s="89" t="n"/>
      <c r="AJ125" s="89" t="n"/>
      <c r="AK125" s="89" t="n"/>
      <c r="AL125" s="90">
        <f>AH125+AI125+AJ125+AK125</f>
        <v/>
      </c>
      <c r="AM125" s="89" t="n"/>
      <c r="AN125" s="89" t="n"/>
      <c r="AO125" s="89" t="n"/>
      <c r="AP125" s="89" t="n"/>
      <c r="AQ125" s="89" t="n"/>
      <c r="AR125" s="90">
        <f>AM125+AN125+AO125+AP125+AQ125</f>
        <v/>
      </c>
      <c r="AS125" s="89" t="n"/>
      <c r="AT125" s="89" t="n"/>
      <c r="AU125" s="89" t="n"/>
      <c r="AV125" s="89" t="n"/>
      <c r="AW125" s="90">
        <f>AS125+AT125+AU125+AV125</f>
        <v/>
      </c>
      <c r="AX125" s="89" t="n"/>
      <c r="AY125" s="89" t="n"/>
      <c r="AZ125" s="89" t="n"/>
      <c r="BA125" s="89" t="n"/>
      <c r="BB125" s="90">
        <f>AX125+AY125+AZ125+BA125</f>
        <v/>
      </c>
      <c r="BC125" s="89" t="n"/>
      <c r="BD125" s="89" t="n"/>
      <c r="BE125" s="89" t="n"/>
      <c r="BF125" s="89" t="n"/>
      <c r="BG125" s="89" t="n"/>
      <c r="BH125" s="90">
        <f>BC125+BD125+BE125+BF125+BG125</f>
        <v/>
      </c>
      <c r="BI125" s="89" t="n"/>
      <c r="BJ125" s="89" t="n"/>
      <c r="BK125" s="89" t="n"/>
      <c r="BL125" s="89" t="n"/>
      <c r="BM125" s="90">
        <f>BI125+BJ125+BK125+BL125</f>
        <v/>
      </c>
    </row>
    <row r="126" ht="15.75" customHeight="1">
      <c r="A126" s="93" t="inlineStr">
        <is>
          <t>SACOLA P QDB</t>
        </is>
      </c>
      <c r="B126" s="201" t="n">
        <v>0</v>
      </c>
      <c r="C126" s="89" t="n">
        <v>0</v>
      </c>
      <c r="D126" s="89" t="n">
        <v>0</v>
      </c>
      <c r="E126" s="89" t="n">
        <v>0</v>
      </c>
      <c r="F126" s="90">
        <f>B126+C126+D126+E126</f>
        <v/>
      </c>
      <c r="G126" s="89" t="n">
        <v>0</v>
      </c>
      <c r="H126" s="89" t="n">
        <v>0</v>
      </c>
      <c r="I126" s="89" t="n">
        <v>0</v>
      </c>
      <c r="J126" s="89" t="n">
        <v>0</v>
      </c>
      <c r="K126" s="90">
        <f>G126+H126+I126+J126</f>
        <v/>
      </c>
      <c r="L126" s="89" t="n">
        <v>0</v>
      </c>
      <c r="M126" s="89" t="n">
        <v>0</v>
      </c>
      <c r="N126" s="89" t="n">
        <v>0</v>
      </c>
      <c r="O126" s="89" t="n">
        <v>0</v>
      </c>
      <c r="P126" s="89" t="n">
        <v>0</v>
      </c>
      <c r="Q126" s="90">
        <f>L126+M126+N126+O126+P126</f>
        <v/>
      </c>
      <c r="R126" s="89" t="n"/>
      <c r="S126" s="89" t="n"/>
      <c r="T126" s="89" t="n"/>
      <c r="U126" s="89" t="n"/>
      <c r="V126" s="90">
        <f>R126+S126+T126+U126</f>
        <v/>
      </c>
      <c r="W126" s="89" t="n">
        <v>0</v>
      </c>
      <c r="X126" s="89" t="n">
        <v>0</v>
      </c>
      <c r="Y126" s="89" t="n"/>
      <c r="Z126" s="89" t="n"/>
      <c r="AA126" s="90">
        <f>W126+X126+Y126+Z126</f>
        <v/>
      </c>
      <c r="AB126" s="89" t="n"/>
      <c r="AC126" s="89" t="n"/>
      <c r="AD126" s="89" t="n"/>
      <c r="AE126" s="89" t="n"/>
      <c r="AF126" s="89" t="n"/>
      <c r="AG126" s="90">
        <f>AB126+AC126+AD126+AE126+AF126</f>
        <v/>
      </c>
      <c r="AH126" s="89" t="n"/>
      <c r="AI126" s="89" t="n"/>
      <c r="AJ126" s="89" t="n"/>
      <c r="AK126" s="89" t="n"/>
      <c r="AL126" s="90">
        <f>AH126+AI126+AJ126+AK126</f>
        <v/>
      </c>
      <c r="AM126" s="89" t="n"/>
      <c r="AN126" s="89" t="n"/>
      <c r="AO126" s="89" t="n"/>
      <c r="AP126" s="89" t="n"/>
      <c r="AQ126" s="89" t="n"/>
      <c r="AR126" s="90">
        <f>AM126+AN126+AO126+AP126+AQ126</f>
        <v/>
      </c>
      <c r="AS126" s="89" t="n"/>
      <c r="AT126" s="89" t="n"/>
      <c r="AU126" s="89" t="n"/>
      <c r="AV126" s="89" t="n"/>
      <c r="AW126" s="90">
        <f>AS126+AT126+AU126+AV126</f>
        <v/>
      </c>
      <c r="AX126" s="89" t="n"/>
      <c r="AY126" s="89" t="n"/>
      <c r="AZ126" s="89" t="n"/>
      <c r="BA126" s="89" t="n"/>
      <c r="BB126" s="90">
        <f>AX126+AY126+AZ126+BA126</f>
        <v/>
      </c>
      <c r="BC126" s="89" t="n"/>
      <c r="BD126" s="89" t="n"/>
      <c r="BE126" s="89" t="n"/>
      <c r="BF126" s="89" t="n"/>
      <c r="BG126" s="89" t="n"/>
      <c r="BH126" s="90">
        <f>BC126+BD126+BE126+BF126+BG126</f>
        <v/>
      </c>
      <c r="BI126" s="89" t="n"/>
      <c r="BJ126" s="89" t="n"/>
      <c r="BK126" s="89" t="n"/>
      <c r="BL126" s="89" t="n"/>
      <c r="BM126" s="90">
        <f>BI126+BJ126+BK126+BL126</f>
        <v/>
      </c>
    </row>
    <row r="127" ht="15.75" customHeight="1">
      <c r="A127" s="93" t="inlineStr">
        <is>
          <t>SACOLA M QDB</t>
        </is>
      </c>
      <c r="B127" s="201" t="n">
        <v>0</v>
      </c>
      <c r="C127" s="89" t="n">
        <v>0</v>
      </c>
      <c r="D127" s="89" t="n">
        <v>0</v>
      </c>
      <c r="E127" s="89" t="n">
        <v>0</v>
      </c>
      <c r="F127" s="90">
        <f>B127+C127+D127+E127</f>
        <v/>
      </c>
      <c r="G127" s="89" t="n">
        <v>0</v>
      </c>
      <c r="H127" s="89" t="n">
        <v>0</v>
      </c>
      <c r="I127" s="89" t="n">
        <v>0</v>
      </c>
      <c r="J127" s="89" t="n">
        <v>0</v>
      </c>
      <c r="K127" s="90">
        <f>G127+H127+I127+J127</f>
        <v/>
      </c>
      <c r="L127" s="89" t="n">
        <v>0</v>
      </c>
      <c r="M127" s="89" t="n">
        <v>0</v>
      </c>
      <c r="N127" s="89" t="n">
        <v>0</v>
      </c>
      <c r="O127" s="89" t="n">
        <v>0</v>
      </c>
      <c r="P127" s="89" t="n">
        <v>0</v>
      </c>
      <c r="Q127" s="90">
        <f>L127+M127+N127+O127+P127</f>
        <v/>
      </c>
      <c r="R127" s="89" t="n"/>
      <c r="S127" s="89" t="n"/>
      <c r="T127" s="89" t="n"/>
      <c r="U127" s="89" t="n"/>
      <c r="V127" s="90">
        <f>R127+S127+T127+U127</f>
        <v/>
      </c>
      <c r="W127" s="89" t="n">
        <v>0</v>
      </c>
      <c r="X127" s="89" t="n">
        <v>0</v>
      </c>
      <c r="Y127" s="89" t="n"/>
      <c r="Z127" s="89" t="n"/>
      <c r="AA127" s="90">
        <f>W127+X127+Y127+Z127</f>
        <v/>
      </c>
      <c r="AB127" s="89" t="n"/>
      <c r="AC127" s="89" t="n"/>
      <c r="AD127" s="89" t="n"/>
      <c r="AE127" s="89" t="n"/>
      <c r="AF127" s="89" t="n"/>
      <c r="AG127" s="90">
        <f>AB127+AC127+AD127+AE127+AF127</f>
        <v/>
      </c>
      <c r="AH127" s="89" t="n"/>
      <c r="AI127" s="89" t="n"/>
      <c r="AJ127" s="89" t="n"/>
      <c r="AK127" s="89" t="n"/>
      <c r="AL127" s="90">
        <f>AH127+AI127+AJ127+AK127</f>
        <v/>
      </c>
      <c r="AM127" s="89" t="n"/>
      <c r="AN127" s="89" t="n"/>
      <c r="AO127" s="89" t="n"/>
      <c r="AP127" s="89" t="n"/>
      <c r="AQ127" s="89" t="n"/>
      <c r="AR127" s="90">
        <f>AM127+AN127+AO127+AP127+AQ127</f>
        <v/>
      </c>
      <c r="AS127" s="89" t="n"/>
      <c r="AT127" s="89" t="n"/>
      <c r="AU127" s="89" t="n"/>
      <c r="AV127" s="89" t="n"/>
      <c r="AW127" s="90">
        <f>AS127+AT127+AU127+AV127</f>
        <v/>
      </c>
      <c r="AX127" s="89" t="n"/>
      <c r="AY127" s="89" t="n"/>
      <c r="AZ127" s="89" t="n"/>
      <c r="BA127" s="89" t="n"/>
      <c r="BB127" s="90">
        <f>AX127+AY127+AZ127+BA127</f>
        <v/>
      </c>
      <c r="BC127" s="89" t="n"/>
      <c r="BD127" s="89" t="n"/>
      <c r="BE127" s="89" t="n"/>
      <c r="BF127" s="89" t="n"/>
      <c r="BG127" s="89" t="n"/>
      <c r="BH127" s="90">
        <f>BC127+BD127+BE127+BF127+BG127</f>
        <v/>
      </c>
      <c r="BI127" s="89" t="n"/>
      <c r="BJ127" s="89" t="n"/>
      <c r="BK127" s="89" t="n"/>
      <c r="BL127" s="89" t="n"/>
      <c r="BM127" s="90">
        <f>BI127+BJ127+BK127+BL127</f>
        <v/>
      </c>
    </row>
    <row r="128" ht="15.75" customHeight="1">
      <c r="A128" s="93" t="inlineStr">
        <is>
          <t>SACOLA G QDB</t>
        </is>
      </c>
      <c r="B128" s="201" t="n">
        <v>0</v>
      </c>
      <c r="C128" s="89" t="n">
        <v>0</v>
      </c>
      <c r="D128" s="89" t="n">
        <v>0</v>
      </c>
      <c r="E128" s="89" t="n">
        <v>0</v>
      </c>
      <c r="F128" s="90">
        <f>B128+C128+D128+E128</f>
        <v/>
      </c>
      <c r="G128" s="89" t="n">
        <v>0</v>
      </c>
      <c r="H128" s="89" t="n">
        <v>0</v>
      </c>
      <c r="I128" s="89" t="n">
        <v>0</v>
      </c>
      <c r="J128" s="89" t="n">
        <v>0</v>
      </c>
      <c r="K128" s="90">
        <f>G128+H128+I128+J128</f>
        <v/>
      </c>
      <c r="L128" s="89" t="n">
        <v>0</v>
      </c>
      <c r="M128" s="89" t="n">
        <v>0</v>
      </c>
      <c r="N128" s="89" t="n">
        <v>0</v>
      </c>
      <c r="O128" s="89" t="n">
        <v>0</v>
      </c>
      <c r="P128" s="89" t="n">
        <v>0</v>
      </c>
      <c r="Q128" s="90">
        <f>L128+M128+N128+O128+P128</f>
        <v/>
      </c>
      <c r="R128" s="89" t="n"/>
      <c r="S128" s="89" t="n"/>
      <c r="T128" s="89" t="n"/>
      <c r="U128" s="89" t="n"/>
      <c r="V128" s="90">
        <f>R128+S128+T128+U128</f>
        <v/>
      </c>
      <c r="W128" s="89" t="n">
        <v>0</v>
      </c>
      <c r="X128" s="89" t="n">
        <v>0</v>
      </c>
      <c r="Y128" s="89" t="n"/>
      <c r="Z128" s="89" t="n"/>
      <c r="AA128" s="90">
        <f>W128+X128+Y128+Z128</f>
        <v/>
      </c>
      <c r="AB128" s="89" t="n"/>
      <c r="AC128" s="89" t="n"/>
      <c r="AD128" s="89" t="n"/>
      <c r="AE128" s="89" t="n"/>
      <c r="AF128" s="89" t="n"/>
      <c r="AG128" s="90">
        <f>AB128+AC128+AD128+AE128+AF128</f>
        <v/>
      </c>
      <c r="AH128" s="89" t="n"/>
      <c r="AI128" s="89" t="n"/>
      <c r="AJ128" s="89" t="n"/>
      <c r="AK128" s="89" t="n"/>
      <c r="AL128" s="90">
        <f>AH128+AI128+AJ128+AK128</f>
        <v/>
      </c>
      <c r="AM128" s="89" t="n"/>
      <c r="AN128" s="89" t="n"/>
      <c r="AO128" s="89" t="n"/>
      <c r="AP128" s="89" t="n"/>
      <c r="AQ128" s="89" t="n"/>
      <c r="AR128" s="90">
        <f>AM128+AN128+AO128+AP128+AQ128</f>
        <v/>
      </c>
      <c r="AS128" s="89" t="n"/>
      <c r="AT128" s="89" t="n"/>
      <c r="AU128" s="89" t="n"/>
      <c r="AV128" s="89" t="n"/>
      <c r="AW128" s="90">
        <f>AS128+AT128+AU128+AV128</f>
        <v/>
      </c>
      <c r="AX128" s="89" t="n"/>
      <c r="AY128" s="89" t="n"/>
      <c r="AZ128" s="89" t="n"/>
      <c r="BA128" s="89" t="n"/>
      <c r="BB128" s="90">
        <f>AX128+AY128+AZ128+BA128</f>
        <v/>
      </c>
      <c r="BC128" s="89" t="n"/>
      <c r="BD128" s="89" t="n"/>
      <c r="BE128" s="89" t="n"/>
      <c r="BF128" s="89" t="n"/>
      <c r="BG128" s="89" t="n"/>
      <c r="BH128" s="90">
        <f>BC128+BD128+BE128+BF128+BG128</f>
        <v/>
      </c>
      <c r="BI128" s="89" t="n"/>
      <c r="BJ128" s="89" t="n"/>
      <c r="BK128" s="89" t="n"/>
      <c r="BL128" s="89" t="n"/>
      <c r="BM128" s="90">
        <f>BI128+BJ128+BK128+BL128</f>
        <v/>
      </c>
    </row>
    <row r="129" ht="15" customHeight="1">
      <c r="A129" s="93" t="inlineStr">
        <is>
          <t>SACOLA P EUDORA</t>
        </is>
      </c>
      <c r="B129" s="201" t="n">
        <v>1600</v>
      </c>
      <c r="C129" s="201" t="n">
        <v>0</v>
      </c>
      <c r="D129" s="201" t="n">
        <v>400</v>
      </c>
      <c r="E129" s="201" t="n">
        <v>1000</v>
      </c>
      <c r="F129" s="90">
        <f>B129+C129+D129+E129</f>
        <v/>
      </c>
      <c r="G129" s="201" t="n">
        <v>200</v>
      </c>
      <c r="H129" s="201" t="n">
        <v>600</v>
      </c>
      <c r="I129" s="201" t="n">
        <v>200</v>
      </c>
      <c r="J129" s="201" t="n">
        <v>400</v>
      </c>
      <c r="K129" s="90">
        <f>G129+H129+I129+J129</f>
        <v/>
      </c>
      <c r="L129" s="201" t="n">
        <v>600</v>
      </c>
      <c r="M129" s="201" t="n">
        <v>400</v>
      </c>
      <c r="N129" s="201" t="n">
        <v>800</v>
      </c>
      <c r="O129" s="201" t="n">
        <v>800</v>
      </c>
      <c r="P129" s="201" t="n">
        <v>400</v>
      </c>
      <c r="Q129" s="90">
        <f>L129+M129+N129+O129+P129</f>
        <v/>
      </c>
      <c r="R129" s="201" t="n"/>
      <c r="S129" s="201" t="n"/>
      <c r="T129" s="201" t="n"/>
      <c r="U129" s="201" t="n"/>
      <c r="V129" s="90">
        <f>R129+S129+T129+U129</f>
        <v/>
      </c>
      <c r="W129" s="201" t="n">
        <v>0</v>
      </c>
      <c r="X129" s="201" t="n">
        <v>0</v>
      </c>
      <c r="Y129" s="201" t="n"/>
      <c r="Z129" s="201" t="n"/>
      <c r="AA129" s="90">
        <f>W129+X129+Y129+Z129</f>
        <v/>
      </c>
      <c r="AB129" s="201" t="n"/>
      <c r="AC129" s="201" t="n"/>
      <c r="AD129" s="201" t="n"/>
      <c r="AE129" s="201" t="n"/>
      <c r="AF129" s="201" t="n"/>
      <c r="AG129" s="90">
        <f>AB129+AC129+AD129+AE129+AF129</f>
        <v/>
      </c>
      <c r="AH129" s="201" t="n"/>
      <c r="AI129" s="201" t="n"/>
      <c r="AJ129" s="201" t="n"/>
      <c r="AK129" s="201" t="n"/>
      <c r="AL129" s="90">
        <f>AH129+AI129+AJ129+AK129</f>
        <v/>
      </c>
      <c r="AM129" s="89" t="n"/>
      <c r="AN129" s="89" t="n"/>
      <c r="AO129" s="89" t="n"/>
      <c r="AP129" s="89" t="n"/>
      <c r="AQ129" s="89" t="n"/>
      <c r="AR129" s="90">
        <f>AM129+AN129+AO129+AP129+AQ129</f>
        <v/>
      </c>
      <c r="AS129" s="89" t="n"/>
      <c r="AT129" s="89" t="n"/>
      <c r="AU129" s="89" t="n"/>
      <c r="AV129" s="89" t="n"/>
      <c r="AW129" s="90">
        <f>AS129+AT129+AU129+AV129</f>
        <v/>
      </c>
      <c r="AX129" s="89" t="n"/>
      <c r="AY129" s="89" t="n"/>
      <c r="AZ129" s="89" t="n"/>
      <c r="BA129" s="89" t="n"/>
      <c r="BB129" s="90">
        <f>AX129+AY129+AZ129+BA129</f>
        <v/>
      </c>
      <c r="BC129" s="89" t="n"/>
      <c r="BD129" s="89" t="n"/>
      <c r="BE129" s="89" t="n"/>
      <c r="BF129" s="89" t="n"/>
      <c r="BG129" s="89" t="n"/>
      <c r="BH129" s="90">
        <f>BC129+BD129+BE129+BF129+BG129</f>
        <v/>
      </c>
      <c r="BI129" s="89" t="n"/>
      <c r="BJ129" s="89" t="n"/>
      <c r="BK129" s="89" t="n"/>
      <c r="BL129" s="89" t="n"/>
      <c r="BM129" s="90">
        <f>BI129+BJ129+BK129+BL129</f>
        <v/>
      </c>
    </row>
    <row r="130" ht="15.75" customHeight="1">
      <c r="A130" s="93" t="inlineStr">
        <is>
          <t>SACOLA M EUDORA</t>
        </is>
      </c>
      <c r="B130" s="201" t="n">
        <v>200</v>
      </c>
      <c r="C130" s="201" t="n">
        <v>0</v>
      </c>
      <c r="D130" s="201" t="n">
        <v>0</v>
      </c>
      <c r="E130" s="201" t="n">
        <v>0</v>
      </c>
      <c r="F130" s="90">
        <f>B130+C130+D130+E130</f>
        <v/>
      </c>
      <c r="G130" s="201" t="n">
        <v>200</v>
      </c>
      <c r="H130" s="201" t="n">
        <v>0</v>
      </c>
      <c r="I130" s="201" t="n">
        <v>200</v>
      </c>
      <c r="J130" s="201" t="n">
        <v>0</v>
      </c>
      <c r="K130" s="90">
        <f>G130+H130+I130+J130</f>
        <v/>
      </c>
      <c r="L130" s="201" t="n">
        <v>0</v>
      </c>
      <c r="M130" s="201" t="n">
        <v>0</v>
      </c>
      <c r="N130" s="201" t="n">
        <v>0</v>
      </c>
      <c r="O130" s="201" t="n">
        <v>0</v>
      </c>
      <c r="P130" s="201" t="n">
        <v>0</v>
      </c>
      <c r="Q130" s="90">
        <f>L130+M130+N130+O130+P130</f>
        <v/>
      </c>
      <c r="R130" s="201" t="n"/>
      <c r="S130" s="201" t="n"/>
      <c r="T130" s="201" t="n"/>
      <c r="U130" s="201" t="n"/>
      <c r="V130" s="90">
        <f>R130+S130+T130+U130</f>
        <v/>
      </c>
      <c r="W130" s="201" t="n">
        <v>200</v>
      </c>
      <c r="X130" s="201" t="n">
        <v>0</v>
      </c>
      <c r="Y130" s="201" t="n"/>
      <c r="Z130" s="201" t="n"/>
      <c r="AA130" s="90">
        <f>W130+X130+Y130+Z130</f>
        <v/>
      </c>
      <c r="AB130" s="201" t="n"/>
      <c r="AC130" s="201" t="n"/>
      <c r="AD130" s="201" t="n"/>
      <c r="AE130" s="201" t="n"/>
      <c r="AF130" s="201" t="n"/>
      <c r="AG130" s="90">
        <f>AB130+AC130+AD130+AE130+AF130</f>
        <v/>
      </c>
      <c r="AH130" s="201" t="n"/>
      <c r="AI130" s="201" t="n"/>
      <c r="AJ130" s="201" t="n"/>
      <c r="AK130" s="201" t="n"/>
      <c r="AL130" s="90">
        <f>AH130+AI130+AJ130+AK130</f>
        <v/>
      </c>
      <c r="AM130" s="89" t="n"/>
      <c r="AN130" s="89" t="n"/>
      <c r="AO130" s="89" t="n"/>
      <c r="AP130" s="89" t="n"/>
      <c r="AQ130" s="89" t="n"/>
      <c r="AR130" s="90">
        <f>AM130+AN130+AO130+AP130+AQ130</f>
        <v/>
      </c>
      <c r="AS130" s="89" t="n"/>
      <c r="AT130" s="89" t="n"/>
      <c r="AU130" s="89" t="n"/>
      <c r="AV130" s="89" t="n"/>
      <c r="AW130" s="90">
        <f>AS130+AT130+AU130+AV130</f>
        <v/>
      </c>
      <c r="AX130" s="89" t="n"/>
      <c r="AY130" s="89" t="n"/>
      <c r="AZ130" s="89" t="n"/>
      <c r="BA130" s="89" t="n"/>
      <c r="BB130" s="90">
        <f>AX130+AY130+AZ130+BA130</f>
        <v/>
      </c>
      <c r="BC130" s="89" t="n"/>
      <c r="BD130" s="89" t="n"/>
      <c r="BE130" s="89" t="n"/>
      <c r="BF130" s="89" t="n"/>
      <c r="BG130" s="89" t="n"/>
      <c r="BH130" s="90">
        <f>BC130+BD130+BE130+BF130+BG130</f>
        <v/>
      </c>
      <c r="BI130" s="89" t="n"/>
      <c r="BJ130" s="89" t="n"/>
      <c r="BK130" s="89" t="n"/>
      <c r="BL130" s="89" t="n"/>
      <c r="BM130" s="90">
        <f>BI130+BJ130+BK130+BL130</f>
        <v/>
      </c>
    </row>
    <row r="131" ht="15.75" customHeight="1">
      <c r="A131" s="93" t="inlineStr">
        <is>
          <t>SACOLA G EUDORA</t>
        </is>
      </c>
      <c r="B131" s="201" t="n">
        <v>0</v>
      </c>
      <c r="C131" s="201" t="n">
        <v>0</v>
      </c>
      <c r="D131" s="201" t="n">
        <v>0</v>
      </c>
      <c r="E131" s="201" t="n">
        <v>0</v>
      </c>
      <c r="F131" s="90">
        <f>B131+C131+D131+E131</f>
        <v/>
      </c>
      <c r="G131" s="201" t="n">
        <v>0</v>
      </c>
      <c r="H131" s="201" t="n">
        <v>0</v>
      </c>
      <c r="I131" s="201" t="n">
        <v>0</v>
      </c>
      <c r="J131" s="201" t="n">
        <v>100</v>
      </c>
      <c r="K131" s="90">
        <f>G131+H131+I131+J131</f>
        <v/>
      </c>
      <c r="L131" s="201" t="n">
        <v>0</v>
      </c>
      <c r="M131" s="201" t="n">
        <v>0</v>
      </c>
      <c r="N131" s="201" t="n">
        <v>0</v>
      </c>
      <c r="O131" s="201" t="n">
        <v>0</v>
      </c>
      <c r="P131" s="201" t="n">
        <v>0</v>
      </c>
      <c r="Q131" s="90">
        <f>L131+M131+N131+O131+P131</f>
        <v/>
      </c>
      <c r="R131" s="201" t="n"/>
      <c r="S131" s="201" t="n"/>
      <c r="T131" s="201" t="n"/>
      <c r="U131" s="201" t="n"/>
      <c r="V131" s="90">
        <f>R131+S131+T131+U131</f>
        <v/>
      </c>
      <c r="W131" s="201" t="n">
        <v>0</v>
      </c>
      <c r="X131" s="201" t="n">
        <v>0</v>
      </c>
      <c r="Y131" s="201" t="n"/>
      <c r="Z131" s="201" t="n"/>
      <c r="AA131" s="90">
        <f>W131+X131+Y131+Z131</f>
        <v/>
      </c>
      <c r="AB131" s="201" t="n"/>
      <c r="AC131" s="201" t="n"/>
      <c r="AD131" s="201" t="n"/>
      <c r="AE131" s="201" t="n"/>
      <c r="AF131" s="201" t="n"/>
      <c r="AG131" s="90">
        <f>AB131+AC131+AD131+AE131+AF131</f>
        <v/>
      </c>
      <c r="AH131" s="201" t="n"/>
      <c r="AI131" s="201" t="n"/>
      <c r="AJ131" s="201" t="n"/>
      <c r="AK131" s="201" t="n"/>
      <c r="AL131" s="90">
        <f>AH131+AI131+AJ131+AK131</f>
        <v/>
      </c>
      <c r="AM131" s="89" t="n"/>
      <c r="AN131" s="89" t="n"/>
      <c r="AO131" s="89" t="n"/>
      <c r="AP131" s="89" t="n"/>
      <c r="AQ131" s="89" t="n"/>
      <c r="AR131" s="90">
        <f>AM131+AN131+AO131+AP131+AQ131</f>
        <v/>
      </c>
      <c r="AS131" s="89" t="n"/>
      <c r="AT131" s="89" t="n"/>
      <c r="AU131" s="89" t="n"/>
      <c r="AV131" s="89" t="n"/>
      <c r="AW131" s="90">
        <f>AS131+AT131+AU131+AV131</f>
        <v/>
      </c>
      <c r="AX131" s="89" t="n"/>
      <c r="AY131" s="89" t="n"/>
      <c r="AZ131" s="89" t="n"/>
      <c r="BA131" s="89" t="n"/>
      <c r="BB131" s="90">
        <f>AX131+AY131+AZ131+BA131</f>
        <v/>
      </c>
      <c r="BC131" s="89" t="n"/>
      <c r="BD131" s="89" t="n"/>
      <c r="BE131" s="89" t="n"/>
      <c r="BF131" s="89" t="n"/>
      <c r="BG131" s="89" t="n"/>
      <c r="BH131" s="90">
        <f>BC131+BD131+BE131+BF131+BG131</f>
        <v/>
      </c>
      <c r="BI131" s="89" t="n"/>
      <c r="BJ131" s="89" t="n"/>
      <c r="BK131" s="89" t="n"/>
      <c r="BL131" s="89" t="n"/>
      <c r="BM131" s="90">
        <f>BI131+BJ131+BK131+BL131</f>
        <v/>
      </c>
    </row>
    <row r="132" ht="15.75" customHeight="1">
      <c r="A132" s="93" t="inlineStr">
        <is>
          <t>CAIXA OMNI P</t>
        </is>
      </c>
      <c r="B132" s="89" t="n">
        <v>75</v>
      </c>
      <c r="C132" s="89" t="n">
        <v>75</v>
      </c>
      <c r="D132" s="89" t="n">
        <v>350</v>
      </c>
      <c r="E132" s="89" t="n">
        <v>425</v>
      </c>
      <c r="F132" s="90">
        <f>B132+C132+D132+E132</f>
        <v/>
      </c>
      <c r="G132" s="89" t="n">
        <v>25</v>
      </c>
      <c r="H132" s="89" t="n">
        <v>75</v>
      </c>
      <c r="I132" s="89" t="n">
        <v>200</v>
      </c>
      <c r="J132" s="89" t="n">
        <v>75</v>
      </c>
      <c r="K132" s="90">
        <f>G132+H132+I132+J132</f>
        <v/>
      </c>
      <c r="L132" s="89" t="n">
        <v>150</v>
      </c>
      <c r="M132" s="89" t="n">
        <v>175</v>
      </c>
      <c r="N132" s="89" t="n">
        <v>150</v>
      </c>
      <c r="O132" s="89" t="n">
        <v>150</v>
      </c>
      <c r="P132" s="89" t="n">
        <v>175</v>
      </c>
      <c r="Q132" s="90">
        <f>L132+M132+N132+O132+P132</f>
        <v/>
      </c>
      <c r="R132" s="89" t="n"/>
      <c r="S132" s="89" t="n"/>
      <c r="T132" s="89" t="n"/>
      <c r="U132" s="89" t="n"/>
      <c r="V132" s="90">
        <f>R132+S132+T132+U132</f>
        <v/>
      </c>
      <c r="W132" s="89" t="n">
        <v>225</v>
      </c>
      <c r="X132" s="89" t="n">
        <v>200</v>
      </c>
      <c r="Y132" s="89" t="n"/>
      <c r="Z132" s="89" t="n"/>
      <c r="AA132" s="90">
        <f>W132+X132+Y132+Z132</f>
        <v/>
      </c>
      <c r="AB132" s="89" t="n"/>
      <c r="AC132" s="89" t="n"/>
      <c r="AD132" s="89" t="n"/>
      <c r="AE132" s="89" t="n"/>
      <c r="AF132" s="89" t="n"/>
      <c r="AG132" s="90">
        <f>AB132+AC132+AD132+AE132+AF132</f>
        <v/>
      </c>
      <c r="AH132" s="89" t="n"/>
      <c r="AI132" s="89" t="n"/>
      <c r="AJ132" s="89" t="n"/>
      <c r="AK132" s="89" t="n"/>
      <c r="AL132" s="90">
        <f>AH132+AI132+AJ132+AK132</f>
        <v/>
      </c>
      <c r="AM132" s="89" t="n"/>
      <c r="AN132" s="89" t="n"/>
      <c r="AO132" s="89" t="n"/>
      <c r="AP132" s="89" t="n"/>
      <c r="AQ132" s="89" t="n"/>
      <c r="AR132" s="90">
        <f>AM132+AN132+AO132+AP132+AQ132</f>
        <v/>
      </c>
      <c r="AS132" s="89" t="n"/>
      <c r="AT132" s="89" t="n"/>
      <c r="AU132" s="89" t="n"/>
      <c r="AV132" s="89" t="n"/>
      <c r="AW132" s="90">
        <f>AS132+AT132+AU132+AV132</f>
        <v/>
      </c>
      <c r="AX132" s="89" t="n"/>
      <c r="AY132" s="89" t="n"/>
      <c r="AZ132" s="89" t="n"/>
      <c r="BA132" s="89" t="n"/>
      <c r="BB132" s="90">
        <f>AX132+AY132+AZ132+BA132</f>
        <v/>
      </c>
      <c r="BC132" s="89" t="n"/>
      <c r="BD132" s="89" t="n"/>
      <c r="BE132" s="89" t="n"/>
      <c r="BF132" s="89" t="n"/>
      <c r="BG132" s="89" t="n"/>
      <c r="BH132" s="90">
        <f>BC132+BD132+BE132+BF132+BG132</f>
        <v/>
      </c>
      <c r="BI132" s="89" t="n"/>
      <c r="BJ132" s="89" t="n"/>
      <c r="BK132" s="89" t="n"/>
      <c r="BL132" s="89" t="n"/>
      <c r="BM132" s="90">
        <f>BI132+BJ132+BK132+BL132</f>
        <v/>
      </c>
    </row>
    <row r="133" ht="15.75" customHeight="1">
      <c r="A133" s="93" t="inlineStr">
        <is>
          <t>CAIXA OMNI M</t>
        </is>
      </c>
      <c r="B133" s="89" t="n">
        <v>50</v>
      </c>
      <c r="C133" s="89" t="n">
        <v>175</v>
      </c>
      <c r="D133" s="89" t="n">
        <v>275</v>
      </c>
      <c r="E133" s="89" t="n">
        <v>250</v>
      </c>
      <c r="F133" s="90">
        <f>B133+C133+D133+E133</f>
        <v/>
      </c>
      <c r="G133" s="89" t="n">
        <v>275</v>
      </c>
      <c r="H133" s="89" t="n">
        <v>250</v>
      </c>
      <c r="I133" s="89" t="n">
        <v>350</v>
      </c>
      <c r="J133" s="89" t="n">
        <v>200</v>
      </c>
      <c r="K133" s="90">
        <f>G133+H133+I133+J133</f>
        <v/>
      </c>
      <c r="L133" s="89" t="n">
        <v>275</v>
      </c>
      <c r="M133" s="89" t="n">
        <v>250</v>
      </c>
      <c r="N133" s="89" t="n">
        <v>275</v>
      </c>
      <c r="O133" s="89" t="n">
        <v>275</v>
      </c>
      <c r="P133" s="89" t="n">
        <v>225</v>
      </c>
      <c r="Q133" s="90">
        <f>L133+M133+N133+O133+P133</f>
        <v/>
      </c>
      <c r="R133" s="89" t="n"/>
      <c r="S133" s="89" t="n"/>
      <c r="T133" s="89" t="n"/>
      <c r="U133" s="89" t="n"/>
      <c r="V133" s="90">
        <f>R133+S133+T133+U133</f>
        <v/>
      </c>
      <c r="W133" s="89" t="n">
        <v>275</v>
      </c>
      <c r="X133" s="89" t="n">
        <v>0</v>
      </c>
      <c r="Y133" s="89" t="n"/>
      <c r="Z133" s="89" t="n"/>
      <c r="AA133" s="90">
        <f>W133+X133+Y133+Z133</f>
        <v/>
      </c>
      <c r="AB133" s="89" t="n"/>
      <c r="AC133" s="89" t="n"/>
      <c r="AD133" s="89" t="n"/>
      <c r="AE133" s="89" t="n"/>
      <c r="AF133" s="89" t="n"/>
      <c r="AG133" s="90">
        <f>AB133+AC133+AD133+AE133+AF133</f>
        <v/>
      </c>
      <c r="AH133" s="89" t="n"/>
      <c r="AI133" s="89" t="n"/>
      <c r="AJ133" s="89" t="n"/>
      <c r="AK133" s="89" t="n"/>
      <c r="AL133" s="90">
        <f>AH133+AI133+AJ133+AK133</f>
        <v/>
      </c>
      <c r="AM133" s="89" t="n"/>
      <c r="AN133" s="89" t="n"/>
      <c r="AO133" s="89" t="n"/>
      <c r="AP133" s="89" t="n"/>
      <c r="AQ133" s="89" t="n"/>
      <c r="AR133" s="90">
        <f>AM133+AN133+AO133+AP133+AQ133</f>
        <v/>
      </c>
      <c r="AS133" s="89" t="n"/>
      <c r="AT133" s="89" t="n"/>
      <c r="AU133" s="89" t="n"/>
      <c r="AV133" s="89" t="n"/>
      <c r="AW133" s="90">
        <f>AS133+AT133+AU133+AV133</f>
        <v/>
      </c>
      <c r="AX133" s="89" t="n"/>
      <c r="AY133" s="89" t="n"/>
      <c r="AZ133" s="89" t="n"/>
      <c r="BA133" s="89" t="n"/>
      <c r="BB133" s="90">
        <f>AX133+AY133+AZ133+BA133</f>
        <v/>
      </c>
      <c r="BC133" s="89" t="n"/>
      <c r="BD133" s="89" t="n"/>
      <c r="BE133" s="89" t="n"/>
      <c r="BF133" s="89" t="n"/>
      <c r="BG133" s="89" t="n"/>
      <c r="BH133" s="90">
        <f>BC133+BD133+BE133+BF133+BG133</f>
        <v/>
      </c>
      <c r="BI133" s="89" t="n"/>
      <c r="BJ133" s="89" t="n"/>
      <c r="BK133" s="89" t="n"/>
      <c r="BL133" s="89" t="n"/>
      <c r="BM133" s="90">
        <f>BI133+BJ133+BK133+BL133</f>
        <v/>
      </c>
    </row>
    <row r="134" ht="15.75" customHeight="1">
      <c r="A134" s="93" t="inlineStr">
        <is>
          <t>CAIXA OMNI G</t>
        </is>
      </c>
      <c r="B134" s="89" t="n">
        <v>50</v>
      </c>
      <c r="C134" s="89" t="n">
        <v>75</v>
      </c>
      <c r="D134" s="89" t="n">
        <v>50</v>
      </c>
      <c r="E134" s="89" t="n">
        <v>75</v>
      </c>
      <c r="F134" s="90">
        <f>B134+C134+D134+E134</f>
        <v/>
      </c>
      <c r="G134" s="89" t="n">
        <v>50</v>
      </c>
      <c r="H134" s="89" t="n">
        <v>100</v>
      </c>
      <c r="I134" s="89" t="n">
        <v>50</v>
      </c>
      <c r="J134" s="89" t="n">
        <v>75</v>
      </c>
      <c r="K134" s="90">
        <f>G134+H134+I134+J134</f>
        <v/>
      </c>
      <c r="L134" s="89" t="n">
        <v>50</v>
      </c>
      <c r="M134" s="89" t="n">
        <v>75</v>
      </c>
      <c r="N134" s="89" t="n">
        <v>0</v>
      </c>
      <c r="O134" s="89" t="n">
        <v>0</v>
      </c>
      <c r="P134" s="89" t="n">
        <v>25</v>
      </c>
      <c r="Q134" s="90">
        <f>L134+M134+N134+O134+P134</f>
        <v/>
      </c>
      <c r="R134" s="89" t="n"/>
      <c r="S134" s="89" t="n"/>
      <c r="T134" s="89" t="n"/>
      <c r="U134" s="89" t="n"/>
      <c r="V134" s="90">
        <f>R134+S134+T134+U134</f>
        <v/>
      </c>
      <c r="W134" s="89" t="n">
        <v>150</v>
      </c>
      <c r="X134" s="89" t="n">
        <v>325</v>
      </c>
      <c r="Y134" s="89" t="n"/>
      <c r="Z134" s="89" t="n"/>
      <c r="AA134" s="90">
        <f>W134+X134+Y134+Z134</f>
        <v/>
      </c>
      <c r="AB134" s="89" t="n"/>
      <c r="AC134" s="89" t="n"/>
      <c r="AD134" s="89" t="n"/>
      <c r="AE134" s="89" t="n"/>
      <c r="AF134" s="89" t="n"/>
      <c r="AG134" s="90">
        <f>AB134+AC134+AD134+AE134+AF134</f>
        <v/>
      </c>
      <c r="AH134" s="89" t="n"/>
      <c r="AI134" s="89" t="n"/>
      <c r="AJ134" s="89" t="n"/>
      <c r="AK134" s="89" t="n"/>
      <c r="AL134" s="90">
        <f>AH134+AI134+AJ134+AK134</f>
        <v/>
      </c>
      <c r="AM134" s="89" t="n"/>
      <c r="AN134" s="89" t="n"/>
      <c r="AO134" s="89" t="n"/>
      <c r="AP134" s="89" t="n"/>
      <c r="AQ134" s="89" t="n"/>
      <c r="AR134" s="90">
        <f>AM134+AN134+AO134+AP134+AQ134</f>
        <v/>
      </c>
      <c r="AS134" s="89" t="n"/>
      <c r="AT134" s="89" t="n"/>
      <c r="AU134" s="89" t="n"/>
      <c r="AV134" s="89" t="n"/>
      <c r="AW134" s="90">
        <f>AS134+AT134+AU134+AV134</f>
        <v/>
      </c>
      <c r="AX134" s="89" t="n"/>
      <c r="AY134" s="89" t="n"/>
      <c r="AZ134" s="89" t="n"/>
      <c r="BA134" s="89" t="n"/>
      <c r="BB134" s="90">
        <f>AX134+AY134+AZ134+BA134</f>
        <v/>
      </c>
      <c r="BC134" s="89" t="n"/>
      <c r="BD134" s="89" t="n"/>
      <c r="BE134" s="89" t="n"/>
      <c r="BF134" s="89" t="n"/>
      <c r="BG134" s="89" t="n"/>
      <c r="BH134" s="90">
        <f>BC134+BD134+BE134+BF134+BG134</f>
        <v/>
      </c>
      <c r="BI134" s="89" t="n"/>
      <c r="BJ134" s="89" t="n"/>
      <c r="BK134" s="89" t="n"/>
      <c r="BL134" s="89" t="n"/>
      <c r="BM134" s="90">
        <f>BI134+BJ134+BK134+BL134</f>
        <v/>
      </c>
    </row>
    <row r="135" ht="15.75" customHeight="1">
      <c r="A135" s="94" t="inlineStr">
        <is>
          <t>TOTAL DE SACOLAS</t>
        </is>
      </c>
      <c r="B135" s="95">
        <f>SUM(B121:B124)</f>
        <v/>
      </c>
      <c r="C135" s="95">
        <f>SUM(C121:C124)</f>
        <v/>
      </c>
      <c r="D135" s="95">
        <f>SUM(D121:D124)</f>
        <v/>
      </c>
      <c r="E135" s="95">
        <f>SUM(E121:E124)</f>
        <v/>
      </c>
      <c r="F135" s="95">
        <f>F121+F122+F123+F124+F126+F127+F128+F129+F130+F131</f>
        <v/>
      </c>
      <c r="G135" s="95">
        <f>SUM(G121:G124)</f>
        <v/>
      </c>
      <c r="H135" s="95">
        <f>SUM(H121:H124)</f>
        <v/>
      </c>
      <c r="I135" s="95">
        <f>SUM(I121:I124)</f>
        <v/>
      </c>
      <c r="J135" s="95">
        <f>SUM(J121:J124)</f>
        <v/>
      </c>
      <c r="K135" s="95">
        <f>K121+K122+K123+K124+K126+K127+K128+K129+K130+K131</f>
        <v/>
      </c>
      <c r="L135" s="95">
        <f>SUM(L121:L124)</f>
        <v/>
      </c>
      <c r="M135" s="95">
        <f>SUM(M121:M124)</f>
        <v/>
      </c>
      <c r="N135" s="95">
        <f>SUM(N121:N124)</f>
        <v/>
      </c>
      <c r="O135" s="95">
        <f>SUM(O121:O124)</f>
        <v/>
      </c>
      <c r="P135" s="95">
        <f>SUM(P121:P124)</f>
        <v/>
      </c>
      <c r="Q135" s="95">
        <f>Q121+Q122+Q123+Q124+Q126+Q127+Q128+Q129+Q130+Q131</f>
        <v/>
      </c>
      <c r="R135" s="95">
        <f>SUM(R121:R124)</f>
        <v/>
      </c>
      <c r="S135" s="95">
        <f>SUM(S121:S124)</f>
        <v/>
      </c>
      <c r="T135" s="95">
        <f>SUM(T121:T124)</f>
        <v/>
      </c>
      <c r="U135" s="95">
        <f>SUM(U121:U124)</f>
        <v/>
      </c>
      <c r="V135" s="95">
        <f>V121+V122+V123+V124+V126+V127+V128</f>
        <v/>
      </c>
      <c r="W135" s="95">
        <f>SUM(W121:W124)</f>
        <v/>
      </c>
      <c r="X135" s="95">
        <f>SUM(X121:X124)</f>
        <v/>
      </c>
      <c r="Y135" s="95">
        <f>SUM(Y121:Y124)</f>
        <v/>
      </c>
      <c r="Z135" s="95">
        <f>SUM(Z121:Z124)</f>
        <v/>
      </c>
      <c r="AA135" s="95">
        <f>AA121+AA122+AA123+AA124+AA126+AA127+AA128+AA129+AA130+AA131</f>
        <v/>
      </c>
      <c r="AB135" s="95">
        <f>SUM(AB121:AB124)</f>
        <v/>
      </c>
      <c r="AC135" s="95">
        <f>SUM(AC121:AC124)</f>
        <v/>
      </c>
      <c r="AD135" s="95">
        <f>SUM(AD121:AD124)</f>
        <v/>
      </c>
      <c r="AE135" s="95">
        <f>SUM(AE121:AE124)</f>
        <v/>
      </c>
      <c r="AF135" s="95">
        <f>SUM(AF121:AF124)</f>
        <v/>
      </c>
      <c r="AG135" s="95">
        <f>AG121+AG122+AG123+AG124+AG126+AG127+AG128+AG129+AG130+AG131</f>
        <v/>
      </c>
      <c r="AH135" s="95">
        <f>SUM(AH121:AH124)</f>
        <v/>
      </c>
      <c r="AI135" s="95">
        <f>SUM(AI121:AI124)</f>
        <v/>
      </c>
      <c r="AJ135" s="95">
        <f>SUM(AJ121:AJ124)</f>
        <v/>
      </c>
      <c r="AK135" s="95">
        <f>SUM(AK121:AK124)</f>
        <v/>
      </c>
      <c r="AL135" s="95">
        <f>AL121+AL122+AL123+AL124+AL126+AL127+AL128+AL129+AL130+AL131</f>
        <v/>
      </c>
      <c r="AM135" s="95">
        <f>SUM(AM121:AM124)</f>
        <v/>
      </c>
      <c r="AN135" s="95">
        <f>SUM(AN121:AN124)</f>
        <v/>
      </c>
      <c r="AO135" s="95">
        <f>SUM(AO121:AO124)</f>
        <v/>
      </c>
      <c r="AP135" s="95">
        <f>SUM(AP121:AP124)</f>
        <v/>
      </c>
      <c r="AQ135" s="95">
        <f>SUM(AQ121:AQ124)</f>
        <v/>
      </c>
      <c r="AR135" s="95">
        <f>AR121+AR122+AR123+AR124+AR126+AR127+AR128+AR129+AR130+AR131</f>
        <v/>
      </c>
      <c r="AS135" s="95">
        <f>SUM(AS121:AS124)</f>
        <v/>
      </c>
      <c r="AT135" s="95">
        <f>SUM(AT121:AT124)</f>
        <v/>
      </c>
      <c r="AU135" s="95">
        <f>SUM(AU121:AU124)</f>
        <v/>
      </c>
      <c r="AV135" s="95">
        <f>SUM(AV121:AV124)</f>
        <v/>
      </c>
      <c r="AW135" s="95">
        <f>AW121+AW122+AW123+AW124+AW126+AW127+AW128+AW129+AW130+AW131</f>
        <v/>
      </c>
      <c r="AX135" s="95">
        <f>SUM(AX121:AX124)</f>
        <v/>
      </c>
      <c r="AY135" s="95">
        <f>SUM(AY121:AY124)</f>
        <v/>
      </c>
      <c r="AZ135" s="95">
        <f>SUM(AZ121:AZ124)</f>
        <v/>
      </c>
      <c r="BA135" s="95">
        <f>SUM(BA121:BA124)</f>
        <v/>
      </c>
      <c r="BB135" s="95">
        <f>BB121+BB122+BB123+BB124+BB126+BB127+BB128+BB129+BB130+BB131</f>
        <v/>
      </c>
      <c r="BC135" s="95">
        <f>SUM(BC121:BC124)</f>
        <v/>
      </c>
      <c r="BD135" s="95">
        <f>SUM(BD121:BD124)</f>
        <v/>
      </c>
      <c r="BE135" s="95">
        <f>SUM(BE121:BE124)</f>
        <v/>
      </c>
      <c r="BF135" s="95">
        <f>SUM(BF121:BF124)</f>
        <v/>
      </c>
      <c r="BG135" s="95">
        <f>SUM(BG121:BG124)</f>
        <v/>
      </c>
      <c r="BH135" s="95">
        <f>BH121+BH122+BH123+BH124+BH126+BH127+BH128+BH129+BH130+BH131</f>
        <v/>
      </c>
      <c r="BI135" s="95">
        <f>SUM(BI121:BI124)</f>
        <v/>
      </c>
      <c r="BJ135" s="95">
        <f>SUM(BJ121:BJ124)</f>
        <v/>
      </c>
      <c r="BK135" s="95">
        <f>SUM(BK121:BK124)</f>
        <v/>
      </c>
      <c r="BL135" s="95">
        <f>SUM(BL121:BL124)</f>
        <v/>
      </c>
      <c r="BM135" s="95">
        <f>BM121+BM122+BM123+BM124+BM126+BM127+BM128+BM129+BM130+BM131</f>
        <v/>
      </c>
    </row>
    <row r="137" ht="15.75" customHeight="1">
      <c r="A137" s="506" t="inlineStr">
        <is>
          <t>GASTO DE SACOLAS E ITENS DOADOS 2026 - MENSAIS</t>
        </is>
      </c>
      <c r="B137" s="700" t="n"/>
      <c r="C137" s="700" t="n"/>
      <c r="D137" s="700" t="n"/>
      <c r="E137" s="700" t="n"/>
      <c r="F137" s="700" t="n"/>
      <c r="G137" s="700" t="n"/>
      <c r="H137" s="700" t="n"/>
      <c r="I137" s="700" t="n"/>
      <c r="J137" s="700" t="n"/>
      <c r="K137" s="700" t="n"/>
      <c r="L137" s="700" t="n"/>
      <c r="M137" s="700" t="n"/>
      <c r="N137" s="700" t="n"/>
      <c r="O137" s="700" t="n"/>
      <c r="P137" s="700" t="n"/>
      <c r="Q137" s="700" t="n"/>
      <c r="R137" s="700" t="n"/>
      <c r="S137" s="700" t="n"/>
      <c r="T137" s="700" t="n"/>
      <c r="U137" s="700" t="n"/>
      <c r="V137" s="700" t="n"/>
      <c r="W137" s="700" t="n"/>
      <c r="X137" s="700" t="n"/>
      <c r="Y137" s="700" t="n"/>
      <c r="Z137" s="700" t="n"/>
      <c r="AA137" s="700" t="n"/>
      <c r="AB137" s="700" t="n"/>
      <c r="AC137" s="700" t="n"/>
      <c r="AD137" s="700" t="n"/>
      <c r="AE137" s="700" t="n"/>
      <c r="AF137" s="700" t="n"/>
      <c r="AG137" s="700" t="n"/>
      <c r="AH137" s="700" t="n"/>
      <c r="AI137" s="700" t="n"/>
      <c r="AJ137" s="700" t="n"/>
      <c r="AK137" s="700" t="n"/>
      <c r="AL137" s="700" t="n"/>
      <c r="AM137" s="700" t="n"/>
      <c r="AN137" s="700" t="n"/>
      <c r="AO137" s="700" t="n"/>
      <c r="AP137" s="700" t="n"/>
      <c r="AQ137" s="700" t="n"/>
      <c r="AR137" s="700" t="n"/>
      <c r="AS137" s="700" t="n"/>
      <c r="AT137" s="700" t="n"/>
      <c r="AU137" s="700" t="n"/>
      <c r="AV137" s="700" t="n"/>
      <c r="AW137" s="700" t="n"/>
      <c r="AX137" s="700" t="n"/>
      <c r="AY137" s="700" t="n"/>
      <c r="AZ137" s="700" t="n"/>
      <c r="BA137" s="700" t="n"/>
      <c r="BB137" s="700" t="n"/>
      <c r="BC137" s="700" t="n"/>
      <c r="BD137" s="700" t="n"/>
      <c r="BE137" s="700" t="n"/>
      <c r="BF137" s="700" t="n"/>
      <c r="BG137" s="700" t="n"/>
      <c r="BH137" s="700" t="n"/>
      <c r="BI137" s="700" t="n"/>
      <c r="BJ137" s="700" t="n"/>
      <c r="BK137" s="700" t="n"/>
      <c r="BL137" s="700" t="n"/>
      <c r="BM137" s="700" t="n"/>
    </row>
    <row r="138" ht="15.75" customHeight="1">
      <c r="A138" s="702" t="inlineStr">
        <is>
          <t>ER JAÚ</t>
        </is>
      </c>
      <c r="B138" s="510" t="inlineStr">
        <is>
          <t>JANEIRO</t>
        </is>
      </c>
      <c r="C138" s="666" t="n"/>
      <c r="D138" s="666" t="n"/>
      <c r="E138" s="666" t="n"/>
      <c r="F138" s="511" t="inlineStr">
        <is>
          <t>FEVEREIRO</t>
        </is>
      </c>
      <c r="G138" s="666" t="n"/>
      <c r="H138" s="666" t="n"/>
      <c r="I138" s="666" t="n"/>
      <c r="J138" s="666" t="n"/>
      <c r="K138" s="512" t="n"/>
      <c r="L138" s="701" t="inlineStr">
        <is>
          <t>MARÇO</t>
        </is>
      </c>
      <c r="M138" s="666" t="n"/>
      <c r="N138" s="666" t="n"/>
      <c r="O138" s="666" t="n"/>
      <c r="P138" s="666" t="n"/>
      <c r="Q138" s="667" t="n"/>
      <c r="R138" s="701" t="inlineStr">
        <is>
          <t>ABRIL</t>
        </is>
      </c>
      <c r="S138" s="666" t="n"/>
      <c r="T138" s="666" t="n"/>
      <c r="U138" s="666" t="n"/>
      <c r="V138" s="667" t="n"/>
      <c r="W138" s="701" t="inlineStr">
        <is>
          <t>MAIO</t>
        </is>
      </c>
      <c r="X138" s="666" t="n"/>
      <c r="Y138" s="666" t="n"/>
      <c r="Z138" s="666" t="n"/>
      <c r="AA138" s="667" t="n"/>
      <c r="AB138" s="701" t="inlineStr">
        <is>
          <t>JUNHO</t>
        </is>
      </c>
      <c r="AC138" s="666" t="n"/>
      <c r="AD138" s="666" t="n"/>
      <c r="AE138" s="666" t="n"/>
      <c r="AF138" s="666" t="n"/>
      <c r="AG138" s="667" t="n"/>
      <c r="AH138" s="701" t="inlineStr">
        <is>
          <t>JULHO</t>
        </is>
      </c>
      <c r="AI138" s="666" t="n"/>
      <c r="AJ138" s="666" t="n"/>
      <c r="AK138" s="666" t="n"/>
      <c r="AL138" s="667" t="n"/>
      <c r="AM138" s="701" t="inlineStr">
        <is>
          <t>AGOSTO</t>
        </is>
      </c>
      <c r="AN138" s="666" t="n"/>
      <c r="AO138" s="666" t="n"/>
      <c r="AP138" s="666" t="n"/>
      <c r="AQ138" s="666" t="n"/>
      <c r="AR138" s="667" t="n"/>
      <c r="AS138" s="701" t="inlineStr">
        <is>
          <t>SETEMBRO</t>
        </is>
      </c>
      <c r="AT138" s="666" t="n"/>
      <c r="AU138" s="666" t="n"/>
      <c r="AV138" s="666" t="n"/>
      <c r="AW138" s="667" t="n"/>
      <c r="AX138" s="701" t="inlineStr">
        <is>
          <t>OUTUBRO</t>
        </is>
      </c>
      <c r="AY138" s="666" t="n"/>
      <c r="AZ138" s="666" t="n"/>
      <c r="BA138" s="666" t="n"/>
      <c r="BB138" s="667" t="n"/>
      <c r="BC138" s="701" t="inlineStr">
        <is>
          <t>NOVEMBRO</t>
        </is>
      </c>
      <c r="BD138" s="666" t="n"/>
      <c r="BE138" s="666" t="n"/>
      <c r="BF138" s="666" t="n"/>
      <c r="BG138" s="666" t="n"/>
      <c r="BH138" s="667" t="n"/>
      <c r="BI138" s="701" t="inlineStr">
        <is>
          <t>DEZEMBRO</t>
        </is>
      </c>
      <c r="BJ138" s="666" t="n"/>
      <c r="BK138" s="666" t="n"/>
      <c r="BL138" s="666" t="n"/>
      <c r="BM138" s="667" t="n"/>
    </row>
    <row r="139" ht="15.75" customHeight="1">
      <c r="A139" s="703" t="n"/>
      <c r="B139" s="86" t="n">
        <v>46027</v>
      </c>
      <c r="C139" s="86" t="n">
        <v>46034</v>
      </c>
      <c r="D139" s="86" t="n">
        <v>46041</v>
      </c>
      <c r="E139" s="86" t="n">
        <v>46048</v>
      </c>
      <c r="F139" s="87" t="inlineStr">
        <is>
          <t>USOU</t>
        </is>
      </c>
      <c r="G139" s="86" t="n">
        <v>46055</v>
      </c>
      <c r="H139" s="86" t="n">
        <v>46062</v>
      </c>
      <c r="I139" s="86" t="n">
        <v>46069</v>
      </c>
      <c r="J139" s="86" t="n">
        <v>46076</v>
      </c>
      <c r="K139" s="87" t="inlineStr">
        <is>
          <t>USOU</t>
        </is>
      </c>
      <c r="L139" s="86" t="n">
        <v>46083</v>
      </c>
      <c r="M139" s="86" t="n">
        <v>46090</v>
      </c>
      <c r="N139" s="86" t="n">
        <v>46097</v>
      </c>
      <c r="O139" s="86" t="n">
        <v>46104</v>
      </c>
      <c r="P139" s="86" t="n">
        <v>46111</v>
      </c>
      <c r="Q139" s="87" t="inlineStr">
        <is>
          <t>USOU</t>
        </is>
      </c>
      <c r="R139" s="86" t="n">
        <v>46118</v>
      </c>
      <c r="S139" s="86" t="n">
        <v>46125</v>
      </c>
      <c r="T139" s="86" t="n">
        <v>46132</v>
      </c>
      <c r="U139" s="86" t="n">
        <v>46139</v>
      </c>
      <c r="V139" s="87" t="inlineStr">
        <is>
          <t>USOU</t>
        </is>
      </c>
      <c r="W139" s="86" t="n">
        <v>46146</v>
      </c>
      <c r="X139" s="86" t="n">
        <v>46153</v>
      </c>
      <c r="Y139" s="86" t="n">
        <v>46160</v>
      </c>
      <c r="Z139" s="86" t="n">
        <v>46167</v>
      </c>
      <c r="AA139" s="87" t="inlineStr">
        <is>
          <t>USOU</t>
        </is>
      </c>
      <c r="AB139" s="86" t="n">
        <v>46174</v>
      </c>
      <c r="AC139" s="86" t="n">
        <v>46181</v>
      </c>
      <c r="AD139" s="86" t="n">
        <v>46188</v>
      </c>
      <c r="AE139" s="86" t="n">
        <v>46195</v>
      </c>
      <c r="AF139" s="86" t="n">
        <v>46202</v>
      </c>
      <c r="AG139" s="87" t="inlineStr">
        <is>
          <t>USOU</t>
        </is>
      </c>
      <c r="AH139" s="86" t="n">
        <v>46209</v>
      </c>
      <c r="AI139" s="86" t="n">
        <v>46216</v>
      </c>
      <c r="AJ139" s="86" t="n">
        <v>46223</v>
      </c>
      <c r="AK139" s="86" t="n">
        <v>46230</v>
      </c>
      <c r="AL139" s="87" t="inlineStr">
        <is>
          <t>USOU</t>
        </is>
      </c>
      <c r="AM139" s="86" t="n">
        <v>46237</v>
      </c>
      <c r="AN139" s="86" t="n">
        <v>46244</v>
      </c>
      <c r="AO139" s="86" t="n">
        <v>46251</v>
      </c>
      <c r="AP139" s="86" t="n">
        <v>46258</v>
      </c>
      <c r="AQ139" s="86" t="n">
        <v>46265</v>
      </c>
      <c r="AR139" s="87" t="inlineStr">
        <is>
          <t>USOU</t>
        </is>
      </c>
      <c r="AS139" s="86" t="n">
        <v>46272</v>
      </c>
      <c r="AT139" s="86" t="n">
        <v>46279</v>
      </c>
      <c r="AU139" s="86" t="n">
        <v>46286</v>
      </c>
      <c r="AV139" s="86" t="n">
        <v>46293</v>
      </c>
      <c r="AW139" s="87" t="inlineStr">
        <is>
          <t>USOU</t>
        </is>
      </c>
      <c r="AX139" s="86" t="n">
        <v>46300</v>
      </c>
      <c r="AY139" s="86" t="n">
        <v>46307</v>
      </c>
      <c r="AZ139" s="86" t="n">
        <v>46314</v>
      </c>
      <c r="BA139" s="86" t="n">
        <v>46321</v>
      </c>
      <c r="BB139" s="87" t="inlineStr">
        <is>
          <t>USOU</t>
        </is>
      </c>
      <c r="BC139" s="86" t="n">
        <v>46328</v>
      </c>
      <c r="BD139" s="86" t="n">
        <v>46335</v>
      </c>
      <c r="BE139" s="86" t="n">
        <v>46342</v>
      </c>
      <c r="BF139" s="86" t="n">
        <v>46349</v>
      </c>
      <c r="BG139" s="86" t="n">
        <v>46356</v>
      </c>
      <c r="BH139" s="87" t="inlineStr">
        <is>
          <t>USOU</t>
        </is>
      </c>
      <c r="BI139" s="86" t="n">
        <v>46363</v>
      </c>
      <c r="BJ139" s="86" t="n">
        <v>46370</v>
      </c>
      <c r="BK139" s="86" t="n">
        <v>46377</v>
      </c>
      <c r="BL139" s="86" t="n">
        <v>46384</v>
      </c>
      <c r="BM139" s="87" t="inlineStr">
        <is>
          <t>USOU</t>
        </is>
      </c>
    </row>
    <row r="140" ht="15.75" customHeight="1">
      <c r="A140" s="152" t="inlineStr">
        <is>
          <t>SACOLA PP VERDE</t>
        </is>
      </c>
      <c r="B140" s="89" t="n">
        <v>300</v>
      </c>
      <c r="C140" s="89" t="n">
        <v>300</v>
      </c>
      <c r="D140" s="89" t="n">
        <v>300</v>
      </c>
      <c r="E140" s="89" t="n">
        <v>600</v>
      </c>
      <c r="F140" s="90">
        <f>B140+C140+D140+E140</f>
        <v/>
      </c>
      <c r="G140" s="89" t="n">
        <v>600</v>
      </c>
      <c r="H140" s="89" t="n">
        <v>600</v>
      </c>
      <c r="I140" s="89" t="n">
        <v>300</v>
      </c>
      <c r="J140" s="89" t="n">
        <v>0</v>
      </c>
      <c r="K140" s="90">
        <f>G140+H140+I140+J140</f>
        <v/>
      </c>
      <c r="L140" s="89" t="n">
        <v>600</v>
      </c>
      <c r="M140" s="89" t="n">
        <v>600</v>
      </c>
      <c r="N140" s="89" t="n">
        <v>300</v>
      </c>
      <c r="O140" s="89" t="n">
        <v>300</v>
      </c>
      <c r="P140" s="89" t="n">
        <v>300</v>
      </c>
      <c r="Q140" s="90">
        <f>L140+M140+N140+O140+P140</f>
        <v/>
      </c>
      <c r="R140" s="89" t="n"/>
      <c r="S140" s="89" t="n"/>
      <c r="T140" s="89" t="n"/>
      <c r="U140" s="89" t="n"/>
      <c r="V140" s="90">
        <f>R140+S140+T140+U140</f>
        <v/>
      </c>
      <c r="W140" s="89" t="n">
        <v>0</v>
      </c>
      <c r="X140" s="89" t="n">
        <v>600</v>
      </c>
      <c r="Y140" s="89" t="n"/>
      <c r="Z140" s="89" t="n"/>
      <c r="AA140" s="90">
        <f>W140+X140+Y140+Z140</f>
        <v/>
      </c>
      <c r="AB140" s="89" t="n"/>
      <c r="AC140" s="89" t="n"/>
      <c r="AD140" s="89" t="n"/>
      <c r="AE140" s="89" t="n"/>
      <c r="AF140" s="89" t="n"/>
      <c r="AG140" s="90">
        <f>AB140+AC140+AD140+AE140+AF140</f>
        <v/>
      </c>
      <c r="AH140" s="89" t="n"/>
      <c r="AI140" s="89" t="n"/>
      <c r="AJ140" s="89" t="n"/>
      <c r="AK140" s="89" t="n"/>
      <c r="AL140" s="90">
        <f>AH140+AI140+AJ140+AK140</f>
        <v/>
      </c>
      <c r="AM140" s="89" t="n"/>
      <c r="AN140" s="89" t="n"/>
      <c r="AO140" s="89" t="n"/>
      <c r="AP140" s="89" t="n"/>
      <c r="AQ140" s="89" t="n"/>
      <c r="AR140" s="90">
        <f>AM140+AN140+AO140+AP140+AQ140</f>
        <v/>
      </c>
      <c r="AS140" s="89" t="n"/>
      <c r="AT140" s="89" t="n"/>
      <c r="AU140" s="89" t="n"/>
      <c r="AV140" s="89" t="n"/>
      <c r="AW140" s="90">
        <f>AS140+AT140+AU140+AV140</f>
        <v/>
      </c>
      <c r="AX140" s="89" t="n"/>
      <c r="AY140" s="89" t="n"/>
      <c r="AZ140" s="89" t="n"/>
      <c r="BA140" s="89" t="n"/>
      <c r="BB140" s="90">
        <f>AX140+AY140+AZ140+BA140</f>
        <v/>
      </c>
      <c r="BC140" s="89" t="n"/>
      <c r="BD140" s="89" t="n"/>
      <c r="BE140" s="89" t="n"/>
      <c r="BF140" s="89" t="n"/>
      <c r="BG140" s="89" t="n"/>
      <c r="BH140" s="90">
        <f>BC140+BD140+BE140+BF140+BG140</f>
        <v/>
      </c>
      <c r="BI140" s="89" t="n"/>
      <c r="BJ140" s="89" t="n"/>
      <c r="BK140" s="89" t="n"/>
      <c r="BL140" s="89" t="n"/>
      <c r="BM140" s="90">
        <f>BI140+BJ140+BK140+BL140</f>
        <v/>
      </c>
    </row>
    <row r="141" ht="15.75" customHeight="1">
      <c r="A141" s="91" t="inlineStr">
        <is>
          <t>SACOLA P VERDE</t>
        </is>
      </c>
      <c r="B141" s="89" t="n">
        <v>200</v>
      </c>
      <c r="C141" s="89" t="n">
        <v>1400</v>
      </c>
      <c r="D141" s="89" t="n">
        <v>1000</v>
      </c>
      <c r="E141" s="89" t="n">
        <v>1000</v>
      </c>
      <c r="F141" s="90">
        <f>B141+C141+D141+E141</f>
        <v/>
      </c>
      <c r="G141" s="89" t="n">
        <v>1000</v>
      </c>
      <c r="H141" s="89" t="n">
        <v>1200</v>
      </c>
      <c r="I141" s="89" t="n">
        <v>1000</v>
      </c>
      <c r="J141" s="89" t="n">
        <v>400</v>
      </c>
      <c r="K141" s="90">
        <f>G141+H141+I141+J141</f>
        <v/>
      </c>
      <c r="L141" s="89" t="n">
        <v>1200</v>
      </c>
      <c r="M141" s="89" t="n">
        <v>1000</v>
      </c>
      <c r="N141" s="89" t="n">
        <v>1000</v>
      </c>
      <c r="O141" s="89" t="n">
        <v>800</v>
      </c>
      <c r="P141" s="89" t="n">
        <v>1000</v>
      </c>
      <c r="Q141" s="90">
        <f>L141+M141+N141+O141+P141</f>
        <v/>
      </c>
      <c r="R141" s="89" t="n"/>
      <c r="S141" s="89" t="n"/>
      <c r="T141" s="89" t="n"/>
      <c r="U141" s="89" t="n"/>
      <c r="V141" s="90">
        <f>R141+S141+T141+U141</f>
        <v/>
      </c>
      <c r="W141" s="89" t="n">
        <v>400</v>
      </c>
      <c r="X141" s="89" t="n">
        <v>1400</v>
      </c>
      <c r="Y141" s="89" t="n"/>
      <c r="Z141" s="89" t="n"/>
      <c r="AA141" s="90">
        <f>W141+X141+Y141+Z141</f>
        <v/>
      </c>
      <c r="AB141" s="89" t="n"/>
      <c r="AC141" s="89" t="n"/>
      <c r="AD141" s="89" t="n"/>
      <c r="AE141" s="89" t="n"/>
      <c r="AF141" s="89" t="n"/>
      <c r="AG141" s="90">
        <f>AB141+AC141+AD141+AE141+AF141</f>
        <v/>
      </c>
      <c r="AH141" s="89" t="n"/>
      <c r="AI141" s="89" t="n"/>
      <c r="AJ141" s="89" t="n"/>
      <c r="AK141" s="89" t="n"/>
      <c r="AL141" s="90">
        <f>AH141+AI141+AJ141+AK141</f>
        <v/>
      </c>
      <c r="AM141" s="89" t="n"/>
      <c r="AN141" s="89" t="n"/>
      <c r="AO141" s="89" t="n"/>
      <c r="AP141" s="89" t="n"/>
      <c r="AQ141" s="89" t="n"/>
      <c r="AR141" s="90">
        <f>AM141+AN141+AO141+AP141+AQ141</f>
        <v/>
      </c>
      <c r="AS141" s="89" t="n"/>
      <c r="AT141" s="89" t="n"/>
      <c r="AU141" s="89" t="n"/>
      <c r="AV141" s="89" t="n"/>
      <c r="AW141" s="90">
        <f>AS141+AT141+AU141+AV141</f>
        <v/>
      </c>
      <c r="AX141" s="89" t="n"/>
      <c r="AY141" s="89" t="n"/>
      <c r="AZ141" s="89" t="n"/>
      <c r="BA141" s="89" t="n"/>
      <c r="BB141" s="90">
        <f>AX141+AY141+AZ141+BA141</f>
        <v/>
      </c>
      <c r="BC141" s="89" t="n"/>
      <c r="BD141" s="89" t="n"/>
      <c r="BE141" s="89" t="n"/>
      <c r="BF141" s="89" t="n"/>
      <c r="BG141" s="89" t="n"/>
      <c r="BH141" s="90">
        <f>BC141+BD141+BE141+BF141+BG141</f>
        <v/>
      </c>
      <c r="BI141" s="89" t="n"/>
      <c r="BJ141" s="89" t="n"/>
      <c r="BK141" s="89" t="n"/>
      <c r="BL141" s="89" t="n"/>
      <c r="BM141" s="90">
        <f>BI141+BJ141+BK141+BL141</f>
        <v/>
      </c>
    </row>
    <row r="142" ht="15.75" customHeight="1">
      <c r="A142" s="91" t="inlineStr">
        <is>
          <t>SACOLA M VERDE</t>
        </is>
      </c>
      <c r="B142" s="89" t="n">
        <v>200</v>
      </c>
      <c r="C142" s="89" t="n">
        <v>400</v>
      </c>
      <c r="D142" s="89" t="n">
        <v>0</v>
      </c>
      <c r="E142" s="89" t="n">
        <v>0</v>
      </c>
      <c r="F142" s="90">
        <f>B142+C142+D142+E142</f>
        <v/>
      </c>
      <c r="G142" s="89" t="n">
        <v>400</v>
      </c>
      <c r="H142" s="89" t="n">
        <v>400</v>
      </c>
      <c r="I142" s="89" t="n">
        <v>200</v>
      </c>
      <c r="J142" s="89" t="n">
        <v>200</v>
      </c>
      <c r="K142" s="90">
        <f>G142+H142+I142+J142</f>
        <v/>
      </c>
      <c r="L142" s="89" t="n">
        <v>200</v>
      </c>
      <c r="M142" s="89" t="n">
        <v>400</v>
      </c>
      <c r="N142" s="89" t="n">
        <v>200</v>
      </c>
      <c r="O142" s="89" t="n">
        <v>400</v>
      </c>
      <c r="P142" s="89" t="n">
        <v>200</v>
      </c>
      <c r="Q142" s="90">
        <f>L142+M142+N142+O142+P142</f>
        <v/>
      </c>
      <c r="R142" s="89" t="n"/>
      <c r="S142" s="89" t="n"/>
      <c r="T142" s="89" t="n"/>
      <c r="U142" s="89" t="n"/>
      <c r="V142" s="90">
        <f>R142+S142+T142+U142</f>
        <v/>
      </c>
      <c r="W142" s="89" t="n">
        <v>0</v>
      </c>
      <c r="X142" s="89" t="n">
        <v>400</v>
      </c>
      <c r="Y142" s="89" t="n"/>
      <c r="Z142" s="89" t="n"/>
      <c r="AA142" s="90">
        <f>W142+X142+Y142+Z142</f>
        <v/>
      </c>
      <c r="AB142" s="89" t="n"/>
      <c r="AC142" s="89" t="n"/>
      <c r="AD142" s="89" t="n"/>
      <c r="AE142" s="89" t="n"/>
      <c r="AF142" s="89" t="n"/>
      <c r="AG142" s="90">
        <f>AB142+AC142+AD142+AE142+AF142</f>
        <v/>
      </c>
      <c r="AH142" s="89" t="n"/>
      <c r="AI142" s="89" t="n"/>
      <c r="AJ142" s="89" t="n"/>
      <c r="AK142" s="89" t="n"/>
      <c r="AL142" s="90">
        <f>AH142+AI142+AJ142+AK142</f>
        <v/>
      </c>
      <c r="AM142" s="89" t="n"/>
      <c r="AN142" s="89" t="n"/>
      <c r="AO142" s="89" t="n"/>
      <c r="AP142" s="89" t="n"/>
      <c r="AQ142" s="89" t="n"/>
      <c r="AR142" s="90">
        <f>AM142+AN142+AO142+AP142+AQ142</f>
        <v/>
      </c>
      <c r="AS142" s="89" t="n"/>
      <c r="AT142" s="89" t="n"/>
      <c r="AU142" s="89" t="n"/>
      <c r="AV142" s="89" t="n"/>
      <c r="AW142" s="90">
        <f>AS142+AT142+AU142+AV142</f>
        <v/>
      </c>
      <c r="AX142" s="89" t="n"/>
      <c r="AY142" s="89" t="n"/>
      <c r="AZ142" s="89" t="n"/>
      <c r="BA142" s="89" t="n"/>
      <c r="BB142" s="90">
        <f>AX142+AY142+AZ142+BA142</f>
        <v/>
      </c>
      <c r="BC142" s="89" t="n"/>
      <c r="BD142" s="89" t="n"/>
      <c r="BE142" s="89" t="n"/>
      <c r="BF142" s="89" t="n"/>
      <c r="BG142" s="89" t="n"/>
      <c r="BH142" s="90">
        <f>BC142+BD142+BE142+BF142+BG142</f>
        <v/>
      </c>
      <c r="BI142" s="89" t="n"/>
      <c r="BJ142" s="89" t="n"/>
      <c r="BK142" s="89" t="n"/>
      <c r="BL142" s="89" t="n"/>
      <c r="BM142" s="90">
        <f>BI142+BJ142+BK142+BL142</f>
        <v/>
      </c>
    </row>
    <row r="143" ht="15.75" customHeight="1">
      <c r="A143" s="92" t="inlineStr">
        <is>
          <t>SACOLA G VERDE</t>
        </is>
      </c>
      <c r="B143" s="89" t="n">
        <v>200</v>
      </c>
      <c r="C143" s="89" t="n">
        <v>0</v>
      </c>
      <c r="D143" s="89" t="n">
        <v>100</v>
      </c>
      <c r="E143" s="89" t="n">
        <v>100</v>
      </c>
      <c r="F143" s="90">
        <f>B143+C143+D143+E143</f>
        <v/>
      </c>
      <c r="G143" s="89" t="n">
        <v>100</v>
      </c>
      <c r="H143" s="89" t="n">
        <v>0</v>
      </c>
      <c r="I143" s="89" t="n">
        <v>100</v>
      </c>
      <c r="J143" s="89" t="n">
        <v>200</v>
      </c>
      <c r="K143" s="90">
        <f>G143+H143+I143+J143</f>
        <v/>
      </c>
      <c r="L143" s="89" t="n">
        <v>100</v>
      </c>
      <c r="M143" s="89" t="n">
        <v>100</v>
      </c>
      <c r="N143" s="89" t="n">
        <v>300</v>
      </c>
      <c r="O143" s="89" t="n">
        <v>100</v>
      </c>
      <c r="P143" s="89" t="n">
        <v>100</v>
      </c>
      <c r="Q143" s="90">
        <f>L143+M143+N143+O143+P143</f>
        <v/>
      </c>
      <c r="R143" s="89" t="n"/>
      <c r="S143" s="89" t="n"/>
      <c r="T143" s="89" t="n"/>
      <c r="U143" s="89" t="n"/>
      <c r="V143" s="90">
        <f>R143+S143+T143+U143</f>
        <v/>
      </c>
      <c r="W143" s="89" t="n">
        <v>0</v>
      </c>
      <c r="X143" s="89" t="n">
        <v>100</v>
      </c>
      <c r="Y143" s="89" t="n"/>
      <c r="Z143" s="89" t="n"/>
      <c r="AA143" s="90">
        <f>W143+X143+Y143+Z143</f>
        <v/>
      </c>
      <c r="AB143" s="89" t="n"/>
      <c r="AC143" s="89" t="n"/>
      <c r="AD143" s="89" t="n"/>
      <c r="AE143" s="89" t="n"/>
      <c r="AF143" s="89" t="n"/>
      <c r="AG143" s="90">
        <f>AB143+AC143+AD143+AE143+AF143</f>
        <v/>
      </c>
      <c r="AH143" s="89" t="n"/>
      <c r="AI143" s="89" t="n"/>
      <c r="AJ143" s="89" t="n"/>
      <c r="AK143" s="89" t="n"/>
      <c r="AL143" s="90">
        <f>AH143+AI143+AJ143+AK143</f>
        <v/>
      </c>
      <c r="AM143" s="89" t="n"/>
      <c r="AN143" s="89" t="n"/>
      <c r="AO143" s="89" t="n"/>
      <c r="AP143" s="89" t="n"/>
      <c r="AQ143" s="89" t="n"/>
      <c r="AR143" s="90">
        <f>AM143+AN143+AO143+AP143+AQ143</f>
        <v/>
      </c>
      <c r="AS143" s="89" t="n"/>
      <c r="AT143" s="89" t="n"/>
      <c r="AU143" s="89" t="n"/>
      <c r="AV143" s="89" t="n"/>
      <c r="AW143" s="90">
        <f>AS143+AT143+AU143+AV143</f>
        <v/>
      </c>
      <c r="AX143" s="89" t="n"/>
      <c r="AY143" s="89" t="n"/>
      <c r="AZ143" s="89" t="n"/>
      <c r="BA143" s="89" t="n"/>
      <c r="BB143" s="90">
        <f>AX143+AY143+AZ143+BA143</f>
        <v/>
      </c>
      <c r="BC143" s="89" t="n"/>
      <c r="BD143" s="89" t="n"/>
      <c r="BE143" s="89" t="n"/>
      <c r="BF143" s="89" t="n"/>
      <c r="BG143" s="89" t="n"/>
      <c r="BH143" s="90">
        <f>BC143+BD143+BE143+BF143+BG143</f>
        <v/>
      </c>
      <c r="BI143" s="89" t="n"/>
      <c r="BJ143" s="89" t="n"/>
      <c r="BK143" s="89" t="n"/>
      <c r="BL143" s="89" t="n"/>
      <c r="BM143" s="90">
        <f>BI143+BJ143+BK143+BL143</f>
        <v/>
      </c>
    </row>
    <row r="144" ht="15.75" customHeight="1">
      <c r="A144" s="200" t="inlineStr">
        <is>
          <t>SACOLA KRAFT M PARDA</t>
        </is>
      </c>
      <c r="B144" s="201" t="n">
        <v>0</v>
      </c>
      <c r="C144" s="89" t="n">
        <v>0</v>
      </c>
      <c r="D144" s="89" t="n">
        <v>0</v>
      </c>
      <c r="E144" s="89" t="n">
        <v>200</v>
      </c>
      <c r="F144" s="90">
        <f>B144+C144+D144+E144</f>
        <v/>
      </c>
      <c r="G144" s="89" t="n">
        <v>200</v>
      </c>
      <c r="H144" s="89" t="n">
        <v>0</v>
      </c>
      <c r="I144" s="89" t="n">
        <v>200</v>
      </c>
      <c r="J144" s="89" t="n">
        <v>0</v>
      </c>
      <c r="K144" s="90">
        <f>G144+H144+I144+J144</f>
        <v/>
      </c>
      <c r="L144" s="89" t="n">
        <v>0</v>
      </c>
      <c r="M144" s="89" t="n">
        <v>200</v>
      </c>
      <c r="N144" s="89" t="n">
        <v>200</v>
      </c>
      <c r="O144" s="89" t="n">
        <v>0</v>
      </c>
      <c r="P144" s="89" t="n">
        <v>0</v>
      </c>
      <c r="Q144" s="90">
        <f>L144+M144+N144+O144+P144</f>
        <v/>
      </c>
      <c r="R144" s="89" t="n"/>
      <c r="S144" s="89" t="n"/>
      <c r="T144" s="89" t="n"/>
      <c r="U144" s="89" t="n"/>
      <c r="V144" s="90">
        <f>R144+S144+T144+U144</f>
        <v/>
      </c>
      <c r="W144" s="89" t="n">
        <v>200</v>
      </c>
      <c r="X144" s="89" t="n">
        <v>0</v>
      </c>
      <c r="Y144" s="89" t="n"/>
      <c r="Z144" s="89" t="n"/>
      <c r="AA144" s="90">
        <f>W144+X144+Y144+Z144</f>
        <v/>
      </c>
      <c r="AB144" s="89" t="n"/>
      <c r="AC144" s="89" t="n"/>
      <c r="AD144" s="89" t="n"/>
      <c r="AE144" s="89" t="n"/>
      <c r="AF144" s="89" t="n"/>
      <c r="AG144" s="90">
        <f>AB144+AC144+AD144+AE144+AF144</f>
        <v/>
      </c>
      <c r="AH144" s="89" t="n"/>
      <c r="AI144" s="89" t="n"/>
      <c r="AJ144" s="89" t="n"/>
      <c r="AK144" s="89" t="n"/>
      <c r="AL144" s="90">
        <f>AH144+AI144+AJ144+AK144</f>
        <v/>
      </c>
      <c r="AM144" s="89" t="n"/>
      <c r="AN144" s="89" t="n"/>
      <c r="AO144" s="89" t="n"/>
      <c r="AP144" s="89" t="n"/>
      <c r="AQ144" s="89" t="n"/>
      <c r="AR144" s="90">
        <f>AM144+AN144+AO144+AP144+AQ144</f>
        <v/>
      </c>
      <c r="AS144" s="89" t="n"/>
      <c r="AT144" s="89" t="n"/>
      <c r="AU144" s="89" t="n"/>
      <c r="AV144" s="89" t="n"/>
      <c r="AW144" s="90">
        <f>AS144+AT144+AU144+AV144</f>
        <v/>
      </c>
      <c r="AX144" s="89" t="n"/>
      <c r="AY144" s="89" t="n"/>
      <c r="AZ144" s="89" t="n"/>
      <c r="BA144" s="89" t="n"/>
      <c r="BB144" s="90">
        <f>AX144+AY144+AZ144+BA144</f>
        <v/>
      </c>
      <c r="BC144" s="89" t="n"/>
      <c r="BD144" s="89" t="n"/>
      <c r="BE144" s="89" t="n"/>
      <c r="BF144" s="89" t="n"/>
      <c r="BG144" s="89" t="n"/>
      <c r="BH144" s="90">
        <f>BC144+BD144+BE144+BF144+BG144</f>
        <v/>
      </c>
      <c r="BI144" s="89" t="n"/>
      <c r="BJ144" s="89" t="n"/>
      <c r="BK144" s="89" t="n"/>
      <c r="BL144" s="89" t="n"/>
      <c r="BM144" s="90">
        <f>BI144+BJ144+BK144+BL144</f>
        <v/>
      </c>
    </row>
    <row r="145" ht="15.75" customHeight="1">
      <c r="A145" s="200" t="inlineStr">
        <is>
          <t>SACOLA KRAFT G PARDA</t>
        </is>
      </c>
      <c r="B145" s="201" t="n">
        <v>0</v>
      </c>
      <c r="C145" s="89" t="n">
        <v>0</v>
      </c>
      <c r="D145" s="89" t="n">
        <v>0</v>
      </c>
      <c r="E145" s="89" t="n">
        <v>0</v>
      </c>
      <c r="F145" s="90">
        <f>B145+C145+D145+E145</f>
        <v/>
      </c>
      <c r="G145" s="89" t="n">
        <v>100</v>
      </c>
      <c r="H145" s="89" t="n">
        <v>0</v>
      </c>
      <c r="I145" s="89" t="n">
        <v>0</v>
      </c>
      <c r="J145" s="89" t="n">
        <v>100</v>
      </c>
      <c r="K145" s="90">
        <f>G145+H145+I145+J145</f>
        <v/>
      </c>
      <c r="L145" s="89" t="n">
        <v>0</v>
      </c>
      <c r="M145" s="89" t="n">
        <v>0</v>
      </c>
      <c r="N145" s="89" t="n">
        <v>100</v>
      </c>
      <c r="O145" s="89" t="n">
        <v>0</v>
      </c>
      <c r="P145" s="89" t="n">
        <v>0</v>
      </c>
      <c r="Q145" s="90">
        <f>L145+M145+N145+O145+P145</f>
        <v/>
      </c>
      <c r="R145" s="89" t="n"/>
      <c r="S145" s="89" t="n"/>
      <c r="T145" s="89" t="n"/>
      <c r="U145" s="89" t="n"/>
      <c r="V145" s="90">
        <f>R145+S145+T145+U145</f>
        <v/>
      </c>
      <c r="W145" s="89" t="n">
        <v>100</v>
      </c>
      <c r="X145" s="89" t="n">
        <v>0</v>
      </c>
      <c r="Y145" s="89" t="n"/>
      <c r="Z145" s="89" t="n"/>
      <c r="AA145" s="90">
        <f>W145+X145+Y145+Z145</f>
        <v/>
      </c>
      <c r="AB145" s="89" t="n"/>
      <c r="AC145" s="89" t="n"/>
      <c r="AD145" s="89" t="n"/>
      <c r="AE145" s="89" t="n"/>
      <c r="AF145" s="89" t="n"/>
      <c r="AG145" s="90">
        <f>AB145+AC145+AD145+AE145+AF145</f>
        <v/>
      </c>
      <c r="AH145" s="89" t="n"/>
      <c r="AI145" s="89" t="n"/>
      <c r="AJ145" s="89" t="n"/>
      <c r="AK145" s="89" t="n"/>
      <c r="AL145" s="90">
        <f>AH145+AI145+AJ145+AK145</f>
        <v/>
      </c>
      <c r="AM145" s="89" t="n"/>
      <c r="AN145" s="89" t="n"/>
      <c r="AO145" s="89" t="n"/>
      <c r="AP145" s="89" t="n"/>
      <c r="AQ145" s="89" t="n"/>
      <c r="AR145" s="90">
        <f>AM145+AN145+AO145+AP145+AQ145</f>
        <v/>
      </c>
      <c r="AS145" s="89" t="n"/>
      <c r="AT145" s="89" t="n"/>
      <c r="AU145" s="89" t="n"/>
      <c r="AV145" s="89" t="n"/>
      <c r="AW145" s="90">
        <f>AS145+AT145+AU145+AV145</f>
        <v/>
      </c>
      <c r="AX145" s="89" t="n"/>
      <c r="AY145" s="89" t="n"/>
      <c r="AZ145" s="89" t="n"/>
      <c r="BA145" s="89" t="n"/>
      <c r="BB145" s="90">
        <f>AX145+AY145+AZ145+BA145</f>
        <v/>
      </c>
      <c r="BC145" s="89" t="n"/>
      <c r="BD145" s="89" t="n"/>
      <c r="BE145" s="89" t="n"/>
      <c r="BF145" s="89" t="n"/>
      <c r="BG145" s="89" t="n"/>
      <c r="BH145" s="90">
        <f>BC145+BD145+BE145+BF145+BG145</f>
        <v/>
      </c>
      <c r="BI145" s="89" t="n"/>
      <c r="BJ145" s="89" t="n"/>
      <c r="BK145" s="89" t="n"/>
      <c r="BL145" s="89" t="n"/>
      <c r="BM145" s="90">
        <f>BI145+BJ145+BK145+BL145</f>
        <v/>
      </c>
    </row>
    <row r="146" ht="15.75" customHeight="1">
      <c r="A146" s="93" t="inlineStr">
        <is>
          <t>PAPEL DE SEDA</t>
        </is>
      </c>
      <c r="B146" s="201" t="n">
        <v>0</v>
      </c>
      <c r="C146" s="89" t="n">
        <v>0</v>
      </c>
      <c r="D146" s="89" t="n">
        <v>0</v>
      </c>
      <c r="E146" s="89" t="n">
        <v>0</v>
      </c>
      <c r="F146" s="90">
        <f>B146+C146+D146+E146</f>
        <v/>
      </c>
      <c r="G146" s="89" t="n">
        <v>0</v>
      </c>
      <c r="H146" s="89" t="n">
        <v>0</v>
      </c>
      <c r="I146" s="89" t="n">
        <v>0</v>
      </c>
      <c r="J146" s="89" t="n">
        <v>0</v>
      </c>
      <c r="K146" s="90">
        <f>G146+H146+I146+J146</f>
        <v/>
      </c>
      <c r="L146" s="89" t="n">
        <v>0</v>
      </c>
      <c r="M146" s="89" t="n">
        <v>0</v>
      </c>
      <c r="N146" s="89" t="n">
        <v>0</v>
      </c>
      <c r="O146" s="89" t="n">
        <v>0</v>
      </c>
      <c r="P146" s="89" t="n">
        <v>1</v>
      </c>
      <c r="Q146" s="90">
        <f>L146+M146+N146+O146+P146</f>
        <v/>
      </c>
      <c r="R146" s="89" t="n"/>
      <c r="S146" s="89" t="n"/>
      <c r="T146" s="89" t="n"/>
      <c r="U146" s="89" t="n"/>
      <c r="V146" s="90">
        <f>R146+S146+T146+U146</f>
        <v/>
      </c>
      <c r="W146" s="89" t="n">
        <v>3</v>
      </c>
      <c r="X146" s="89" t="n">
        <v>2</v>
      </c>
      <c r="Y146" s="89" t="n"/>
      <c r="Z146" s="89" t="n"/>
      <c r="AA146" s="90">
        <f>W146+X146+Y146+Z146</f>
        <v/>
      </c>
      <c r="AB146" s="89" t="n"/>
      <c r="AC146" s="89" t="n"/>
      <c r="AD146" s="89" t="n"/>
      <c r="AE146" s="89" t="n"/>
      <c r="AF146" s="89" t="n"/>
      <c r="AG146" s="90">
        <f>AB146+AC146+AD146+AE146+AF146</f>
        <v/>
      </c>
      <c r="AH146" s="89" t="n"/>
      <c r="AI146" s="89" t="n"/>
      <c r="AJ146" s="89" t="n"/>
      <c r="AK146" s="89" t="n"/>
      <c r="AL146" s="90">
        <f>AH146+AI146+AJ146+AK146</f>
        <v/>
      </c>
      <c r="AM146" s="89" t="n"/>
      <c r="AN146" s="89" t="n"/>
      <c r="AO146" s="89" t="n"/>
      <c r="AP146" s="89" t="n"/>
      <c r="AQ146" s="89" t="n"/>
      <c r="AR146" s="90">
        <f>AM146+AN146+AO146+AP146+AQ146</f>
        <v/>
      </c>
      <c r="AS146" s="89" t="n"/>
      <c r="AT146" s="89" t="n"/>
      <c r="AU146" s="89" t="n"/>
      <c r="AV146" s="89" t="n"/>
      <c r="AW146" s="90">
        <f>AS146+AT146+AU146+AV146</f>
        <v/>
      </c>
      <c r="AX146" s="89" t="n"/>
      <c r="AY146" s="89" t="n"/>
      <c r="AZ146" s="89" t="n"/>
      <c r="BA146" s="89" t="n"/>
      <c r="BB146" s="90">
        <f>AX146+AY146+AZ146+BA146</f>
        <v/>
      </c>
      <c r="BC146" s="89" t="n"/>
      <c r="BD146" s="89" t="n"/>
      <c r="BE146" s="89" t="n"/>
      <c r="BF146" s="89" t="n"/>
      <c r="BG146" s="89" t="n"/>
      <c r="BH146" s="90">
        <f>BC146+BD146+BE146+BF146+BG146</f>
        <v/>
      </c>
      <c r="BI146" s="89" t="n"/>
      <c r="BJ146" s="89" t="n"/>
      <c r="BK146" s="89" t="n"/>
      <c r="BL146" s="89" t="n"/>
      <c r="BM146" s="90">
        <f>BI146+BJ146+BK146+BL146</f>
        <v/>
      </c>
    </row>
    <row r="147" ht="15.75" customHeight="1">
      <c r="A147" s="93" t="inlineStr">
        <is>
          <t>ETIQUETA</t>
        </is>
      </c>
      <c r="B147" s="201" t="n">
        <v>0</v>
      </c>
      <c r="C147" s="89" t="n">
        <v>0</v>
      </c>
      <c r="D147" s="89" t="n">
        <v>0</v>
      </c>
      <c r="E147" s="89" t="n">
        <v>0</v>
      </c>
      <c r="F147" s="90">
        <f>B147+C147+D147+E147</f>
        <v/>
      </c>
      <c r="G147" s="89" t="n">
        <v>0</v>
      </c>
      <c r="H147" s="89" t="n">
        <v>0</v>
      </c>
      <c r="I147" s="89" t="n">
        <v>1</v>
      </c>
      <c r="J147" s="89" t="n">
        <v>0</v>
      </c>
      <c r="K147" s="90">
        <f>G147+H147+I147+J147</f>
        <v/>
      </c>
      <c r="L147" s="89" t="n">
        <v>1</v>
      </c>
      <c r="M147" s="89" t="n">
        <v>1</v>
      </c>
      <c r="N147" s="89" t="n">
        <v>0</v>
      </c>
      <c r="O147" s="89" t="n">
        <v>0</v>
      </c>
      <c r="P147" s="89" t="n">
        <v>0</v>
      </c>
      <c r="Q147" s="90">
        <f>L147+M147+N147+O147+P147</f>
        <v/>
      </c>
      <c r="R147" s="89" t="n"/>
      <c r="S147" s="89" t="n"/>
      <c r="T147" s="89" t="n"/>
      <c r="U147" s="89" t="n"/>
      <c r="V147" s="90">
        <f>R147+S147+T147+U147</f>
        <v/>
      </c>
      <c r="W147" s="89" t="n">
        <v>0</v>
      </c>
      <c r="X147" s="89" t="n">
        <v>5</v>
      </c>
      <c r="Y147" s="89" t="n"/>
      <c r="Z147" s="89" t="n"/>
      <c r="AA147" s="90">
        <f>W147+X147+Y147+Z147</f>
        <v/>
      </c>
      <c r="AB147" s="89" t="n"/>
      <c r="AC147" s="89" t="n"/>
      <c r="AD147" s="89" t="n"/>
      <c r="AE147" s="89" t="n"/>
      <c r="AF147" s="89" t="n"/>
      <c r="AG147" s="90">
        <f>AB147+AC147+AD147+AE147+AF147</f>
        <v/>
      </c>
      <c r="AH147" s="89" t="n"/>
      <c r="AI147" s="89" t="n"/>
      <c r="AJ147" s="89" t="n"/>
      <c r="AK147" s="89" t="n"/>
      <c r="AL147" s="90">
        <f>AH147+AI147+AJ147+AK147</f>
        <v/>
      </c>
      <c r="AM147" s="89" t="n"/>
      <c r="AN147" s="89" t="n"/>
      <c r="AO147" s="89" t="n"/>
      <c r="AP147" s="89" t="n"/>
      <c r="AQ147" s="89" t="n"/>
      <c r="AR147" s="90">
        <f>AM147+AN147+AO147+AP147+AQ147</f>
        <v/>
      </c>
      <c r="AS147" s="89" t="n"/>
      <c r="AT147" s="89" t="n"/>
      <c r="AU147" s="89" t="n"/>
      <c r="AV147" s="89" t="n"/>
      <c r="AW147" s="90">
        <f>AS147+AT147+AU147+AV147</f>
        <v/>
      </c>
      <c r="AX147" s="89" t="n"/>
      <c r="AY147" s="89" t="n"/>
      <c r="AZ147" s="89" t="n"/>
      <c r="BA147" s="89" t="n"/>
      <c r="BB147" s="90">
        <f>AX147+AY147+AZ147+BA147</f>
        <v/>
      </c>
      <c r="BC147" s="89" t="n"/>
      <c r="BD147" s="89" t="n"/>
      <c r="BE147" s="89" t="n"/>
      <c r="BF147" s="89" t="n"/>
      <c r="BG147" s="89" t="n"/>
      <c r="BH147" s="90">
        <f>BC147+BD147+BE147+BF147+BG147</f>
        <v/>
      </c>
      <c r="BI147" s="89" t="n"/>
      <c r="BJ147" s="89" t="n"/>
      <c r="BK147" s="89" t="n"/>
      <c r="BL147" s="89" t="n"/>
      <c r="BM147" s="90">
        <f>BI147+BJ147+BK147+BL147</f>
        <v/>
      </c>
    </row>
    <row r="148" ht="15.75" customHeight="1">
      <c r="A148" s="93" t="inlineStr">
        <is>
          <t>TAG</t>
        </is>
      </c>
      <c r="B148" s="201" t="n">
        <v>0</v>
      </c>
      <c r="C148" s="89" t="n">
        <v>0</v>
      </c>
      <c r="D148" s="89" t="n">
        <v>0</v>
      </c>
      <c r="E148" s="89" t="n">
        <v>0</v>
      </c>
      <c r="F148" s="90">
        <f>B148+C148+D148+E148</f>
        <v/>
      </c>
      <c r="G148" s="89" t="n">
        <v>0</v>
      </c>
      <c r="H148" s="89" t="n">
        <v>0</v>
      </c>
      <c r="I148" s="89" t="n">
        <v>0</v>
      </c>
      <c r="J148" s="89" t="n">
        <v>0</v>
      </c>
      <c r="K148" s="90">
        <f>G148+H148+I148+J148</f>
        <v/>
      </c>
      <c r="L148" s="89" t="n">
        <v>0</v>
      </c>
      <c r="M148" s="89" t="n">
        <v>0</v>
      </c>
      <c r="N148" s="89" t="n">
        <v>1</v>
      </c>
      <c r="O148" s="89" t="n">
        <v>0</v>
      </c>
      <c r="P148" s="89" t="n">
        <v>0</v>
      </c>
      <c r="Q148" s="90">
        <f>L148+M148+N148+O148+P148</f>
        <v/>
      </c>
      <c r="R148" s="89" t="n"/>
      <c r="S148" s="89" t="n"/>
      <c r="T148" s="89" t="n"/>
      <c r="U148" s="89" t="n"/>
      <c r="V148" s="90">
        <f>R148+S148+T148+U148</f>
        <v/>
      </c>
      <c r="W148" s="89" t="n">
        <v>0</v>
      </c>
      <c r="X148" s="89" t="n">
        <v>1</v>
      </c>
      <c r="Y148" s="89" t="n"/>
      <c r="Z148" s="89" t="n"/>
      <c r="AA148" s="90">
        <f>W148+X148+Y148+Z148</f>
        <v/>
      </c>
      <c r="AB148" s="89" t="n"/>
      <c r="AC148" s="89" t="n"/>
      <c r="AD148" s="89" t="n"/>
      <c r="AE148" s="89" t="n"/>
      <c r="AF148" s="89" t="n"/>
      <c r="AG148" s="90">
        <f>AB148+AC148+AD148+AE148+AF148</f>
        <v/>
      </c>
      <c r="AH148" s="89" t="n"/>
      <c r="AI148" s="89" t="n"/>
      <c r="AJ148" s="89" t="n"/>
      <c r="AK148" s="89" t="n"/>
      <c r="AL148" s="90">
        <f>AH148+AI148+AJ148+AK148</f>
        <v/>
      </c>
      <c r="AM148" s="89" t="n"/>
      <c r="AN148" s="89" t="n"/>
      <c r="AO148" s="89" t="n"/>
      <c r="AP148" s="89" t="n"/>
      <c r="AQ148" s="89" t="n"/>
      <c r="AR148" s="90">
        <f>AM148+AN148+AO148+AP148+AQ148</f>
        <v/>
      </c>
      <c r="AS148" s="89" t="n"/>
      <c r="AT148" s="89" t="n"/>
      <c r="AU148" s="89" t="n"/>
      <c r="AV148" s="89" t="n"/>
      <c r="AW148" s="90">
        <f>AS148+AT148+AU148+AV148</f>
        <v/>
      </c>
      <c r="AX148" s="89" t="n"/>
      <c r="AY148" s="89" t="n"/>
      <c r="AZ148" s="89" t="n"/>
      <c r="BA148" s="89" t="n"/>
      <c r="BB148" s="90">
        <f>AX148+AY148+AZ148+BA148</f>
        <v/>
      </c>
      <c r="BC148" s="89" t="n"/>
      <c r="BD148" s="89" t="n"/>
      <c r="BE148" s="89" t="n"/>
      <c r="BF148" s="89" t="n"/>
      <c r="BG148" s="89" t="n"/>
      <c r="BH148" s="90">
        <f>BC148+BD148+BE148+BF148+BG148</f>
        <v/>
      </c>
      <c r="BI148" s="89" t="n"/>
      <c r="BJ148" s="89" t="n"/>
      <c r="BK148" s="89" t="n"/>
      <c r="BL148" s="89" t="n"/>
      <c r="BM148" s="90">
        <f>BI148+BJ148+BK148+BL148</f>
        <v/>
      </c>
    </row>
    <row r="149" ht="15.75" customHeight="1">
      <c r="A149" s="93" t="inlineStr">
        <is>
          <t>LÂMINA</t>
        </is>
      </c>
      <c r="B149" s="201" t="n">
        <v>0</v>
      </c>
      <c r="C149" s="89" t="n">
        <v>0</v>
      </c>
      <c r="D149" s="89" t="n">
        <v>1</v>
      </c>
      <c r="E149" s="89" t="n">
        <v>0</v>
      </c>
      <c r="F149" s="90">
        <f>B149+C149+D149+E149</f>
        <v/>
      </c>
      <c r="G149" s="89" t="n">
        <v>0</v>
      </c>
      <c r="H149" s="89" t="n">
        <v>0</v>
      </c>
      <c r="I149" s="89" t="n">
        <v>0</v>
      </c>
      <c r="J149" s="89" t="n">
        <v>0</v>
      </c>
      <c r="K149" s="90">
        <f>G149+H149+I149+J149</f>
        <v/>
      </c>
      <c r="L149" s="89" t="n">
        <v>0</v>
      </c>
      <c r="M149" s="89" t="n">
        <v>0</v>
      </c>
      <c r="N149" s="89" t="n">
        <v>0</v>
      </c>
      <c r="O149" s="89" t="n">
        <v>0</v>
      </c>
      <c r="P149" s="89" t="n">
        <v>0</v>
      </c>
      <c r="Q149" s="90">
        <f>L149+M149+N149+O149+P149</f>
        <v/>
      </c>
      <c r="R149" s="89" t="n"/>
      <c r="S149" s="89" t="n"/>
      <c r="T149" s="89" t="n"/>
      <c r="U149" s="89" t="n"/>
      <c r="V149" s="90">
        <f>R149+S149+T149+U149</f>
        <v/>
      </c>
      <c r="W149" s="89" t="n">
        <v>0</v>
      </c>
      <c r="X149" s="89" t="n">
        <v>0</v>
      </c>
      <c r="Y149" s="89" t="n"/>
      <c r="Z149" s="89" t="n"/>
      <c r="AA149" s="90">
        <f>W149+X149+Y149+Z149</f>
        <v/>
      </c>
      <c r="AB149" s="89" t="n"/>
      <c r="AC149" s="89" t="n"/>
      <c r="AD149" s="89" t="n"/>
      <c r="AE149" s="89" t="n"/>
      <c r="AF149" s="89" t="n"/>
      <c r="AG149" s="90">
        <f>AB149+AC149+AD149+AE149+AF149</f>
        <v/>
      </c>
      <c r="AH149" s="89" t="n"/>
      <c r="AI149" s="89" t="n"/>
      <c r="AJ149" s="89" t="n"/>
      <c r="AK149" s="89" t="n"/>
      <c r="AL149" s="90">
        <f>AH149+AI149+AJ149+AK149</f>
        <v/>
      </c>
      <c r="AM149" s="89" t="n"/>
      <c r="AN149" s="89" t="n"/>
      <c r="AO149" s="89" t="n"/>
      <c r="AP149" s="89" t="n"/>
      <c r="AQ149" s="89" t="n"/>
      <c r="AR149" s="90">
        <f>AM149+AN149+AO149+AP149+AQ149</f>
        <v/>
      </c>
      <c r="AS149" s="89" t="n"/>
      <c r="AT149" s="89" t="n"/>
      <c r="AU149" s="89" t="n"/>
      <c r="AV149" s="89" t="n"/>
      <c r="AW149" s="90">
        <f>AS149+AT149+AU149+AV149</f>
        <v/>
      </c>
      <c r="AX149" s="89" t="n"/>
      <c r="AY149" s="89" t="n"/>
      <c r="AZ149" s="89" t="n"/>
      <c r="BA149" s="89" t="n"/>
      <c r="BB149" s="90">
        <f>AX149+AY149+AZ149+BA149</f>
        <v/>
      </c>
      <c r="BC149" s="89" t="n"/>
      <c r="BD149" s="89" t="n"/>
      <c r="BE149" s="89" t="n"/>
      <c r="BF149" s="89" t="n"/>
      <c r="BG149" s="89" t="n"/>
      <c r="BH149" s="90">
        <f>BC149+BD149+BE149+BF149+BG149</f>
        <v/>
      </c>
      <c r="BI149" s="89" t="n"/>
      <c r="BJ149" s="89" t="n"/>
      <c r="BK149" s="89" t="n"/>
      <c r="BL149" s="89" t="n"/>
      <c r="BM149" s="90">
        <f>BI149+BJ149+BK149+BL149</f>
        <v/>
      </c>
    </row>
    <row r="150" ht="15.75" customHeight="1">
      <c r="A150" s="93" t="inlineStr">
        <is>
          <t>PAPEL DE SEDA OUI</t>
        </is>
      </c>
      <c r="B150" s="201" t="n">
        <v>0</v>
      </c>
      <c r="C150" s="89" t="n">
        <v>0</v>
      </c>
      <c r="D150" s="89" t="n">
        <v>0</v>
      </c>
      <c r="E150" s="89" t="n">
        <v>0</v>
      </c>
      <c r="F150" s="90">
        <f>B150+C150+D150+E150</f>
        <v/>
      </c>
      <c r="G150" s="89" t="n">
        <v>0</v>
      </c>
      <c r="H150" s="89" t="n">
        <v>0</v>
      </c>
      <c r="I150" s="89" t="n">
        <v>0</v>
      </c>
      <c r="J150" s="89" t="n">
        <v>0</v>
      </c>
      <c r="K150" s="90">
        <f>G150+H150+I150+J150</f>
        <v/>
      </c>
      <c r="L150" s="89" t="n">
        <v>0</v>
      </c>
      <c r="M150" s="89" t="n">
        <v>0</v>
      </c>
      <c r="N150" s="89" t="n">
        <v>0</v>
      </c>
      <c r="O150" s="89" t="n">
        <v>0</v>
      </c>
      <c r="P150" s="89" t="n">
        <v>0</v>
      </c>
      <c r="Q150" s="90">
        <f>L150+M150+N150+O150+P150</f>
        <v/>
      </c>
      <c r="R150" s="89" t="n"/>
      <c r="S150" s="89" t="n"/>
      <c r="T150" s="89" t="n"/>
      <c r="U150" s="89" t="n"/>
      <c r="V150" s="90">
        <f>R150+S150+T150+U150</f>
        <v/>
      </c>
      <c r="W150" s="89" t="n">
        <v>0</v>
      </c>
      <c r="X150" s="89" t="n">
        <v>0</v>
      </c>
      <c r="Y150" s="89" t="n"/>
      <c r="Z150" s="89" t="n"/>
      <c r="AA150" s="90">
        <f>W150+X150+Y150+Z150</f>
        <v/>
      </c>
      <c r="AB150" s="89" t="n"/>
      <c r="AC150" s="89" t="n"/>
      <c r="AD150" s="89" t="n"/>
      <c r="AE150" s="89" t="n"/>
      <c r="AF150" s="89" t="n"/>
      <c r="AG150" s="90">
        <f>AB150+AC150+AD150+AE150+AF150</f>
        <v/>
      </c>
      <c r="AH150" s="89" t="n"/>
      <c r="AI150" s="89" t="n"/>
      <c r="AJ150" s="89" t="n"/>
      <c r="AK150" s="89" t="n"/>
      <c r="AL150" s="90">
        <f>AH150+AI150+AJ150+AK150</f>
        <v/>
      </c>
      <c r="AM150" s="89" t="n"/>
      <c r="AN150" s="89" t="n"/>
      <c r="AO150" s="89" t="n"/>
      <c r="AP150" s="89" t="n"/>
      <c r="AQ150" s="89" t="n"/>
      <c r="AR150" s="90">
        <f>AM150+AN150+AO150+AP150+AQ150</f>
        <v/>
      </c>
      <c r="AS150" s="89" t="n"/>
      <c r="AT150" s="89" t="n"/>
      <c r="AU150" s="89" t="n"/>
      <c r="AV150" s="89" t="n"/>
      <c r="AW150" s="90">
        <f>AS150+AT150+AU150+AV150</f>
        <v/>
      </c>
      <c r="AX150" s="89" t="n"/>
      <c r="AY150" s="89" t="n"/>
      <c r="AZ150" s="89" t="n"/>
      <c r="BA150" s="89" t="n"/>
      <c r="BB150" s="90">
        <f>AX150+AY150+AZ150+BA150</f>
        <v/>
      </c>
      <c r="BC150" s="89" t="n"/>
      <c r="BD150" s="89" t="n"/>
      <c r="BE150" s="89" t="n"/>
      <c r="BF150" s="89" t="n"/>
      <c r="BG150" s="89" t="n"/>
      <c r="BH150" s="90">
        <f>BC150+BD150+BE150+BF150+BG150</f>
        <v/>
      </c>
      <c r="BI150" s="89" t="n"/>
      <c r="BJ150" s="89" t="n"/>
      <c r="BK150" s="89" t="n"/>
      <c r="BL150" s="89" t="n"/>
      <c r="BM150" s="90">
        <f>BI150+BJ150+BK150+BL150</f>
        <v/>
      </c>
    </row>
    <row r="151" ht="15.75" customHeight="1">
      <c r="A151" s="93" t="inlineStr">
        <is>
          <t>ETIQUETA OUI</t>
        </is>
      </c>
      <c r="B151" s="201" t="n">
        <v>0</v>
      </c>
      <c r="C151" s="89" t="n">
        <v>0</v>
      </c>
      <c r="D151" s="89" t="n">
        <v>0</v>
      </c>
      <c r="E151" s="89" t="n">
        <v>0</v>
      </c>
      <c r="F151" s="90">
        <f>B151+C151+D151+E151</f>
        <v/>
      </c>
      <c r="G151" s="89" t="n">
        <v>0</v>
      </c>
      <c r="H151" s="89" t="n">
        <v>0</v>
      </c>
      <c r="I151" s="89" t="n">
        <v>0</v>
      </c>
      <c r="J151" s="89" t="n">
        <v>0</v>
      </c>
      <c r="K151" s="90">
        <f>G151+H151+I151+J151</f>
        <v/>
      </c>
      <c r="L151" s="89" t="n">
        <v>0</v>
      </c>
      <c r="M151" s="89" t="n">
        <v>0</v>
      </c>
      <c r="N151" s="89" t="n">
        <v>0</v>
      </c>
      <c r="O151" s="89" t="n">
        <v>0</v>
      </c>
      <c r="P151" s="89" t="n">
        <v>0</v>
      </c>
      <c r="Q151" s="90">
        <f>L151+M151+N151+O151+P151</f>
        <v/>
      </c>
      <c r="R151" s="89" t="n"/>
      <c r="S151" s="89" t="n"/>
      <c r="T151" s="89" t="n"/>
      <c r="U151" s="89" t="n"/>
      <c r="V151" s="90">
        <f>R151+S151+T151+U151</f>
        <v/>
      </c>
      <c r="W151" s="89" t="n">
        <v>0</v>
      </c>
      <c r="X151" s="89" t="n">
        <v>0</v>
      </c>
      <c r="Y151" s="89" t="n"/>
      <c r="Z151" s="89" t="n"/>
      <c r="AA151" s="90">
        <f>W151+X151+Y151+Z151</f>
        <v/>
      </c>
      <c r="AB151" s="89" t="n"/>
      <c r="AC151" s="89" t="n"/>
      <c r="AD151" s="89" t="n"/>
      <c r="AE151" s="89" t="n"/>
      <c r="AF151" s="89" t="n"/>
      <c r="AG151" s="90">
        <f>AB151+AC151+AD151+AE151+AF151</f>
        <v/>
      </c>
      <c r="AH151" s="89" t="n"/>
      <c r="AI151" s="89" t="n"/>
      <c r="AJ151" s="89" t="n"/>
      <c r="AK151" s="89" t="n"/>
      <c r="AL151" s="90">
        <f>AH151+AI151+AJ151+AK151</f>
        <v/>
      </c>
      <c r="AM151" s="89" t="n"/>
      <c r="AN151" s="89" t="n"/>
      <c r="AO151" s="89" t="n"/>
      <c r="AP151" s="89" t="n"/>
      <c r="AQ151" s="89" t="n"/>
      <c r="AR151" s="90">
        <f>AM151+AN151+AO151+AP151+AQ151</f>
        <v/>
      </c>
      <c r="AS151" s="89" t="n"/>
      <c r="AT151" s="89" t="n"/>
      <c r="AU151" s="89" t="n"/>
      <c r="AV151" s="89" t="n"/>
      <c r="AW151" s="90">
        <f>AS151+AT151+AU151+AV151</f>
        <v/>
      </c>
      <c r="AX151" s="89" t="n"/>
      <c r="AY151" s="89" t="n"/>
      <c r="AZ151" s="89" t="n"/>
      <c r="BA151" s="89" t="n"/>
      <c r="BB151" s="90">
        <f>AX151+AY151+AZ151+BA151</f>
        <v/>
      </c>
      <c r="BC151" s="89" t="n"/>
      <c r="BD151" s="89" t="n"/>
      <c r="BE151" s="89" t="n"/>
      <c r="BF151" s="89" t="n"/>
      <c r="BG151" s="89" t="n"/>
      <c r="BH151" s="90">
        <f>BC151+BD151+BE151+BF151+BG151</f>
        <v/>
      </c>
      <c r="BI151" s="89" t="n"/>
      <c r="BJ151" s="89" t="n"/>
      <c r="BK151" s="89" t="n"/>
      <c r="BL151" s="89" t="n"/>
      <c r="BM151" s="90">
        <f>BI151+BJ151+BK151+BL151</f>
        <v/>
      </c>
    </row>
    <row r="152" ht="15.75" customHeight="1">
      <c r="A152" s="93" t="inlineStr">
        <is>
          <t>LÂMINA OLFATIVA OUI</t>
        </is>
      </c>
      <c r="B152" s="201" t="n">
        <v>0</v>
      </c>
      <c r="C152" s="89" t="n">
        <v>0</v>
      </c>
      <c r="D152" s="89" t="n">
        <v>0</v>
      </c>
      <c r="E152" s="89" t="n">
        <v>0</v>
      </c>
      <c r="F152" s="90">
        <f>B152+C152+D152+E152</f>
        <v/>
      </c>
      <c r="G152" s="89" t="n">
        <v>0</v>
      </c>
      <c r="H152" s="89" t="n">
        <v>0</v>
      </c>
      <c r="I152" s="89" t="n">
        <v>0</v>
      </c>
      <c r="J152" s="89" t="n">
        <v>0</v>
      </c>
      <c r="K152" s="90">
        <f>G152+H152+I152+J152</f>
        <v/>
      </c>
      <c r="L152" s="89" t="n">
        <v>0</v>
      </c>
      <c r="M152" s="89" t="n">
        <v>0</v>
      </c>
      <c r="N152" s="89" t="n">
        <v>0</v>
      </c>
      <c r="O152" s="89" t="n">
        <v>0</v>
      </c>
      <c r="P152" s="89" t="n">
        <v>0</v>
      </c>
      <c r="Q152" s="90">
        <f>L152+M152+N152+O152+P152</f>
        <v/>
      </c>
      <c r="R152" s="89" t="n"/>
      <c r="S152" s="89" t="n"/>
      <c r="T152" s="89" t="n"/>
      <c r="U152" s="89" t="n"/>
      <c r="V152" s="90">
        <f>R152+S152+T152+U152</f>
        <v/>
      </c>
      <c r="W152" s="89" t="n">
        <v>0</v>
      </c>
      <c r="X152" s="89" t="n">
        <v>0</v>
      </c>
      <c r="Y152" s="89" t="n"/>
      <c r="Z152" s="89" t="n"/>
      <c r="AA152" s="90">
        <f>W152+X152+Y152+Z152</f>
        <v/>
      </c>
      <c r="AB152" s="89" t="n"/>
      <c r="AC152" s="89" t="n"/>
      <c r="AD152" s="89" t="n"/>
      <c r="AE152" s="89" t="n"/>
      <c r="AF152" s="89" t="n"/>
      <c r="AG152" s="90">
        <f>AB152+AC152+AD152+AE152+AF152</f>
        <v/>
      </c>
      <c r="AH152" s="89" t="n"/>
      <c r="AI152" s="89" t="n"/>
      <c r="AJ152" s="89" t="n"/>
      <c r="AK152" s="89" t="n"/>
      <c r="AL152" s="90">
        <f>AH152+AI152+AJ152+AK152</f>
        <v/>
      </c>
      <c r="AM152" s="89" t="n"/>
      <c r="AN152" s="89" t="n"/>
      <c r="AO152" s="89" t="n"/>
      <c r="AP152" s="89" t="n"/>
      <c r="AQ152" s="89" t="n"/>
      <c r="AR152" s="90">
        <f>AM152+AN152+AO152+AP152+AQ152</f>
        <v/>
      </c>
      <c r="AS152" s="89" t="n"/>
      <c r="AT152" s="89" t="n"/>
      <c r="AU152" s="89" t="n"/>
      <c r="AV152" s="89" t="n"/>
      <c r="AW152" s="90">
        <f>AS152+AT152+AU152+AV152</f>
        <v/>
      </c>
      <c r="AX152" s="89" t="n"/>
      <c r="AY152" s="89" t="n"/>
      <c r="AZ152" s="89" t="n"/>
      <c r="BA152" s="89" t="n"/>
      <c r="BB152" s="90">
        <f>AX152+AY152+AZ152+BA152</f>
        <v/>
      </c>
      <c r="BC152" s="89" t="n"/>
      <c r="BD152" s="89" t="n"/>
      <c r="BE152" s="89" t="n"/>
      <c r="BF152" s="89" t="n"/>
      <c r="BG152" s="89" t="n"/>
      <c r="BH152" s="90">
        <f>BC152+BD152+BE152+BF152+BG152</f>
        <v/>
      </c>
      <c r="BI152" s="89" t="n"/>
      <c r="BJ152" s="89" t="n"/>
      <c r="BK152" s="89" t="n"/>
      <c r="BL152" s="89" t="n"/>
      <c r="BM152" s="90">
        <f>BI152+BJ152+BK152+BL152</f>
        <v/>
      </c>
    </row>
    <row r="153" ht="15.75" customHeight="1">
      <c r="A153" s="93" t="inlineStr">
        <is>
          <t>SACO M OUI (BRINDE)</t>
        </is>
      </c>
      <c r="B153" s="89" t="n">
        <v>0</v>
      </c>
      <c r="C153" s="89" t="n">
        <v>0</v>
      </c>
      <c r="D153" s="89" t="n">
        <v>0</v>
      </c>
      <c r="E153" s="89" t="n">
        <v>0</v>
      </c>
      <c r="F153" s="90">
        <f>B153+C153+D153+E153</f>
        <v/>
      </c>
      <c r="G153" s="89" t="n">
        <v>0</v>
      </c>
      <c r="H153" s="89" t="n">
        <v>0</v>
      </c>
      <c r="I153" s="89" t="n">
        <v>0</v>
      </c>
      <c r="J153" s="89" t="n">
        <v>0</v>
      </c>
      <c r="K153" s="90">
        <f>G153+H153+I153+J153</f>
        <v/>
      </c>
      <c r="L153" s="89" t="n">
        <v>0</v>
      </c>
      <c r="M153" s="89" t="n">
        <v>200</v>
      </c>
      <c r="N153" s="89" t="n">
        <v>0</v>
      </c>
      <c r="O153" s="89" t="n">
        <v>0</v>
      </c>
      <c r="P153" s="89" t="n">
        <v>0</v>
      </c>
      <c r="Q153" s="90">
        <f>L153+M153+N153+O153+P153</f>
        <v/>
      </c>
      <c r="R153" s="89" t="n"/>
      <c r="S153" s="89" t="n"/>
      <c r="T153" s="89" t="n"/>
      <c r="U153" s="89" t="n"/>
      <c r="V153" s="90">
        <f>R153+S153+T153+U153</f>
        <v/>
      </c>
      <c r="W153" s="89" t="n">
        <v>0</v>
      </c>
      <c r="X153" s="89" t="n">
        <v>0</v>
      </c>
      <c r="Y153" s="89" t="n"/>
      <c r="Z153" s="89" t="n"/>
      <c r="AA153" s="90">
        <f>W153+X153+Y153+Z153</f>
        <v/>
      </c>
      <c r="AB153" s="89" t="n"/>
      <c r="AC153" s="89" t="n"/>
      <c r="AD153" s="89" t="n"/>
      <c r="AE153" s="89" t="n"/>
      <c r="AF153" s="89" t="n"/>
      <c r="AG153" s="90">
        <f>AB153+AC153+AD153+AE153+AF153</f>
        <v/>
      </c>
      <c r="AH153" s="89" t="n"/>
      <c r="AI153" s="89" t="n"/>
      <c r="AJ153" s="89" t="n"/>
      <c r="AK153" s="89" t="n"/>
      <c r="AL153" s="90">
        <f>AH153+AI153+AJ153+AK153</f>
        <v/>
      </c>
      <c r="AM153" s="89" t="n"/>
      <c r="AN153" s="89" t="n"/>
      <c r="AO153" s="89" t="n"/>
      <c r="AP153" s="89" t="n"/>
      <c r="AQ153" s="89" t="n"/>
      <c r="AR153" s="90">
        <f>AM153+AN153+AO153+AP153+AQ153</f>
        <v/>
      </c>
      <c r="AS153" s="89" t="n"/>
      <c r="AT153" s="89" t="n"/>
      <c r="AU153" s="89" t="n"/>
      <c r="AV153" s="89" t="n"/>
      <c r="AW153" s="90">
        <f>AS153+AT153+AU153+AV153</f>
        <v/>
      </c>
      <c r="AX153" s="89" t="n"/>
      <c r="AY153" s="89" t="n"/>
      <c r="AZ153" s="89" t="n"/>
      <c r="BA153" s="89" t="n"/>
      <c r="BB153" s="90">
        <f>AX153+AY153+AZ153+BA153</f>
        <v/>
      </c>
      <c r="BC153" s="89" t="n"/>
      <c r="BD153" s="89" t="n"/>
      <c r="BE153" s="89" t="n"/>
      <c r="BF153" s="89" t="n"/>
      <c r="BG153" s="89" t="n"/>
      <c r="BH153" s="90">
        <f>BC153+BD153+BE153+BF153+BG153</f>
        <v/>
      </c>
      <c r="BI153" s="89" t="n"/>
      <c r="BJ153" s="89" t="n"/>
      <c r="BK153" s="89" t="n"/>
      <c r="BL153" s="89" t="n"/>
      <c r="BM153" s="90">
        <f>BI153+BJ153+BK153+BL153</f>
        <v/>
      </c>
    </row>
    <row r="154" ht="15.75" customHeight="1">
      <c r="A154" s="93" t="inlineStr">
        <is>
          <t>SACOLA P QDB</t>
        </is>
      </c>
      <c r="B154" s="201" t="n">
        <v>0</v>
      </c>
      <c r="C154" s="89" t="n">
        <v>0</v>
      </c>
      <c r="D154" s="89" t="n">
        <v>0</v>
      </c>
      <c r="E154" s="89" t="n">
        <v>0</v>
      </c>
      <c r="F154" s="90">
        <f>B154+C154+D154+E154</f>
        <v/>
      </c>
      <c r="G154" s="89" t="n">
        <v>0</v>
      </c>
      <c r="H154" s="89" t="n">
        <v>0</v>
      </c>
      <c r="I154" s="89" t="n">
        <v>0</v>
      </c>
      <c r="J154" s="89" t="n">
        <v>0</v>
      </c>
      <c r="K154" s="90">
        <f>G154+H154+I154+J154</f>
        <v/>
      </c>
      <c r="L154" s="89" t="n">
        <v>0</v>
      </c>
      <c r="M154" s="89" t="n">
        <v>0</v>
      </c>
      <c r="N154" s="89" t="n">
        <v>0</v>
      </c>
      <c r="O154" s="89" t="n">
        <v>0</v>
      </c>
      <c r="P154" s="89" t="n">
        <v>0</v>
      </c>
      <c r="Q154" s="90">
        <f>L154+M154+N154+O154+P154</f>
        <v/>
      </c>
      <c r="R154" s="89" t="n"/>
      <c r="S154" s="89" t="n"/>
      <c r="T154" s="89" t="n"/>
      <c r="U154" s="89" t="n"/>
      <c r="V154" s="90">
        <f>R154+S154+T154+U154</f>
        <v/>
      </c>
      <c r="W154" s="89" t="n">
        <v>0</v>
      </c>
      <c r="X154" s="89" t="n">
        <v>0</v>
      </c>
      <c r="Y154" s="89" t="n"/>
      <c r="Z154" s="89" t="n"/>
      <c r="AA154" s="90">
        <f>W154+X154+Y154+Z154</f>
        <v/>
      </c>
      <c r="AB154" s="89" t="n"/>
      <c r="AC154" s="89" t="n"/>
      <c r="AD154" s="89" t="n"/>
      <c r="AE154" s="89" t="n"/>
      <c r="AF154" s="89" t="n"/>
      <c r="AG154" s="90">
        <f>AB154+AC154+AD154+AE154+AF154</f>
        <v/>
      </c>
      <c r="AH154" s="89" t="n"/>
      <c r="AI154" s="89" t="n"/>
      <c r="AJ154" s="89" t="n"/>
      <c r="AK154" s="89" t="n"/>
      <c r="AL154" s="90">
        <f>AH154+AI154+AJ154+AK154</f>
        <v/>
      </c>
      <c r="AM154" s="89" t="n"/>
      <c r="AN154" s="89" t="n"/>
      <c r="AO154" s="89" t="n"/>
      <c r="AP154" s="89" t="n"/>
      <c r="AQ154" s="89" t="n"/>
      <c r="AR154" s="90">
        <f>AM154+AN154+AO154+AP154+AQ154</f>
        <v/>
      </c>
      <c r="AS154" s="89" t="n"/>
      <c r="AT154" s="89" t="n"/>
      <c r="AU154" s="89" t="n"/>
      <c r="AV154" s="89" t="n"/>
      <c r="AW154" s="90">
        <f>AS154+AT154+AU154+AV154</f>
        <v/>
      </c>
      <c r="AX154" s="89" t="n"/>
      <c r="AY154" s="89" t="n"/>
      <c r="AZ154" s="89" t="n"/>
      <c r="BA154" s="89" t="n"/>
      <c r="BB154" s="90">
        <f>AX154+AY154+AZ154+BA154</f>
        <v/>
      </c>
      <c r="BC154" s="89" t="n"/>
      <c r="BD154" s="89" t="n"/>
      <c r="BE154" s="89" t="n"/>
      <c r="BF154" s="89" t="n"/>
      <c r="BG154" s="89" t="n"/>
      <c r="BH154" s="90">
        <f>BC154+BD154+BE154+BF154+BG154</f>
        <v/>
      </c>
      <c r="BI154" s="89" t="n"/>
      <c r="BJ154" s="89" t="n"/>
      <c r="BK154" s="89" t="n"/>
      <c r="BL154" s="89" t="n"/>
      <c r="BM154" s="90">
        <f>BI154+BJ154+BK154+BL154</f>
        <v/>
      </c>
    </row>
    <row r="155" ht="15.75" customHeight="1">
      <c r="A155" s="93" t="inlineStr">
        <is>
          <t>SACOLA M QDB</t>
        </is>
      </c>
      <c r="B155" s="201" t="n">
        <v>0</v>
      </c>
      <c r="C155" s="89" t="n">
        <v>0</v>
      </c>
      <c r="D155" s="89" t="n">
        <v>0</v>
      </c>
      <c r="E155" s="89" t="n">
        <v>0</v>
      </c>
      <c r="F155" s="90">
        <f>B155+C155+D155+E155</f>
        <v/>
      </c>
      <c r="G155" s="89" t="n">
        <v>0</v>
      </c>
      <c r="H155" s="89" t="n">
        <v>0</v>
      </c>
      <c r="I155" s="89" t="n">
        <v>0</v>
      </c>
      <c r="J155" s="89" t="n">
        <v>0</v>
      </c>
      <c r="K155" s="90">
        <f>G155+H155+I155+J155</f>
        <v/>
      </c>
      <c r="L155" s="89" t="n">
        <v>0</v>
      </c>
      <c r="M155" s="89" t="n">
        <v>0</v>
      </c>
      <c r="N155" s="89" t="n">
        <v>0</v>
      </c>
      <c r="O155" s="89" t="n">
        <v>0</v>
      </c>
      <c r="P155" s="89" t="n">
        <v>0</v>
      </c>
      <c r="Q155" s="90">
        <f>L155+M155+N155+O155+P155</f>
        <v/>
      </c>
      <c r="R155" s="89" t="n"/>
      <c r="S155" s="89" t="n"/>
      <c r="T155" s="89" t="n"/>
      <c r="U155" s="89" t="n"/>
      <c r="V155" s="90">
        <f>R155+S155+T155+U155</f>
        <v/>
      </c>
      <c r="W155" s="89" t="n">
        <v>0</v>
      </c>
      <c r="X155" s="89" t="n">
        <v>0</v>
      </c>
      <c r="Y155" s="89" t="n"/>
      <c r="Z155" s="89" t="n"/>
      <c r="AA155" s="90">
        <f>W155+X155+Y155+Z155</f>
        <v/>
      </c>
      <c r="AB155" s="89" t="n"/>
      <c r="AC155" s="89" t="n"/>
      <c r="AD155" s="89" t="n"/>
      <c r="AE155" s="89" t="n"/>
      <c r="AF155" s="89" t="n"/>
      <c r="AG155" s="90">
        <f>AB155+AC155+AD155+AE155+AF155</f>
        <v/>
      </c>
      <c r="AH155" s="89" t="n"/>
      <c r="AI155" s="89" t="n"/>
      <c r="AJ155" s="89" t="n"/>
      <c r="AK155" s="89" t="n"/>
      <c r="AL155" s="90">
        <f>AH155+AI155+AJ155+AK155</f>
        <v/>
      </c>
      <c r="AM155" s="89" t="n"/>
      <c r="AN155" s="89" t="n"/>
      <c r="AO155" s="89" t="n"/>
      <c r="AP155" s="89" t="n"/>
      <c r="AQ155" s="89" t="n"/>
      <c r="AR155" s="90">
        <f>AM155+AN155+AO155+AP155+AQ155</f>
        <v/>
      </c>
      <c r="AS155" s="89" t="n"/>
      <c r="AT155" s="89" t="n"/>
      <c r="AU155" s="89" t="n"/>
      <c r="AV155" s="89" t="n"/>
      <c r="AW155" s="90">
        <f>AS155+AT155+AU155+AV155</f>
        <v/>
      </c>
      <c r="AX155" s="89" t="n"/>
      <c r="AY155" s="89" t="n"/>
      <c r="AZ155" s="89" t="n"/>
      <c r="BA155" s="89" t="n"/>
      <c r="BB155" s="90">
        <f>AX155+AY155+AZ155+BA155</f>
        <v/>
      </c>
      <c r="BC155" s="89" t="n"/>
      <c r="BD155" s="89" t="n"/>
      <c r="BE155" s="89" t="n"/>
      <c r="BF155" s="89" t="n"/>
      <c r="BG155" s="89" t="n"/>
      <c r="BH155" s="90">
        <f>BC155+BD155+BE155+BF155+BG155</f>
        <v/>
      </c>
      <c r="BI155" s="89" t="n"/>
      <c r="BJ155" s="89" t="n"/>
      <c r="BK155" s="89" t="n"/>
      <c r="BL155" s="89" t="n"/>
      <c r="BM155" s="90">
        <f>BI155+BJ155+BK155+BL155</f>
        <v/>
      </c>
    </row>
    <row r="156" ht="15.75" customHeight="1">
      <c r="A156" s="93" t="inlineStr">
        <is>
          <t>SACOLA G QDB</t>
        </is>
      </c>
      <c r="B156" s="201" t="n">
        <v>0</v>
      </c>
      <c r="C156" s="89" t="n">
        <v>0</v>
      </c>
      <c r="D156" s="89" t="n">
        <v>0</v>
      </c>
      <c r="E156" s="89" t="n">
        <v>0</v>
      </c>
      <c r="F156" s="90">
        <f>B156+C156+D156+E156</f>
        <v/>
      </c>
      <c r="G156" s="89" t="n">
        <v>0</v>
      </c>
      <c r="H156" s="89" t="n">
        <v>0</v>
      </c>
      <c r="I156" s="89" t="n">
        <v>0</v>
      </c>
      <c r="J156" s="89" t="n">
        <v>0</v>
      </c>
      <c r="K156" s="90">
        <f>G156+H156+I156+J156</f>
        <v/>
      </c>
      <c r="L156" s="89" t="n">
        <v>0</v>
      </c>
      <c r="M156" s="89" t="n">
        <v>0</v>
      </c>
      <c r="N156" s="89" t="n">
        <v>0</v>
      </c>
      <c r="O156" s="89" t="n">
        <v>0</v>
      </c>
      <c r="P156" s="89" t="n">
        <v>0</v>
      </c>
      <c r="Q156" s="90">
        <f>L156+M156+N156+O156+P156</f>
        <v/>
      </c>
      <c r="R156" s="89" t="n"/>
      <c r="S156" s="89" t="n"/>
      <c r="T156" s="89" t="n"/>
      <c r="U156" s="89" t="n"/>
      <c r="V156" s="90">
        <f>R156+S156+T156+U156</f>
        <v/>
      </c>
      <c r="W156" s="89" t="n">
        <v>0</v>
      </c>
      <c r="X156" s="89" t="n">
        <v>0</v>
      </c>
      <c r="Y156" s="89" t="n"/>
      <c r="Z156" s="89" t="n"/>
      <c r="AA156" s="90">
        <f>W156+X156+Y156+Z156</f>
        <v/>
      </c>
      <c r="AB156" s="89" t="n"/>
      <c r="AC156" s="89" t="n"/>
      <c r="AD156" s="89" t="n"/>
      <c r="AE156" s="89" t="n"/>
      <c r="AF156" s="89" t="n"/>
      <c r="AG156" s="90">
        <f>AB156+AC156+AD156+AE156+AF156</f>
        <v/>
      </c>
      <c r="AH156" s="89" t="n"/>
      <c r="AI156" s="89" t="n"/>
      <c r="AJ156" s="89" t="n"/>
      <c r="AK156" s="89" t="n"/>
      <c r="AL156" s="90">
        <f>AH156+AI156+AJ156+AK156</f>
        <v/>
      </c>
      <c r="AM156" s="89" t="n"/>
      <c r="AN156" s="89" t="n"/>
      <c r="AO156" s="89" t="n"/>
      <c r="AP156" s="89" t="n"/>
      <c r="AQ156" s="89" t="n"/>
      <c r="AR156" s="90">
        <f>AM156+AN156+AO156+AP156+AQ156</f>
        <v/>
      </c>
      <c r="AS156" s="89" t="n"/>
      <c r="AT156" s="89" t="n"/>
      <c r="AU156" s="89" t="n"/>
      <c r="AV156" s="89" t="n"/>
      <c r="AW156" s="90">
        <f>AS156+AT156+AU156+AV156</f>
        <v/>
      </c>
      <c r="AX156" s="89" t="n"/>
      <c r="AY156" s="89" t="n"/>
      <c r="AZ156" s="89" t="n"/>
      <c r="BA156" s="89" t="n"/>
      <c r="BB156" s="90">
        <f>AX156+AY156+AZ156+BA156</f>
        <v/>
      </c>
      <c r="BC156" s="89" t="n"/>
      <c r="BD156" s="89" t="n"/>
      <c r="BE156" s="89" t="n"/>
      <c r="BF156" s="89" t="n"/>
      <c r="BG156" s="89" t="n"/>
      <c r="BH156" s="90">
        <f>BC156+BD156+BE156+BF156+BG156</f>
        <v/>
      </c>
      <c r="BI156" s="89" t="n"/>
      <c r="BJ156" s="89" t="n"/>
      <c r="BK156" s="89" t="n"/>
      <c r="BL156" s="89" t="n"/>
      <c r="BM156" s="90">
        <f>BI156+BJ156+BK156+BL156</f>
        <v/>
      </c>
    </row>
    <row r="157" ht="15.75" customHeight="1">
      <c r="A157" s="93" t="inlineStr">
        <is>
          <t>PAPEL DE SEDA QDB</t>
        </is>
      </c>
      <c r="B157" s="201" t="n">
        <v>0</v>
      </c>
      <c r="C157" s="201" t="n">
        <v>0</v>
      </c>
      <c r="D157" s="201" t="n">
        <v>0</v>
      </c>
      <c r="E157" s="201" t="n">
        <v>0</v>
      </c>
      <c r="F157" s="90">
        <f>B157+C157+D157+E157</f>
        <v/>
      </c>
      <c r="G157" s="201" t="n">
        <v>0</v>
      </c>
      <c r="H157" s="201" t="n">
        <v>0</v>
      </c>
      <c r="I157" s="201" t="n">
        <v>0</v>
      </c>
      <c r="J157" s="201" t="n">
        <v>0</v>
      </c>
      <c r="K157" s="90">
        <f>G157+H157+I157+J157</f>
        <v/>
      </c>
      <c r="L157" s="201" t="n">
        <v>0</v>
      </c>
      <c r="M157" s="201" t="n">
        <v>0</v>
      </c>
      <c r="N157" s="201" t="n">
        <v>0</v>
      </c>
      <c r="O157" s="201" t="n">
        <v>0</v>
      </c>
      <c r="P157" s="201" t="n">
        <v>0</v>
      </c>
      <c r="Q157" s="90">
        <f>L157+M157+N157+O157+P157</f>
        <v/>
      </c>
      <c r="R157" s="201" t="n"/>
      <c r="S157" s="201" t="n"/>
      <c r="T157" s="201" t="n"/>
      <c r="U157" s="201" t="n"/>
      <c r="V157" s="90">
        <f>R157+S157+T157+U157</f>
        <v/>
      </c>
      <c r="W157" s="201" t="n">
        <v>0</v>
      </c>
      <c r="X157" s="201" t="n">
        <v>0</v>
      </c>
      <c r="Y157" s="201" t="n"/>
      <c r="Z157" s="201" t="n"/>
      <c r="AA157" s="90">
        <f>W157+X157+Y157+Z157</f>
        <v/>
      </c>
      <c r="AB157" s="201" t="n"/>
      <c r="AC157" s="201" t="n"/>
      <c r="AD157" s="201" t="n"/>
      <c r="AE157" s="201" t="n"/>
      <c r="AF157" s="201" t="n"/>
      <c r="AG157" s="90">
        <f>AB157+AC157+AD157+AE157+AF157</f>
        <v/>
      </c>
      <c r="AH157" s="201" t="n"/>
      <c r="AI157" s="201" t="n"/>
      <c r="AJ157" s="201" t="n"/>
      <c r="AK157" s="201" t="n"/>
      <c r="AL157" s="90">
        <f>AH157+AI157+AJ157+AK157</f>
        <v/>
      </c>
      <c r="AM157" s="89" t="n"/>
      <c r="AN157" s="89" t="n"/>
      <c r="AO157" s="89" t="n"/>
      <c r="AP157" s="89" t="n"/>
      <c r="AQ157" s="89" t="n"/>
      <c r="AR157" s="90">
        <f>AM157+AN157+AO157+AP157+AQ157</f>
        <v/>
      </c>
      <c r="AS157" s="89" t="n"/>
      <c r="AT157" s="89" t="n"/>
      <c r="AU157" s="89" t="n"/>
      <c r="AV157" s="89" t="n"/>
      <c r="AW157" s="90">
        <f>AS157+AT157+AU157+AV157</f>
        <v/>
      </c>
      <c r="AX157" s="89" t="n"/>
      <c r="AY157" s="89" t="n"/>
      <c r="AZ157" s="89" t="n"/>
      <c r="BA157" s="89" t="n"/>
      <c r="BB157" s="90">
        <f>AX157+AY157+AZ157+BA157</f>
        <v/>
      </c>
      <c r="BC157" s="89" t="n"/>
      <c r="BD157" s="89" t="n"/>
      <c r="BE157" s="89" t="n"/>
      <c r="BF157" s="89" t="n"/>
      <c r="BG157" s="89" t="n"/>
      <c r="BH157" s="90">
        <f>BC157+BD157+BE157+BF157+BG157</f>
        <v/>
      </c>
      <c r="BI157" s="89" t="n"/>
      <c r="BJ157" s="89" t="n"/>
      <c r="BK157" s="89" t="n"/>
      <c r="BL157" s="89" t="n"/>
      <c r="BM157" s="90">
        <f>BI157+BJ157+BK157+BL157</f>
        <v/>
      </c>
    </row>
    <row r="158" ht="15.75" customHeight="1">
      <c r="A158" s="93" t="inlineStr">
        <is>
          <t>ETIQUETA QDB</t>
        </is>
      </c>
      <c r="B158" s="201" t="n">
        <v>0</v>
      </c>
      <c r="C158" s="201" t="n">
        <v>0</v>
      </c>
      <c r="D158" s="201" t="n">
        <v>0</v>
      </c>
      <c r="E158" s="201" t="n">
        <v>0</v>
      </c>
      <c r="F158" s="90">
        <f>B158+C158+D158+E158</f>
        <v/>
      </c>
      <c r="G158" s="201" t="n">
        <v>0</v>
      </c>
      <c r="H158" s="201" t="n">
        <v>0</v>
      </c>
      <c r="I158" s="201" t="n">
        <v>0</v>
      </c>
      <c r="J158" s="201" t="n">
        <v>0</v>
      </c>
      <c r="K158" s="90">
        <f>G158+H158+I158+J158</f>
        <v/>
      </c>
      <c r="L158" s="201" t="n">
        <v>0</v>
      </c>
      <c r="M158" s="201" t="n">
        <v>0</v>
      </c>
      <c r="N158" s="201" t="n">
        <v>0</v>
      </c>
      <c r="O158" s="201" t="n">
        <v>0</v>
      </c>
      <c r="P158" s="201" t="n">
        <v>0</v>
      </c>
      <c r="Q158" s="90">
        <f>L158+M158+N158+O158+P158</f>
        <v/>
      </c>
      <c r="R158" s="201" t="n"/>
      <c r="S158" s="201" t="n"/>
      <c r="T158" s="201" t="n"/>
      <c r="U158" s="201" t="n"/>
      <c r="V158" s="90">
        <f>R158+S158+T158+U158</f>
        <v/>
      </c>
      <c r="W158" s="201" t="n">
        <v>0</v>
      </c>
      <c r="X158" s="201" t="n">
        <v>0</v>
      </c>
      <c r="Y158" s="201" t="n"/>
      <c r="Z158" s="201" t="n"/>
      <c r="AA158" s="90">
        <f>W158+X158+Y158+Z158</f>
        <v/>
      </c>
      <c r="AB158" s="201" t="n"/>
      <c r="AC158" s="201" t="n"/>
      <c r="AD158" s="201" t="n"/>
      <c r="AE158" s="201" t="n"/>
      <c r="AF158" s="201" t="n"/>
      <c r="AG158" s="90">
        <f>AB158+AC158+AD158+AE158+AF158</f>
        <v/>
      </c>
      <c r="AH158" s="201" t="n"/>
      <c r="AI158" s="201" t="n"/>
      <c r="AJ158" s="201" t="n"/>
      <c r="AK158" s="201" t="n"/>
      <c r="AL158" s="90">
        <f>AH158+AI158+AJ158+AK158</f>
        <v/>
      </c>
      <c r="AM158" s="89" t="n"/>
      <c r="AN158" s="89" t="n"/>
      <c r="AO158" s="89" t="n"/>
      <c r="AP158" s="89" t="n"/>
      <c r="AQ158" s="89" t="n"/>
      <c r="AR158" s="90">
        <f>AM158+AN158+AO158+AP158+AQ158</f>
        <v/>
      </c>
      <c r="AS158" s="89" t="n"/>
      <c r="AT158" s="89" t="n"/>
      <c r="AU158" s="89" t="n"/>
      <c r="AV158" s="89" t="n"/>
      <c r="AW158" s="90">
        <f>AS158+AT158+AU158+AV158</f>
        <v/>
      </c>
      <c r="AX158" s="89" t="n"/>
      <c r="AY158" s="89" t="n"/>
      <c r="AZ158" s="89" t="n"/>
      <c r="BA158" s="89" t="n"/>
      <c r="BB158" s="90">
        <f>AX158+AY158+AZ158+BA158</f>
        <v/>
      </c>
      <c r="BC158" s="89" t="n"/>
      <c r="BD158" s="89" t="n"/>
      <c r="BE158" s="89" t="n"/>
      <c r="BF158" s="89" t="n"/>
      <c r="BG158" s="89" t="n"/>
      <c r="BH158" s="90">
        <f>BC158+BD158+BE158+BF158+BG158</f>
        <v/>
      </c>
      <c r="BI158" s="89" t="n"/>
      <c r="BJ158" s="89" t="n"/>
      <c r="BK158" s="89" t="n"/>
      <c r="BL158" s="89" t="n"/>
      <c r="BM158" s="90">
        <f>BI158+BJ158+BK158+BL158</f>
        <v/>
      </c>
    </row>
    <row r="159" ht="15.75" customHeight="1">
      <c r="A159" s="93" t="inlineStr">
        <is>
          <t>TAG QDB</t>
        </is>
      </c>
      <c r="B159" s="201" t="n">
        <v>0</v>
      </c>
      <c r="C159" s="201" t="n">
        <v>0</v>
      </c>
      <c r="D159" s="201" t="n">
        <v>0</v>
      </c>
      <c r="E159" s="201" t="n">
        <v>0</v>
      </c>
      <c r="F159" s="90">
        <f>B159+C159+D159+E159</f>
        <v/>
      </c>
      <c r="G159" s="201" t="n">
        <v>0</v>
      </c>
      <c r="H159" s="201" t="n">
        <v>0</v>
      </c>
      <c r="I159" s="201" t="n">
        <v>0</v>
      </c>
      <c r="J159" s="201" t="n">
        <v>0</v>
      </c>
      <c r="K159" s="90">
        <f>G159+H159+I159+J159</f>
        <v/>
      </c>
      <c r="L159" s="201" t="n">
        <v>0</v>
      </c>
      <c r="M159" s="201" t="n">
        <v>0</v>
      </c>
      <c r="N159" s="201" t="n">
        <v>0</v>
      </c>
      <c r="O159" s="201" t="n">
        <v>0</v>
      </c>
      <c r="P159" s="201" t="n">
        <v>0</v>
      </c>
      <c r="Q159" s="90">
        <f>L159+M159+N159+O159+P159</f>
        <v/>
      </c>
      <c r="R159" s="201" t="n"/>
      <c r="S159" s="201" t="n"/>
      <c r="T159" s="201" t="n"/>
      <c r="U159" s="201" t="n"/>
      <c r="V159" s="90">
        <f>R159+S159+T159+U159</f>
        <v/>
      </c>
      <c r="W159" s="201" t="n">
        <v>0</v>
      </c>
      <c r="X159" s="201" t="n">
        <v>0</v>
      </c>
      <c r="Y159" s="201" t="n"/>
      <c r="Z159" s="201" t="n"/>
      <c r="AA159" s="90">
        <f>W159+X159+Y159+Z159</f>
        <v/>
      </c>
      <c r="AB159" s="201" t="n"/>
      <c r="AC159" s="201" t="n"/>
      <c r="AD159" s="201" t="n"/>
      <c r="AE159" s="201" t="n"/>
      <c r="AF159" s="201" t="n"/>
      <c r="AG159" s="90">
        <f>AB159+AC159+AD159+AE159+AF159</f>
        <v/>
      </c>
      <c r="AH159" s="201" t="n"/>
      <c r="AI159" s="201" t="n"/>
      <c r="AJ159" s="201" t="n"/>
      <c r="AK159" s="201" t="n"/>
      <c r="AL159" s="90">
        <f>AH159+AI159+AJ159+AK159</f>
        <v/>
      </c>
      <c r="AM159" s="89" t="n"/>
      <c r="AN159" s="89" t="n"/>
      <c r="AO159" s="89" t="n"/>
      <c r="AP159" s="89" t="n"/>
      <c r="AQ159" s="89" t="n"/>
      <c r="AR159" s="90">
        <f>AM159+AN159+AO159+AP159+AQ159</f>
        <v/>
      </c>
      <c r="AS159" s="89" t="n"/>
      <c r="AT159" s="89" t="n"/>
      <c r="AU159" s="89" t="n"/>
      <c r="AV159" s="89" t="n"/>
      <c r="AW159" s="90">
        <f>AS159+AT159+AU159+AV159</f>
        <v/>
      </c>
      <c r="AX159" s="89" t="n"/>
      <c r="AY159" s="89" t="n"/>
      <c r="AZ159" s="89" t="n"/>
      <c r="BA159" s="89" t="n"/>
      <c r="BB159" s="90">
        <f>AX159+AY159+AZ159+BA159</f>
        <v/>
      </c>
      <c r="BC159" s="89" t="n"/>
      <c r="BD159" s="89" t="n"/>
      <c r="BE159" s="89" t="n"/>
      <c r="BF159" s="89" t="n"/>
      <c r="BG159" s="89" t="n"/>
      <c r="BH159" s="90">
        <f>BC159+BD159+BE159+BF159+BG159</f>
        <v/>
      </c>
      <c r="BI159" s="89" t="n"/>
      <c r="BJ159" s="89" t="n"/>
      <c r="BK159" s="89" t="n"/>
      <c r="BL159" s="89" t="n"/>
      <c r="BM159" s="90">
        <f>BI159+BJ159+BK159+BL159</f>
        <v/>
      </c>
    </row>
    <row r="160" ht="15.75" customHeight="1">
      <c r="A160" s="93" t="inlineStr">
        <is>
          <t>LÂMINA OLFATIVA QDB</t>
        </is>
      </c>
      <c r="B160" s="201" t="n">
        <v>0</v>
      </c>
      <c r="C160" s="201" t="n">
        <v>0</v>
      </c>
      <c r="D160" s="201" t="n">
        <v>0</v>
      </c>
      <c r="E160" s="201" t="n">
        <v>0</v>
      </c>
      <c r="F160" s="90">
        <f>B160+C160+D160+E160</f>
        <v/>
      </c>
      <c r="G160" s="201" t="n">
        <v>0</v>
      </c>
      <c r="H160" s="201" t="n">
        <v>0</v>
      </c>
      <c r="I160" s="201" t="n">
        <v>0</v>
      </c>
      <c r="J160" s="201" t="n">
        <v>0</v>
      </c>
      <c r="K160" s="90">
        <f>G160+H160+I160+J160</f>
        <v/>
      </c>
      <c r="L160" s="201" t="n">
        <v>0</v>
      </c>
      <c r="M160" s="201" t="n">
        <v>0</v>
      </c>
      <c r="N160" s="201" t="n">
        <v>0</v>
      </c>
      <c r="O160" s="201" t="n">
        <v>0</v>
      </c>
      <c r="P160" s="201" t="n">
        <v>0</v>
      </c>
      <c r="Q160" s="90">
        <f>L160+M160+N160+O160+P160</f>
        <v/>
      </c>
      <c r="R160" s="201" t="n"/>
      <c r="S160" s="201" t="n"/>
      <c r="T160" s="201" t="n"/>
      <c r="U160" s="201" t="n"/>
      <c r="V160" s="90">
        <f>R160+S160+T160+U160</f>
        <v/>
      </c>
      <c r="W160" s="201" t="n">
        <v>0</v>
      </c>
      <c r="X160" s="201" t="n">
        <v>0</v>
      </c>
      <c r="Y160" s="201" t="n"/>
      <c r="Z160" s="201" t="n"/>
      <c r="AA160" s="90">
        <f>W160+X160+Y160+Z160</f>
        <v/>
      </c>
      <c r="AB160" s="201" t="n"/>
      <c r="AC160" s="201" t="n"/>
      <c r="AD160" s="201" t="n"/>
      <c r="AE160" s="201" t="n"/>
      <c r="AF160" s="201" t="n"/>
      <c r="AG160" s="90">
        <f>AB160+AC160+AD160+AE160+AF160</f>
        <v/>
      </c>
      <c r="AH160" s="201" t="n"/>
      <c r="AI160" s="201" t="n"/>
      <c r="AJ160" s="201" t="n"/>
      <c r="AK160" s="201" t="n"/>
      <c r="AL160" s="90">
        <f>AH160+AI160+AJ160+AK160</f>
        <v/>
      </c>
      <c r="AM160" s="89" t="n"/>
      <c r="AN160" s="89" t="n"/>
      <c r="AO160" s="89" t="n"/>
      <c r="AP160" s="89" t="n"/>
      <c r="AQ160" s="89" t="n"/>
      <c r="AR160" s="90">
        <f>AM160+AN160+AO160+AP160+AQ160</f>
        <v/>
      </c>
      <c r="AS160" s="89" t="n"/>
      <c r="AT160" s="89" t="n"/>
      <c r="AU160" s="89" t="n"/>
      <c r="AV160" s="89" t="n"/>
      <c r="AW160" s="90">
        <f>AS160+AT160+AU160+AV160</f>
        <v/>
      </c>
      <c r="AX160" s="89" t="n"/>
      <c r="AY160" s="89" t="n"/>
      <c r="AZ160" s="89" t="n"/>
      <c r="BA160" s="89" t="n"/>
      <c r="BB160" s="90">
        <f>AX160+AY160+AZ160+BA160</f>
        <v/>
      </c>
      <c r="BC160" s="89" t="n"/>
      <c r="BD160" s="89" t="n"/>
      <c r="BE160" s="89" t="n"/>
      <c r="BF160" s="89" t="n"/>
      <c r="BG160" s="89" t="n"/>
      <c r="BH160" s="90">
        <f>BC160+BD160+BE160+BF160+BG160</f>
        <v/>
      </c>
      <c r="BI160" s="89" t="n"/>
      <c r="BJ160" s="89" t="n"/>
      <c r="BK160" s="89" t="n"/>
      <c r="BL160" s="89" t="n"/>
      <c r="BM160" s="90">
        <f>BI160+BJ160+BK160+BL160</f>
        <v/>
      </c>
    </row>
    <row r="161" ht="15.75" customHeight="1">
      <c r="A161" s="93" t="inlineStr">
        <is>
          <t>SACOLA P EUDORA</t>
        </is>
      </c>
      <c r="B161" s="201" t="n">
        <v>200</v>
      </c>
      <c r="C161" s="201" t="n">
        <v>400</v>
      </c>
      <c r="D161" s="201" t="n">
        <v>400</v>
      </c>
      <c r="E161" s="201" t="n">
        <v>0</v>
      </c>
      <c r="F161" s="90">
        <f>B161+C161+D161+E161</f>
        <v/>
      </c>
      <c r="G161" s="201" t="n">
        <v>800</v>
      </c>
      <c r="H161" s="201" t="n">
        <v>400</v>
      </c>
      <c r="I161" s="201" t="n">
        <v>400</v>
      </c>
      <c r="J161" s="201" t="n">
        <v>200</v>
      </c>
      <c r="K161" s="90">
        <f>G161+H161+I161+J161</f>
        <v/>
      </c>
      <c r="L161" s="201" t="n">
        <v>200</v>
      </c>
      <c r="M161" s="201" t="n">
        <v>200</v>
      </c>
      <c r="N161" s="201" t="n">
        <v>600</v>
      </c>
      <c r="O161" s="201" t="n">
        <v>0</v>
      </c>
      <c r="P161" s="201" t="n">
        <v>200</v>
      </c>
      <c r="Q161" s="90">
        <f>L161+M161+N161+O161+P161</f>
        <v/>
      </c>
      <c r="R161" s="201" t="n"/>
      <c r="S161" s="201" t="n"/>
      <c r="T161" s="201" t="n"/>
      <c r="U161" s="201" t="n"/>
      <c r="V161" s="90">
        <f>R161+S161+T161+U161</f>
        <v/>
      </c>
      <c r="W161" s="201" t="n">
        <v>200</v>
      </c>
      <c r="X161" s="201" t="n">
        <v>0</v>
      </c>
      <c r="Y161" s="201" t="n"/>
      <c r="Z161" s="201" t="n"/>
      <c r="AA161" s="90">
        <f>W161+X161+Y161+Z161</f>
        <v/>
      </c>
      <c r="AB161" s="201" t="n"/>
      <c r="AC161" s="201" t="n"/>
      <c r="AD161" s="201" t="n"/>
      <c r="AE161" s="201" t="n"/>
      <c r="AF161" s="201" t="n"/>
      <c r="AG161" s="90">
        <f>AB161+AC161+AD161+AE161+AF161</f>
        <v/>
      </c>
      <c r="AH161" s="201" t="n"/>
      <c r="AI161" s="201" t="n"/>
      <c r="AJ161" s="201" t="n"/>
      <c r="AK161" s="201" t="n"/>
      <c r="AL161" s="90">
        <f>AH161+AI161+AJ161+AK161</f>
        <v/>
      </c>
      <c r="AM161" s="89" t="n"/>
      <c r="AN161" s="89" t="n"/>
      <c r="AO161" s="89" t="n"/>
      <c r="AP161" s="89" t="n"/>
      <c r="AQ161" s="89" t="n"/>
      <c r="AR161" s="90">
        <f>AM161+AN161+AO161+AP161+AQ161</f>
        <v/>
      </c>
      <c r="AS161" s="89" t="n"/>
      <c r="AT161" s="89" t="n"/>
      <c r="AU161" s="89" t="n"/>
      <c r="AV161" s="89" t="n"/>
      <c r="AW161" s="90">
        <f>AS161+AT161+AU161+AV161</f>
        <v/>
      </c>
      <c r="AX161" s="89" t="n"/>
      <c r="AY161" s="89" t="n"/>
      <c r="AZ161" s="89" t="n"/>
      <c r="BA161" s="89" t="n"/>
      <c r="BB161" s="90">
        <f>AX161+AY161+AZ161+BA161</f>
        <v/>
      </c>
      <c r="BC161" s="89" t="n"/>
      <c r="BD161" s="89" t="n"/>
      <c r="BE161" s="89" t="n"/>
      <c r="BF161" s="89" t="n"/>
      <c r="BG161" s="89" t="n"/>
      <c r="BH161" s="90">
        <f>BC161+BD161+BE161+BF161+BG161</f>
        <v/>
      </c>
      <c r="BI161" s="89" t="n"/>
      <c r="BJ161" s="89" t="n"/>
      <c r="BK161" s="89" t="n"/>
      <c r="BL161" s="89" t="n"/>
      <c r="BM161" s="90">
        <f>BI161+BJ161+BK161+BL161</f>
        <v/>
      </c>
    </row>
    <row r="162" ht="15.75" customHeight="1">
      <c r="A162" s="93" t="inlineStr">
        <is>
          <t>SACOLA M EUDORA</t>
        </is>
      </c>
      <c r="B162" s="201" t="n">
        <v>0</v>
      </c>
      <c r="C162" s="201" t="n">
        <v>200</v>
      </c>
      <c r="D162" s="201" t="n">
        <v>0</v>
      </c>
      <c r="E162" s="201" t="n">
        <v>200</v>
      </c>
      <c r="F162" s="90">
        <f>B162+C162+D162+E162</f>
        <v/>
      </c>
      <c r="G162" s="201" t="n">
        <v>0</v>
      </c>
      <c r="H162" s="201" t="n">
        <v>200</v>
      </c>
      <c r="I162" s="201" t="n">
        <v>0</v>
      </c>
      <c r="J162" s="201" t="n">
        <v>200</v>
      </c>
      <c r="K162" s="90">
        <f>G162+H162+I162+J162</f>
        <v/>
      </c>
      <c r="L162" s="201" t="n">
        <v>200</v>
      </c>
      <c r="M162" s="201" t="n">
        <v>200</v>
      </c>
      <c r="N162" s="201" t="n">
        <v>0</v>
      </c>
      <c r="O162" s="201" t="n">
        <v>0</v>
      </c>
      <c r="P162" s="201" t="n">
        <v>0</v>
      </c>
      <c r="Q162" s="90">
        <f>L162+M162+N162+O162+P162</f>
        <v/>
      </c>
      <c r="R162" s="201" t="n"/>
      <c r="S162" s="201" t="n"/>
      <c r="T162" s="201" t="n"/>
      <c r="U162" s="201" t="n"/>
      <c r="V162" s="90">
        <f>R162+S162+T162+U162</f>
        <v/>
      </c>
      <c r="W162" s="201" t="n">
        <v>200</v>
      </c>
      <c r="X162" s="201" t="n">
        <v>200</v>
      </c>
      <c r="Y162" s="201" t="n"/>
      <c r="Z162" s="201" t="n"/>
      <c r="AA162" s="90">
        <f>W162+X162+Y162+Z162</f>
        <v/>
      </c>
      <c r="AB162" s="201" t="n"/>
      <c r="AC162" s="201" t="n"/>
      <c r="AD162" s="201" t="n"/>
      <c r="AE162" s="201" t="n"/>
      <c r="AF162" s="201" t="n"/>
      <c r="AG162" s="90">
        <f>AB162+AC162+AD162+AE162+AF162</f>
        <v/>
      </c>
      <c r="AH162" s="201" t="n"/>
      <c r="AI162" s="201" t="n"/>
      <c r="AJ162" s="201" t="n"/>
      <c r="AK162" s="201" t="n"/>
      <c r="AL162" s="90">
        <f>AH162+AI162+AJ162+AK162</f>
        <v/>
      </c>
      <c r="AM162" s="89" t="n"/>
      <c r="AN162" s="89" t="n"/>
      <c r="AO162" s="89" t="n"/>
      <c r="AP162" s="89" t="n"/>
      <c r="AQ162" s="89" t="n"/>
      <c r="AR162" s="90">
        <f>AM162+AN162+AO162+AP162+AQ162</f>
        <v/>
      </c>
      <c r="AS162" s="89" t="n"/>
      <c r="AT162" s="89" t="n"/>
      <c r="AU162" s="89" t="n"/>
      <c r="AV162" s="89" t="n"/>
      <c r="AW162" s="90">
        <f>AS162+AT162+AU162+AV162</f>
        <v/>
      </c>
      <c r="AX162" s="89" t="n"/>
      <c r="AY162" s="89" t="n"/>
      <c r="AZ162" s="89" t="n"/>
      <c r="BA162" s="89" t="n"/>
      <c r="BB162" s="90">
        <f>AX162+AY162+AZ162+BA162</f>
        <v/>
      </c>
      <c r="BC162" s="89" t="n"/>
      <c r="BD162" s="89" t="n"/>
      <c r="BE162" s="89" t="n"/>
      <c r="BF162" s="89" t="n"/>
      <c r="BG162" s="89" t="n"/>
      <c r="BH162" s="90">
        <f>BC162+BD162+BE162+BF162+BG162</f>
        <v/>
      </c>
      <c r="BI162" s="89" t="n"/>
      <c r="BJ162" s="89" t="n"/>
      <c r="BK162" s="89" t="n"/>
      <c r="BL162" s="89" t="n"/>
      <c r="BM162" s="90">
        <f>BI162+BJ162+BK162+BL162</f>
        <v/>
      </c>
    </row>
    <row r="163" ht="15.75" customHeight="1">
      <c r="A163" s="93" t="inlineStr">
        <is>
          <t>SACOLA G EUDORA</t>
        </is>
      </c>
      <c r="B163" s="201" t="n">
        <v>100</v>
      </c>
      <c r="C163" s="201" t="n">
        <v>100</v>
      </c>
      <c r="D163" s="201" t="n">
        <v>0</v>
      </c>
      <c r="E163" s="201" t="n">
        <v>0</v>
      </c>
      <c r="F163" s="90">
        <f>B163+C163+D163+E163</f>
        <v/>
      </c>
      <c r="G163" s="201" t="n">
        <v>100</v>
      </c>
      <c r="H163" s="201" t="n">
        <v>0</v>
      </c>
      <c r="I163" s="201" t="n">
        <v>0</v>
      </c>
      <c r="J163" s="201" t="n">
        <v>0</v>
      </c>
      <c r="K163" s="90">
        <f>G163+H163+I163+J163</f>
        <v/>
      </c>
      <c r="L163" s="201" t="n">
        <v>100</v>
      </c>
      <c r="M163" s="201" t="n">
        <v>100</v>
      </c>
      <c r="N163" s="201" t="n">
        <v>0</v>
      </c>
      <c r="O163" s="201" t="n">
        <v>0</v>
      </c>
      <c r="P163" s="201" t="n">
        <v>100</v>
      </c>
      <c r="Q163" s="90">
        <f>L163+M163+N163+O163+P163</f>
        <v/>
      </c>
      <c r="R163" s="201" t="n"/>
      <c r="S163" s="201" t="n"/>
      <c r="T163" s="201" t="n"/>
      <c r="U163" s="201" t="n"/>
      <c r="V163" s="90">
        <f>R163+S163+T163+U163</f>
        <v/>
      </c>
      <c r="W163" s="201" t="n">
        <v>0</v>
      </c>
      <c r="X163" s="201" t="n">
        <v>100</v>
      </c>
      <c r="Y163" s="201" t="n"/>
      <c r="Z163" s="201" t="n"/>
      <c r="AA163" s="90">
        <f>W163+X163+Y163+Z163</f>
        <v/>
      </c>
      <c r="AB163" s="201" t="n"/>
      <c r="AC163" s="201" t="n"/>
      <c r="AD163" s="201" t="n"/>
      <c r="AE163" s="201" t="n"/>
      <c r="AF163" s="201" t="n"/>
      <c r="AG163" s="90">
        <f>AB163+AC163+AD163+AE163+AF163</f>
        <v/>
      </c>
      <c r="AH163" s="201" t="n"/>
      <c r="AI163" s="201" t="n"/>
      <c r="AJ163" s="201" t="n"/>
      <c r="AK163" s="201" t="n"/>
      <c r="AL163" s="90">
        <f>AH163+AI163+AJ163+AK163</f>
        <v/>
      </c>
      <c r="AM163" s="89" t="n"/>
      <c r="AN163" s="89" t="n"/>
      <c r="AO163" s="89" t="n"/>
      <c r="AP163" s="89" t="n"/>
      <c r="AQ163" s="89" t="n"/>
      <c r="AR163" s="90">
        <f>AM163+AN163+AO163+AP163+AQ163</f>
        <v/>
      </c>
      <c r="AS163" s="89" t="n"/>
      <c r="AT163" s="89" t="n"/>
      <c r="AU163" s="89" t="n"/>
      <c r="AV163" s="89" t="n"/>
      <c r="AW163" s="90">
        <f>AS163+AT163+AU163+AV163</f>
        <v/>
      </c>
      <c r="AX163" s="89" t="n"/>
      <c r="AY163" s="89" t="n"/>
      <c r="AZ163" s="89" t="n"/>
      <c r="BA163" s="89" t="n"/>
      <c r="BB163" s="90">
        <f>AX163+AY163+AZ163+BA163</f>
        <v/>
      </c>
      <c r="BC163" s="89" t="n"/>
      <c r="BD163" s="89" t="n"/>
      <c r="BE163" s="89" t="n"/>
      <c r="BF163" s="89" t="n"/>
      <c r="BG163" s="89" t="n"/>
      <c r="BH163" s="90">
        <f>BC163+BD163+BE163+BF163+BG163</f>
        <v/>
      </c>
      <c r="BI163" s="89" t="n"/>
      <c r="BJ163" s="89" t="n"/>
      <c r="BK163" s="89" t="n"/>
      <c r="BL163" s="89" t="n"/>
      <c r="BM163" s="90">
        <f>BI163+BJ163+BK163+BL163</f>
        <v/>
      </c>
    </row>
    <row r="164" ht="15.75" customHeight="1">
      <c r="A164" s="202" t="inlineStr">
        <is>
          <t>PAPEL DE SEDA EUDORA</t>
        </is>
      </c>
      <c r="B164" s="201" t="n">
        <v>0</v>
      </c>
      <c r="C164" s="201" t="n">
        <v>0</v>
      </c>
      <c r="D164" s="201" t="n">
        <v>0</v>
      </c>
      <c r="E164" s="201" t="n">
        <v>0</v>
      </c>
      <c r="F164" s="90">
        <f>B164+C164+D164+E164</f>
        <v/>
      </c>
      <c r="G164" s="201" t="n">
        <v>0</v>
      </c>
      <c r="H164" s="201" t="n">
        <v>0</v>
      </c>
      <c r="I164" s="201" t="n">
        <v>0</v>
      </c>
      <c r="J164" s="201" t="n">
        <v>0</v>
      </c>
      <c r="K164" s="90">
        <f>G164+H164+I164+J164</f>
        <v/>
      </c>
      <c r="L164" s="201" t="n">
        <v>0</v>
      </c>
      <c r="M164" s="201" t="n">
        <v>0</v>
      </c>
      <c r="N164" s="201" t="n">
        <v>0</v>
      </c>
      <c r="O164" s="201" t="n">
        <v>0</v>
      </c>
      <c r="P164" s="201" t="n">
        <v>0</v>
      </c>
      <c r="Q164" s="90">
        <f>L164+M164+N164+O164+P164</f>
        <v/>
      </c>
      <c r="R164" s="201" t="n"/>
      <c r="S164" s="201" t="n"/>
      <c r="T164" s="201" t="n"/>
      <c r="U164" s="201" t="n"/>
      <c r="V164" s="90">
        <f>R164+S164+T164+U164</f>
        <v/>
      </c>
      <c r="W164" s="201" t="n">
        <v>0</v>
      </c>
      <c r="X164" s="201" t="n">
        <v>0</v>
      </c>
      <c r="Y164" s="201" t="n"/>
      <c r="Z164" s="201" t="n"/>
      <c r="AA164" s="90">
        <f>W164+X164+Y164+Z164</f>
        <v/>
      </c>
      <c r="AB164" s="201" t="n"/>
      <c r="AC164" s="201" t="n"/>
      <c r="AD164" s="201" t="n"/>
      <c r="AE164" s="201" t="n"/>
      <c r="AF164" s="201" t="n"/>
      <c r="AG164" s="90">
        <f>AB164+AC164+AD164+AE164+AF164</f>
        <v/>
      </c>
      <c r="AH164" s="201" t="n"/>
      <c r="AI164" s="201" t="n"/>
      <c r="AJ164" s="201" t="n"/>
      <c r="AK164" s="201" t="n"/>
      <c r="AL164" s="90">
        <f>AH164+AI164+AJ164+AK164</f>
        <v/>
      </c>
      <c r="AM164" s="89" t="n"/>
      <c r="AN164" s="89" t="n"/>
      <c r="AO164" s="89" t="n"/>
      <c r="AP164" s="89" t="n"/>
      <c r="AQ164" s="89" t="n"/>
      <c r="AR164" s="90">
        <f>AM164+AN164+AO164+AP164+AQ164</f>
        <v/>
      </c>
      <c r="AS164" s="89" t="n"/>
      <c r="AT164" s="89" t="n"/>
      <c r="AU164" s="89" t="n"/>
      <c r="AV164" s="89" t="n"/>
      <c r="AW164" s="90">
        <f>AS164+AT164+AU164+AV164</f>
        <v/>
      </c>
      <c r="AX164" s="89" t="n"/>
      <c r="AY164" s="89" t="n"/>
      <c r="AZ164" s="89" t="n"/>
      <c r="BA164" s="89" t="n"/>
      <c r="BB164" s="90">
        <f>AX164+AY164+AZ164+BA164</f>
        <v/>
      </c>
      <c r="BC164" s="89" t="n"/>
      <c r="BD164" s="89" t="n"/>
      <c r="BE164" s="89" t="n"/>
      <c r="BF164" s="89" t="n"/>
      <c r="BG164" s="89" t="n"/>
      <c r="BH164" s="90">
        <f>BC164+BD164+BE164+BF164+BG164</f>
        <v/>
      </c>
      <c r="BI164" s="89" t="n"/>
      <c r="BJ164" s="89" t="n"/>
      <c r="BK164" s="89" t="n"/>
      <c r="BL164" s="89" t="n"/>
      <c r="BM164" s="90">
        <f>BI164+BJ164+BK164+BL164</f>
        <v/>
      </c>
    </row>
    <row r="165" ht="15.75" customHeight="1">
      <c r="A165" s="202" t="inlineStr">
        <is>
          <t>ADESIVOS EUDORA</t>
        </is>
      </c>
      <c r="B165" s="201" t="n">
        <v>0</v>
      </c>
      <c r="C165" s="201" t="n">
        <v>0</v>
      </c>
      <c r="D165" s="201" t="n">
        <v>0</v>
      </c>
      <c r="E165" s="201" t="n">
        <v>0</v>
      </c>
      <c r="F165" s="90">
        <f>B165+C165+D165+E165</f>
        <v/>
      </c>
      <c r="G165" s="201" t="n">
        <v>0</v>
      </c>
      <c r="H165" s="201" t="n">
        <v>0</v>
      </c>
      <c r="I165" s="201" t="n">
        <v>0</v>
      </c>
      <c r="J165" s="201" t="n">
        <v>0</v>
      </c>
      <c r="K165" s="90">
        <f>G165+H165+I165+J165</f>
        <v/>
      </c>
      <c r="L165" s="201" t="n">
        <v>0</v>
      </c>
      <c r="M165" s="201" t="n">
        <v>0</v>
      </c>
      <c r="N165" s="201" t="n">
        <v>0</v>
      </c>
      <c r="O165" s="201" t="n">
        <v>0</v>
      </c>
      <c r="P165" s="201" t="n">
        <v>0</v>
      </c>
      <c r="Q165" s="90">
        <f>L165+M165+N165+O165+P165</f>
        <v/>
      </c>
      <c r="R165" s="201" t="n"/>
      <c r="S165" s="201" t="n"/>
      <c r="T165" s="201" t="n"/>
      <c r="U165" s="201" t="n"/>
      <c r="V165" s="90">
        <f>R165+S165+T165+U165</f>
        <v/>
      </c>
      <c r="W165" s="201" t="n">
        <v>0</v>
      </c>
      <c r="X165" s="201" t="n">
        <v>0</v>
      </c>
      <c r="Y165" s="201" t="n"/>
      <c r="Z165" s="201" t="n"/>
      <c r="AA165" s="90">
        <f>W165+X165+Y165+Z165</f>
        <v/>
      </c>
      <c r="AB165" s="201" t="n"/>
      <c r="AC165" s="201" t="n"/>
      <c r="AD165" s="201" t="n"/>
      <c r="AE165" s="201" t="n"/>
      <c r="AF165" s="201" t="n"/>
      <c r="AG165" s="90">
        <f>AB165+AC165+AD165+AE165+AF165</f>
        <v/>
      </c>
      <c r="AH165" s="201" t="n"/>
      <c r="AI165" s="201" t="n"/>
      <c r="AJ165" s="201" t="n"/>
      <c r="AK165" s="201" t="n"/>
      <c r="AL165" s="90">
        <f>AH165+AI165+AJ165+AK165</f>
        <v/>
      </c>
      <c r="AM165" s="89" t="n"/>
      <c r="AN165" s="89" t="n"/>
      <c r="AO165" s="89" t="n"/>
      <c r="AP165" s="89" t="n"/>
      <c r="AQ165" s="89" t="n"/>
      <c r="AR165" s="90">
        <f>AM165+AN165+AO165+AP165+AQ165</f>
        <v/>
      </c>
      <c r="AS165" s="89" t="n"/>
      <c r="AT165" s="89" t="n"/>
      <c r="AU165" s="89" t="n"/>
      <c r="AV165" s="89" t="n"/>
      <c r="AW165" s="90">
        <f>AS165+AT165+AU165+AV165</f>
        <v/>
      </c>
      <c r="AX165" s="89" t="n"/>
      <c r="AY165" s="89" t="n"/>
      <c r="AZ165" s="89" t="n"/>
      <c r="BA165" s="89" t="n"/>
      <c r="BB165" s="90">
        <f>AX165+AY165+AZ165+BA165</f>
        <v/>
      </c>
      <c r="BC165" s="89" t="n"/>
      <c r="BD165" s="89" t="n"/>
      <c r="BE165" s="89" t="n"/>
      <c r="BF165" s="89" t="n"/>
      <c r="BG165" s="89" t="n"/>
      <c r="BH165" s="90">
        <f>BC165+BD165+BE165+BF165+BG165</f>
        <v/>
      </c>
      <c r="BI165" s="89" t="n"/>
      <c r="BJ165" s="89" t="n"/>
      <c r="BK165" s="89" t="n"/>
      <c r="BL165" s="89" t="n"/>
      <c r="BM165" s="90">
        <f>BI165+BJ165+BK165+BL165</f>
        <v/>
      </c>
    </row>
    <row r="166" ht="15.75" customHeight="1">
      <c r="A166" s="93" t="inlineStr">
        <is>
          <t>LÂMINA OLFATIVA EUDORA</t>
        </is>
      </c>
      <c r="B166" s="201" t="n">
        <v>0</v>
      </c>
      <c r="C166" s="201" t="n">
        <v>0</v>
      </c>
      <c r="D166" s="201" t="n">
        <v>0</v>
      </c>
      <c r="E166" s="201" t="n">
        <v>0</v>
      </c>
      <c r="F166" s="90">
        <f>B166+C166+D166+E166</f>
        <v/>
      </c>
      <c r="G166" s="201" t="n">
        <v>0</v>
      </c>
      <c r="H166" s="201" t="n">
        <v>0</v>
      </c>
      <c r="I166" s="201" t="n">
        <v>0</v>
      </c>
      <c r="J166" s="201" t="n">
        <v>0</v>
      </c>
      <c r="K166" s="90">
        <f>G166+H166+I166+J166</f>
        <v/>
      </c>
      <c r="L166" s="201" t="n">
        <v>0</v>
      </c>
      <c r="M166" s="201" t="n">
        <v>0</v>
      </c>
      <c r="N166" s="201" t="n">
        <v>0</v>
      </c>
      <c r="O166" s="201" t="n">
        <v>0</v>
      </c>
      <c r="P166" s="201" t="n">
        <v>0</v>
      </c>
      <c r="Q166" s="90">
        <f>L166+M166+N166+O166+P166</f>
        <v/>
      </c>
      <c r="R166" s="201" t="n"/>
      <c r="S166" s="201" t="n"/>
      <c r="T166" s="201" t="n"/>
      <c r="U166" s="201" t="n"/>
      <c r="V166" s="90">
        <f>R166+S166+T166+U166</f>
        <v/>
      </c>
      <c r="W166" s="201" t="n">
        <v>0</v>
      </c>
      <c r="X166" s="201" t="n">
        <v>0</v>
      </c>
      <c r="Y166" s="201" t="n"/>
      <c r="Z166" s="201" t="n"/>
      <c r="AA166" s="90">
        <f>W166+X166+Y166+Z166</f>
        <v/>
      </c>
      <c r="AB166" s="201" t="n"/>
      <c r="AC166" s="201" t="n"/>
      <c r="AD166" s="201" t="n"/>
      <c r="AE166" s="201" t="n"/>
      <c r="AF166" s="201" t="n"/>
      <c r="AG166" s="90">
        <f>AB166+AC166+AD166+AE166+AF166</f>
        <v/>
      </c>
      <c r="AH166" s="201" t="n"/>
      <c r="AI166" s="201" t="n"/>
      <c r="AJ166" s="201" t="n"/>
      <c r="AK166" s="201" t="n"/>
      <c r="AL166" s="90">
        <f>AH166+AI166+AJ166+AK166</f>
        <v/>
      </c>
      <c r="AM166" s="89" t="n"/>
      <c r="AN166" s="89" t="n"/>
      <c r="AO166" s="89" t="n"/>
      <c r="AP166" s="89" t="n"/>
      <c r="AQ166" s="89" t="n"/>
      <c r="AR166" s="90">
        <f>AM166+AN166+AO166+AP166+AQ166</f>
        <v/>
      </c>
      <c r="AS166" s="89" t="n"/>
      <c r="AT166" s="89" t="n"/>
      <c r="AU166" s="89" t="n"/>
      <c r="AV166" s="89" t="n"/>
      <c r="AW166" s="90">
        <f>AS166+AT166+AU166+AV166</f>
        <v/>
      </c>
      <c r="AX166" s="89" t="n"/>
      <c r="AY166" s="89" t="n"/>
      <c r="AZ166" s="89" t="n"/>
      <c r="BA166" s="89" t="n"/>
      <c r="BB166" s="90">
        <f>AX166+AY166+AZ166+BA166</f>
        <v/>
      </c>
      <c r="BC166" s="89" t="n"/>
      <c r="BD166" s="89" t="n"/>
      <c r="BE166" s="89" t="n"/>
      <c r="BF166" s="89" t="n"/>
      <c r="BG166" s="89" t="n"/>
      <c r="BH166" s="90">
        <f>BC166+BD166+BE166+BF166+BG166</f>
        <v/>
      </c>
      <c r="BI166" s="89" t="n"/>
      <c r="BJ166" s="89" t="n"/>
      <c r="BK166" s="89" t="n"/>
      <c r="BL166" s="89" t="n"/>
      <c r="BM166" s="90">
        <f>BI166+BJ166+BK166+BL166</f>
        <v/>
      </c>
    </row>
    <row r="167" ht="15.75" customHeight="1">
      <c r="A167" s="94" t="inlineStr">
        <is>
          <t>TOTAL DE SACOLAS</t>
        </is>
      </c>
      <c r="B167" s="95">
        <f>SUM(B140:B143)</f>
        <v/>
      </c>
      <c r="C167" s="95">
        <f>SUM(C140:C143)</f>
        <v/>
      </c>
      <c r="D167" s="95">
        <f>SUM(D140:D143)</f>
        <v/>
      </c>
      <c r="E167" s="95">
        <f>SUM(E140:E143)</f>
        <v/>
      </c>
      <c r="F167" s="95">
        <f>F140+F141+F142+F143+F154+F155+F156+F161+F162+F163</f>
        <v/>
      </c>
      <c r="G167" s="95">
        <f>SUM(G140:G143)</f>
        <v/>
      </c>
      <c r="H167" s="95">
        <f>SUM(H140:H143)</f>
        <v/>
      </c>
      <c r="I167" s="95">
        <f>SUM(I140:I143)</f>
        <v/>
      </c>
      <c r="J167" s="95">
        <f>SUM(J140:J143)</f>
        <v/>
      </c>
      <c r="K167" s="95">
        <f>K140+K141+K142+K143+K154+K155+K156+K161+K162+K163</f>
        <v/>
      </c>
      <c r="L167" s="95">
        <f>SUM(L140:L143)</f>
        <v/>
      </c>
      <c r="M167" s="95">
        <f>SUM(M140:M143)</f>
        <v/>
      </c>
      <c r="N167" s="95">
        <f>SUM(N140:N143)</f>
        <v/>
      </c>
      <c r="O167" s="95">
        <f>SUM(O140:O143)</f>
        <v/>
      </c>
      <c r="P167" s="95">
        <f>SUM(P140:P143)</f>
        <v/>
      </c>
      <c r="Q167" s="95">
        <f>Q140+Q141+Q142+Q143+Q154+Q155+Q156+Q161+Q162+Q163</f>
        <v/>
      </c>
      <c r="R167" s="95">
        <f>SUM(R140:R143)</f>
        <v/>
      </c>
      <c r="S167" s="95">
        <f>SUM(S140:S143)</f>
        <v/>
      </c>
      <c r="T167" s="95">
        <f>SUM(T140:T143)</f>
        <v/>
      </c>
      <c r="U167" s="95">
        <f>SUM(U140:U143)</f>
        <v/>
      </c>
      <c r="V167" s="95">
        <f>V140+V141+V142+V143+V154+V155+V156+V161+V162+V163</f>
        <v/>
      </c>
      <c r="W167" s="95">
        <f>SUM(W140:W143)</f>
        <v/>
      </c>
      <c r="X167" s="95">
        <f>SUM(X140:X143)</f>
        <v/>
      </c>
      <c r="Y167" s="95">
        <f>SUM(Y140:Y143)</f>
        <v/>
      </c>
      <c r="Z167" s="95">
        <f>SUM(Z140:Z143)</f>
        <v/>
      </c>
      <c r="AA167" s="95">
        <f>AA140+AA141+AA142+AA143+AA154+AA155+AA156+AA161+AA162+AA163</f>
        <v/>
      </c>
      <c r="AB167" s="95">
        <f>SUM(AB140:AB143)</f>
        <v/>
      </c>
      <c r="AC167" s="95">
        <f>SUM(AC140:AC143)</f>
        <v/>
      </c>
      <c r="AD167" s="95">
        <f>SUM(AD140:AD143)</f>
        <v/>
      </c>
      <c r="AE167" s="95">
        <f>SUM(AE140:AE143)</f>
        <v/>
      </c>
      <c r="AF167" s="95">
        <f>SUM(AF140:AF143)</f>
        <v/>
      </c>
      <c r="AG167" s="95">
        <f>AG140+AG141+AG142+AG143+AG154+AG155+AG156+AG161+AG162+AG163</f>
        <v/>
      </c>
      <c r="AH167" s="95">
        <f>SUM(AH140:AH143)</f>
        <v/>
      </c>
      <c r="AI167" s="95">
        <f>SUM(AI140:AI143)</f>
        <v/>
      </c>
      <c r="AJ167" s="95">
        <f>SUM(AJ140:AJ143)</f>
        <v/>
      </c>
      <c r="AK167" s="95">
        <f>SUM(AK140:AK143)</f>
        <v/>
      </c>
      <c r="AL167" s="95">
        <f>AL140+AL141+AL142+AL143+AL154+AL155+AL156+AL161+AL162+AL163</f>
        <v/>
      </c>
      <c r="AM167" s="95">
        <f>SUM(AM140:AM143)</f>
        <v/>
      </c>
      <c r="AN167" s="95">
        <f>SUM(AN140:AN143)</f>
        <v/>
      </c>
      <c r="AO167" s="95">
        <f>SUM(AO140:AO143)</f>
        <v/>
      </c>
      <c r="AP167" s="95">
        <f>SUM(AP140:AP143)</f>
        <v/>
      </c>
      <c r="AQ167" s="95">
        <f>SUM(AQ140:AQ143)</f>
        <v/>
      </c>
      <c r="AR167" s="95">
        <f>AR140+AR141+AR142+AR143+AR154+AR155+AR156+AR161+AR162+AR163</f>
        <v/>
      </c>
      <c r="AS167" s="95">
        <f>SUM(AS140:AS143)</f>
        <v/>
      </c>
      <c r="AT167" s="95">
        <f>SUM(AT140:AT143)</f>
        <v/>
      </c>
      <c r="AU167" s="95">
        <f>SUM(AU140:AU143)</f>
        <v/>
      </c>
      <c r="AV167" s="95">
        <f>SUM(AV140:AV143)</f>
        <v/>
      </c>
      <c r="AW167" s="95">
        <f>AW140+AW141+AW142+AW143+AW154+AW155+AW156+AW161+AW162+AW163</f>
        <v/>
      </c>
      <c r="AX167" s="95">
        <f>SUM(AX140:AX143)</f>
        <v/>
      </c>
      <c r="AY167" s="95">
        <f>SUM(AY140:AY143)</f>
        <v/>
      </c>
      <c r="AZ167" s="95">
        <f>SUM(AZ140:AZ143)</f>
        <v/>
      </c>
      <c r="BA167" s="95">
        <f>SUM(BA140:BA143)</f>
        <v/>
      </c>
      <c r="BB167" s="95">
        <f>BB140+BB141+BB142+BB143+BB154+BB155+BB156+BB161+BB162+BB163</f>
        <v/>
      </c>
      <c r="BC167" s="95">
        <f>SUM(BC140:BC143)</f>
        <v/>
      </c>
      <c r="BD167" s="95">
        <f>SUM(BD140:BD143)</f>
        <v/>
      </c>
      <c r="BE167" s="95">
        <f>SUM(BE140:BE143)</f>
        <v/>
      </c>
      <c r="BF167" s="95">
        <f>SUM(BF140:BF143)</f>
        <v/>
      </c>
      <c r="BG167" s="95">
        <f>SUM(BG140:BG143)</f>
        <v/>
      </c>
      <c r="BH167" s="95">
        <f>BH140+BH141+BH142+BH143+BH154+BH155+BH156+BH161+BH162+BH163</f>
        <v/>
      </c>
      <c r="BI167" s="95">
        <f>SUM(BI140:BI143)</f>
        <v/>
      </c>
      <c r="BJ167" s="95">
        <f>SUM(BJ140:BJ143)</f>
        <v/>
      </c>
      <c r="BK167" s="95">
        <f>SUM(BK140:BK143)</f>
        <v/>
      </c>
      <c r="BL167" s="95">
        <f>SUM(BL140:BL143)</f>
        <v/>
      </c>
      <c r="BM167" s="95">
        <f>BM140+BM141+BM142+BM143+BM154+BM155+BM156+BM161+BM162+BM163</f>
        <v/>
      </c>
    </row>
    <row r="169" ht="15.75" customHeight="1">
      <c r="A169" s="506" t="inlineStr">
        <is>
          <t>GASTO DE SACOLAS E ITENS DOADOS 2026 - MENSAIS</t>
        </is>
      </c>
      <c r="B169" s="700" t="n"/>
      <c r="C169" s="700" t="n"/>
      <c r="D169" s="700" t="n"/>
      <c r="E169" s="700" t="n"/>
      <c r="F169" s="700" t="n"/>
      <c r="G169" s="700" t="n"/>
      <c r="H169" s="700" t="n"/>
      <c r="I169" s="700" t="n"/>
      <c r="J169" s="700" t="n"/>
      <c r="K169" s="700" t="n"/>
      <c r="L169" s="700" t="n"/>
      <c r="M169" s="700" t="n"/>
      <c r="N169" s="700" t="n"/>
      <c r="O169" s="700" t="n"/>
      <c r="P169" s="700" t="n"/>
      <c r="Q169" s="700" t="n"/>
      <c r="R169" s="700" t="n"/>
      <c r="S169" s="700" t="n"/>
      <c r="T169" s="700" t="n"/>
      <c r="U169" s="700" t="n"/>
      <c r="V169" s="700" t="n"/>
      <c r="W169" s="700" t="n"/>
      <c r="X169" s="700" t="n"/>
      <c r="Y169" s="700" t="n"/>
      <c r="Z169" s="700" t="n"/>
      <c r="AA169" s="700" t="n"/>
      <c r="AB169" s="700" t="n"/>
      <c r="AC169" s="700" t="n"/>
      <c r="AD169" s="700" t="n"/>
      <c r="AE169" s="700" t="n"/>
      <c r="AF169" s="700" t="n"/>
      <c r="AG169" s="700" t="n"/>
      <c r="AH169" s="700" t="n"/>
      <c r="AI169" s="700" t="n"/>
      <c r="AJ169" s="700" t="n"/>
      <c r="AK169" s="700" t="n"/>
      <c r="AL169" s="700" t="n"/>
      <c r="AM169" s="700" t="n"/>
      <c r="AN169" s="700" t="n"/>
      <c r="AO169" s="700" t="n"/>
      <c r="AP169" s="700" t="n"/>
      <c r="AQ169" s="700" t="n"/>
      <c r="AR169" s="700" t="n"/>
      <c r="AS169" s="700" t="n"/>
      <c r="AT169" s="700" t="n"/>
      <c r="AU169" s="700" t="n"/>
      <c r="AV169" s="700" t="n"/>
      <c r="AW169" s="700" t="n"/>
      <c r="AX169" s="700" t="n"/>
      <c r="AY169" s="700" t="n"/>
      <c r="AZ169" s="700" t="n"/>
      <c r="BA169" s="700" t="n"/>
      <c r="BB169" s="700" t="n"/>
      <c r="BC169" s="700" t="n"/>
      <c r="BD169" s="700" t="n"/>
      <c r="BE169" s="700" t="n"/>
      <c r="BF169" s="700" t="n"/>
      <c r="BG169" s="700" t="n"/>
      <c r="BH169" s="700" t="n"/>
      <c r="BI169" s="700" t="n"/>
      <c r="BJ169" s="700" t="n"/>
      <c r="BK169" s="700" t="n"/>
      <c r="BL169" s="700" t="n"/>
      <c r="BM169" s="700" t="n"/>
    </row>
    <row r="170" ht="15.75" customHeight="1">
      <c r="A170" s="702" t="inlineStr">
        <is>
          <t>ER SÃO MANUEL</t>
        </is>
      </c>
      <c r="B170" s="510" t="inlineStr">
        <is>
          <t>JANEIRO</t>
        </is>
      </c>
      <c r="C170" s="666" t="n"/>
      <c r="D170" s="666" t="n"/>
      <c r="E170" s="666" t="n"/>
      <c r="F170" s="511" t="inlineStr">
        <is>
          <t>FEVEREIRO</t>
        </is>
      </c>
      <c r="G170" s="666" t="n"/>
      <c r="H170" s="666" t="n"/>
      <c r="I170" s="666" t="n"/>
      <c r="J170" s="666" t="n"/>
      <c r="K170" s="512" t="n"/>
      <c r="L170" s="701" t="inlineStr">
        <is>
          <t>MARÇO</t>
        </is>
      </c>
      <c r="M170" s="666" t="n"/>
      <c r="N170" s="666" t="n"/>
      <c r="O170" s="666" t="n"/>
      <c r="P170" s="666" t="n"/>
      <c r="Q170" s="667" t="n"/>
      <c r="R170" s="701" t="inlineStr">
        <is>
          <t>ABRIL</t>
        </is>
      </c>
      <c r="S170" s="666" t="n"/>
      <c r="T170" s="666" t="n"/>
      <c r="U170" s="666" t="n"/>
      <c r="V170" s="667" t="n"/>
      <c r="W170" s="701" t="inlineStr">
        <is>
          <t>MAIO</t>
        </is>
      </c>
      <c r="X170" s="666" t="n"/>
      <c r="Y170" s="666" t="n"/>
      <c r="Z170" s="666" t="n"/>
      <c r="AA170" s="667" t="n"/>
      <c r="AB170" s="701" t="inlineStr">
        <is>
          <t>JUNHO</t>
        </is>
      </c>
      <c r="AC170" s="666" t="n"/>
      <c r="AD170" s="666" t="n"/>
      <c r="AE170" s="666" t="n"/>
      <c r="AF170" s="666" t="n"/>
      <c r="AG170" s="667" t="n"/>
      <c r="AH170" s="701" t="inlineStr">
        <is>
          <t>JULHO</t>
        </is>
      </c>
      <c r="AI170" s="666" t="n"/>
      <c r="AJ170" s="666" t="n"/>
      <c r="AK170" s="666" t="n"/>
      <c r="AL170" s="667" t="n"/>
      <c r="AM170" s="701" t="inlineStr">
        <is>
          <t>AGOSTO</t>
        </is>
      </c>
      <c r="AN170" s="666" t="n"/>
      <c r="AO170" s="666" t="n"/>
      <c r="AP170" s="666" t="n"/>
      <c r="AQ170" s="666" t="n"/>
      <c r="AR170" s="667" t="n"/>
      <c r="AS170" s="701" t="inlineStr">
        <is>
          <t>SETEMBRO</t>
        </is>
      </c>
      <c r="AT170" s="666" t="n"/>
      <c r="AU170" s="666" t="n"/>
      <c r="AV170" s="666" t="n"/>
      <c r="AW170" s="667" t="n"/>
      <c r="AX170" s="701" t="inlineStr">
        <is>
          <t>OUTUBRO</t>
        </is>
      </c>
      <c r="AY170" s="666" t="n"/>
      <c r="AZ170" s="666" t="n"/>
      <c r="BA170" s="666" t="n"/>
      <c r="BB170" s="667" t="n"/>
      <c r="BC170" s="701" t="inlineStr">
        <is>
          <t>NOVEMBRO</t>
        </is>
      </c>
      <c r="BD170" s="666" t="n"/>
      <c r="BE170" s="666" t="n"/>
      <c r="BF170" s="666" t="n"/>
      <c r="BG170" s="666" t="n"/>
      <c r="BH170" s="667" t="n"/>
      <c r="BI170" s="701" t="inlineStr">
        <is>
          <t>DEZEMBRO</t>
        </is>
      </c>
      <c r="BJ170" s="666" t="n"/>
      <c r="BK170" s="666" t="n"/>
      <c r="BL170" s="666" t="n"/>
      <c r="BM170" s="667" t="n"/>
    </row>
    <row r="171" ht="15.75" customHeight="1">
      <c r="A171" s="703" t="n"/>
      <c r="B171" s="86" t="n">
        <v>46027</v>
      </c>
      <c r="C171" s="86" t="n">
        <v>46034</v>
      </c>
      <c r="D171" s="86" t="n">
        <v>46041</v>
      </c>
      <c r="E171" s="86" t="n">
        <v>46048</v>
      </c>
      <c r="F171" s="87" t="inlineStr">
        <is>
          <t>USOU</t>
        </is>
      </c>
      <c r="G171" s="86" t="n">
        <v>46055</v>
      </c>
      <c r="H171" s="86" t="n">
        <v>46062</v>
      </c>
      <c r="I171" s="86" t="n">
        <v>46069</v>
      </c>
      <c r="J171" s="86" t="n">
        <v>46076</v>
      </c>
      <c r="K171" s="87" t="inlineStr">
        <is>
          <t>USOU</t>
        </is>
      </c>
      <c r="L171" s="86" t="n">
        <v>46083</v>
      </c>
      <c r="M171" s="86" t="n">
        <v>46090</v>
      </c>
      <c r="N171" s="86" t="n">
        <v>46097</v>
      </c>
      <c r="O171" s="86" t="n">
        <v>46104</v>
      </c>
      <c r="P171" s="86" t="n">
        <v>46111</v>
      </c>
      <c r="Q171" s="87" t="inlineStr">
        <is>
          <t>USOU</t>
        </is>
      </c>
      <c r="R171" s="86" t="n">
        <v>46118</v>
      </c>
      <c r="S171" s="86" t="n">
        <v>46125</v>
      </c>
      <c r="T171" s="86" t="n">
        <v>46132</v>
      </c>
      <c r="U171" s="86" t="n">
        <v>46139</v>
      </c>
      <c r="V171" s="87" t="inlineStr">
        <is>
          <t>USOU</t>
        </is>
      </c>
      <c r="W171" s="86" t="n">
        <v>46146</v>
      </c>
      <c r="X171" s="86" t="n">
        <v>46153</v>
      </c>
      <c r="Y171" s="86" t="n">
        <v>46160</v>
      </c>
      <c r="Z171" s="86" t="n">
        <v>46167</v>
      </c>
      <c r="AA171" s="87" t="inlineStr">
        <is>
          <t>USOU</t>
        </is>
      </c>
      <c r="AB171" s="86" t="n">
        <v>46174</v>
      </c>
      <c r="AC171" s="86" t="n">
        <v>46181</v>
      </c>
      <c r="AD171" s="86" t="n">
        <v>46188</v>
      </c>
      <c r="AE171" s="86" t="n">
        <v>46195</v>
      </c>
      <c r="AF171" s="86" t="n">
        <v>46202</v>
      </c>
      <c r="AG171" s="87" t="inlineStr">
        <is>
          <t>USOU</t>
        </is>
      </c>
      <c r="AH171" s="86" t="n">
        <v>46209</v>
      </c>
      <c r="AI171" s="86" t="n">
        <v>46216</v>
      </c>
      <c r="AJ171" s="86" t="n">
        <v>46223</v>
      </c>
      <c r="AK171" s="86" t="n">
        <v>46230</v>
      </c>
      <c r="AL171" s="87" t="inlineStr">
        <is>
          <t>USOU</t>
        </is>
      </c>
      <c r="AM171" s="86" t="n">
        <v>46237</v>
      </c>
      <c r="AN171" s="86" t="n">
        <v>46244</v>
      </c>
      <c r="AO171" s="86" t="n">
        <v>46251</v>
      </c>
      <c r="AP171" s="86" t="n">
        <v>46258</v>
      </c>
      <c r="AQ171" s="86" t="n">
        <v>46265</v>
      </c>
      <c r="AR171" s="87" t="inlineStr">
        <is>
          <t>USOU</t>
        </is>
      </c>
      <c r="AS171" s="86" t="n">
        <v>46272</v>
      </c>
      <c r="AT171" s="86" t="n">
        <v>46279</v>
      </c>
      <c r="AU171" s="86" t="n">
        <v>46286</v>
      </c>
      <c r="AV171" s="86" t="n">
        <v>46293</v>
      </c>
      <c r="AW171" s="87" t="inlineStr">
        <is>
          <t>USOU</t>
        </is>
      </c>
      <c r="AX171" s="86" t="n">
        <v>46300</v>
      </c>
      <c r="AY171" s="86" t="n">
        <v>46307</v>
      </c>
      <c r="AZ171" s="86" t="n">
        <v>46314</v>
      </c>
      <c r="BA171" s="86" t="n">
        <v>46321</v>
      </c>
      <c r="BB171" s="87" t="inlineStr">
        <is>
          <t>USOU</t>
        </is>
      </c>
      <c r="BC171" s="86" t="n">
        <v>46328</v>
      </c>
      <c r="BD171" s="86" t="n">
        <v>46335</v>
      </c>
      <c r="BE171" s="86" t="n">
        <v>46342</v>
      </c>
      <c r="BF171" s="86" t="n">
        <v>46349</v>
      </c>
      <c r="BG171" s="86" t="n">
        <v>46356</v>
      </c>
      <c r="BH171" s="87" t="inlineStr">
        <is>
          <t>USOU</t>
        </is>
      </c>
      <c r="BI171" s="86" t="n">
        <v>46363</v>
      </c>
      <c r="BJ171" s="86" t="n">
        <v>46370</v>
      </c>
      <c r="BK171" s="86" t="n">
        <v>46377</v>
      </c>
      <c r="BL171" s="86" t="n">
        <v>46384</v>
      </c>
      <c r="BM171" s="87" t="inlineStr">
        <is>
          <t>USOU</t>
        </is>
      </c>
    </row>
    <row r="172" ht="15.75" customHeight="1">
      <c r="A172" s="152" t="inlineStr">
        <is>
          <t>SACOLA PP VERDE</t>
        </is>
      </c>
      <c r="B172" s="89" t="n">
        <v>17</v>
      </c>
      <c r="C172" s="89" t="n">
        <v>124</v>
      </c>
      <c r="D172" s="89" t="n">
        <v>41</v>
      </c>
      <c r="E172" s="89" t="n">
        <v>293</v>
      </c>
      <c r="F172" s="90">
        <f>B172+C172+D172+E172</f>
        <v/>
      </c>
      <c r="G172" s="89" t="n">
        <v>370</v>
      </c>
      <c r="H172" s="89" t="n">
        <v>7</v>
      </c>
      <c r="I172" s="89" t="n">
        <v>45</v>
      </c>
      <c r="J172" s="89" t="n">
        <v>323</v>
      </c>
      <c r="K172" s="90">
        <f>G172+H172+I172+J172</f>
        <v/>
      </c>
      <c r="L172" s="89" t="n">
        <v>87</v>
      </c>
      <c r="M172" s="89" t="n">
        <v>252</v>
      </c>
      <c r="N172" s="89" t="n">
        <v>210</v>
      </c>
      <c r="O172" s="89" t="n">
        <v>73</v>
      </c>
      <c r="P172" s="89" t="n">
        <v>185</v>
      </c>
      <c r="Q172" s="90">
        <f>L172+M172+N172+O172+P172</f>
        <v/>
      </c>
      <c r="R172" s="89" t="n"/>
      <c r="S172" s="89" t="n"/>
      <c r="T172" s="89" t="n"/>
      <c r="U172" s="89" t="n"/>
      <c r="V172" s="90">
        <f>R172+S172+T172+U172</f>
        <v/>
      </c>
      <c r="W172" s="89" t="n">
        <v>0</v>
      </c>
      <c r="X172" s="89" t="n">
        <v>200</v>
      </c>
      <c r="Y172" s="89" t="n"/>
      <c r="Z172" s="89" t="n"/>
      <c r="AA172" s="90">
        <f>W172+X172+Y172+Z172</f>
        <v/>
      </c>
      <c r="AB172" s="89" t="n"/>
      <c r="AC172" s="89" t="n"/>
      <c r="AD172" s="89" t="n"/>
      <c r="AE172" s="89" t="n"/>
      <c r="AF172" s="89" t="n"/>
      <c r="AG172" s="90">
        <f>AB172+AC172+AD172+AE172+AF172</f>
        <v/>
      </c>
      <c r="AH172" s="89" t="n"/>
      <c r="AI172" s="89" t="n"/>
      <c r="AJ172" s="89" t="n"/>
      <c r="AK172" s="89" t="n"/>
      <c r="AL172" s="90">
        <f>AH172+AI172+AJ172+AK172</f>
        <v/>
      </c>
      <c r="AM172" s="89" t="n"/>
      <c r="AN172" s="89" t="n"/>
      <c r="AO172" s="89" t="n"/>
      <c r="AP172" s="89" t="n"/>
      <c r="AQ172" s="89" t="n"/>
      <c r="AR172" s="90">
        <f>AM172+AN172+AO172+AP172+AQ172</f>
        <v/>
      </c>
      <c r="AS172" s="89" t="n"/>
      <c r="AT172" s="89" t="n"/>
      <c r="AU172" s="89" t="n"/>
      <c r="AV172" s="89" t="n"/>
      <c r="AW172" s="90">
        <f>AS172+AT172+AU172+AV172</f>
        <v/>
      </c>
      <c r="AX172" s="89" t="n"/>
      <c r="AY172" s="89" t="n"/>
      <c r="AZ172" s="89" t="n"/>
      <c r="BA172" s="89" t="n"/>
      <c r="BB172" s="90">
        <f>AX172+AY172+AZ172+BA172</f>
        <v/>
      </c>
      <c r="BC172" s="89" t="n"/>
      <c r="BD172" s="89" t="n"/>
      <c r="BE172" s="89" t="n"/>
      <c r="BF172" s="89" t="n"/>
      <c r="BG172" s="89" t="n"/>
      <c r="BH172" s="90">
        <f>BC172+BD172+BE172+BF172+BG172</f>
        <v/>
      </c>
      <c r="BI172" s="89" t="n"/>
      <c r="BJ172" s="89" t="n"/>
      <c r="BK172" s="89" t="n"/>
      <c r="BL172" s="89" t="n"/>
      <c r="BM172" s="90">
        <f>BI172+BJ172+BK172+BL172</f>
        <v/>
      </c>
    </row>
    <row r="173" ht="15.75" customHeight="1">
      <c r="A173" s="91" t="inlineStr">
        <is>
          <t>SACOLA P VERDE</t>
        </is>
      </c>
      <c r="B173" s="89" t="n">
        <v>145</v>
      </c>
      <c r="C173" s="89" t="n">
        <v>104</v>
      </c>
      <c r="D173" s="89" t="n">
        <v>166</v>
      </c>
      <c r="E173" s="89" t="n">
        <v>145</v>
      </c>
      <c r="F173" s="90">
        <f>B173+C173+D173+E173</f>
        <v/>
      </c>
      <c r="G173" s="89" t="n">
        <v>213</v>
      </c>
      <c r="H173" s="89" t="n">
        <v>167</v>
      </c>
      <c r="I173" s="89" t="n">
        <v>128</v>
      </c>
      <c r="J173" s="89" t="n">
        <v>113</v>
      </c>
      <c r="K173" s="90">
        <f>G173+H173+I173+J173</f>
        <v/>
      </c>
      <c r="L173" s="89" t="n">
        <v>187</v>
      </c>
      <c r="M173" s="89" t="n">
        <v>188</v>
      </c>
      <c r="N173" s="89" t="n">
        <v>114</v>
      </c>
      <c r="O173" s="89" t="n">
        <v>138</v>
      </c>
      <c r="P173" s="89" t="n">
        <v>150</v>
      </c>
      <c r="Q173" s="90">
        <f>L173+M173+N173+O173+P173</f>
        <v/>
      </c>
      <c r="R173" s="89" t="n"/>
      <c r="S173" s="89" t="n"/>
      <c r="T173" s="89" t="n"/>
      <c r="U173" s="89" t="n"/>
      <c r="V173" s="90">
        <f>R173+S173+T173+U173</f>
        <v/>
      </c>
      <c r="W173" s="89" t="n">
        <v>224</v>
      </c>
      <c r="X173" s="89" t="n">
        <v>185</v>
      </c>
      <c r="Y173" s="89" t="n"/>
      <c r="Z173" s="89" t="n"/>
      <c r="AA173" s="90">
        <f>W173+X173+Y173+Z173</f>
        <v/>
      </c>
      <c r="AB173" s="89" t="n"/>
      <c r="AC173" s="89" t="n"/>
      <c r="AD173" s="89" t="n"/>
      <c r="AE173" s="89" t="n"/>
      <c r="AF173" s="89" t="n"/>
      <c r="AG173" s="90">
        <f>AB173+AC173+AD173+AE173+AF173</f>
        <v/>
      </c>
      <c r="AH173" s="89" t="n"/>
      <c r="AI173" s="89" t="n"/>
      <c r="AJ173" s="89" t="n"/>
      <c r="AK173" s="89" t="n"/>
      <c r="AL173" s="90">
        <f>AH173+AI173+AJ173+AK173</f>
        <v/>
      </c>
      <c r="AM173" s="89" t="n"/>
      <c r="AN173" s="89" t="n"/>
      <c r="AO173" s="89" t="n"/>
      <c r="AP173" s="89" t="n"/>
      <c r="AQ173" s="89" t="n"/>
      <c r="AR173" s="90">
        <f>AM173+AN173+AO173+AP173+AQ173</f>
        <v/>
      </c>
      <c r="AS173" s="89" t="n"/>
      <c r="AT173" s="89" t="n"/>
      <c r="AU173" s="89" t="n"/>
      <c r="AV173" s="89" t="n"/>
      <c r="AW173" s="90">
        <f>AS173+AT173+AU173+AV173</f>
        <v/>
      </c>
      <c r="AX173" s="89" t="n"/>
      <c r="AY173" s="89" t="n"/>
      <c r="AZ173" s="89" t="n"/>
      <c r="BA173" s="89" t="n"/>
      <c r="BB173" s="90">
        <f>AX173+AY173+AZ173+BA173</f>
        <v/>
      </c>
      <c r="BC173" s="89" t="n"/>
      <c r="BD173" s="89" t="n"/>
      <c r="BE173" s="89" t="n"/>
      <c r="BF173" s="89" t="n"/>
      <c r="BG173" s="89" t="n"/>
      <c r="BH173" s="90">
        <f>BC173+BD173+BE173+BF173+BG173</f>
        <v/>
      </c>
      <c r="BI173" s="89" t="n"/>
      <c r="BJ173" s="89" t="n"/>
      <c r="BK173" s="89" t="n"/>
      <c r="BL173" s="89" t="n"/>
      <c r="BM173" s="90">
        <f>BI173+BJ173+BK173+BL173</f>
        <v/>
      </c>
    </row>
    <row r="174" ht="15.75" customHeight="1">
      <c r="A174" s="91" t="inlineStr">
        <is>
          <t>SACOLA M VERDE</t>
        </is>
      </c>
      <c r="B174" s="89" t="n">
        <v>9</v>
      </c>
      <c r="C174" s="89" t="n">
        <v>58</v>
      </c>
      <c r="D174" s="89" t="n">
        <v>54</v>
      </c>
      <c r="E174" s="89" t="n">
        <v>78</v>
      </c>
      <c r="F174" s="90">
        <f>B174+C174+D174+E174</f>
        <v/>
      </c>
      <c r="G174" s="89" t="n">
        <v>0</v>
      </c>
      <c r="H174" s="89" t="n">
        <v>59</v>
      </c>
      <c r="I174" s="89" t="n">
        <v>3</v>
      </c>
      <c r="J174" s="89" t="n">
        <v>372</v>
      </c>
      <c r="K174" s="90">
        <f>G174+H174+I174+J174</f>
        <v/>
      </c>
      <c r="L174" s="89" t="n">
        <v>159</v>
      </c>
      <c r="M174" s="89" t="n">
        <v>98</v>
      </c>
      <c r="N174" s="89" t="n">
        <v>64</v>
      </c>
      <c r="O174" s="89" t="n">
        <v>41</v>
      </c>
      <c r="P174" s="89" t="n">
        <v>5</v>
      </c>
      <c r="Q174" s="90">
        <f>L174+M174+N174+O174+P174</f>
        <v/>
      </c>
      <c r="R174" s="89" t="n"/>
      <c r="S174" s="89" t="n"/>
      <c r="T174" s="89" t="n"/>
      <c r="U174" s="89" t="n"/>
      <c r="V174" s="90">
        <f>R174+S174+T174+U174</f>
        <v/>
      </c>
      <c r="W174" s="89" t="n">
        <v>163</v>
      </c>
      <c r="X174" s="89" t="n">
        <v>120</v>
      </c>
      <c r="Y174" s="89" t="n"/>
      <c r="Z174" s="89" t="n"/>
      <c r="AA174" s="90">
        <f>W174+X174+Y174+Z174</f>
        <v/>
      </c>
      <c r="AB174" s="89" t="n"/>
      <c r="AC174" s="89" t="n"/>
      <c r="AD174" s="89" t="n"/>
      <c r="AE174" s="89" t="n"/>
      <c r="AF174" s="89" t="n"/>
      <c r="AG174" s="90">
        <f>AB174+AC174+AD174+AE174+AF174</f>
        <v/>
      </c>
      <c r="AH174" s="89" t="n"/>
      <c r="AI174" s="89" t="n"/>
      <c r="AJ174" s="89" t="n"/>
      <c r="AK174" s="89" t="n"/>
      <c r="AL174" s="90">
        <f>AH174+AI174+AJ174+AK174</f>
        <v/>
      </c>
      <c r="AM174" s="89" t="n"/>
      <c r="AN174" s="89" t="n"/>
      <c r="AO174" s="89" t="n"/>
      <c r="AP174" s="89" t="n"/>
      <c r="AQ174" s="89" t="n"/>
      <c r="AR174" s="90">
        <f>AM174+AN174+AO174+AP174+AQ174</f>
        <v/>
      </c>
      <c r="AS174" s="89" t="n"/>
      <c r="AT174" s="89" t="n"/>
      <c r="AU174" s="89" t="n"/>
      <c r="AV174" s="89" t="n"/>
      <c r="AW174" s="90">
        <f>AS174+AT174+AU174+AV174</f>
        <v/>
      </c>
      <c r="AX174" s="89" t="n"/>
      <c r="AY174" s="89" t="n"/>
      <c r="AZ174" s="89" t="n"/>
      <c r="BA174" s="89" t="n"/>
      <c r="BB174" s="90">
        <f>AX174+AY174+AZ174+BA174</f>
        <v/>
      </c>
      <c r="BC174" s="89" t="n"/>
      <c r="BD174" s="89" t="n"/>
      <c r="BE174" s="89" t="n"/>
      <c r="BF174" s="89" t="n"/>
      <c r="BG174" s="89" t="n"/>
      <c r="BH174" s="90">
        <f>BC174+BD174+BE174+BF174+BG174</f>
        <v/>
      </c>
      <c r="BI174" s="89" t="n"/>
      <c r="BJ174" s="89" t="n"/>
      <c r="BK174" s="89" t="n"/>
      <c r="BL174" s="89" t="n"/>
      <c r="BM174" s="90">
        <f>BI174+BJ174+BK174+BL174</f>
        <v/>
      </c>
    </row>
    <row r="175" ht="15.75" customHeight="1">
      <c r="A175" s="92" t="inlineStr">
        <is>
          <t>SACOLA G VERDE</t>
        </is>
      </c>
      <c r="B175" s="89" t="n">
        <v>2</v>
      </c>
      <c r="C175" s="89" t="n">
        <v>46</v>
      </c>
      <c r="D175" s="89" t="n">
        <v>30</v>
      </c>
      <c r="E175" s="89" t="n">
        <v>29</v>
      </c>
      <c r="F175" s="90">
        <f>B175+C175+D175+E175</f>
        <v/>
      </c>
      <c r="G175" s="89" t="n">
        <v>42</v>
      </c>
      <c r="H175" s="89" t="n">
        <v>30</v>
      </c>
      <c r="I175" s="89" t="n">
        <v>52</v>
      </c>
      <c r="J175" s="89" t="n">
        <v>88</v>
      </c>
      <c r="K175" s="90">
        <f>G175+H175+I175+J175</f>
        <v/>
      </c>
      <c r="L175" s="89" t="n">
        <v>41</v>
      </c>
      <c r="M175" s="89" t="n">
        <v>59</v>
      </c>
      <c r="N175" s="89" t="n">
        <v>53</v>
      </c>
      <c r="O175" s="89" t="n">
        <v>19</v>
      </c>
      <c r="P175" s="89" t="n">
        <v>0</v>
      </c>
      <c r="Q175" s="90">
        <f>L175+M175+N175+O175+P175</f>
        <v/>
      </c>
      <c r="R175" s="89" t="n"/>
      <c r="S175" s="89" t="n"/>
      <c r="T175" s="89" t="n"/>
      <c r="U175" s="89" t="n"/>
      <c r="V175" s="90">
        <f>R175+S175+T175+U175</f>
        <v/>
      </c>
      <c r="W175" s="89" t="n">
        <v>133</v>
      </c>
      <c r="X175" s="89" t="n">
        <v>0</v>
      </c>
      <c r="Y175" s="89" t="n"/>
      <c r="Z175" s="89" t="n"/>
      <c r="AA175" s="90">
        <f>W175+X175+Y175+Z175</f>
        <v/>
      </c>
      <c r="AB175" s="89" t="n"/>
      <c r="AC175" s="89" t="n"/>
      <c r="AD175" s="89" t="n"/>
      <c r="AE175" s="89" t="n"/>
      <c r="AF175" s="89" t="n"/>
      <c r="AG175" s="90">
        <f>AB175+AC175+AD175+AE175+AF175</f>
        <v/>
      </c>
      <c r="AH175" s="89" t="n"/>
      <c r="AI175" s="89" t="n"/>
      <c r="AJ175" s="89" t="n"/>
      <c r="AK175" s="89" t="n"/>
      <c r="AL175" s="90">
        <f>AH175+AI175+AJ175+AK175</f>
        <v/>
      </c>
      <c r="AM175" s="89" t="n"/>
      <c r="AN175" s="89" t="n"/>
      <c r="AO175" s="89" t="n"/>
      <c r="AP175" s="89" t="n"/>
      <c r="AQ175" s="89" t="n"/>
      <c r="AR175" s="90">
        <f>AM175+AN175+AO175+AP175+AQ175</f>
        <v/>
      </c>
      <c r="AS175" s="89" t="n"/>
      <c r="AT175" s="89" t="n"/>
      <c r="AU175" s="89" t="n"/>
      <c r="AV175" s="89" t="n"/>
      <c r="AW175" s="90">
        <f>AS175+AT175+AU175+AV175</f>
        <v/>
      </c>
      <c r="AX175" s="89" t="n"/>
      <c r="AY175" s="89" t="n"/>
      <c r="AZ175" s="89" t="n"/>
      <c r="BA175" s="89" t="n"/>
      <c r="BB175" s="90">
        <f>AX175+AY175+AZ175+BA175</f>
        <v/>
      </c>
      <c r="BC175" s="89" t="n"/>
      <c r="BD175" s="89" t="n"/>
      <c r="BE175" s="89" t="n"/>
      <c r="BF175" s="89" t="n"/>
      <c r="BG175" s="89" t="n"/>
      <c r="BH175" s="90">
        <f>BC175+BD175+BE175+BF175+BG175</f>
        <v/>
      </c>
      <c r="BI175" s="89" t="n"/>
      <c r="BJ175" s="89" t="n"/>
      <c r="BK175" s="89" t="n"/>
      <c r="BL175" s="89" t="n"/>
      <c r="BM175" s="90">
        <f>BI175+BJ175+BK175+BL175</f>
        <v/>
      </c>
    </row>
    <row r="176" ht="15.75" customHeight="1">
      <c r="A176" s="200" t="inlineStr">
        <is>
          <t>SACOLA KRAFT M PARDA</t>
        </is>
      </c>
      <c r="B176" s="201" t="n">
        <v>0</v>
      </c>
      <c r="C176" s="89" t="n">
        <v>0</v>
      </c>
      <c r="D176" s="89" t="n">
        <v>0</v>
      </c>
      <c r="E176" s="89" t="n">
        <v>0</v>
      </c>
      <c r="F176" s="90">
        <f>B176+C176+D176+E176</f>
        <v/>
      </c>
      <c r="G176" s="89" t="n">
        <v>0</v>
      </c>
      <c r="H176" s="89" t="n">
        <v>0</v>
      </c>
      <c r="I176" s="89" t="n">
        <v>0</v>
      </c>
      <c r="J176" s="89" t="n">
        <v>0</v>
      </c>
      <c r="K176" s="90">
        <f>G176+H176+I176+J176</f>
        <v/>
      </c>
      <c r="L176" s="89" t="n">
        <v>0</v>
      </c>
      <c r="M176" s="89" t="n">
        <v>0</v>
      </c>
      <c r="N176" s="89" t="n">
        <v>0</v>
      </c>
      <c r="O176" s="89" t="n">
        <v>0</v>
      </c>
      <c r="P176" s="89" t="n">
        <v>0</v>
      </c>
      <c r="Q176" s="90">
        <f>L176+M176+N176+O176+P176</f>
        <v/>
      </c>
      <c r="R176" s="89" t="n"/>
      <c r="S176" s="89" t="n"/>
      <c r="T176" s="89" t="n"/>
      <c r="U176" s="89" t="n"/>
      <c r="V176" s="90">
        <f>R176+S176+T176+U176</f>
        <v/>
      </c>
      <c r="W176" s="89" t="n">
        <v>0</v>
      </c>
      <c r="X176" s="89" t="n">
        <v>0</v>
      </c>
      <c r="Y176" s="89" t="n"/>
      <c r="Z176" s="89" t="n"/>
      <c r="AA176" s="90">
        <f>W176+X176+Y176+Z176</f>
        <v/>
      </c>
      <c r="AB176" s="89" t="n"/>
      <c r="AC176" s="89" t="n"/>
      <c r="AD176" s="89" t="n"/>
      <c r="AE176" s="89" t="n"/>
      <c r="AF176" s="89" t="n"/>
      <c r="AG176" s="90">
        <f>AB176+AC176+AD176+AE176+AF176</f>
        <v/>
      </c>
      <c r="AH176" s="89" t="n"/>
      <c r="AI176" s="89" t="n"/>
      <c r="AJ176" s="89" t="n"/>
      <c r="AK176" s="89" t="n"/>
      <c r="AL176" s="90">
        <f>AH176+AI176+AJ176+AK176</f>
        <v/>
      </c>
      <c r="AM176" s="89" t="n"/>
      <c r="AN176" s="89" t="n"/>
      <c r="AO176" s="89" t="n"/>
      <c r="AP176" s="89" t="n"/>
      <c r="AQ176" s="89" t="n"/>
      <c r="AR176" s="90">
        <f>AM176+AN176+AO176+AP176+AQ176</f>
        <v/>
      </c>
      <c r="AS176" s="89" t="n"/>
      <c r="AT176" s="89" t="n"/>
      <c r="AU176" s="89" t="n"/>
      <c r="AV176" s="89" t="n"/>
      <c r="AW176" s="90">
        <f>AS176+AT176+AU176+AV176</f>
        <v/>
      </c>
      <c r="AX176" s="89" t="n"/>
      <c r="AY176" s="89" t="n"/>
      <c r="AZ176" s="89" t="n"/>
      <c r="BA176" s="89" t="n"/>
      <c r="BB176" s="90">
        <f>AX176+AY176+AZ176+BA176</f>
        <v/>
      </c>
      <c r="BC176" s="89" t="n"/>
      <c r="BD176" s="89" t="n"/>
      <c r="BE176" s="89" t="n"/>
      <c r="BF176" s="89" t="n"/>
      <c r="BG176" s="89" t="n"/>
      <c r="BH176" s="90">
        <f>BC176+BD176+BE176+BF176+BG176</f>
        <v/>
      </c>
      <c r="BI176" s="89" t="n"/>
      <c r="BJ176" s="89" t="n"/>
      <c r="BK176" s="89" t="n"/>
      <c r="BL176" s="89" t="n"/>
      <c r="BM176" s="90">
        <f>BI176+BJ176+BK176+BL176</f>
        <v/>
      </c>
    </row>
    <row r="177" ht="15.75" customHeight="1">
      <c r="A177" s="200" t="inlineStr">
        <is>
          <t>SACOLA KRAFT G PARDA</t>
        </is>
      </c>
      <c r="B177" s="201" t="n">
        <v>0</v>
      </c>
      <c r="C177" s="89" t="n">
        <v>0</v>
      </c>
      <c r="D177" s="89" t="n">
        <v>0</v>
      </c>
      <c r="E177" s="89" t="n">
        <v>0</v>
      </c>
      <c r="F177" s="90">
        <f>B177+C177+D177+E177</f>
        <v/>
      </c>
      <c r="G177" s="89" t="n">
        <v>0</v>
      </c>
      <c r="H177" s="89" t="n">
        <v>0</v>
      </c>
      <c r="I177" s="89" t="n">
        <v>0</v>
      </c>
      <c r="J177" s="89" t="n">
        <v>0</v>
      </c>
      <c r="K177" s="90">
        <f>G177+H177+I177+J177</f>
        <v/>
      </c>
      <c r="L177" s="89" t="n">
        <v>0</v>
      </c>
      <c r="M177" s="89" t="n">
        <v>0</v>
      </c>
      <c r="N177" s="89" t="n">
        <v>0</v>
      </c>
      <c r="O177" s="89" t="n">
        <v>0</v>
      </c>
      <c r="P177" s="89" t="n">
        <v>0</v>
      </c>
      <c r="Q177" s="90">
        <f>L177+M177+N177+O177+P177</f>
        <v/>
      </c>
      <c r="R177" s="89" t="n"/>
      <c r="S177" s="89" t="n"/>
      <c r="T177" s="89" t="n"/>
      <c r="U177" s="89" t="n"/>
      <c r="V177" s="90">
        <f>R177+S177+T177+U177</f>
        <v/>
      </c>
      <c r="W177" s="89" t="n">
        <v>0</v>
      </c>
      <c r="X177" s="89" t="n">
        <v>0</v>
      </c>
      <c r="Y177" s="89" t="n"/>
      <c r="Z177" s="89" t="n"/>
      <c r="AA177" s="90">
        <f>W177+X177+Y177+Z177</f>
        <v/>
      </c>
      <c r="AB177" s="89" t="n"/>
      <c r="AC177" s="89" t="n"/>
      <c r="AD177" s="89" t="n"/>
      <c r="AE177" s="89" t="n"/>
      <c r="AF177" s="89" t="n"/>
      <c r="AG177" s="90">
        <f>AB177+AC177+AD177+AE177+AF177</f>
        <v/>
      </c>
      <c r="AH177" s="89" t="n"/>
      <c r="AI177" s="89" t="n"/>
      <c r="AJ177" s="89" t="n"/>
      <c r="AK177" s="89" t="n"/>
      <c r="AL177" s="90">
        <f>AH177+AI177+AJ177+AK177</f>
        <v/>
      </c>
      <c r="AM177" s="89" t="n"/>
      <c r="AN177" s="89" t="n"/>
      <c r="AO177" s="89" t="n"/>
      <c r="AP177" s="89" t="n"/>
      <c r="AQ177" s="89" t="n"/>
      <c r="AR177" s="90">
        <f>AM177+AN177+AO177+AP177+AQ177</f>
        <v/>
      </c>
      <c r="AS177" s="89" t="n"/>
      <c r="AT177" s="89" t="n"/>
      <c r="AU177" s="89" t="n"/>
      <c r="AV177" s="89" t="n"/>
      <c r="AW177" s="90">
        <f>AS177+AT177+AU177+AV177</f>
        <v/>
      </c>
      <c r="AX177" s="89" t="n"/>
      <c r="AY177" s="89" t="n"/>
      <c r="AZ177" s="89" t="n"/>
      <c r="BA177" s="89" t="n"/>
      <c r="BB177" s="90">
        <f>AX177+AY177+AZ177+BA177</f>
        <v/>
      </c>
      <c r="BC177" s="89" t="n"/>
      <c r="BD177" s="89" t="n"/>
      <c r="BE177" s="89" t="n"/>
      <c r="BF177" s="89" t="n"/>
      <c r="BG177" s="89" t="n"/>
      <c r="BH177" s="90">
        <f>BC177+BD177+BE177+BF177+BG177</f>
        <v/>
      </c>
      <c r="BI177" s="89" t="n"/>
      <c r="BJ177" s="89" t="n"/>
      <c r="BK177" s="89" t="n"/>
      <c r="BL177" s="89" t="n"/>
      <c r="BM177" s="90">
        <f>BI177+BJ177+BK177+BL177</f>
        <v/>
      </c>
    </row>
    <row r="178" ht="15.75" customHeight="1">
      <c r="A178" s="93" t="inlineStr">
        <is>
          <t>PAPEL DE SEDA</t>
        </is>
      </c>
      <c r="B178" s="201" t="n">
        <v>0</v>
      </c>
      <c r="C178" s="89" t="n">
        <v>0</v>
      </c>
      <c r="D178" s="89" t="n">
        <v>0</v>
      </c>
      <c r="E178" s="89" t="n">
        <v>0</v>
      </c>
      <c r="F178" s="90">
        <f>B178+C178+D178+E178</f>
        <v/>
      </c>
      <c r="G178" s="89" t="n">
        <v>0</v>
      </c>
      <c r="H178" s="89" t="n">
        <v>1</v>
      </c>
      <c r="I178" s="89" t="n">
        <v>0</v>
      </c>
      <c r="J178" s="89" t="n">
        <v>0</v>
      </c>
      <c r="K178" s="90">
        <f>G178+H178+I178+J178</f>
        <v/>
      </c>
      <c r="L178" s="89" t="n">
        <v>0</v>
      </c>
      <c r="M178" s="89" t="n">
        <v>0</v>
      </c>
      <c r="N178" s="89" t="n">
        <v>0</v>
      </c>
      <c r="O178" s="89" t="n">
        <v>1</v>
      </c>
      <c r="P178" s="89" t="n">
        <v>0</v>
      </c>
      <c r="Q178" s="90">
        <f>L178+M178+N178+O178+P178</f>
        <v/>
      </c>
      <c r="R178" s="89" t="n"/>
      <c r="S178" s="89" t="n"/>
      <c r="T178" s="89" t="n"/>
      <c r="U178" s="89" t="n"/>
      <c r="V178" s="90">
        <f>R178+S178+T178+U178</f>
        <v/>
      </c>
      <c r="W178" s="89" t="n">
        <v>0</v>
      </c>
      <c r="X178" s="89" t="n">
        <v>1</v>
      </c>
      <c r="Y178" s="89" t="n"/>
      <c r="Z178" s="89" t="n"/>
      <c r="AA178" s="90">
        <f>W178+X178+Y178+Z178</f>
        <v/>
      </c>
      <c r="AB178" s="89" t="n"/>
      <c r="AC178" s="89" t="n"/>
      <c r="AD178" s="89" t="n"/>
      <c r="AE178" s="89" t="n"/>
      <c r="AF178" s="89" t="n"/>
      <c r="AG178" s="90">
        <f>AB178+AC178+AD178+AE178+AF178</f>
        <v/>
      </c>
      <c r="AH178" s="89" t="n"/>
      <c r="AI178" s="89" t="n"/>
      <c r="AJ178" s="89" t="n"/>
      <c r="AK178" s="89" t="n"/>
      <c r="AL178" s="90">
        <f>AH178+AI178+AJ178+AK178</f>
        <v/>
      </c>
      <c r="AM178" s="89" t="n"/>
      <c r="AN178" s="89" t="n"/>
      <c r="AO178" s="89" t="n"/>
      <c r="AP178" s="89" t="n"/>
      <c r="AQ178" s="89" t="n"/>
      <c r="AR178" s="90">
        <f>AM178+AN178+AO178+AP178+AQ178</f>
        <v/>
      </c>
      <c r="AS178" s="89" t="n"/>
      <c r="AT178" s="89" t="n"/>
      <c r="AU178" s="89" t="n"/>
      <c r="AV178" s="89" t="n"/>
      <c r="AW178" s="90">
        <f>AS178+AT178+AU178+AV178</f>
        <v/>
      </c>
      <c r="AX178" s="89" t="n"/>
      <c r="AY178" s="89" t="n"/>
      <c r="AZ178" s="89" t="n"/>
      <c r="BA178" s="89" t="n"/>
      <c r="BB178" s="90">
        <f>AX178+AY178+AZ178+BA178</f>
        <v/>
      </c>
      <c r="BC178" s="89" t="n"/>
      <c r="BD178" s="89" t="n"/>
      <c r="BE178" s="89" t="n"/>
      <c r="BF178" s="89" t="n"/>
      <c r="BG178" s="89" t="n"/>
      <c r="BH178" s="90">
        <f>BC178+BD178+BE178+BF178+BG178</f>
        <v/>
      </c>
      <c r="BI178" s="89" t="n"/>
      <c r="BJ178" s="89" t="n"/>
      <c r="BK178" s="89" t="n"/>
      <c r="BL178" s="89" t="n"/>
      <c r="BM178" s="90">
        <f>BI178+BJ178+BK178+BL178</f>
        <v/>
      </c>
    </row>
    <row r="179" ht="15.75" customHeight="1">
      <c r="A179" s="93" t="inlineStr">
        <is>
          <t>ETIQUETA</t>
        </is>
      </c>
      <c r="B179" s="201" t="n">
        <v>0</v>
      </c>
      <c r="C179" s="89" t="n">
        <v>0</v>
      </c>
      <c r="D179" s="89" t="n">
        <v>0</v>
      </c>
      <c r="E179" s="89" t="n">
        <v>0</v>
      </c>
      <c r="F179" s="90">
        <f>B179+C179+D179+E179</f>
        <v/>
      </c>
      <c r="G179" s="89" t="n">
        <v>0</v>
      </c>
      <c r="H179" s="89" t="n">
        <v>0</v>
      </c>
      <c r="I179" s="89" t="n">
        <v>1</v>
      </c>
      <c r="J179" s="89" t="n">
        <v>0</v>
      </c>
      <c r="K179" s="90">
        <f>G179+H179+I179+J179</f>
        <v/>
      </c>
      <c r="L179" s="89" t="n">
        <v>0</v>
      </c>
      <c r="M179" s="89" t="n">
        <v>0</v>
      </c>
      <c r="N179" s="89" t="n">
        <v>0</v>
      </c>
      <c r="O179" s="89" t="n">
        <v>1</v>
      </c>
      <c r="P179" s="89" t="n">
        <v>0</v>
      </c>
      <c r="Q179" s="90">
        <f>L179+M179+N179+O179+P179</f>
        <v/>
      </c>
      <c r="R179" s="89" t="n"/>
      <c r="S179" s="89" t="n"/>
      <c r="T179" s="89" t="n"/>
      <c r="U179" s="89" t="n"/>
      <c r="V179" s="90">
        <f>R179+S179+T179+U179</f>
        <v/>
      </c>
      <c r="W179" s="89" t="n">
        <v>0</v>
      </c>
      <c r="X179" s="89" t="n">
        <v>2</v>
      </c>
      <c r="Y179" s="89" t="n"/>
      <c r="Z179" s="89" t="n"/>
      <c r="AA179" s="90">
        <f>W179+X179+Y179+Z179</f>
        <v/>
      </c>
      <c r="AB179" s="89" t="n"/>
      <c r="AC179" s="89" t="n"/>
      <c r="AD179" s="89" t="n"/>
      <c r="AE179" s="89" t="n"/>
      <c r="AF179" s="89" t="n"/>
      <c r="AG179" s="90">
        <f>AB179+AC179+AD179+AE179+AF179</f>
        <v/>
      </c>
      <c r="AH179" s="89" t="n"/>
      <c r="AI179" s="89" t="n"/>
      <c r="AJ179" s="89" t="n"/>
      <c r="AK179" s="89" t="n"/>
      <c r="AL179" s="90">
        <f>AH179+AI179+AJ179+AK179</f>
        <v/>
      </c>
      <c r="AM179" s="89" t="n"/>
      <c r="AN179" s="89" t="n"/>
      <c r="AO179" s="89" t="n"/>
      <c r="AP179" s="89" t="n"/>
      <c r="AQ179" s="89" t="n"/>
      <c r="AR179" s="90">
        <f>AM179+AN179+AO179+AP179+AQ179</f>
        <v/>
      </c>
      <c r="AS179" s="89" t="n"/>
      <c r="AT179" s="89" t="n"/>
      <c r="AU179" s="89" t="n"/>
      <c r="AV179" s="89" t="n"/>
      <c r="AW179" s="90">
        <f>AS179+AT179+AU179+AV179</f>
        <v/>
      </c>
      <c r="AX179" s="89" t="n"/>
      <c r="AY179" s="89" t="n"/>
      <c r="AZ179" s="89" t="n"/>
      <c r="BA179" s="89" t="n"/>
      <c r="BB179" s="90">
        <f>AX179+AY179+AZ179+BA179</f>
        <v/>
      </c>
      <c r="BC179" s="89" t="n"/>
      <c r="BD179" s="89" t="n"/>
      <c r="BE179" s="89" t="n"/>
      <c r="BF179" s="89" t="n"/>
      <c r="BG179" s="89" t="n"/>
      <c r="BH179" s="90">
        <f>BC179+BD179+BE179+BF179+BG179</f>
        <v/>
      </c>
      <c r="BI179" s="89" t="n"/>
      <c r="BJ179" s="89" t="n"/>
      <c r="BK179" s="89" t="n"/>
      <c r="BL179" s="89" t="n"/>
      <c r="BM179" s="90">
        <f>BI179+BJ179+BK179+BL179</f>
        <v/>
      </c>
    </row>
    <row r="180" ht="15.75" customHeight="1">
      <c r="A180" s="93" t="inlineStr">
        <is>
          <t>TAG</t>
        </is>
      </c>
      <c r="B180" s="201" t="n">
        <v>0</v>
      </c>
      <c r="C180" s="89" t="n">
        <v>0</v>
      </c>
      <c r="D180" s="89" t="n">
        <v>0</v>
      </c>
      <c r="E180" s="89" t="n">
        <v>0</v>
      </c>
      <c r="F180" s="90">
        <f>B180+C180+D180+E180</f>
        <v/>
      </c>
      <c r="G180" s="89" t="n">
        <v>0</v>
      </c>
      <c r="H180" s="89" t="n">
        <v>0</v>
      </c>
      <c r="I180" s="89" t="n">
        <v>0</v>
      </c>
      <c r="J180" s="89" t="n">
        <v>0</v>
      </c>
      <c r="K180" s="90">
        <f>G180+H180+I180+J180</f>
        <v/>
      </c>
      <c r="L180" s="89" t="n">
        <v>0</v>
      </c>
      <c r="M180" s="89" t="n">
        <v>0</v>
      </c>
      <c r="N180" s="89" t="n">
        <v>0</v>
      </c>
      <c r="O180" s="89" t="n">
        <v>0</v>
      </c>
      <c r="P180" s="89" t="n">
        <v>0</v>
      </c>
      <c r="Q180" s="90">
        <f>L180+M180+N180+O180+P180</f>
        <v/>
      </c>
      <c r="R180" s="89" t="n"/>
      <c r="S180" s="89" t="n"/>
      <c r="T180" s="89" t="n"/>
      <c r="U180" s="89" t="n"/>
      <c r="V180" s="90">
        <f>R180+S180+T180+U180</f>
        <v/>
      </c>
      <c r="W180" s="89" t="n">
        <v>0</v>
      </c>
      <c r="X180" s="89" t="n">
        <v>0</v>
      </c>
      <c r="Y180" s="89" t="n"/>
      <c r="Z180" s="89" t="n"/>
      <c r="AA180" s="90">
        <f>W180+X180+Y180+Z180</f>
        <v/>
      </c>
      <c r="AB180" s="89" t="n"/>
      <c r="AC180" s="89" t="n"/>
      <c r="AD180" s="89" t="n"/>
      <c r="AE180" s="89" t="n"/>
      <c r="AF180" s="89" t="n"/>
      <c r="AG180" s="90">
        <f>AB180+AC180+AD180+AE180+AF180</f>
        <v/>
      </c>
      <c r="AH180" s="89" t="n"/>
      <c r="AI180" s="89" t="n"/>
      <c r="AJ180" s="89" t="n"/>
      <c r="AK180" s="89" t="n"/>
      <c r="AL180" s="90">
        <f>AH180+AI180+AJ180+AK180</f>
        <v/>
      </c>
      <c r="AM180" s="89" t="n"/>
      <c r="AN180" s="89" t="n"/>
      <c r="AO180" s="89" t="n"/>
      <c r="AP180" s="89" t="n"/>
      <c r="AQ180" s="89" t="n"/>
      <c r="AR180" s="90">
        <f>AM180+AN180+AO180+AP180+AQ180</f>
        <v/>
      </c>
      <c r="AS180" s="89" t="n"/>
      <c r="AT180" s="89" t="n"/>
      <c r="AU180" s="89" t="n"/>
      <c r="AV180" s="89" t="n"/>
      <c r="AW180" s="90">
        <f>AS180+AT180+AU180+AV180</f>
        <v/>
      </c>
      <c r="AX180" s="89" t="n"/>
      <c r="AY180" s="89" t="n"/>
      <c r="AZ180" s="89" t="n"/>
      <c r="BA180" s="89" t="n"/>
      <c r="BB180" s="90">
        <f>AX180+AY180+AZ180+BA180</f>
        <v/>
      </c>
      <c r="BC180" s="89" t="n"/>
      <c r="BD180" s="89" t="n"/>
      <c r="BE180" s="89" t="n"/>
      <c r="BF180" s="89" t="n"/>
      <c r="BG180" s="89" t="n"/>
      <c r="BH180" s="90">
        <f>BC180+BD180+BE180+BF180+BG180</f>
        <v/>
      </c>
      <c r="BI180" s="89" t="n"/>
      <c r="BJ180" s="89" t="n"/>
      <c r="BK180" s="89" t="n"/>
      <c r="BL180" s="89" t="n"/>
      <c r="BM180" s="90">
        <f>BI180+BJ180+BK180+BL180</f>
        <v/>
      </c>
    </row>
    <row r="181" ht="15.75" customHeight="1">
      <c r="A181" s="93" t="inlineStr">
        <is>
          <t>LÂMINA</t>
        </is>
      </c>
      <c r="B181" s="201" t="n">
        <v>0</v>
      </c>
      <c r="C181" s="89" t="n">
        <v>0</v>
      </c>
      <c r="D181" s="89" t="n">
        <v>0</v>
      </c>
      <c r="E181" s="89" t="n">
        <v>0</v>
      </c>
      <c r="F181" s="90">
        <f>B181+C181+D181+E181</f>
        <v/>
      </c>
      <c r="G181" s="89" t="n">
        <v>0</v>
      </c>
      <c r="H181" s="89" t="n">
        <v>0</v>
      </c>
      <c r="I181" s="89" t="n">
        <v>0</v>
      </c>
      <c r="J181" s="89" t="n">
        <v>0</v>
      </c>
      <c r="K181" s="90">
        <f>G181+H181+I181+J181</f>
        <v/>
      </c>
      <c r="L181" s="89" t="n">
        <v>1</v>
      </c>
      <c r="M181" s="89" t="n">
        <v>0</v>
      </c>
      <c r="N181" s="89" t="n">
        <v>0</v>
      </c>
      <c r="O181" s="89" t="n">
        <v>0</v>
      </c>
      <c r="P181" s="89" t="n">
        <v>0</v>
      </c>
      <c r="Q181" s="90">
        <f>L181+M181+N181+O181+P181</f>
        <v/>
      </c>
      <c r="R181" s="89" t="n"/>
      <c r="S181" s="89" t="n"/>
      <c r="T181" s="89" t="n"/>
      <c r="U181" s="89" t="n"/>
      <c r="V181" s="90">
        <f>R181+S181+T181+U181</f>
        <v/>
      </c>
      <c r="W181" s="89" t="n">
        <v>0</v>
      </c>
      <c r="X181" s="89" t="n">
        <v>0</v>
      </c>
      <c r="Y181" s="89" t="n"/>
      <c r="Z181" s="89" t="n"/>
      <c r="AA181" s="90">
        <f>W181+X181+Y181+Z181</f>
        <v/>
      </c>
      <c r="AB181" s="89" t="n"/>
      <c r="AC181" s="89" t="n"/>
      <c r="AD181" s="89" t="n"/>
      <c r="AE181" s="89" t="n"/>
      <c r="AF181" s="89" t="n"/>
      <c r="AG181" s="90">
        <f>AB181+AC181+AD181+AE181+AF181</f>
        <v/>
      </c>
      <c r="AH181" s="89" t="n"/>
      <c r="AI181" s="89" t="n"/>
      <c r="AJ181" s="89" t="n"/>
      <c r="AK181" s="89" t="n"/>
      <c r="AL181" s="90">
        <f>AH181+AI181+AJ181+AK181</f>
        <v/>
      </c>
      <c r="AM181" s="89" t="n"/>
      <c r="AN181" s="89" t="n"/>
      <c r="AO181" s="89" t="n"/>
      <c r="AP181" s="89" t="n"/>
      <c r="AQ181" s="89" t="n"/>
      <c r="AR181" s="90">
        <f>AM181+AN181+AO181+AP181+AQ181</f>
        <v/>
      </c>
      <c r="AS181" s="89" t="n"/>
      <c r="AT181" s="89" t="n"/>
      <c r="AU181" s="89" t="n"/>
      <c r="AV181" s="89" t="n"/>
      <c r="AW181" s="90">
        <f>AS181+AT181+AU181+AV181</f>
        <v/>
      </c>
      <c r="AX181" s="89" t="n"/>
      <c r="AY181" s="89" t="n"/>
      <c r="AZ181" s="89" t="n"/>
      <c r="BA181" s="89" t="n"/>
      <c r="BB181" s="90">
        <f>AX181+AY181+AZ181+BA181</f>
        <v/>
      </c>
      <c r="BC181" s="89" t="n"/>
      <c r="BD181" s="89" t="n"/>
      <c r="BE181" s="89" t="n"/>
      <c r="BF181" s="89" t="n"/>
      <c r="BG181" s="89" t="n"/>
      <c r="BH181" s="90">
        <f>BC181+BD181+BE181+BF181+BG181</f>
        <v/>
      </c>
      <c r="BI181" s="89" t="n"/>
      <c r="BJ181" s="89" t="n"/>
      <c r="BK181" s="89" t="n"/>
      <c r="BL181" s="89" t="n"/>
      <c r="BM181" s="90">
        <f>BI181+BJ181+BK181+BL181</f>
        <v/>
      </c>
    </row>
    <row r="182" ht="15.75" customHeight="1">
      <c r="A182" s="93" t="inlineStr">
        <is>
          <t>PAPEL DE SEDA OUI</t>
        </is>
      </c>
      <c r="B182" s="201" t="n">
        <v>0</v>
      </c>
      <c r="C182" s="89" t="n">
        <v>0</v>
      </c>
      <c r="D182" s="89" t="n">
        <v>0</v>
      </c>
      <c r="E182" s="89" t="n">
        <v>0</v>
      </c>
      <c r="F182" s="90">
        <f>B182+C182+D182+E182</f>
        <v/>
      </c>
      <c r="G182" s="89" t="n">
        <v>0</v>
      </c>
      <c r="H182" s="89" t="n">
        <v>0</v>
      </c>
      <c r="I182" s="89" t="n">
        <v>0</v>
      </c>
      <c r="J182" s="89" t="n">
        <v>0</v>
      </c>
      <c r="K182" s="90">
        <f>G182+H182+I182+J182</f>
        <v/>
      </c>
      <c r="L182" s="89" t="n">
        <v>0</v>
      </c>
      <c r="M182" s="89" t="n">
        <v>0</v>
      </c>
      <c r="N182" s="89" t="n">
        <v>0</v>
      </c>
      <c r="O182" s="89" t="n">
        <v>0</v>
      </c>
      <c r="P182" s="89" t="n">
        <v>0</v>
      </c>
      <c r="Q182" s="90">
        <f>L182+M182+N182+O182+P182</f>
        <v/>
      </c>
      <c r="R182" s="89" t="n"/>
      <c r="S182" s="89" t="n"/>
      <c r="T182" s="89" t="n"/>
      <c r="U182" s="89" t="n"/>
      <c r="V182" s="90">
        <f>R182+S182+T182+U182</f>
        <v/>
      </c>
      <c r="W182" s="89" t="n">
        <v>0</v>
      </c>
      <c r="X182" s="89" t="n">
        <v>0</v>
      </c>
      <c r="Y182" s="89" t="n"/>
      <c r="Z182" s="89" t="n"/>
      <c r="AA182" s="90">
        <f>W182+X182+Y182+Z182</f>
        <v/>
      </c>
      <c r="AB182" s="89" t="n"/>
      <c r="AC182" s="89" t="n"/>
      <c r="AD182" s="89" t="n"/>
      <c r="AE182" s="89" t="n"/>
      <c r="AF182" s="89" t="n"/>
      <c r="AG182" s="90">
        <f>AB182+AC182+AD182+AE182+AF182</f>
        <v/>
      </c>
      <c r="AH182" s="89" t="n"/>
      <c r="AI182" s="89" t="n"/>
      <c r="AJ182" s="89" t="n"/>
      <c r="AK182" s="89" t="n"/>
      <c r="AL182" s="90">
        <f>AH182+AI182+AJ182+AK182</f>
        <v/>
      </c>
      <c r="AM182" s="89" t="n"/>
      <c r="AN182" s="89" t="n"/>
      <c r="AO182" s="89" t="n"/>
      <c r="AP182" s="89" t="n"/>
      <c r="AQ182" s="89" t="n"/>
      <c r="AR182" s="90">
        <f>AM182+AN182+AO182+AP182+AQ182</f>
        <v/>
      </c>
      <c r="AS182" s="89" t="n"/>
      <c r="AT182" s="89" t="n"/>
      <c r="AU182" s="89" t="n"/>
      <c r="AV182" s="89" t="n"/>
      <c r="AW182" s="90">
        <f>AS182+AT182+AU182+AV182</f>
        <v/>
      </c>
      <c r="AX182" s="89" t="n"/>
      <c r="AY182" s="89" t="n"/>
      <c r="AZ182" s="89" t="n"/>
      <c r="BA182" s="89" t="n"/>
      <c r="BB182" s="90">
        <f>AX182+AY182+AZ182+BA182</f>
        <v/>
      </c>
      <c r="BC182" s="89" t="n"/>
      <c r="BD182" s="89" t="n"/>
      <c r="BE182" s="89" t="n"/>
      <c r="BF182" s="89" t="n"/>
      <c r="BG182" s="89" t="n"/>
      <c r="BH182" s="90">
        <f>BC182+BD182+BE182+BF182+BG182</f>
        <v/>
      </c>
      <c r="BI182" s="89" t="n"/>
      <c r="BJ182" s="89" t="n"/>
      <c r="BK182" s="89" t="n"/>
      <c r="BL182" s="89" t="n"/>
      <c r="BM182" s="90">
        <f>BI182+BJ182+BK182+BL182</f>
        <v/>
      </c>
    </row>
    <row r="183" ht="15.75" customHeight="1">
      <c r="A183" s="93" t="inlineStr">
        <is>
          <t>ETIQUETA OUI</t>
        </is>
      </c>
      <c r="B183" s="201" t="n">
        <v>0</v>
      </c>
      <c r="C183" s="89" t="n">
        <v>0</v>
      </c>
      <c r="D183" s="89" t="n">
        <v>0</v>
      </c>
      <c r="E183" s="89" t="n">
        <v>0</v>
      </c>
      <c r="F183" s="90">
        <f>B183+C183+D183+E183</f>
        <v/>
      </c>
      <c r="G183" s="89" t="n">
        <v>0</v>
      </c>
      <c r="H183" s="89" t="n">
        <v>0</v>
      </c>
      <c r="I183" s="89" t="n">
        <v>0</v>
      </c>
      <c r="J183" s="89" t="n">
        <v>0</v>
      </c>
      <c r="K183" s="90">
        <f>G183+H183+I183+J183</f>
        <v/>
      </c>
      <c r="L183" s="89" t="n">
        <v>0</v>
      </c>
      <c r="M183" s="89" t="n">
        <v>0</v>
      </c>
      <c r="N183" s="89" t="n">
        <v>0</v>
      </c>
      <c r="O183" s="89" t="n">
        <v>0</v>
      </c>
      <c r="P183" s="89" t="n">
        <v>0</v>
      </c>
      <c r="Q183" s="90">
        <f>L183+M183+N183+O183+P183</f>
        <v/>
      </c>
      <c r="R183" s="89" t="n"/>
      <c r="S183" s="89" t="n"/>
      <c r="T183" s="89" t="n"/>
      <c r="U183" s="89" t="n"/>
      <c r="V183" s="90">
        <f>R183+S183+T183+U183</f>
        <v/>
      </c>
      <c r="W183" s="89" t="n">
        <v>0</v>
      </c>
      <c r="X183" s="89" t="n">
        <v>0</v>
      </c>
      <c r="Y183" s="89" t="n"/>
      <c r="Z183" s="89" t="n"/>
      <c r="AA183" s="90">
        <f>W183+X183+Y183+Z183</f>
        <v/>
      </c>
      <c r="AB183" s="89" t="n"/>
      <c r="AC183" s="89" t="n"/>
      <c r="AD183" s="89" t="n"/>
      <c r="AE183" s="89" t="n"/>
      <c r="AF183" s="89" t="n"/>
      <c r="AG183" s="90">
        <f>AB183+AC183+AD183+AE183+AF183</f>
        <v/>
      </c>
      <c r="AH183" s="89" t="n"/>
      <c r="AI183" s="89" t="n"/>
      <c r="AJ183" s="89" t="n"/>
      <c r="AK183" s="89" t="n"/>
      <c r="AL183" s="90">
        <f>AH183+AI183+AJ183+AK183</f>
        <v/>
      </c>
      <c r="AM183" s="89" t="n"/>
      <c r="AN183" s="89" t="n"/>
      <c r="AO183" s="89" t="n"/>
      <c r="AP183" s="89" t="n"/>
      <c r="AQ183" s="89" t="n"/>
      <c r="AR183" s="90">
        <f>AM183+AN183+AO183+AP183+AQ183</f>
        <v/>
      </c>
      <c r="AS183" s="89" t="n"/>
      <c r="AT183" s="89" t="n"/>
      <c r="AU183" s="89" t="n"/>
      <c r="AV183" s="89" t="n"/>
      <c r="AW183" s="90">
        <f>AS183+AT183+AU183+AV183</f>
        <v/>
      </c>
      <c r="AX183" s="89" t="n"/>
      <c r="AY183" s="89" t="n"/>
      <c r="AZ183" s="89" t="n"/>
      <c r="BA183" s="89" t="n"/>
      <c r="BB183" s="90">
        <f>AX183+AY183+AZ183+BA183</f>
        <v/>
      </c>
      <c r="BC183" s="89" t="n"/>
      <c r="BD183" s="89" t="n"/>
      <c r="BE183" s="89" t="n"/>
      <c r="BF183" s="89" t="n"/>
      <c r="BG183" s="89" t="n"/>
      <c r="BH183" s="90">
        <f>BC183+BD183+BE183+BF183+BG183</f>
        <v/>
      </c>
      <c r="BI183" s="89" t="n"/>
      <c r="BJ183" s="89" t="n"/>
      <c r="BK183" s="89" t="n"/>
      <c r="BL183" s="89" t="n"/>
      <c r="BM183" s="90">
        <f>BI183+BJ183+BK183+BL183</f>
        <v/>
      </c>
    </row>
    <row r="184" ht="15.75" customHeight="1">
      <c r="A184" s="93" t="inlineStr">
        <is>
          <t>LÂMINA OLFATIVA OUI</t>
        </is>
      </c>
      <c r="B184" s="201" t="n">
        <v>0</v>
      </c>
      <c r="C184" s="89" t="n">
        <v>0</v>
      </c>
      <c r="D184" s="89" t="n">
        <v>0</v>
      </c>
      <c r="E184" s="89" t="n">
        <v>0</v>
      </c>
      <c r="F184" s="90">
        <f>B184+C184+D184+E184</f>
        <v/>
      </c>
      <c r="G184" s="89" t="n">
        <v>0</v>
      </c>
      <c r="H184" s="89" t="n">
        <v>0</v>
      </c>
      <c r="I184" s="89" t="n">
        <v>0</v>
      </c>
      <c r="J184" s="89" t="n">
        <v>0</v>
      </c>
      <c r="K184" s="90">
        <f>G184+H184+I184+J184</f>
        <v/>
      </c>
      <c r="L184" s="89" t="n">
        <v>0</v>
      </c>
      <c r="M184" s="89" t="n">
        <v>0</v>
      </c>
      <c r="N184" s="89" t="n">
        <v>0</v>
      </c>
      <c r="O184" s="89" t="n">
        <v>0</v>
      </c>
      <c r="P184" s="89" t="n">
        <v>0</v>
      </c>
      <c r="Q184" s="90">
        <f>L184+M184+N184+O184+P184</f>
        <v/>
      </c>
      <c r="R184" s="89" t="n"/>
      <c r="S184" s="89" t="n"/>
      <c r="T184" s="89" t="n"/>
      <c r="U184" s="89" t="n"/>
      <c r="V184" s="90">
        <f>R184+S184+T184+U184</f>
        <v/>
      </c>
      <c r="W184" s="89" t="n">
        <v>0</v>
      </c>
      <c r="X184" s="89" t="n">
        <v>0</v>
      </c>
      <c r="Y184" s="89" t="n"/>
      <c r="Z184" s="89" t="n"/>
      <c r="AA184" s="90">
        <f>W184+X184+Y184+Z184</f>
        <v/>
      </c>
      <c r="AB184" s="89" t="n"/>
      <c r="AC184" s="89" t="n"/>
      <c r="AD184" s="89" t="n"/>
      <c r="AE184" s="89" t="n"/>
      <c r="AF184" s="89" t="n"/>
      <c r="AG184" s="90">
        <f>AB184+AC184+AD184+AE184+AF184</f>
        <v/>
      </c>
      <c r="AH184" s="89" t="n"/>
      <c r="AI184" s="89" t="n"/>
      <c r="AJ184" s="89" t="n"/>
      <c r="AK184" s="89" t="n"/>
      <c r="AL184" s="90">
        <f>AH184+AI184+AJ184+AK184</f>
        <v/>
      </c>
      <c r="AM184" s="89" t="n"/>
      <c r="AN184" s="89" t="n"/>
      <c r="AO184" s="89" t="n"/>
      <c r="AP184" s="89" t="n"/>
      <c r="AQ184" s="89" t="n"/>
      <c r="AR184" s="90">
        <f>AM184+AN184+AO184+AP184+AQ184</f>
        <v/>
      </c>
      <c r="AS184" s="89" t="n"/>
      <c r="AT184" s="89" t="n"/>
      <c r="AU184" s="89" t="n"/>
      <c r="AV184" s="89" t="n"/>
      <c r="AW184" s="90">
        <f>AS184+AT184+AU184+AV184</f>
        <v/>
      </c>
      <c r="AX184" s="89" t="n"/>
      <c r="AY184" s="89" t="n"/>
      <c r="AZ184" s="89" t="n"/>
      <c r="BA184" s="89" t="n"/>
      <c r="BB184" s="90">
        <f>AX184+AY184+AZ184+BA184</f>
        <v/>
      </c>
      <c r="BC184" s="89" t="n"/>
      <c r="BD184" s="89" t="n"/>
      <c r="BE184" s="89" t="n"/>
      <c r="BF184" s="89" t="n"/>
      <c r="BG184" s="89" t="n"/>
      <c r="BH184" s="90">
        <f>BC184+BD184+BE184+BF184+BG184</f>
        <v/>
      </c>
      <c r="BI184" s="89" t="n"/>
      <c r="BJ184" s="89" t="n"/>
      <c r="BK184" s="89" t="n"/>
      <c r="BL184" s="89" t="n"/>
      <c r="BM184" s="90">
        <f>BI184+BJ184+BK184+BL184</f>
        <v/>
      </c>
    </row>
    <row r="185" ht="15.75" customHeight="1">
      <c r="A185" s="93" t="inlineStr">
        <is>
          <t>SACO M OUI (BRINDE)</t>
        </is>
      </c>
      <c r="B185" s="89" t="n">
        <v>0</v>
      </c>
      <c r="C185" s="89" t="n">
        <v>0</v>
      </c>
      <c r="D185" s="89" t="n">
        <v>12</v>
      </c>
      <c r="E185" s="89" t="n">
        <v>13</v>
      </c>
      <c r="F185" s="90">
        <f>B185+C185+D185+E185</f>
        <v/>
      </c>
      <c r="G185" s="89" t="n">
        <v>1</v>
      </c>
      <c r="H185" s="89" t="n">
        <v>3</v>
      </c>
      <c r="I185" s="89" t="n">
        <v>0</v>
      </c>
      <c r="J185" s="89" t="n">
        <v>0</v>
      </c>
      <c r="K185" s="90">
        <f>G185+H185+I185+J185</f>
        <v/>
      </c>
      <c r="L185" s="89" t="n">
        <v>38</v>
      </c>
      <c r="M185" s="89" t="n">
        <v>9</v>
      </c>
      <c r="N185" s="89" t="n">
        <v>6</v>
      </c>
      <c r="O185" s="89" t="n">
        <v>7</v>
      </c>
      <c r="P185" s="89" t="n">
        <v>22</v>
      </c>
      <c r="Q185" s="90">
        <f>L185+M185+N185+O185+P185</f>
        <v/>
      </c>
      <c r="R185" s="89" t="n"/>
      <c r="S185" s="89" t="n"/>
      <c r="T185" s="89" t="n"/>
      <c r="U185" s="89" t="n"/>
      <c r="V185" s="90">
        <f>R185+S185+T185+U185</f>
        <v/>
      </c>
      <c r="W185" s="89" t="n">
        <v>0</v>
      </c>
      <c r="X185" s="89" t="n">
        <v>0</v>
      </c>
      <c r="Y185" s="89" t="n"/>
      <c r="Z185" s="89" t="n"/>
      <c r="AA185" s="90">
        <f>W185+X185+Y185+Z185</f>
        <v/>
      </c>
      <c r="AB185" s="89" t="n"/>
      <c r="AC185" s="89" t="n"/>
      <c r="AD185" s="89" t="n"/>
      <c r="AE185" s="89" t="n"/>
      <c r="AF185" s="89" t="n"/>
      <c r="AG185" s="90">
        <f>AB185+AC185+AD185+AE185+AF185</f>
        <v/>
      </c>
      <c r="AH185" s="89" t="n"/>
      <c r="AI185" s="89" t="n"/>
      <c r="AJ185" s="89" t="n"/>
      <c r="AK185" s="89" t="n"/>
      <c r="AL185" s="90">
        <f>AH185+AI185+AJ185+AK185</f>
        <v/>
      </c>
      <c r="AM185" s="89" t="n"/>
      <c r="AN185" s="89" t="n"/>
      <c r="AO185" s="89" t="n"/>
      <c r="AP185" s="89" t="n"/>
      <c r="AQ185" s="89" t="n"/>
      <c r="AR185" s="90">
        <f>AM185+AN185+AO185+AP185+AQ185</f>
        <v/>
      </c>
      <c r="AS185" s="89" t="n"/>
      <c r="AT185" s="89" t="n"/>
      <c r="AU185" s="89" t="n"/>
      <c r="AV185" s="89" t="n"/>
      <c r="AW185" s="90">
        <f>AS185+AT185+AU185+AV185</f>
        <v/>
      </c>
      <c r="AX185" s="89" t="n"/>
      <c r="AY185" s="89" t="n"/>
      <c r="AZ185" s="89" t="n"/>
      <c r="BA185" s="89" t="n"/>
      <c r="BB185" s="90">
        <f>AX185+AY185+AZ185+BA185</f>
        <v/>
      </c>
      <c r="BC185" s="89" t="n"/>
      <c r="BD185" s="89" t="n"/>
      <c r="BE185" s="89" t="n"/>
      <c r="BF185" s="89" t="n"/>
      <c r="BG185" s="89" t="n"/>
      <c r="BH185" s="90">
        <f>BC185+BD185+BE185+BF185+BG185</f>
        <v/>
      </c>
      <c r="BI185" s="89" t="n"/>
      <c r="BJ185" s="89" t="n"/>
      <c r="BK185" s="89" t="n"/>
      <c r="BL185" s="89" t="n"/>
      <c r="BM185" s="90">
        <f>BI185+BJ185+BK185+BL185</f>
        <v/>
      </c>
    </row>
    <row r="186" ht="15.75" customHeight="1">
      <c r="A186" s="93" t="inlineStr">
        <is>
          <t>SACOLA P QDB</t>
        </is>
      </c>
      <c r="B186" s="201" t="n">
        <v>0</v>
      </c>
      <c r="C186" s="89" t="n">
        <v>0</v>
      </c>
      <c r="D186" s="89" t="n">
        <v>0</v>
      </c>
      <c r="E186" s="89" t="n">
        <v>0</v>
      </c>
      <c r="F186" s="90">
        <f>B186+C186+D186+E186</f>
        <v/>
      </c>
      <c r="G186" s="89" t="n">
        <v>0</v>
      </c>
      <c r="H186" s="89" t="n">
        <v>0</v>
      </c>
      <c r="I186" s="89" t="n">
        <v>0</v>
      </c>
      <c r="J186" s="89" t="n">
        <v>0</v>
      </c>
      <c r="K186" s="90">
        <f>G186+H186+I186+J186</f>
        <v/>
      </c>
      <c r="L186" s="89" t="n">
        <v>0</v>
      </c>
      <c r="M186" s="89" t="n">
        <v>0</v>
      </c>
      <c r="N186" s="89" t="n">
        <v>0</v>
      </c>
      <c r="O186" s="89" t="n">
        <v>0</v>
      </c>
      <c r="P186" s="89" t="n">
        <v>0</v>
      </c>
      <c r="Q186" s="90">
        <f>L186+M186+N186+O186+P186</f>
        <v/>
      </c>
      <c r="R186" s="89" t="n"/>
      <c r="S186" s="89" t="n"/>
      <c r="T186" s="89" t="n"/>
      <c r="U186" s="89" t="n"/>
      <c r="V186" s="90">
        <f>R186+S186+T186+U186</f>
        <v/>
      </c>
      <c r="W186" s="89" t="n">
        <v>0</v>
      </c>
      <c r="X186" s="89" t="n">
        <v>0</v>
      </c>
      <c r="Y186" s="89" t="n"/>
      <c r="Z186" s="89" t="n"/>
      <c r="AA186" s="90">
        <f>W186+X186+Y186+Z186</f>
        <v/>
      </c>
      <c r="AB186" s="89" t="n"/>
      <c r="AC186" s="89" t="n"/>
      <c r="AD186" s="89" t="n"/>
      <c r="AE186" s="89" t="n"/>
      <c r="AF186" s="89" t="n"/>
      <c r="AG186" s="90">
        <f>AB186+AC186+AD186+AE186+AF186</f>
        <v/>
      </c>
      <c r="AH186" s="89" t="n"/>
      <c r="AI186" s="89" t="n"/>
      <c r="AJ186" s="89" t="n"/>
      <c r="AK186" s="89" t="n"/>
      <c r="AL186" s="90">
        <f>AH186+AI186+AJ186+AK186</f>
        <v/>
      </c>
      <c r="AM186" s="89" t="n"/>
      <c r="AN186" s="89" t="n"/>
      <c r="AO186" s="89" t="n"/>
      <c r="AP186" s="89" t="n"/>
      <c r="AQ186" s="89" t="n"/>
      <c r="AR186" s="90">
        <f>AM186+AN186+AO186+AP186+AQ186</f>
        <v/>
      </c>
      <c r="AS186" s="89" t="n"/>
      <c r="AT186" s="89" t="n"/>
      <c r="AU186" s="89" t="n"/>
      <c r="AV186" s="89" t="n"/>
      <c r="AW186" s="90">
        <f>AS186+AT186+AU186+AV186</f>
        <v/>
      </c>
      <c r="AX186" s="89" t="n"/>
      <c r="AY186" s="89" t="n"/>
      <c r="AZ186" s="89" t="n"/>
      <c r="BA186" s="89" t="n"/>
      <c r="BB186" s="90">
        <f>AX186+AY186+AZ186+BA186</f>
        <v/>
      </c>
      <c r="BC186" s="89" t="n"/>
      <c r="BD186" s="89" t="n"/>
      <c r="BE186" s="89" t="n"/>
      <c r="BF186" s="89" t="n"/>
      <c r="BG186" s="89" t="n"/>
      <c r="BH186" s="90">
        <f>BC186+BD186+BE186+BF186+BG186</f>
        <v/>
      </c>
      <c r="BI186" s="89" t="n"/>
      <c r="BJ186" s="89" t="n"/>
      <c r="BK186" s="89" t="n"/>
      <c r="BL186" s="89" t="n"/>
      <c r="BM186" s="90">
        <f>BI186+BJ186+BK186+BL186</f>
        <v/>
      </c>
    </row>
    <row r="187" ht="15.75" customHeight="1">
      <c r="A187" s="93" t="inlineStr">
        <is>
          <t>SACOLA M QDB</t>
        </is>
      </c>
      <c r="B187" s="201" t="n">
        <v>0</v>
      </c>
      <c r="C187" s="89" t="n">
        <v>0</v>
      </c>
      <c r="D187" s="89" t="n">
        <v>0</v>
      </c>
      <c r="E187" s="89" t="n">
        <v>0</v>
      </c>
      <c r="F187" s="90">
        <f>B187+C187+D187+E187</f>
        <v/>
      </c>
      <c r="G187" s="89" t="n">
        <v>0</v>
      </c>
      <c r="H187" s="89" t="n">
        <v>0</v>
      </c>
      <c r="I187" s="89" t="n">
        <v>0</v>
      </c>
      <c r="J187" s="89" t="n">
        <v>0</v>
      </c>
      <c r="K187" s="90">
        <f>G187+H187+I187+J187</f>
        <v/>
      </c>
      <c r="L187" s="89" t="n">
        <v>0</v>
      </c>
      <c r="M187" s="89" t="n">
        <v>0</v>
      </c>
      <c r="N187" s="89" t="n">
        <v>0</v>
      </c>
      <c r="O187" s="89" t="n">
        <v>0</v>
      </c>
      <c r="P187" s="89" t="n">
        <v>0</v>
      </c>
      <c r="Q187" s="90">
        <f>L187+M187+N187+O187+P187</f>
        <v/>
      </c>
      <c r="R187" s="89" t="n"/>
      <c r="S187" s="89" t="n"/>
      <c r="T187" s="89" t="n"/>
      <c r="U187" s="89" t="n"/>
      <c r="V187" s="90">
        <f>R187+S187+T187+U187</f>
        <v/>
      </c>
      <c r="W187" s="89" t="n">
        <v>0</v>
      </c>
      <c r="X187" s="89" t="n">
        <v>0</v>
      </c>
      <c r="Y187" s="89" t="n"/>
      <c r="Z187" s="89" t="n"/>
      <c r="AA187" s="90">
        <f>W187+X187+Y187+Z187</f>
        <v/>
      </c>
      <c r="AB187" s="89" t="n"/>
      <c r="AC187" s="89" t="n"/>
      <c r="AD187" s="89" t="n"/>
      <c r="AE187" s="89" t="n"/>
      <c r="AF187" s="89" t="n"/>
      <c r="AG187" s="90">
        <f>AB187+AC187+AD187+AE187+AF187</f>
        <v/>
      </c>
      <c r="AH187" s="89" t="n"/>
      <c r="AI187" s="89" t="n"/>
      <c r="AJ187" s="89" t="n"/>
      <c r="AK187" s="89" t="n"/>
      <c r="AL187" s="90">
        <f>AH187+AI187+AJ187+AK187</f>
        <v/>
      </c>
      <c r="AM187" s="89" t="n"/>
      <c r="AN187" s="89" t="n"/>
      <c r="AO187" s="89" t="n"/>
      <c r="AP187" s="89" t="n"/>
      <c r="AQ187" s="89" t="n"/>
      <c r="AR187" s="90">
        <f>AM187+AN187+AO187+AP187+AQ187</f>
        <v/>
      </c>
      <c r="AS187" s="89" t="n"/>
      <c r="AT187" s="89" t="n"/>
      <c r="AU187" s="89" t="n"/>
      <c r="AV187" s="89" t="n"/>
      <c r="AW187" s="90">
        <f>AS187+AT187+AU187+AV187</f>
        <v/>
      </c>
      <c r="AX187" s="89" t="n"/>
      <c r="AY187" s="89" t="n"/>
      <c r="AZ187" s="89" t="n"/>
      <c r="BA187" s="89" t="n"/>
      <c r="BB187" s="90">
        <f>AX187+AY187+AZ187+BA187</f>
        <v/>
      </c>
      <c r="BC187" s="89" t="n"/>
      <c r="BD187" s="89" t="n"/>
      <c r="BE187" s="89" t="n"/>
      <c r="BF187" s="89" t="n"/>
      <c r="BG187" s="89" t="n"/>
      <c r="BH187" s="90">
        <f>BC187+BD187+BE187+BF187+BG187</f>
        <v/>
      </c>
      <c r="BI187" s="89" t="n"/>
      <c r="BJ187" s="89" t="n"/>
      <c r="BK187" s="89" t="n"/>
      <c r="BL187" s="89" t="n"/>
      <c r="BM187" s="90">
        <f>BI187+BJ187+BK187+BL187</f>
        <v/>
      </c>
    </row>
    <row r="188" ht="15.75" customHeight="1">
      <c r="A188" s="93" t="inlineStr">
        <is>
          <t>SACOLA G QDB</t>
        </is>
      </c>
      <c r="B188" s="201" t="n">
        <v>0</v>
      </c>
      <c r="C188" s="89" t="n">
        <v>0</v>
      </c>
      <c r="D188" s="89" t="n">
        <v>0</v>
      </c>
      <c r="E188" s="89" t="n">
        <v>0</v>
      </c>
      <c r="F188" s="90">
        <f>B188+C188+D188+E188</f>
        <v/>
      </c>
      <c r="G188" s="89" t="n">
        <v>0</v>
      </c>
      <c r="H188" s="89" t="n">
        <v>0</v>
      </c>
      <c r="I188" s="89" t="n">
        <v>0</v>
      </c>
      <c r="J188" s="89" t="n">
        <v>0</v>
      </c>
      <c r="K188" s="90">
        <f>G188+H188+I188+J188</f>
        <v/>
      </c>
      <c r="L188" s="89" t="n">
        <v>0</v>
      </c>
      <c r="M188" s="89" t="n">
        <v>0</v>
      </c>
      <c r="N188" s="89" t="n">
        <v>0</v>
      </c>
      <c r="O188" s="89" t="n">
        <v>0</v>
      </c>
      <c r="P188" s="89" t="n">
        <v>0</v>
      </c>
      <c r="Q188" s="90">
        <f>L188+M188+N188+O188+P188</f>
        <v/>
      </c>
      <c r="R188" s="89" t="n"/>
      <c r="S188" s="89" t="n"/>
      <c r="T188" s="89" t="n"/>
      <c r="U188" s="89" t="n"/>
      <c r="V188" s="90">
        <f>R188+S188+T188+U188</f>
        <v/>
      </c>
      <c r="W188" s="89" t="n">
        <v>0</v>
      </c>
      <c r="X188" s="89" t="n">
        <v>0</v>
      </c>
      <c r="Y188" s="89" t="n"/>
      <c r="Z188" s="89" t="n"/>
      <c r="AA188" s="90">
        <f>W188+X188+Y188+Z188</f>
        <v/>
      </c>
      <c r="AB188" s="89" t="n"/>
      <c r="AC188" s="89" t="n"/>
      <c r="AD188" s="89" t="n"/>
      <c r="AE188" s="89" t="n"/>
      <c r="AF188" s="89" t="n"/>
      <c r="AG188" s="90">
        <f>AB188+AC188+AD188+AE188+AF188</f>
        <v/>
      </c>
      <c r="AH188" s="89" t="n"/>
      <c r="AI188" s="89" t="n"/>
      <c r="AJ188" s="89" t="n"/>
      <c r="AK188" s="89" t="n"/>
      <c r="AL188" s="90">
        <f>AH188+AI188+AJ188+AK188</f>
        <v/>
      </c>
      <c r="AM188" s="89" t="n"/>
      <c r="AN188" s="89" t="n"/>
      <c r="AO188" s="89" t="n"/>
      <c r="AP188" s="89" t="n"/>
      <c r="AQ188" s="89" t="n"/>
      <c r="AR188" s="90">
        <f>AM188+AN188+AO188+AP188+AQ188</f>
        <v/>
      </c>
      <c r="AS188" s="89" t="n"/>
      <c r="AT188" s="89" t="n"/>
      <c r="AU188" s="89" t="n"/>
      <c r="AV188" s="89" t="n"/>
      <c r="AW188" s="90">
        <f>AS188+AT188+AU188+AV188</f>
        <v/>
      </c>
      <c r="AX188" s="89" t="n"/>
      <c r="AY188" s="89" t="n"/>
      <c r="AZ188" s="89" t="n"/>
      <c r="BA188" s="89" t="n"/>
      <c r="BB188" s="90">
        <f>AX188+AY188+AZ188+BA188</f>
        <v/>
      </c>
      <c r="BC188" s="89" t="n"/>
      <c r="BD188" s="89" t="n"/>
      <c r="BE188" s="89" t="n"/>
      <c r="BF188" s="89" t="n"/>
      <c r="BG188" s="89" t="n"/>
      <c r="BH188" s="90">
        <f>BC188+BD188+BE188+BF188+BG188</f>
        <v/>
      </c>
      <c r="BI188" s="89" t="n"/>
      <c r="BJ188" s="89" t="n"/>
      <c r="BK188" s="89" t="n"/>
      <c r="BL188" s="89" t="n"/>
      <c r="BM188" s="90">
        <f>BI188+BJ188+BK188+BL188</f>
        <v/>
      </c>
    </row>
    <row r="189" ht="15.75" customHeight="1">
      <c r="A189" s="93" t="inlineStr">
        <is>
          <t>PAPEL DE SEDA QDB</t>
        </is>
      </c>
      <c r="B189" s="201" t="n">
        <v>0</v>
      </c>
      <c r="C189" s="201" t="n">
        <v>0</v>
      </c>
      <c r="D189" s="201" t="n">
        <v>0</v>
      </c>
      <c r="E189" s="201" t="n">
        <v>0</v>
      </c>
      <c r="F189" s="90">
        <f>B189+C189+D189+E189</f>
        <v/>
      </c>
      <c r="G189" s="201" t="n">
        <v>0</v>
      </c>
      <c r="H189" s="201" t="n">
        <v>0</v>
      </c>
      <c r="I189" s="201" t="n">
        <v>0</v>
      </c>
      <c r="J189" s="201" t="n">
        <v>0</v>
      </c>
      <c r="K189" s="90">
        <f>G189+H189+I189+J189</f>
        <v/>
      </c>
      <c r="L189" s="201" t="n">
        <v>0</v>
      </c>
      <c r="M189" s="201" t="n">
        <v>0</v>
      </c>
      <c r="N189" s="201" t="n">
        <v>0</v>
      </c>
      <c r="O189" s="201" t="n">
        <v>0</v>
      </c>
      <c r="P189" s="201" t="n">
        <v>0</v>
      </c>
      <c r="Q189" s="90">
        <f>L189+M189+N189+O189+P189</f>
        <v/>
      </c>
      <c r="R189" s="201" t="n"/>
      <c r="S189" s="201" t="n"/>
      <c r="T189" s="201" t="n"/>
      <c r="U189" s="201" t="n"/>
      <c r="V189" s="90">
        <f>R189+S189+T189+U189</f>
        <v/>
      </c>
      <c r="W189" s="201" t="n">
        <v>0</v>
      </c>
      <c r="X189" s="201" t="n">
        <v>0</v>
      </c>
      <c r="Y189" s="201" t="n"/>
      <c r="Z189" s="201" t="n"/>
      <c r="AA189" s="90">
        <f>W189+X189+Y189+Z189</f>
        <v/>
      </c>
      <c r="AB189" s="201" t="n"/>
      <c r="AC189" s="201" t="n"/>
      <c r="AD189" s="201" t="n"/>
      <c r="AE189" s="201" t="n"/>
      <c r="AF189" s="201" t="n"/>
      <c r="AG189" s="90">
        <f>AB189+AC189+AD189+AE189+AF189</f>
        <v/>
      </c>
      <c r="AH189" s="201" t="n"/>
      <c r="AI189" s="201" t="n"/>
      <c r="AJ189" s="201" t="n"/>
      <c r="AK189" s="201" t="n"/>
      <c r="AL189" s="90">
        <f>AH189+AI189+AJ189+AK189</f>
        <v/>
      </c>
      <c r="AM189" s="89" t="n"/>
      <c r="AN189" s="89" t="n"/>
      <c r="AO189" s="89" t="n"/>
      <c r="AP189" s="89" t="n"/>
      <c r="AQ189" s="89" t="n"/>
      <c r="AR189" s="90">
        <f>AM189+AN189+AO189+AP189+AQ189</f>
        <v/>
      </c>
      <c r="AS189" s="89" t="n"/>
      <c r="AT189" s="89" t="n"/>
      <c r="AU189" s="89" t="n"/>
      <c r="AV189" s="89" t="n"/>
      <c r="AW189" s="90">
        <f>AS189+AT189+AU189+AV189</f>
        <v/>
      </c>
      <c r="AX189" s="89" t="n"/>
      <c r="AY189" s="89" t="n"/>
      <c r="AZ189" s="89" t="n"/>
      <c r="BA189" s="89" t="n"/>
      <c r="BB189" s="90">
        <f>AX189+AY189+AZ189+BA189</f>
        <v/>
      </c>
      <c r="BC189" s="89" t="n"/>
      <c r="BD189" s="89" t="n"/>
      <c r="BE189" s="89" t="n"/>
      <c r="BF189" s="89" t="n"/>
      <c r="BG189" s="89" t="n"/>
      <c r="BH189" s="90">
        <f>BC189+BD189+BE189+BF189+BG189</f>
        <v/>
      </c>
      <c r="BI189" s="89" t="n"/>
      <c r="BJ189" s="89" t="n"/>
      <c r="BK189" s="89" t="n"/>
      <c r="BL189" s="89" t="n"/>
      <c r="BM189" s="90">
        <f>BI189+BJ189+BK189+BL189</f>
        <v/>
      </c>
    </row>
    <row r="190" ht="15.75" customHeight="1">
      <c r="A190" s="93" t="inlineStr">
        <is>
          <t>ETIQUETA QDB</t>
        </is>
      </c>
      <c r="B190" s="201" t="n">
        <v>0</v>
      </c>
      <c r="C190" s="201" t="n">
        <v>0</v>
      </c>
      <c r="D190" s="201" t="n">
        <v>0</v>
      </c>
      <c r="E190" s="201" t="n">
        <v>0</v>
      </c>
      <c r="F190" s="90">
        <f>B190+C190+D190+E190</f>
        <v/>
      </c>
      <c r="G190" s="201" t="n">
        <v>0</v>
      </c>
      <c r="H190" s="201" t="n">
        <v>0</v>
      </c>
      <c r="I190" s="201" t="n">
        <v>0</v>
      </c>
      <c r="J190" s="201" t="n">
        <v>0</v>
      </c>
      <c r="K190" s="90">
        <f>G190+H190+I190+J190</f>
        <v/>
      </c>
      <c r="L190" s="201" t="n">
        <v>0</v>
      </c>
      <c r="M190" s="201" t="n">
        <v>0</v>
      </c>
      <c r="N190" s="201" t="n">
        <v>0</v>
      </c>
      <c r="O190" s="201" t="n">
        <v>0</v>
      </c>
      <c r="P190" s="201" t="n">
        <v>0</v>
      </c>
      <c r="Q190" s="90">
        <f>L190+M190+N190+O190+P190</f>
        <v/>
      </c>
      <c r="R190" s="201" t="n"/>
      <c r="S190" s="201" t="n"/>
      <c r="T190" s="201" t="n"/>
      <c r="U190" s="201" t="n"/>
      <c r="V190" s="90">
        <f>R190+S190+T190+U190</f>
        <v/>
      </c>
      <c r="W190" s="201" t="n">
        <v>0</v>
      </c>
      <c r="X190" s="201" t="n">
        <v>0</v>
      </c>
      <c r="Y190" s="201" t="n"/>
      <c r="Z190" s="201" t="n"/>
      <c r="AA190" s="90">
        <f>W190+X190+Y190+Z190</f>
        <v/>
      </c>
      <c r="AB190" s="201" t="n"/>
      <c r="AC190" s="201" t="n"/>
      <c r="AD190" s="201" t="n"/>
      <c r="AE190" s="201" t="n"/>
      <c r="AF190" s="201" t="n"/>
      <c r="AG190" s="90">
        <f>AB190+AC190+AD190+AE190+AF190</f>
        <v/>
      </c>
      <c r="AH190" s="201" t="n"/>
      <c r="AI190" s="201" t="n"/>
      <c r="AJ190" s="201" t="n"/>
      <c r="AK190" s="201" t="n"/>
      <c r="AL190" s="90">
        <f>AH190+AI190+AJ190+AK190</f>
        <v/>
      </c>
      <c r="AM190" s="89" t="n"/>
      <c r="AN190" s="89" t="n"/>
      <c r="AO190" s="89" t="n"/>
      <c r="AP190" s="89" t="n"/>
      <c r="AQ190" s="89" t="n"/>
      <c r="AR190" s="90">
        <f>AM190+AN190+AO190+AP190+AQ190</f>
        <v/>
      </c>
      <c r="AS190" s="89" t="n"/>
      <c r="AT190" s="89" t="n"/>
      <c r="AU190" s="89" t="n"/>
      <c r="AV190" s="89" t="n"/>
      <c r="AW190" s="90">
        <f>AS190+AT190+AU190+AV190</f>
        <v/>
      </c>
      <c r="AX190" s="89" t="n"/>
      <c r="AY190" s="89" t="n"/>
      <c r="AZ190" s="89" t="n"/>
      <c r="BA190" s="89" t="n"/>
      <c r="BB190" s="90">
        <f>AX190+AY190+AZ190+BA190</f>
        <v/>
      </c>
      <c r="BC190" s="89" t="n"/>
      <c r="BD190" s="89" t="n"/>
      <c r="BE190" s="89" t="n"/>
      <c r="BF190" s="89" t="n"/>
      <c r="BG190" s="89" t="n"/>
      <c r="BH190" s="90">
        <f>BC190+BD190+BE190+BF190+BG190</f>
        <v/>
      </c>
      <c r="BI190" s="89" t="n"/>
      <c r="BJ190" s="89" t="n"/>
      <c r="BK190" s="89" t="n"/>
      <c r="BL190" s="89" t="n"/>
      <c r="BM190" s="90">
        <f>BI190+BJ190+BK190+BL190</f>
        <v/>
      </c>
    </row>
    <row r="191" ht="15.75" customHeight="1">
      <c r="A191" s="93" t="inlineStr">
        <is>
          <t>TAG QDB</t>
        </is>
      </c>
      <c r="B191" s="201" t="n">
        <v>0</v>
      </c>
      <c r="C191" s="201" t="n">
        <v>0</v>
      </c>
      <c r="D191" s="201" t="n">
        <v>0</v>
      </c>
      <c r="E191" s="201" t="n">
        <v>0</v>
      </c>
      <c r="F191" s="90">
        <f>B191+C191+D191+E191</f>
        <v/>
      </c>
      <c r="G191" s="201" t="n">
        <v>0</v>
      </c>
      <c r="H191" s="201" t="n">
        <v>0</v>
      </c>
      <c r="I191" s="201" t="n">
        <v>0</v>
      </c>
      <c r="J191" s="201" t="n">
        <v>0</v>
      </c>
      <c r="K191" s="90">
        <f>G191+H191+I191+J191</f>
        <v/>
      </c>
      <c r="L191" s="201" t="n">
        <v>0</v>
      </c>
      <c r="M191" s="201" t="n">
        <v>0</v>
      </c>
      <c r="N191" s="201" t="n">
        <v>0</v>
      </c>
      <c r="O191" s="201" t="n">
        <v>0</v>
      </c>
      <c r="P191" s="201" t="n">
        <v>0</v>
      </c>
      <c r="Q191" s="90">
        <f>L191+M191+N191+O191+P191</f>
        <v/>
      </c>
      <c r="R191" s="201" t="n"/>
      <c r="S191" s="201" t="n"/>
      <c r="T191" s="201" t="n"/>
      <c r="U191" s="201" t="n"/>
      <c r="V191" s="90">
        <f>R191+S191+T191+U191</f>
        <v/>
      </c>
      <c r="W191" s="201" t="n">
        <v>0</v>
      </c>
      <c r="X191" s="201" t="n">
        <v>0</v>
      </c>
      <c r="Y191" s="201" t="n"/>
      <c r="Z191" s="201" t="n"/>
      <c r="AA191" s="90">
        <f>W191+X191+Y191+Z191</f>
        <v/>
      </c>
      <c r="AB191" s="201" t="n"/>
      <c r="AC191" s="201" t="n"/>
      <c r="AD191" s="201" t="n"/>
      <c r="AE191" s="201" t="n"/>
      <c r="AF191" s="201" t="n"/>
      <c r="AG191" s="90">
        <f>AB191+AC191+AD191+AE191+AF191</f>
        <v/>
      </c>
      <c r="AH191" s="201" t="n"/>
      <c r="AI191" s="201" t="n"/>
      <c r="AJ191" s="201" t="n"/>
      <c r="AK191" s="201" t="n"/>
      <c r="AL191" s="90">
        <f>AH191+AI191+AJ191+AK191</f>
        <v/>
      </c>
      <c r="AM191" s="89" t="n"/>
      <c r="AN191" s="89" t="n"/>
      <c r="AO191" s="89" t="n"/>
      <c r="AP191" s="89" t="n"/>
      <c r="AQ191" s="89" t="n"/>
      <c r="AR191" s="90">
        <f>AM191+AN191+AO191+AP191+AQ191</f>
        <v/>
      </c>
      <c r="AS191" s="89" t="n"/>
      <c r="AT191" s="89" t="n"/>
      <c r="AU191" s="89" t="n"/>
      <c r="AV191" s="89" t="n"/>
      <c r="AW191" s="90">
        <f>AS191+AT191+AU191+AV191</f>
        <v/>
      </c>
      <c r="AX191" s="89" t="n"/>
      <c r="AY191" s="89" t="n"/>
      <c r="AZ191" s="89" t="n"/>
      <c r="BA191" s="89" t="n"/>
      <c r="BB191" s="90">
        <f>AX191+AY191+AZ191+BA191</f>
        <v/>
      </c>
      <c r="BC191" s="89" t="n"/>
      <c r="BD191" s="89" t="n"/>
      <c r="BE191" s="89" t="n"/>
      <c r="BF191" s="89" t="n"/>
      <c r="BG191" s="89" t="n"/>
      <c r="BH191" s="90">
        <f>BC191+BD191+BE191+BF191+BG191</f>
        <v/>
      </c>
      <c r="BI191" s="89" t="n"/>
      <c r="BJ191" s="89" t="n"/>
      <c r="BK191" s="89" t="n"/>
      <c r="BL191" s="89" t="n"/>
      <c r="BM191" s="90">
        <f>BI191+BJ191+BK191+BL191</f>
        <v/>
      </c>
    </row>
    <row r="192" ht="15.75" customHeight="1">
      <c r="A192" s="93" t="inlineStr">
        <is>
          <t>LÂMINA OLFATIVA QDB</t>
        </is>
      </c>
      <c r="B192" s="201" t="n">
        <v>0</v>
      </c>
      <c r="C192" s="201" t="n">
        <v>0</v>
      </c>
      <c r="D192" s="201" t="n">
        <v>0</v>
      </c>
      <c r="E192" s="201" t="n">
        <v>0</v>
      </c>
      <c r="F192" s="90">
        <f>B192+C192+D192+E192</f>
        <v/>
      </c>
      <c r="G192" s="201" t="n">
        <v>0</v>
      </c>
      <c r="H192" s="201" t="n">
        <v>0</v>
      </c>
      <c r="I192" s="201" t="n">
        <v>0</v>
      </c>
      <c r="J192" s="201" t="n">
        <v>0</v>
      </c>
      <c r="K192" s="90">
        <f>G192+H192+I192+J192</f>
        <v/>
      </c>
      <c r="L192" s="201" t="n">
        <v>0</v>
      </c>
      <c r="M192" s="201" t="n">
        <v>0</v>
      </c>
      <c r="N192" s="201" t="n">
        <v>0</v>
      </c>
      <c r="O192" s="201" t="n">
        <v>0</v>
      </c>
      <c r="P192" s="201" t="n">
        <v>0</v>
      </c>
      <c r="Q192" s="90">
        <f>L192+M192+N192+O192+P192</f>
        <v/>
      </c>
      <c r="R192" s="201" t="n"/>
      <c r="S192" s="201" t="n"/>
      <c r="T192" s="201" t="n"/>
      <c r="U192" s="201" t="n"/>
      <c r="V192" s="90">
        <f>R192+S192+T192+U192</f>
        <v/>
      </c>
      <c r="W192" s="201" t="n">
        <v>0</v>
      </c>
      <c r="X192" s="201" t="n">
        <v>0</v>
      </c>
      <c r="Y192" s="201" t="n"/>
      <c r="Z192" s="201" t="n"/>
      <c r="AA192" s="90">
        <f>W192+X192+Y192+Z192</f>
        <v/>
      </c>
      <c r="AB192" s="201" t="n"/>
      <c r="AC192" s="201" t="n"/>
      <c r="AD192" s="201" t="n"/>
      <c r="AE192" s="201" t="n"/>
      <c r="AF192" s="201" t="n"/>
      <c r="AG192" s="90">
        <f>AB192+AC192+AD192+AE192+AF192</f>
        <v/>
      </c>
      <c r="AH192" s="201" t="n"/>
      <c r="AI192" s="201" t="n"/>
      <c r="AJ192" s="201" t="n"/>
      <c r="AK192" s="201" t="n"/>
      <c r="AL192" s="90">
        <f>AH192+AI192+AJ192+AK192</f>
        <v/>
      </c>
      <c r="AM192" s="89" t="n"/>
      <c r="AN192" s="89" t="n"/>
      <c r="AO192" s="89" t="n"/>
      <c r="AP192" s="89" t="n"/>
      <c r="AQ192" s="89" t="n"/>
      <c r="AR192" s="90">
        <f>AM192+AN192+AO192+AP192+AQ192</f>
        <v/>
      </c>
      <c r="AS192" s="89" t="n"/>
      <c r="AT192" s="89" t="n"/>
      <c r="AU192" s="89" t="n"/>
      <c r="AV192" s="89" t="n"/>
      <c r="AW192" s="90">
        <f>AS192+AT192+AU192+AV192</f>
        <v/>
      </c>
      <c r="AX192" s="89" t="n"/>
      <c r="AY192" s="89" t="n"/>
      <c r="AZ192" s="89" t="n"/>
      <c r="BA192" s="89" t="n"/>
      <c r="BB192" s="90">
        <f>AX192+AY192+AZ192+BA192</f>
        <v/>
      </c>
      <c r="BC192" s="89" t="n"/>
      <c r="BD192" s="89" t="n"/>
      <c r="BE192" s="89" t="n"/>
      <c r="BF192" s="89" t="n"/>
      <c r="BG192" s="89" t="n"/>
      <c r="BH192" s="90">
        <f>BC192+BD192+BE192+BF192+BG192</f>
        <v/>
      </c>
      <c r="BI192" s="89" t="n"/>
      <c r="BJ192" s="89" t="n"/>
      <c r="BK192" s="89" t="n"/>
      <c r="BL192" s="89" t="n"/>
      <c r="BM192" s="90">
        <f>BI192+BJ192+BK192+BL192</f>
        <v/>
      </c>
    </row>
    <row r="193" ht="15.75" customHeight="1">
      <c r="A193" s="93" t="inlineStr">
        <is>
          <t>SACOLA P EUDORA</t>
        </is>
      </c>
      <c r="B193" s="201" t="n">
        <v>0</v>
      </c>
      <c r="C193" s="201" t="n">
        <v>230</v>
      </c>
      <c r="D193" s="201" t="n">
        <v>232</v>
      </c>
      <c r="E193" s="201" t="n">
        <v>138</v>
      </c>
      <c r="F193" s="90">
        <f>B193+C193+D193+E193</f>
        <v/>
      </c>
      <c r="G193" s="201" t="n">
        <v>64</v>
      </c>
      <c r="H193" s="201" t="n">
        <v>56</v>
      </c>
      <c r="I193" s="201" t="n">
        <v>68</v>
      </c>
      <c r="J193" s="201" t="n">
        <v>13</v>
      </c>
      <c r="K193" s="90">
        <f>G193+H193+I193+J193</f>
        <v/>
      </c>
      <c r="L193" s="201" t="n">
        <v>67</v>
      </c>
      <c r="M193" s="201" t="n">
        <v>117</v>
      </c>
      <c r="N193" s="201" t="n">
        <v>83</v>
      </c>
      <c r="O193" s="201" t="n">
        <v>85</v>
      </c>
      <c r="P193" s="201" t="n">
        <v>114</v>
      </c>
      <c r="Q193" s="90">
        <f>L193+M193+N193+O193+P193</f>
        <v/>
      </c>
      <c r="R193" s="201" t="n"/>
      <c r="S193" s="201" t="n"/>
      <c r="T193" s="201" t="n"/>
      <c r="U193" s="201" t="n"/>
      <c r="V193" s="90">
        <f>R193+S193+T193+U193</f>
        <v/>
      </c>
      <c r="W193" s="201" t="n">
        <v>252</v>
      </c>
      <c r="X193" s="201" t="n">
        <v>0</v>
      </c>
      <c r="Y193" s="201" t="n"/>
      <c r="Z193" s="201" t="n"/>
      <c r="AA193" s="90">
        <f>W193+X193+Y193+Z193</f>
        <v/>
      </c>
      <c r="AB193" s="201" t="n"/>
      <c r="AC193" s="201" t="n"/>
      <c r="AD193" s="201" t="n"/>
      <c r="AE193" s="201" t="n"/>
      <c r="AF193" s="201" t="n"/>
      <c r="AG193" s="90">
        <f>AB193+AC193+AD193+AE193+AF193</f>
        <v/>
      </c>
      <c r="AH193" s="201" t="n"/>
      <c r="AI193" s="201" t="n"/>
      <c r="AJ193" s="201" t="n"/>
      <c r="AK193" s="201" t="n"/>
      <c r="AL193" s="90">
        <f>AH193+AI193+AJ193+AK193</f>
        <v/>
      </c>
      <c r="AM193" s="89" t="n"/>
      <c r="AN193" s="89" t="n"/>
      <c r="AO193" s="89" t="n"/>
      <c r="AP193" s="89" t="n"/>
      <c r="AQ193" s="89" t="n"/>
      <c r="AR193" s="90">
        <f>AM193+AN193+AO193+AP193+AQ193</f>
        <v/>
      </c>
      <c r="AS193" s="89" t="n"/>
      <c r="AT193" s="89" t="n"/>
      <c r="AU193" s="89" t="n"/>
      <c r="AV193" s="89" t="n"/>
      <c r="AW193" s="90">
        <f>AS193+AT193+AU193+AV193</f>
        <v/>
      </c>
      <c r="AX193" s="89" t="n"/>
      <c r="AY193" s="89" t="n"/>
      <c r="AZ193" s="89" t="n"/>
      <c r="BA193" s="89" t="n"/>
      <c r="BB193" s="90">
        <f>AX193+AY193+AZ193+BA193</f>
        <v/>
      </c>
      <c r="BC193" s="89" t="n"/>
      <c r="BD193" s="89" t="n"/>
      <c r="BE193" s="89" t="n"/>
      <c r="BF193" s="89" t="n"/>
      <c r="BG193" s="89" t="n"/>
      <c r="BH193" s="90">
        <f>BC193+BD193+BE193+BF193+BG193</f>
        <v/>
      </c>
      <c r="BI193" s="89" t="n"/>
      <c r="BJ193" s="89" t="n"/>
      <c r="BK193" s="89" t="n"/>
      <c r="BL193" s="89" t="n"/>
      <c r="BM193" s="90">
        <f>BI193+BJ193+BK193+BL193</f>
        <v/>
      </c>
    </row>
    <row r="194" ht="15.75" customHeight="1">
      <c r="A194" s="93" t="inlineStr">
        <is>
          <t>SACOLA M EUDORA</t>
        </is>
      </c>
      <c r="B194" s="201" t="n">
        <v>7</v>
      </c>
      <c r="C194" s="201" t="n">
        <v>24</v>
      </c>
      <c r="D194" s="201" t="n">
        <v>4</v>
      </c>
      <c r="E194" s="201" t="n">
        <v>0</v>
      </c>
      <c r="F194" s="90">
        <f>B194+C194+D194+E194</f>
        <v/>
      </c>
      <c r="G194" s="201" t="n">
        <v>40</v>
      </c>
      <c r="H194" s="201" t="n">
        <v>0</v>
      </c>
      <c r="I194" s="201" t="n">
        <v>235</v>
      </c>
      <c r="J194" s="201" t="n">
        <v>60</v>
      </c>
      <c r="K194" s="90">
        <f>G194+H194+I194+J194</f>
        <v/>
      </c>
      <c r="L194" s="201" t="n">
        <v>0</v>
      </c>
      <c r="M194" s="201" t="n">
        <v>133</v>
      </c>
      <c r="N194" s="201" t="n">
        <v>72</v>
      </c>
      <c r="O194" s="201" t="n">
        <v>63</v>
      </c>
      <c r="P194" s="201" t="n">
        <v>17</v>
      </c>
      <c r="Q194" s="90">
        <f>L194+M194+N194+O194+P194</f>
        <v/>
      </c>
      <c r="R194" s="201" t="n"/>
      <c r="S194" s="201" t="n"/>
      <c r="T194" s="201" t="n"/>
      <c r="U194" s="201" t="n"/>
      <c r="V194" s="90">
        <f>R194+S194+T194+U194</f>
        <v/>
      </c>
      <c r="W194" s="201" t="n">
        <v>120</v>
      </c>
      <c r="X194" s="201" t="n">
        <v>0</v>
      </c>
      <c r="Y194" s="201" t="n"/>
      <c r="Z194" s="201" t="n"/>
      <c r="AA194" s="90">
        <f>W194+X194+Y194+Z194</f>
        <v/>
      </c>
      <c r="AB194" s="201" t="n"/>
      <c r="AC194" s="201" t="n"/>
      <c r="AD194" s="201" t="n"/>
      <c r="AE194" s="201" t="n"/>
      <c r="AF194" s="201" t="n"/>
      <c r="AG194" s="90">
        <f>AB194+AC194+AD194+AE194+AF194</f>
        <v/>
      </c>
      <c r="AH194" s="201" t="n"/>
      <c r="AI194" s="201" t="n"/>
      <c r="AJ194" s="201" t="n"/>
      <c r="AK194" s="201" t="n"/>
      <c r="AL194" s="90">
        <f>AH194+AI194+AJ194+AK194</f>
        <v/>
      </c>
      <c r="AM194" s="89" t="n"/>
      <c r="AN194" s="89" t="n"/>
      <c r="AO194" s="89" t="n"/>
      <c r="AP194" s="89" t="n"/>
      <c r="AQ194" s="89" t="n"/>
      <c r="AR194" s="90">
        <f>AM194+AN194+AO194+AP194+AQ194</f>
        <v/>
      </c>
      <c r="AS194" s="89" t="n"/>
      <c r="AT194" s="89" t="n"/>
      <c r="AU194" s="89" t="n"/>
      <c r="AV194" s="89" t="n"/>
      <c r="AW194" s="90">
        <f>AS194+AT194+AU194+AV194</f>
        <v/>
      </c>
      <c r="AX194" s="89" t="n"/>
      <c r="AY194" s="89" t="n"/>
      <c r="AZ194" s="89" t="n"/>
      <c r="BA194" s="89" t="n"/>
      <c r="BB194" s="90">
        <f>AX194+AY194+AZ194+BA194</f>
        <v/>
      </c>
      <c r="BC194" s="89" t="n"/>
      <c r="BD194" s="89" t="n"/>
      <c r="BE194" s="89" t="n"/>
      <c r="BF194" s="89" t="n"/>
      <c r="BG194" s="89" t="n"/>
      <c r="BH194" s="90">
        <f>BC194+BD194+BE194+BF194+BG194</f>
        <v/>
      </c>
      <c r="BI194" s="89" t="n"/>
      <c r="BJ194" s="89" t="n"/>
      <c r="BK194" s="89" t="n"/>
      <c r="BL194" s="89" t="n"/>
      <c r="BM194" s="90">
        <f>BI194+BJ194+BK194+BL194</f>
        <v/>
      </c>
    </row>
    <row r="195" ht="15.75" customHeight="1">
      <c r="A195" s="93" t="inlineStr">
        <is>
          <t>SACOLA G EUDORA</t>
        </is>
      </c>
      <c r="B195" s="201" t="n">
        <v>0</v>
      </c>
      <c r="C195" s="201" t="n">
        <v>4</v>
      </c>
      <c r="D195" s="201" t="n">
        <v>0</v>
      </c>
      <c r="E195" s="201" t="n">
        <v>0</v>
      </c>
      <c r="F195" s="90">
        <f>B195+C195+D195+E195</f>
        <v/>
      </c>
      <c r="G195" s="201" t="n">
        <v>0</v>
      </c>
      <c r="H195" s="201" t="n">
        <v>181</v>
      </c>
      <c r="I195" s="201" t="n">
        <v>39</v>
      </c>
      <c r="J195" s="201" t="n">
        <v>47</v>
      </c>
      <c r="K195" s="90">
        <f>G195+H195+I195+J195</f>
        <v/>
      </c>
      <c r="L195" s="201" t="n">
        <v>12</v>
      </c>
      <c r="M195" s="201" t="n">
        <v>42</v>
      </c>
      <c r="N195" s="201" t="n">
        <v>21</v>
      </c>
      <c r="O195" s="201" t="n">
        <v>38</v>
      </c>
      <c r="P195" s="201" t="n">
        <v>34</v>
      </c>
      <c r="Q195" s="90">
        <f>L195+M195+N195+O195+P195</f>
        <v/>
      </c>
      <c r="R195" s="201" t="n"/>
      <c r="S195" s="201" t="n"/>
      <c r="T195" s="201" t="n"/>
      <c r="U195" s="201" t="n"/>
      <c r="V195" s="90">
        <f>R195+S195+T195+U195</f>
        <v/>
      </c>
      <c r="W195" s="201" t="n">
        <v>0</v>
      </c>
      <c r="X195" s="201" t="n">
        <v>0</v>
      </c>
      <c r="Y195" s="201" t="n"/>
      <c r="Z195" s="201" t="n"/>
      <c r="AA195" s="90">
        <f>W195+X195+Y195+Z195</f>
        <v/>
      </c>
      <c r="AB195" s="201" t="n"/>
      <c r="AC195" s="201" t="n"/>
      <c r="AD195" s="201" t="n"/>
      <c r="AE195" s="201" t="n"/>
      <c r="AF195" s="201" t="n"/>
      <c r="AG195" s="90">
        <f>AB195+AC195+AD195+AE195+AF195</f>
        <v/>
      </c>
      <c r="AH195" s="201" t="n"/>
      <c r="AI195" s="201" t="n"/>
      <c r="AJ195" s="201" t="n"/>
      <c r="AK195" s="201" t="n"/>
      <c r="AL195" s="90">
        <f>AH195+AI195+AJ195+AK195</f>
        <v/>
      </c>
      <c r="AM195" s="89" t="n"/>
      <c r="AN195" s="89" t="n"/>
      <c r="AO195" s="89" t="n"/>
      <c r="AP195" s="89" t="n"/>
      <c r="AQ195" s="89" t="n"/>
      <c r="AR195" s="90">
        <f>AM195+AN195+AO195+AP195+AQ195</f>
        <v/>
      </c>
      <c r="AS195" s="89" t="n"/>
      <c r="AT195" s="89" t="n"/>
      <c r="AU195" s="89" t="n"/>
      <c r="AV195" s="89" t="n"/>
      <c r="AW195" s="90">
        <f>AS195+AT195+AU195+AV195</f>
        <v/>
      </c>
      <c r="AX195" s="89" t="n"/>
      <c r="AY195" s="89" t="n"/>
      <c r="AZ195" s="89" t="n"/>
      <c r="BA195" s="89" t="n"/>
      <c r="BB195" s="90">
        <f>AX195+AY195+AZ195+BA195</f>
        <v/>
      </c>
      <c r="BC195" s="89" t="n"/>
      <c r="BD195" s="89" t="n"/>
      <c r="BE195" s="89" t="n"/>
      <c r="BF195" s="89" t="n"/>
      <c r="BG195" s="89" t="n"/>
      <c r="BH195" s="90">
        <f>BC195+BD195+BE195+BF195+BG195</f>
        <v/>
      </c>
      <c r="BI195" s="89" t="n"/>
      <c r="BJ195" s="89" t="n"/>
      <c r="BK195" s="89" t="n"/>
      <c r="BL195" s="89" t="n"/>
      <c r="BM195" s="90">
        <f>BI195+BJ195+BK195+BL195</f>
        <v/>
      </c>
    </row>
    <row r="196" ht="15.75" customHeight="1">
      <c r="A196" s="202" t="inlineStr">
        <is>
          <t>PAPEL DE SEDA EUDORA</t>
        </is>
      </c>
      <c r="B196" s="201" t="n">
        <v>0</v>
      </c>
      <c r="C196" s="201" t="n">
        <v>0</v>
      </c>
      <c r="D196" s="201" t="n">
        <v>0</v>
      </c>
      <c r="E196" s="201" t="n">
        <v>0</v>
      </c>
      <c r="F196" s="90">
        <f>B196+C196+D196+E196</f>
        <v/>
      </c>
      <c r="G196" s="201" t="n">
        <v>0</v>
      </c>
      <c r="H196" s="201" t="n">
        <v>0</v>
      </c>
      <c r="I196" s="201" t="n">
        <v>0</v>
      </c>
      <c r="J196" s="201" t="n">
        <v>0</v>
      </c>
      <c r="K196" s="90">
        <f>G196+H196+I196+J196</f>
        <v/>
      </c>
      <c r="L196" s="201" t="n">
        <v>0</v>
      </c>
      <c r="M196" s="201" t="n">
        <v>0</v>
      </c>
      <c r="N196" s="201" t="n">
        <v>0</v>
      </c>
      <c r="O196" s="201" t="n">
        <v>0</v>
      </c>
      <c r="P196" s="201" t="n">
        <v>0</v>
      </c>
      <c r="Q196" s="90">
        <f>L196+M196+N196+O196+P196</f>
        <v/>
      </c>
      <c r="R196" s="201" t="n"/>
      <c r="S196" s="201" t="n"/>
      <c r="T196" s="201" t="n"/>
      <c r="U196" s="201" t="n"/>
      <c r="V196" s="90">
        <f>R196+S196+T196+U196</f>
        <v/>
      </c>
      <c r="W196" s="201" t="n">
        <v>0</v>
      </c>
      <c r="X196" s="201" t="n">
        <v>0</v>
      </c>
      <c r="Y196" s="201" t="n"/>
      <c r="Z196" s="201" t="n"/>
      <c r="AA196" s="90">
        <f>W196+X196+Y196+Z196</f>
        <v/>
      </c>
      <c r="AB196" s="201" t="n"/>
      <c r="AC196" s="201" t="n"/>
      <c r="AD196" s="201" t="n"/>
      <c r="AE196" s="201" t="n"/>
      <c r="AF196" s="201" t="n"/>
      <c r="AG196" s="90">
        <f>AB196+AC196+AD196+AE196+AF196</f>
        <v/>
      </c>
      <c r="AH196" s="201" t="n"/>
      <c r="AI196" s="201" t="n"/>
      <c r="AJ196" s="201" t="n"/>
      <c r="AK196" s="201" t="n"/>
      <c r="AL196" s="90">
        <f>AH196+AI196+AJ196+AK196</f>
        <v/>
      </c>
      <c r="AM196" s="89" t="n"/>
      <c r="AN196" s="89" t="n"/>
      <c r="AO196" s="89" t="n"/>
      <c r="AP196" s="89" t="n"/>
      <c r="AQ196" s="89" t="n"/>
      <c r="AR196" s="90">
        <f>AM196+AN196+AO196+AP196+AQ196</f>
        <v/>
      </c>
      <c r="AS196" s="89" t="n"/>
      <c r="AT196" s="89" t="n"/>
      <c r="AU196" s="89" t="n"/>
      <c r="AV196" s="89" t="n"/>
      <c r="AW196" s="90">
        <f>AS196+AT196+AU196+AV196</f>
        <v/>
      </c>
      <c r="AX196" s="89" t="n"/>
      <c r="AY196" s="89" t="n"/>
      <c r="AZ196" s="89" t="n"/>
      <c r="BA196" s="89" t="n"/>
      <c r="BB196" s="90">
        <f>AX196+AY196+AZ196+BA196</f>
        <v/>
      </c>
      <c r="BC196" s="89" t="n"/>
      <c r="BD196" s="89" t="n"/>
      <c r="BE196" s="89" t="n"/>
      <c r="BF196" s="89" t="n"/>
      <c r="BG196" s="89" t="n"/>
      <c r="BH196" s="90">
        <f>BC196+BD196+BE196+BF196+BG196</f>
        <v/>
      </c>
      <c r="BI196" s="89" t="n"/>
      <c r="BJ196" s="89" t="n"/>
      <c r="BK196" s="89" t="n"/>
      <c r="BL196" s="89" t="n"/>
      <c r="BM196" s="90">
        <f>BI196+BJ196+BK196+BL196</f>
        <v/>
      </c>
    </row>
    <row r="197" ht="15.75" customHeight="1">
      <c r="A197" s="202" t="inlineStr">
        <is>
          <t>ADESIVOS EUDORA</t>
        </is>
      </c>
      <c r="B197" s="201" t="n">
        <v>0</v>
      </c>
      <c r="C197" s="201" t="n">
        <v>0</v>
      </c>
      <c r="D197" s="201" t="n">
        <v>0</v>
      </c>
      <c r="E197" s="201" t="n">
        <v>0</v>
      </c>
      <c r="F197" s="90">
        <f>B197+C197+D197+E197</f>
        <v/>
      </c>
      <c r="G197" s="201" t="n">
        <v>0</v>
      </c>
      <c r="H197" s="201" t="n">
        <v>0</v>
      </c>
      <c r="I197" s="201" t="n">
        <v>0</v>
      </c>
      <c r="J197" s="201" t="n">
        <v>0</v>
      </c>
      <c r="K197" s="90">
        <f>G197+H197+I197+J197</f>
        <v/>
      </c>
      <c r="L197" s="201" t="n">
        <v>0</v>
      </c>
      <c r="M197" s="201" t="n">
        <v>0</v>
      </c>
      <c r="N197" s="201" t="n">
        <v>0</v>
      </c>
      <c r="O197" s="201" t="n">
        <v>0</v>
      </c>
      <c r="P197" s="201" t="n">
        <v>0</v>
      </c>
      <c r="Q197" s="90">
        <f>L197+M197+N197+O197+P197</f>
        <v/>
      </c>
      <c r="R197" s="201" t="n"/>
      <c r="S197" s="201" t="n"/>
      <c r="T197" s="201" t="n"/>
      <c r="U197" s="201" t="n"/>
      <c r="V197" s="90">
        <f>R197+S197+T197+U197</f>
        <v/>
      </c>
      <c r="W197" s="201" t="n">
        <v>0</v>
      </c>
      <c r="X197" s="201" t="n">
        <v>0</v>
      </c>
      <c r="Y197" s="201" t="n"/>
      <c r="Z197" s="201" t="n"/>
      <c r="AA197" s="90">
        <f>W197+X197+Y197+Z197</f>
        <v/>
      </c>
      <c r="AB197" s="201" t="n"/>
      <c r="AC197" s="201" t="n"/>
      <c r="AD197" s="201" t="n"/>
      <c r="AE197" s="201" t="n"/>
      <c r="AF197" s="201" t="n"/>
      <c r="AG197" s="90">
        <f>AB197+AC197+AD197+AE197+AF197</f>
        <v/>
      </c>
      <c r="AH197" s="201" t="n"/>
      <c r="AI197" s="201" t="n"/>
      <c r="AJ197" s="201" t="n"/>
      <c r="AK197" s="201" t="n"/>
      <c r="AL197" s="90">
        <f>AH197+AI197+AJ197+AK197</f>
        <v/>
      </c>
      <c r="AM197" s="89" t="n"/>
      <c r="AN197" s="89" t="n"/>
      <c r="AO197" s="89" t="n"/>
      <c r="AP197" s="89" t="n"/>
      <c r="AQ197" s="89" t="n"/>
      <c r="AR197" s="90">
        <f>AM197+AN197+AO197+AP197+AQ197</f>
        <v/>
      </c>
      <c r="AS197" s="89" t="n"/>
      <c r="AT197" s="89" t="n"/>
      <c r="AU197" s="89" t="n"/>
      <c r="AV197" s="89" t="n"/>
      <c r="AW197" s="90">
        <f>AS197+AT197+AU197+AV197</f>
        <v/>
      </c>
      <c r="AX197" s="89" t="n"/>
      <c r="AY197" s="89" t="n"/>
      <c r="AZ197" s="89" t="n"/>
      <c r="BA197" s="89" t="n"/>
      <c r="BB197" s="90">
        <f>AX197+AY197+AZ197+BA197</f>
        <v/>
      </c>
      <c r="BC197" s="89" t="n"/>
      <c r="BD197" s="89" t="n"/>
      <c r="BE197" s="89" t="n"/>
      <c r="BF197" s="89" t="n"/>
      <c r="BG197" s="89" t="n"/>
      <c r="BH197" s="90">
        <f>BC197+BD197+BE197+BF197+BG197</f>
        <v/>
      </c>
      <c r="BI197" s="89" t="n"/>
      <c r="BJ197" s="89" t="n"/>
      <c r="BK197" s="89" t="n"/>
      <c r="BL197" s="89" t="n"/>
      <c r="BM197" s="90">
        <f>BI197+BJ197+BK197+BL197</f>
        <v/>
      </c>
    </row>
    <row r="198" ht="15.75" customHeight="1">
      <c r="A198" s="93" t="inlineStr">
        <is>
          <t>LÂMINA OLFATIVA EUDORA</t>
        </is>
      </c>
      <c r="B198" s="201" t="n">
        <v>0</v>
      </c>
      <c r="C198" s="201" t="n">
        <v>0</v>
      </c>
      <c r="D198" s="201" t="n">
        <v>0</v>
      </c>
      <c r="E198" s="201" t="n">
        <v>0</v>
      </c>
      <c r="F198" s="90">
        <f>B198+C198+D198+E198</f>
        <v/>
      </c>
      <c r="G198" s="201" t="n">
        <v>0</v>
      </c>
      <c r="H198" s="201" t="n">
        <v>0</v>
      </c>
      <c r="I198" s="201" t="n">
        <v>0</v>
      </c>
      <c r="J198" s="201" t="n">
        <v>0</v>
      </c>
      <c r="K198" s="90">
        <f>G198+H198+I198+J198</f>
        <v/>
      </c>
      <c r="L198" s="201" t="n">
        <v>0</v>
      </c>
      <c r="M198" s="201" t="n">
        <v>0</v>
      </c>
      <c r="N198" s="201" t="n">
        <v>0</v>
      </c>
      <c r="O198" s="201" t="n">
        <v>0</v>
      </c>
      <c r="P198" s="201" t="n">
        <v>0</v>
      </c>
      <c r="Q198" s="90">
        <f>L198+M198+N198+O198+P198</f>
        <v/>
      </c>
      <c r="R198" s="201" t="n"/>
      <c r="S198" s="201" t="n"/>
      <c r="T198" s="201" t="n"/>
      <c r="U198" s="201" t="n"/>
      <c r="V198" s="90">
        <f>R198+S198+T198+U198</f>
        <v/>
      </c>
      <c r="W198" s="201" t="n">
        <v>0</v>
      </c>
      <c r="X198" s="201" t="n">
        <v>0</v>
      </c>
      <c r="Y198" s="201" t="n"/>
      <c r="Z198" s="201" t="n"/>
      <c r="AA198" s="90">
        <f>W198+X198+Y198+Z198</f>
        <v/>
      </c>
      <c r="AB198" s="201" t="n"/>
      <c r="AC198" s="201" t="n"/>
      <c r="AD198" s="201" t="n"/>
      <c r="AE198" s="201" t="n"/>
      <c r="AF198" s="201" t="n"/>
      <c r="AG198" s="90">
        <f>AB198+AC198+AD198+AE198+AF198</f>
        <v/>
      </c>
      <c r="AH198" s="201" t="n"/>
      <c r="AI198" s="201" t="n"/>
      <c r="AJ198" s="201" t="n"/>
      <c r="AK198" s="201" t="n"/>
      <c r="AL198" s="90">
        <f>AH198+AI198+AJ198+AK198</f>
        <v/>
      </c>
      <c r="AM198" s="89" t="n"/>
      <c r="AN198" s="89" t="n"/>
      <c r="AO198" s="89" t="n"/>
      <c r="AP198" s="89" t="n"/>
      <c r="AQ198" s="89" t="n"/>
      <c r="AR198" s="90">
        <f>AM198+AN198+AO198+AP198+AQ198</f>
        <v/>
      </c>
      <c r="AS198" s="89" t="n"/>
      <c r="AT198" s="89" t="n"/>
      <c r="AU198" s="89" t="n"/>
      <c r="AV198" s="89" t="n"/>
      <c r="AW198" s="90">
        <f>AS198+AT198+AU198+AV198</f>
        <v/>
      </c>
      <c r="AX198" s="89" t="n"/>
      <c r="AY198" s="89" t="n"/>
      <c r="AZ198" s="89" t="n"/>
      <c r="BA198" s="89" t="n"/>
      <c r="BB198" s="90">
        <f>AX198+AY198+AZ198+BA198</f>
        <v/>
      </c>
      <c r="BC198" s="89" t="n"/>
      <c r="BD198" s="89" t="n"/>
      <c r="BE198" s="89" t="n"/>
      <c r="BF198" s="89" t="n"/>
      <c r="BG198" s="89" t="n"/>
      <c r="BH198" s="90">
        <f>BC198+BD198+BE198+BF198+BG198</f>
        <v/>
      </c>
      <c r="BI198" s="89" t="n"/>
      <c r="BJ198" s="89" t="n"/>
      <c r="BK198" s="89" t="n"/>
      <c r="BL198" s="89" t="n"/>
      <c r="BM198" s="90">
        <f>BI198+BJ198+BK198+BL198</f>
        <v/>
      </c>
    </row>
    <row r="199" ht="15.75" customHeight="1">
      <c r="A199" s="94" t="inlineStr">
        <is>
          <t>TOTAL DE SACOLAS</t>
        </is>
      </c>
      <c r="B199" s="95">
        <f>SUM(B172:B175)</f>
        <v/>
      </c>
      <c r="C199" s="95">
        <f>SUM(C172:C175)</f>
        <v/>
      </c>
      <c r="D199" s="95">
        <f>SUM(D172:D175)</f>
        <v/>
      </c>
      <c r="E199" s="95">
        <f>SUM(E172:E175)</f>
        <v/>
      </c>
      <c r="F199" s="95">
        <f>F172+F173+F174+F175+F186+F187+F188+F193+F194+F195</f>
        <v/>
      </c>
      <c r="G199" s="95">
        <f>SUM(G172:G175)</f>
        <v/>
      </c>
      <c r="H199" s="95">
        <f>SUM(H172:H175)</f>
        <v/>
      </c>
      <c r="I199" s="95">
        <f>SUM(I172:I175)</f>
        <v/>
      </c>
      <c r="J199" s="95">
        <f>SUM(J172:J175)</f>
        <v/>
      </c>
      <c r="K199" s="95">
        <f>K172+K173+K174+K175+K186+K187+K188+K193+K194+K195</f>
        <v/>
      </c>
      <c r="L199" s="95">
        <f>SUM(L172:L175)</f>
        <v/>
      </c>
      <c r="M199" s="95">
        <f>SUM(M172:M175)</f>
        <v/>
      </c>
      <c r="N199" s="95">
        <f>SUM(N172:N175)</f>
        <v/>
      </c>
      <c r="O199" s="95">
        <f>SUM(O172:O175)</f>
        <v/>
      </c>
      <c r="P199" s="95">
        <f>SUM(P172:P175)</f>
        <v/>
      </c>
      <c r="Q199" s="95">
        <f>Q172+Q173+Q174+Q175+Q186+Q187+Q188+Q193+Q194+Q195</f>
        <v/>
      </c>
      <c r="R199" s="95">
        <f>SUM(R172:R175)</f>
        <v/>
      </c>
      <c r="S199" s="95">
        <f>SUM(S172:S175)</f>
        <v/>
      </c>
      <c r="T199" s="95">
        <f>SUM(T172:T175)</f>
        <v/>
      </c>
      <c r="U199" s="95">
        <f>SUM(U172:U175)</f>
        <v/>
      </c>
      <c r="V199" s="95">
        <f>V172+V173+V174+V175+V186+V187+V188+V193+V194+V195</f>
        <v/>
      </c>
      <c r="W199" s="95">
        <f>SUM(W172:W175)</f>
        <v/>
      </c>
      <c r="X199" s="95">
        <f>SUM(X172:X175)</f>
        <v/>
      </c>
      <c r="Y199" s="95">
        <f>SUM(Y172:Y175)</f>
        <v/>
      </c>
      <c r="Z199" s="95">
        <f>SUM(Z172:Z175)</f>
        <v/>
      </c>
      <c r="AA199" s="95">
        <f>AA172+AA173+AA174+AA175+AA186+AA187+AA188+AA193+AA194+AA195</f>
        <v/>
      </c>
      <c r="AB199" s="95">
        <f>SUM(AB172:AB175)</f>
        <v/>
      </c>
      <c r="AC199" s="95">
        <f>SUM(AC172:AC175)</f>
        <v/>
      </c>
      <c r="AD199" s="95">
        <f>SUM(AD172:AD175)</f>
        <v/>
      </c>
      <c r="AE199" s="95">
        <f>SUM(AE172:AE175)</f>
        <v/>
      </c>
      <c r="AF199" s="95">
        <f>SUM(AF172:AF175)</f>
        <v/>
      </c>
      <c r="AG199" s="95">
        <f>AG172+AG173+AG174+AG175+AG186+AG187+AG188+AG193+AG194+AG195</f>
        <v/>
      </c>
      <c r="AH199" s="95">
        <f>SUM(AH172:AH175)</f>
        <v/>
      </c>
      <c r="AI199" s="95">
        <f>SUM(AI172:AI175)</f>
        <v/>
      </c>
      <c r="AJ199" s="95">
        <f>SUM(AJ172:AJ175)</f>
        <v/>
      </c>
      <c r="AK199" s="95">
        <f>SUM(AK172:AK175)</f>
        <v/>
      </c>
      <c r="AL199" s="95">
        <f>AL172+AL173+AL174+AL175+AL186+AL187+AL188+AL193+AL194+AL195</f>
        <v/>
      </c>
      <c r="AM199" s="95">
        <f>SUM(AM172:AM175)</f>
        <v/>
      </c>
      <c r="AN199" s="95">
        <f>SUM(AN172:AN175)</f>
        <v/>
      </c>
      <c r="AO199" s="95">
        <f>SUM(AO172:AO175)</f>
        <v/>
      </c>
      <c r="AP199" s="95">
        <f>SUM(AP172:AP175)</f>
        <v/>
      </c>
      <c r="AQ199" s="95">
        <f>SUM(AQ172:AQ175)</f>
        <v/>
      </c>
      <c r="AR199" s="95">
        <f>AR172+AR173+AR174+AR175+AR186+AR187+AR188+AR193+AR194+AR195</f>
        <v/>
      </c>
      <c r="AS199" s="95">
        <f>SUM(AS172:AS175)</f>
        <v/>
      </c>
      <c r="AT199" s="95">
        <f>SUM(AT172:AT175)</f>
        <v/>
      </c>
      <c r="AU199" s="95">
        <f>SUM(AU172:AU175)</f>
        <v/>
      </c>
      <c r="AV199" s="95">
        <f>SUM(AV172:AV175)</f>
        <v/>
      </c>
      <c r="AW199" s="95">
        <f>AW172+AW173+AW174+AW175+AW186+AW187+AW188+AW193+AW194+AW195</f>
        <v/>
      </c>
      <c r="AX199" s="95">
        <f>SUM(AX172:AX175)</f>
        <v/>
      </c>
      <c r="AY199" s="95">
        <f>SUM(AY172:AY175)</f>
        <v/>
      </c>
      <c r="AZ199" s="95">
        <f>SUM(AZ172:AZ175)</f>
        <v/>
      </c>
      <c r="BA199" s="95">
        <f>SUM(BA172:BA175)</f>
        <v/>
      </c>
      <c r="BB199" s="95">
        <f>BB172+BB173+BB174+BB175+BB186+BB187+BB188+BB193+BB194+BB195</f>
        <v/>
      </c>
      <c r="BC199" s="95">
        <f>SUM(BC172:BC175)</f>
        <v/>
      </c>
      <c r="BD199" s="95">
        <f>SUM(BD172:BD175)</f>
        <v/>
      </c>
      <c r="BE199" s="95">
        <f>SUM(BE172:BE175)</f>
        <v/>
      </c>
      <c r="BF199" s="95">
        <f>SUM(BF172:BF175)</f>
        <v/>
      </c>
      <c r="BG199" s="95">
        <f>SUM(BG172:BG175)</f>
        <v/>
      </c>
      <c r="BH199" s="95">
        <f>BH172+BH173+BH174+BH175+BH186+BH187+BH188+BH193+BH194+BH195</f>
        <v/>
      </c>
      <c r="BI199" s="95">
        <f>SUM(BI172:BI175)</f>
        <v/>
      </c>
      <c r="BJ199" s="95">
        <f>SUM(BJ172:BJ175)</f>
        <v/>
      </c>
      <c r="BK199" s="95">
        <f>SUM(BK172:BK175)</f>
        <v/>
      </c>
      <c r="BL199" s="95">
        <f>SUM(BL172:BL175)</f>
        <v/>
      </c>
      <c r="BM199" s="95">
        <f>BM172+BM173+BM174+BM175+BM186+BM187+BM188+BM193+BM194+BM195</f>
        <v/>
      </c>
    </row>
  </sheetData>
  <mergeCells count="168">
    <mergeCell ref="B106:F106"/>
    <mergeCell ref="L15:Q15"/>
    <mergeCell ref="AM67:AR67"/>
    <mergeCell ref="BC106:BH106"/>
    <mergeCell ref="G67:K67"/>
    <mergeCell ref="BI67:BM67"/>
    <mergeCell ref="L54:Q54"/>
    <mergeCell ref="B2:F2"/>
    <mergeCell ref="L41:Q41"/>
    <mergeCell ref="BC67:BH67"/>
    <mergeCell ref="F138:J138"/>
    <mergeCell ref="A2:A3"/>
    <mergeCell ref="AB170:AG170"/>
    <mergeCell ref="AH93:AL93"/>
    <mergeCell ref="AM15:AR15"/>
    <mergeCell ref="W106:AA106"/>
    <mergeCell ref="AH170:AL170"/>
    <mergeCell ref="G15:K15"/>
    <mergeCell ref="B28:F28"/>
    <mergeCell ref="AB28:AG28"/>
    <mergeCell ref="BI15:BM15"/>
    <mergeCell ref="AB93:AG93"/>
    <mergeCell ref="AX106:BB106"/>
    <mergeCell ref="AX28:BB28"/>
    <mergeCell ref="AX93:BB93"/>
    <mergeCell ref="L170:Q170"/>
    <mergeCell ref="A66:BM66"/>
    <mergeCell ref="A118:BM118"/>
    <mergeCell ref="AM106:AR106"/>
    <mergeCell ref="BC15:BH15"/>
    <mergeCell ref="L67:Q67"/>
    <mergeCell ref="BI41:BM41"/>
    <mergeCell ref="AB138:AG138"/>
    <mergeCell ref="B15:F15"/>
    <mergeCell ref="W2:AA2"/>
    <mergeCell ref="L28:Q28"/>
    <mergeCell ref="B80:F80"/>
    <mergeCell ref="AX67:BB67"/>
    <mergeCell ref="AH119:AL119"/>
    <mergeCell ref="AH28:AL28"/>
    <mergeCell ref="AH80:AL80"/>
    <mergeCell ref="A119:A120"/>
    <mergeCell ref="B54:F54"/>
    <mergeCell ref="AB119:AG119"/>
    <mergeCell ref="G2:K2"/>
    <mergeCell ref="BI2:BM2"/>
    <mergeCell ref="A54:A55"/>
    <mergeCell ref="AS138:AW138"/>
    <mergeCell ref="AM170:AR170"/>
    <mergeCell ref="AX80:BB80"/>
    <mergeCell ref="BI170:BM170"/>
    <mergeCell ref="AH106:AL106"/>
    <mergeCell ref="AM138:AR138"/>
    <mergeCell ref="A40:BM40"/>
    <mergeCell ref="L119:Q119"/>
    <mergeCell ref="B138:E138"/>
    <mergeCell ref="G28:K28"/>
    <mergeCell ref="BI28:BM28"/>
    <mergeCell ref="AX41:BB41"/>
    <mergeCell ref="BC28:BH28"/>
    <mergeCell ref="AM80:AR80"/>
    <mergeCell ref="G80:K80"/>
    <mergeCell ref="BI80:BM80"/>
    <mergeCell ref="L2:Q2"/>
    <mergeCell ref="A27:BM27"/>
    <mergeCell ref="AH2:AL2"/>
    <mergeCell ref="B119:E119"/>
    <mergeCell ref="G54:K54"/>
    <mergeCell ref="AM28:AR28"/>
    <mergeCell ref="BC80:BH80"/>
    <mergeCell ref="G41:K41"/>
    <mergeCell ref="BI54:BM54"/>
    <mergeCell ref="BI119:BM119"/>
    <mergeCell ref="BC119:BH119"/>
    <mergeCell ref="AS15:AW15"/>
    <mergeCell ref="G106:K106"/>
    <mergeCell ref="AX138:BB138"/>
    <mergeCell ref="AS80:AW80"/>
    <mergeCell ref="F119:J119"/>
    <mergeCell ref="A14:BM14"/>
    <mergeCell ref="L93:Q93"/>
    <mergeCell ref="BC54:BH54"/>
    <mergeCell ref="R119:V119"/>
    <mergeCell ref="A41:A42"/>
    <mergeCell ref="AS54:AW54"/>
    <mergeCell ref="AS41:AW41"/>
    <mergeCell ref="A80:A81"/>
    <mergeCell ref="AB67:AG67"/>
    <mergeCell ref="AM54:AR54"/>
    <mergeCell ref="R15:V15"/>
    <mergeCell ref="W138:AA138"/>
    <mergeCell ref="R80:V80"/>
    <mergeCell ref="G93:K93"/>
    <mergeCell ref="AX119:BB119"/>
    <mergeCell ref="A169:BM169"/>
    <mergeCell ref="BI93:BM93"/>
    <mergeCell ref="A79:BM79"/>
    <mergeCell ref="L80:Q80"/>
    <mergeCell ref="AS170:AW170"/>
    <mergeCell ref="AH15:AL15"/>
    <mergeCell ref="R41:V41"/>
    <mergeCell ref="AX170:BB170"/>
    <mergeCell ref="AS67:AW67"/>
    <mergeCell ref="A137:BM137"/>
    <mergeCell ref="A106:A107"/>
    <mergeCell ref="AM2:AR2"/>
    <mergeCell ref="AS28:AW28"/>
    <mergeCell ref="A93:A94"/>
    <mergeCell ref="B170:E170"/>
    <mergeCell ref="BC2:BH2"/>
    <mergeCell ref="AH54:AL54"/>
    <mergeCell ref="AH138:AL138"/>
    <mergeCell ref="A170:A171"/>
    <mergeCell ref="AB54:AG54"/>
    <mergeCell ref="AH41:AL41"/>
    <mergeCell ref="R2:V2"/>
    <mergeCell ref="AB41:AG41"/>
    <mergeCell ref="R93:V93"/>
    <mergeCell ref="AB106:AG106"/>
    <mergeCell ref="A67:A68"/>
    <mergeCell ref="AX54:BB54"/>
    <mergeCell ref="A138:A139"/>
    <mergeCell ref="R170:V170"/>
    <mergeCell ref="L106:Q106"/>
    <mergeCell ref="R67:V67"/>
    <mergeCell ref="A53:BM53"/>
    <mergeCell ref="R138:V138"/>
    <mergeCell ref="W15:AA15"/>
    <mergeCell ref="R28:V28"/>
    <mergeCell ref="W80:AA80"/>
    <mergeCell ref="B93:F93"/>
    <mergeCell ref="AS119:AW119"/>
    <mergeCell ref="AB2:AG2"/>
    <mergeCell ref="L138:Q138"/>
    <mergeCell ref="A92:BM92"/>
    <mergeCell ref="AX2:BB2"/>
    <mergeCell ref="AH67:AL67"/>
    <mergeCell ref="AM119:AR119"/>
    <mergeCell ref="B67:F67"/>
    <mergeCell ref="W54:AA54"/>
    <mergeCell ref="W41:AA41"/>
    <mergeCell ref="B41:F41"/>
    <mergeCell ref="A1:BM1"/>
    <mergeCell ref="AS2:AW2"/>
    <mergeCell ref="R54:V54"/>
    <mergeCell ref="AM41:AR41"/>
    <mergeCell ref="BC93:BH93"/>
    <mergeCell ref="W93:AA93"/>
    <mergeCell ref="R106:V106"/>
    <mergeCell ref="BC170:BH170"/>
    <mergeCell ref="AB15:AG15"/>
    <mergeCell ref="W170:AA170"/>
    <mergeCell ref="F170:J170"/>
    <mergeCell ref="AB80:AG80"/>
    <mergeCell ref="A28:A29"/>
    <mergeCell ref="BI138:BM138"/>
    <mergeCell ref="A105:BM105"/>
    <mergeCell ref="AX15:BB15"/>
    <mergeCell ref="A15:A16"/>
    <mergeCell ref="AS106:AW106"/>
    <mergeCell ref="BC138:BH138"/>
    <mergeCell ref="W67:AA67"/>
    <mergeCell ref="BC41:BH41"/>
    <mergeCell ref="AS93:AW93"/>
    <mergeCell ref="AM93:AR93"/>
    <mergeCell ref="W28:AA28"/>
    <mergeCell ref="BI106:BM106"/>
    <mergeCell ref="W119:AA119"/>
  </mergeCells>
  <pageMargins left="0.511811024" right="0.511811024" top="0.787401575" bottom="0.787401575" header="0.31496062" footer="0.31496062"/>
  <pageSetup orientation="portrait" paperSize="9"/>
</worksheet>
</file>

<file path=xl/worksheets/sheet34.xml><?xml version="1.0" encoding="utf-8"?>
<worksheet xmlns="http://schemas.openxmlformats.org/spreadsheetml/2006/main">
  <sheetPr codeName="Planilha18">
    <tabColor rgb="FFC00000"/>
    <outlinePr summaryBelow="1" summaryRight="1"/>
    <pageSetUpPr/>
  </sheetPr>
  <dimension ref="A1:N98"/>
  <sheetViews>
    <sheetView topLeftCell="A7" zoomScale="85" zoomScaleNormal="85" workbookViewId="0">
      <selection activeCell="H80" sqref="H80"/>
    </sheetView>
  </sheetViews>
  <sheetFormatPr baseColWidth="8" defaultRowHeight="15"/>
  <cols>
    <col width="32.85546875" customWidth="1" min="1" max="1"/>
    <col width="8" bestFit="1" customWidth="1" min="2" max="2"/>
    <col width="9.5703125" customWidth="1" min="3" max="3"/>
    <col width="7.85546875" bestFit="1" customWidth="1" min="4" max="8"/>
    <col width="15.42578125" customWidth="1" min="10" max="10"/>
    <col width="10.28515625" customWidth="1" min="11" max="11"/>
    <col width="12.28515625" customWidth="1" min="14" max="14"/>
  </cols>
  <sheetData>
    <row r="1" ht="18" customHeight="1">
      <c r="A1" s="514" t="inlineStr">
        <is>
          <t>GASTO DE SACOLAS E ITENS DOADOS NAMORADOS/2025 - MENSAIS</t>
        </is>
      </c>
      <c r="B1" s="625" t="n"/>
      <c r="C1" s="625" t="n"/>
      <c r="D1" s="625" t="n"/>
      <c r="E1" s="625" t="n"/>
      <c r="F1" s="625" t="n"/>
      <c r="G1" s="625" t="n"/>
      <c r="H1" s="625" t="n"/>
      <c r="I1" s="625" t="n"/>
      <c r="J1" s="625" t="n"/>
      <c r="K1" s="641" t="n"/>
    </row>
    <row r="2" ht="18" customHeight="1">
      <c r="A2" s="514" t="inlineStr">
        <is>
          <t>JAÚ CENTRO</t>
        </is>
      </c>
      <c r="B2" s="514" t="inlineStr">
        <is>
          <t>MAIO</t>
        </is>
      </c>
      <c r="C2" s="704" t="inlineStr">
        <is>
          <t>JUNHO</t>
        </is>
      </c>
      <c r="D2" s="652" t="n"/>
      <c r="E2" s="652" t="n"/>
      <c r="F2" s="652" t="n"/>
      <c r="G2" s="652" t="n"/>
      <c r="H2" s="652" t="n"/>
      <c r="I2" s="705" t="n"/>
      <c r="J2" s="518" t="inlineStr">
        <is>
          <t>USOU ATÉ NAMORADOS</t>
        </is>
      </c>
      <c r="K2" s="518" t="inlineStr">
        <is>
          <t>TOTAL GERAL</t>
        </is>
      </c>
      <c r="M2" s="671" t="inlineStr">
        <is>
          <t>INÍCIO UTILIZAÇÃO</t>
        </is>
      </c>
      <c r="N2" s="641" t="n"/>
    </row>
    <row r="3" ht="15.75" customHeight="1">
      <c r="A3" s="618" t="n"/>
      <c r="B3" s="235" t="n">
        <v>45803</v>
      </c>
      <c r="C3" s="518" t="inlineStr">
        <is>
          <t>USOU</t>
        </is>
      </c>
      <c r="D3" s="235" t="n">
        <v>45810</v>
      </c>
      <c r="E3" s="235" t="n">
        <v>45817</v>
      </c>
      <c r="F3" s="235" t="n">
        <v>45824</v>
      </c>
      <c r="G3" s="235" t="n">
        <v>45831</v>
      </c>
      <c r="H3" s="235" t="n">
        <v>45838</v>
      </c>
      <c r="I3" s="518" t="inlineStr">
        <is>
          <t>USOU</t>
        </is>
      </c>
      <c r="J3" s="618" t="n"/>
      <c r="K3" s="618" t="n"/>
      <c r="M3" s="213" t="inlineStr">
        <is>
          <t>LOJA</t>
        </is>
      </c>
      <c r="N3" s="214" t="n">
        <v>45803</v>
      </c>
    </row>
    <row r="4" ht="15.75" customHeight="1">
      <c r="A4" s="164" t="inlineStr">
        <is>
          <t>SACOLA M</t>
        </is>
      </c>
      <c r="B4" s="246" t="n">
        <v>200</v>
      </c>
      <c r="C4" s="166">
        <f>B4</f>
        <v/>
      </c>
      <c r="D4" s="165" t="n">
        <v>60</v>
      </c>
      <c r="E4" s="165" t="n">
        <v>140</v>
      </c>
      <c r="F4" s="165" t="n">
        <v>0</v>
      </c>
      <c r="G4" s="165" t="n">
        <v>0</v>
      </c>
      <c r="H4" s="165" t="n">
        <v>0</v>
      </c>
      <c r="I4" s="166">
        <f>D4+E4+F4+G4+H4</f>
        <v/>
      </c>
      <c r="J4" s="236">
        <f>B4+D4+E4+F4</f>
        <v/>
      </c>
      <c r="K4" s="167">
        <f>I4</f>
        <v/>
      </c>
      <c r="M4" s="213" t="inlineStr">
        <is>
          <t>VD</t>
        </is>
      </c>
      <c r="N4" s="214" t="n">
        <v>45803</v>
      </c>
    </row>
    <row r="5" ht="15.75" customHeight="1">
      <c r="A5" s="164" t="inlineStr">
        <is>
          <t>SACOLA G</t>
        </is>
      </c>
      <c r="B5" s="246" t="n">
        <v>50</v>
      </c>
      <c r="C5" s="166">
        <f>B5</f>
        <v/>
      </c>
      <c r="D5" s="89" t="n">
        <v>0</v>
      </c>
      <c r="E5" s="89" t="n">
        <v>0</v>
      </c>
      <c r="F5" s="165" t="n">
        <v>0</v>
      </c>
      <c r="G5" s="165" t="n">
        <v>0</v>
      </c>
      <c r="H5" s="165" t="n">
        <v>0</v>
      </c>
      <c r="I5" s="166">
        <f>D5+E5+F5+G5+H5</f>
        <v/>
      </c>
      <c r="J5" s="236">
        <f>B5+D5+E5+F5</f>
        <v/>
      </c>
      <c r="K5" s="167">
        <f>I5</f>
        <v/>
      </c>
    </row>
    <row r="6" ht="15.75" customHeight="1">
      <c r="A6" s="115" t="inlineStr">
        <is>
          <t>PAPEL DE SEDA</t>
        </is>
      </c>
      <c r="B6" s="247" t="n">
        <v>0</v>
      </c>
      <c r="C6" s="166">
        <f>B6</f>
        <v/>
      </c>
      <c r="D6" s="89" t="n">
        <v>1</v>
      </c>
      <c r="E6" s="89" t="n">
        <v>0</v>
      </c>
      <c r="F6" s="165" t="n">
        <v>0</v>
      </c>
      <c r="G6" s="165" t="n">
        <v>0</v>
      </c>
      <c r="H6" s="165" t="n">
        <v>0</v>
      </c>
      <c r="I6" s="166">
        <f>D6+E6+F6+G6+H6</f>
        <v/>
      </c>
      <c r="J6" s="236">
        <f>B6+D6+E6+F6</f>
        <v/>
      </c>
      <c r="K6" s="167">
        <f>I6</f>
        <v/>
      </c>
    </row>
    <row r="7" ht="15.75" customHeight="1">
      <c r="A7" s="115" t="inlineStr">
        <is>
          <t xml:space="preserve">TAGS </t>
        </is>
      </c>
      <c r="B7" s="247" t="n">
        <v>0</v>
      </c>
      <c r="C7" s="166">
        <f>B7</f>
        <v/>
      </c>
      <c r="D7" s="89" t="n">
        <v>1</v>
      </c>
      <c r="E7" s="89" t="n">
        <v>0</v>
      </c>
      <c r="F7" s="165" t="n">
        <v>0</v>
      </c>
      <c r="G7" s="165" t="n">
        <v>0</v>
      </c>
      <c r="H7" s="165" t="n">
        <v>0</v>
      </c>
      <c r="I7" s="166">
        <f>D7+E7+F7+G7+H7</f>
        <v/>
      </c>
      <c r="J7" s="236">
        <f>B7+D7+E7+F7</f>
        <v/>
      </c>
      <c r="K7" s="167">
        <f>I7</f>
        <v/>
      </c>
    </row>
    <row r="8" ht="15.75" customHeight="1">
      <c r="A8" s="109" t="inlineStr">
        <is>
          <t>TOTAL DE SACOLAS</t>
        </is>
      </c>
      <c r="B8" s="237">
        <f>B4+B5</f>
        <v/>
      </c>
      <c r="C8" s="110">
        <f>C4+C5</f>
        <v/>
      </c>
      <c r="D8" s="110">
        <f>D4+D5</f>
        <v/>
      </c>
      <c r="E8" s="110">
        <f>E4+E5</f>
        <v/>
      </c>
      <c r="F8" s="110">
        <f>F4+F5</f>
        <v/>
      </c>
      <c r="G8" s="110">
        <f>G4+G5</f>
        <v/>
      </c>
      <c r="H8" s="110">
        <f>H4+H5</f>
        <v/>
      </c>
      <c r="I8" s="110">
        <f>I4+I5</f>
        <v/>
      </c>
      <c r="J8" s="167">
        <f>J4+J5</f>
        <v/>
      </c>
      <c r="K8" s="167">
        <f>K4+K5</f>
        <v/>
      </c>
    </row>
    <row r="9" ht="18" customHeight="1"/>
    <row r="10" ht="18" customHeight="1">
      <c r="A10" s="514" t="inlineStr">
        <is>
          <t>GASTO DE SACOLAS E ITENS DOADOS NAMORADOS/2025 - MENSAIS</t>
        </is>
      </c>
      <c r="B10" s="625" t="n"/>
      <c r="C10" s="625" t="n"/>
      <c r="D10" s="625" t="n"/>
      <c r="E10" s="625" t="n"/>
      <c r="F10" s="625" t="n"/>
      <c r="G10" s="625" t="n"/>
      <c r="H10" s="625" t="n"/>
      <c r="I10" s="625" t="n"/>
      <c r="J10" s="625" t="n"/>
      <c r="K10" s="641" t="n"/>
    </row>
    <row r="11" ht="15.75" customHeight="1">
      <c r="A11" s="514" t="inlineStr">
        <is>
          <t>JARDIM</t>
        </is>
      </c>
      <c r="B11" s="514" t="inlineStr">
        <is>
          <t>MAIO</t>
        </is>
      </c>
      <c r="C11" s="704" t="inlineStr">
        <is>
          <t>JUNHO</t>
        </is>
      </c>
      <c r="D11" s="652" t="n"/>
      <c r="E11" s="652" t="n"/>
      <c r="F11" s="652" t="n"/>
      <c r="G11" s="652" t="n"/>
      <c r="H11" s="652" t="n"/>
      <c r="I11" s="705" t="n"/>
      <c r="J11" s="518" t="inlineStr">
        <is>
          <t>USOU ATÉ NAMORADOS</t>
        </is>
      </c>
      <c r="K11" s="518" t="inlineStr">
        <is>
          <t>TOTAL GERAL</t>
        </is>
      </c>
    </row>
    <row r="12" ht="15.75" customHeight="1">
      <c r="A12" s="618" t="n"/>
      <c r="B12" s="235" t="n">
        <v>45803</v>
      </c>
      <c r="C12" s="518" t="inlineStr">
        <is>
          <t>USOU</t>
        </is>
      </c>
      <c r="D12" s="235" t="n">
        <v>45810</v>
      </c>
      <c r="E12" s="235" t="n">
        <v>45817</v>
      </c>
      <c r="F12" s="235" t="n">
        <v>45824</v>
      </c>
      <c r="G12" s="235" t="n">
        <v>45831</v>
      </c>
      <c r="H12" s="235" t="n">
        <v>45838</v>
      </c>
      <c r="I12" s="518" t="inlineStr">
        <is>
          <t>USOU</t>
        </is>
      </c>
      <c r="J12" s="618" t="n"/>
      <c r="K12" s="618" t="n"/>
    </row>
    <row r="13" ht="15.75" customHeight="1">
      <c r="A13" s="164" t="inlineStr">
        <is>
          <t>SACOLA M</t>
        </is>
      </c>
      <c r="B13" s="246" t="n">
        <v>140</v>
      </c>
      <c r="C13" s="166">
        <f>B13</f>
        <v/>
      </c>
      <c r="D13" s="165" t="n">
        <v>40</v>
      </c>
      <c r="E13" s="165" t="n">
        <v>120</v>
      </c>
      <c r="F13" s="165" t="n">
        <v>100</v>
      </c>
      <c r="G13" s="165" t="n">
        <v>0</v>
      </c>
      <c r="H13" s="165" t="n">
        <v>0</v>
      </c>
      <c r="I13" s="166">
        <f>D13+E13+F13+G13+H13</f>
        <v/>
      </c>
      <c r="J13" s="236">
        <f>B13+D13+E13+F13</f>
        <v/>
      </c>
      <c r="K13" s="167">
        <f>I13</f>
        <v/>
      </c>
    </row>
    <row r="14" ht="15.75" customHeight="1">
      <c r="A14" s="164" t="inlineStr">
        <is>
          <t>SACOLA G</t>
        </is>
      </c>
      <c r="B14" s="246" t="n">
        <v>50</v>
      </c>
      <c r="C14" s="166">
        <f>B14</f>
        <v/>
      </c>
      <c r="D14" s="89" t="n">
        <v>0</v>
      </c>
      <c r="E14" s="89" t="n">
        <v>0</v>
      </c>
      <c r="F14" s="165" t="n">
        <v>0</v>
      </c>
      <c r="G14" s="165" t="n">
        <v>0</v>
      </c>
      <c r="H14" s="165" t="n">
        <v>0</v>
      </c>
      <c r="I14" s="166">
        <f>D14+E14+F14+G14+H14</f>
        <v/>
      </c>
      <c r="J14" s="236">
        <f>B14+D14+E14+F14</f>
        <v/>
      </c>
      <c r="K14" s="167">
        <f>I14</f>
        <v/>
      </c>
    </row>
    <row r="15" ht="15.75" customHeight="1">
      <c r="A15" s="115" t="inlineStr">
        <is>
          <t>PAPEL DE SEDA</t>
        </is>
      </c>
      <c r="B15" s="247" t="n">
        <v>1</v>
      </c>
      <c r="C15" s="166">
        <f>B15</f>
        <v/>
      </c>
      <c r="D15" s="89" t="n">
        <v>0</v>
      </c>
      <c r="E15" s="89" t="n">
        <v>0</v>
      </c>
      <c r="F15" s="165" t="n">
        <v>0</v>
      </c>
      <c r="G15" s="165" t="n">
        <v>0</v>
      </c>
      <c r="H15" s="165" t="n">
        <v>0</v>
      </c>
      <c r="I15" s="166">
        <f>D15+E15+F15+G15+H15</f>
        <v/>
      </c>
      <c r="J15" s="236">
        <f>B15+D15+E15+F15</f>
        <v/>
      </c>
      <c r="K15" s="167">
        <f>I15</f>
        <v/>
      </c>
    </row>
    <row r="16" ht="15.75" customHeight="1">
      <c r="A16" s="115" t="inlineStr">
        <is>
          <t xml:space="preserve">TAGS </t>
        </is>
      </c>
      <c r="B16" s="247" t="n">
        <v>0</v>
      </c>
      <c r="C16" s="166">
        <f>B16</f>
        <v/>
      </c>
      <c r="D16" s="89" t="n">
        <v>1</v>
      </c>
      <c r="E16" s="89" t="n">
        <v>0</v>
      </c>
      <c r="F16" s="165" t="n">
        <v>0</v>
      </c>
      <c r="G16" s="165" t="n">
        <v>0</v>
      </c>
      <c r="H16" s="165" t="n">
        <v>0</v>
      </c>
      <c r="I16" s="166">
        <f>D16+E16+F16+G16+H16</f>
        <v/>
      </c>
      <c r="J16" s="236">
        <f>B16+D16+E16+F16</f>
        <v/>
      </c>
      <c r="K16" s="167">
        <f>I16</f>
        <v/>
      </c>
    </row>
    <row r="17" ht="15.75" customHeight="1">
      <c r="A17" s="109" t="inlineStr">
        <is>
          <t>TOTAL DE SACOLAS</t>
        </is>
      </c>
      <c r="B17" s="237">
        <f>B13+B14</f>
        <v/>
      </c>
      <c r="C17" s="110">
        <f>C13+C14</f>
        <v/>
      </c>
      <c r="D17" s="110">
        <f>D13+D14</f>
        <v/>
      </c>
      <c r="E17" s="110">
        <f>E13+E14</f>
        <v/>
      </c>
      <c r="F17" s="110">
        <f>F13+F14</f>
        <v/>
      </c>
      <c r="G17" s="110">
        <f>G13+G14</f>
        <v/>
      </c>
      <c r="H17" s="110">
        <f>H13+H14</f>
        <v/>
      </c>
      <c r="I17" s="110">
        <f>I13+I14</f>
        <v/>
      </c>
      <c r="J17" s="167">
        <f>J13+J14</f>
        <v/>
      </c>
      <c r="K17" s="167">
        <f>K13+K14</f>
        <v/>
      </c>
    </row>
    <row r="19" ht="15.75" customHeight="1">
      <c r="A19" s="514" t="inlineStr">
        <is>
          <t>GASTO DE SACOLAS E ITENS DOADOS NAMORADOS/2025 - MENSAIS</t>
        </is>
      </c>
      <c r="B19" s="625" t="n"/>
      <c r="C19" s="625" t="n"/>
      <c r="D19" s="625" t="n"/>
      <c r="E19" s="625" t="n"/>
      <c r="F19" s="625" t="n"/>
      <c r="G19" s="625" t="n"/>
      <c r="H19" s="625" t="n"/>
      <c r="I19" s="625" t="n"/>
      <c r="J19" s="625" t="n"/>
      <c r="K19" s="641" t="n"/>
    </row>
    <row r="20" ht="15.75" customHeight="1">
      <c r="A20" s="514" t="inlineStr">
        <is>
          <t>BARRA BONITA</t>
        </is>
      </c>
      <c r="B20" s="514" t="inlineStr">
        <is>
          <t>MAIO</t>
        </is>
      </c>
      <c r="C20" s="704" t="inlineStr">
        <is>
          <t>JUNHO</t>
        </is>
      </c>
      <c r="D20" s="652" t="n"/>
      <c r="E20" s="652" t="n"/>
      <c r="F20" s="652" t="n"/>
      <c r="G20" s="652" t="n"/>
      <c r="H20" s="652" t="n"/>
      <c r="I20" s="705" t="n"/>
      <c r="J20" s="518" t="inlineStr">
        <is>
          <t>USOU ATÉ NAMORADOS</t>
        </is>
      </c>
      <c r="K20" s="518" t="inlineStr">
        <is>
          <t>TOTAL GERAL</t>
        </is>
      </c>
    </row>
    <row r="21" ht="15.75" customHeight="1">
      <c r="A21" s="618" t="n"/>
      <c r="B21" s="235" t="n">
        <v>45803</v>
      </c>
      <c r="C21" s="518" t="inlineStr">
        <is>
          <t>USOU</t>
        </is>
      </c>
      <c r="D21" s="235" t="n">
        <v>45810</v>
      </c>
      <c r="E21" s="235" t="n">
        <v>45817</v>
      </c>
      <c r="F21" s="235" t="n">
        <v>45824</v>
      </c>
      <c r="G21" s="235" t="n">
        <v>45831</v>
      </c>
      <c r="H21" s="235" t="n">
        <v>45838</v>
      </c>
      <c r="I21" s="518" t="inlineStr">
        <is>
          <t>USOU</t>
        </is>
      </c>
      <c r="J21" s="618" t="n"/>
      <c r="K21" s="618" t="n"/>
    </row>
    <row r="22" ht="15.75" customHeight="1">
      <c r="A22" s="164" t="inlineStr">
        <is>
          <t>SACOLA M</t>
        </is>
      </c>
      <c r="B22" s="246" t="n">
        <v>60</v>
      </c>
      <c r="C22" s="166">
        <f>B22</f>
        <v/>
      </c>
      <c r="D22" s="165" t="n">
        <v>80</v>
      </c>
      <c r="E22" s="165" t="n">
        <v>200</v>
      </c>
      <c r="F22" s="165" t="n">
        <v>0</v>
      </c>
      <c r="G22" s="165" t="n">
        <v>0</v>
      </c>
      <c r="H22" s="165" t="n">
        <v>60</v>
      </c>
      <c r="I22" s="166">
        <f>D22+E22+F22+G22+H22</f>
        <v/>
      </c>
      <c r="J22" s="236">
        <f>B22+D22+E22+F22</f>
        <v/>
      </c>
      <c r="K22" s="167">
        <f>I22</f>
        <v/>
      </c>
    </row>
    <row r="23" ht="15.75" customHeight="1">
      <c r="A23" s="164" t="inlineStr">
        <is>
          <t>SACOLA G</t>
        </is>
      </c>
      <c r="B23" s="246" t="n">
        <v>50</v>
      </c>
      <c r="C23" s="166">
        <f>B23</f>
        <v/>
      </c>
      <c r="D23" s="89" t="n">
        <v>0</v>
      </c>
      <c r="E23" s="89" t="n">
        <v>0</v>
      </c>
      <c r="F23" s="165" t="n">
        <v>0</v>
      </c>
      <c r="G23" s="165" t="n">
        <v>0</v>
      </c>
      <c r="H23" s="165" t="n">
        <v>0</v>
      </c>
      <c r="I23" s="166">
        <f>D23+E23+F23+G23+H23</f>
        <v/>
      </c>
      <c r="J23" s="236">
        <f>B23+D23+E23+F23</f>
        <v/>
      </c>
      <c r="K23" s="167">
        <f>I23</f>
        <v/>
      </c>
    </row>
    <row r="24" ht="15.75" customHeight="1">
      <c r="A24" s="115" t="inlineStr">
        <is>
          <t>PAPEL DE SEDA</t>
        </is>
      </c>
      <c r="B24" s="247" t="n">
        <v>1</v>
      </c>
      <c r="C24" s="166">
        <f>B24</f>
        <v/>
      </c>
      <c r="D24" s="89" t="n">
        <v>0</v>
      </c>
      <c r="E24" s="89" t="n">
        <v>0</v>
      </c>
      <c r="F24" s="165" t="n">
        <v>0</v>
      </c>
      <c r="G24" s="165" t="n">
        <v>0</v>
      </c>
      <c r="H24" s="165" t="n">
        <v>0</v>
      </c>
      <c r="I24" s="166">
        <f>D24+E24+F24+G24+H24</f>
        <v/>
      </c>
      <c r="J24" s="236">
        <f>B24+D24+E24+F24</f>
        <v/>
      </c>
      <c r="K24" s="167">
        <f>I24</f>
        <v/>
      </c>
    </row>
    <row r="25" ht="15.75" customHeight="1">
      <c r="A25" s="115" t="inlineStr">
        <is>
          <t xml:space="preserve">TAGS </t>
        </is>
      </c>
      <c r="B25" s="247" t="n">
        <v>1</v>
      </c>
      <c r="C25" s="166">
        <f>B25</f>
        <v/>
      </c>
      <c r="D25" s="89" t="n">
        <v>0</v>
      </c>
      <c r="E25" s="89" t="n">
        <v>1</v>
      </c>
      <c r="F25" s="165" t="n">
        <v>0</v>
      </c>
      <c r="G25" s="165" t="n">
        <v>0</v>
      </c>
      <c r="H25" s="165" t="n">
        <v>0</v>
      </c>
      <c r="I25" s="166">
        <f>D25+E25+F25+G25+H25</f>
        <v/>
      </c>
      <c r="J25" s="236">
        <f>B25+D25+E25+F25</f>
        <v/>
      </c>
      <c r="K25" s="167">
        <f>I25</f>
        <v/>
      </c>
    </row>
    <row r="26" ht="15.75" customHeight="1">
      <c r="A26" s="109" t="inlineStr">
        <is>
          <t>TOTAL DE SACOLAS</t>
        </is>
      </c>
      <c r="B26" s="237">
        <f>B22+B23</f>
        <v/>
      </c>
      <c r="C26" s="110">
        <f>C22+C23</f>
        <v/>
      </c>
      <c r="D26" s="110">
        <f>D22+D23</f>
        <v/>
      </c>
      <c r="E26" s="110">
        <f>E22+E23</f>
        <v/>
      </c>
      <c r="F26" s="110">
        <f>F22+F23</f>
        <v/>
      </c>
      <c r="G26" s="110">
        <f>G22+G23</f>
        <v/>
      </c>
      <c r="H26" s="110">
        <f>H22+H23</f>
        <v/>
      </c>
      <c r="I26" s="110">
        <f>I22+I23</f>
        <v/>
      </c>
      <c r="J26" s="167">
        <f>J22+J23</f>
        <v/>
      </c>
      <c r="K26" s="167">
        <f>K22+K23</f>
        <v/>
      </c>
    </row>
    <row r="28" ht="15.75" customHeight="1">
      <c r="A28" s="514" t="inlineStr">
        <is>
          <t>GASTO DE SACOLAS E ITENS DOADOS NAMORADOS/2025 - MENSAIS</t>
        </is>
      </c>
      <c r="B28" s="625" t="n"/>
      <c r="C28" s="625" t="n"/>
      <c r="D28" s="625" t="n"/>
      <c r="E28" s="625" t="n"/>
      <c r="F28" s="625" t="n"/>
      <c r="G28" s="625" t="n"/>
      <c r="H28" s="625" t="n"/>
      <c r="I28" s="625" t="n"/>
      <c r="J28" s="625" t="n"/>
      <c r="K28" s="641" t="n"/>
    </row>
    <row r="29" ht="15.75" customHeight="1">
      <c r="A29" s="514" t="inlineStr">
        <is>
          <t>SÃO MANUEL</t>
        </is>
      </c>
      <c r="B29" s="514" t="inlineStr">
        <is>
          <t>MAIO</t>
        </is>
      </c>
      <c r="C29" s="704" t="inlineStr">
        <is>
          <t>JUNHO</t>
        </is>
      </c>
      <c r="D29" s="652" t="n"/>
      <c r="E29" s="652" t="n"/>
      <c r="F29" s="652" t="n"/>
      <c r="G29" s="652" t="n"/>
      <c r="H29" s="652" t="n"/>
      <c r="I29" s="705" t="n"/>
      <c r="J29" s="518" t="inlineStr">
        <is>
          <t>USOU ATÉ NAMORADOS</t>
        </is>
      </c>
      <c r="K29" s="518" t="inlineStr">
        <is>
          <t>TOTAL GERAL</t>
        </is>
      </c>
    </row>
    <row r="30" ht="15.75" customHeight="1">
      <c r="A30" s="618" t="n"/>
      <c r="B30" s="235" t="n">
        <v>45803</v>
      </c>
      <c r="C30" s="518" t="inlineStr">
        <is>
          <t>USOU</t>
        </is>
      </c>
      <c r="D30" s="235" t="n">
        <v>45810</v>
      </c>
      <c r="E30" s="235" t="n">
        <v>45817</v>
      </c>
      <c r="F30" s="235" t="n">
        <v>45824</v>
      </c>
      <c r="G30" s="235" t="n">
        <v>45831</v>
      </c>
      <c r="H30" s="235" t="n">
        <v>45838</v>
      </c>
      <c r="I30" s="518" t="inlineStr">
        <is>
          <t>USOU</t>
        </is>
      </c>
      <c r="J30" s="618" t="n"/>
      <c r="K30" s="618" t="n"/>
    </row>
    <row r="31" ht="15.75" customHeight="1">
      <c r="A31" s="164" t="inlineStr">
        <is>
          <t>SACOLA M</t>
        </is>
      </c>
      <c r="B31" s="246" t="n">
        <v>140</v>
      </c>
      <c r="C31" s="166">
        <f>B31</f>
        <v/>
      </c>
      <c r="D31" s="165" t="n">
        <v>45</v>
      </c>
      <c r="E31" s="165" t="n">
        <v>125</v>
      </c>
      <c r="F31" s="165" t="n">
        <v>90</v>
      </c>
      <c r="G31" s="165" t="n">
        <v>0</v>
      </c>
      <c r="H31" s="165" t="n">
        <v>0</v>
      </c>
      <c r="I31" s="166">
        <f>D31+E31+F31+G31+H31</f>
        <v/>
      </c>
      <c r="J31" s="236">
        <f>B31+D31+E31+F31</f>
        <v/>
      </c>
      <c r="K31" s="167">
        <f>I31</f>
        <v/>
      </c>
    </row>
    <row r="32" ht="15.75" customHeight="1">
      <c r="A32" s="164" t="inlineStr">
        <is>
          <t>SACOLA G</t>
        </is>
      </c>
      <c r="B32" s="246" t="n">
        <v>50</v>
      </c>
      <c r="C32" s="166">
        <f>B32</f>
        <v/>
      </c>
      <c r="D32" s="89" t="n">
        <v>0</v>
      </c>
      <c r="E32" s="89" t="n">
        <v>0</v>
      </c>
      <c r="F32" s="165" t="n">
        <v>0</v>
      </c>
      <c r="G32" s="165" t="n">
        <v>0</v>
      </c>
      <c r="H32" s="165" t="n">
        <v>0</v>
      </c>
      <c r="I32" s="166">
        <f>D32+E32+F32+G32+H32</f>
        <v/>
      </c>
      <c r="J32" s="236">
        <f>B32+D32+E32+F32</f>
        <v/>
      </c>
      <c r="K32" s="167">
        <f>I32</f>
        <v/>
      </c>
    </row>
    <row r="33" ht="15.75" customHeight="1">
      <c r="A33" s="115" t="inlineStr">
        <is>
          <t>PAPEL DE SEDA</t>
        </is>
      </c>
      <c r="B33" s="247" t="n">
        <v>0</v>
      </c>
      <c r="C33" s="166">
        <f>B33</f>
        <v/>
      </c>
      <c r="D33" s="89" t="n">
        <v>1</v>
      </c>
      <c r="E33" s="89" t="n">
        <v>0</v>
      </c>
      <c r="F33" s="165" t="n">
        <v>0</v>
      </c>
      <c r="G33" s="165" t="n">
        <v>0</v>
      </c>
      <c r="H33" s="165" t="n">
        <v>0</v>
      </c>
      <c r="I33" s="166">
        <f>D33+E33+F33+G33+H33</f>
        <v/>
      </c>
      <c r="J33" s="236">
        <f>B33+D33+E33+F33</f>
        <v/>
      </c>
      <c r="K33" s="167">
        <f>I33</f>
        <v/>
      </c>
    </row>
    <row r="34" ht="15.75" customHeight="1">
      <c r="A34" s="115" t="inlineStr">
        <is>
          <t xml:space="preserve">TAGS </t>
        </is>
      </c>
      <c r="B34" s="247" t="n">
        <v>1</v>
      </c>
      <c r="C34" s="166">
        <f>B34</f>
        <v/>
      </c>
      <c r="D34" s="89" t="n">
        <v>0</v>
      </c>
      <c r="E34" s="89" t="n">
        <v>0</v>
      </c>
      <c r="F34" s="165" t="n">
        <v>0</v>
      </c>
      <c r="G34" s="165" t="n">
        <v>0</v>
      </c>
      <c r="H34" s="165" t="n">
        <v>0</v>
      </c>
      <c r="I34" s="166">
        <f>D34+E34+F34+G34+H34</f>
        <v/>
      </c>
      <c r="J34" s="236">
        <f>B34+D34+E34+F34</f>
        <v/>
      </c>
      <c r="K34" s="167">
        <f>I34</f>
        <v/>
      </c>
    </row>
    <row r="35" ht="15.75" customHeight="1">
      <c r="A35" s="109" t="inlineStr">
        <is>
          <t>TOTAL DE SACOLAS</t>
        </is>
      </c>
      <c r="B35" s="237">
        <f>B31+B32</f>
        <v/>
      </c>
      <c r="C35" s="110">
        <f>C31+C32</f>
        <v/>
      </c>
      <c r="D35" s="110">
        <f>D31+D32</f>
        <v/>
      </c>
      <c r="E35" s="110">
        <f>E31+E32</f>
        <v/>
      </c>
      <c r="F35" s="110">
        <f>F31+F32</f>
        <v/>
      </c>
      <c r="G35" s="110">
        <f>G31+G32</f>
        <v/>
      </c>
      <c r="H35" s="110">
        <f>H31+H32</f>
        <v/>
      </c>
      <c r="I35" s="110">
        <f>I31+I32</f>
        <v/>
      </c>
      <c r="J35" s="167">
        <f>J31+J32</f>
        <v/>
      </c>
      <c r="K35" s="167">
        <f>K31+K32</f>
        <v/>
      </c>
    </row>
    <row r="37" ht="15.75" customHeight="1">
      <c r="A37" s="514" t="inlineStr">
        <is>
          <t>GASTO DE SACOLAS E ITENS DOADOS NAMORADOS/2025 - MENSAIS</t>
        </is>
      </c>
      <c r="B37" s="625" t="n"/>
      <c r="C37" s="625" t="n"/>
      <c r="D37" s="625" t="n"/>
      <c r="E37" s="625" t="n"/>
      <c r="F37" s="625" t="n"/>
      <c r="G37" s="625" t="n"/>
      <c r="H37" s="625" t="n"/>
      <c r="I37" s="625" t="n"/>
      <c r="J37" s="625" t="n"/>
      <c r="K37" s="641" t="n"/>
    </row>
    <row r="38" ht="15.75" customHeight="1">
      <c r="A38" s="514" t="inlineStr">
        <is>
          <t>JAÚ SHOPPING</t>
        </is>
      </c>
      <c r="B38" s="514" t="inlineStr">
        <is>
          <t>MAIO</t>
        </is>
      </c>
      <c r="C38" s="704" t="inlineStr">
        <is>
          <t>JUNHO</t>
        </is>
      </c>
      <c r="D38" s="652" t="n"/>
      <c r="E38" s="652" t="n"/>
      <c r="F38" s="652" t="n"/>
      <c r="G38" s="652" t="n"/>
      <c r="H38" s="652" t="n"/>
      <c r="I38" s="705" t="n"/>
      <c r="J38" s="518" t="inlineStr">
        <is>
          <t>USOU ATÉ NAMORADOS</t>
        </is>
      </c>
      <c r="K38" s="518" t="inlineStr">
        <is>
          <t>TOTAL GERAL</t>
        </is>
      </c>
    </row>
    <row r="39" ht="15.75" customHeight="1">
      <c r="A39" s="618" t="n"/>
      <c r="B39" s="235" t="n">
        <v>45803</v>
      </c>
      <c r="C39" s="518" t="inlineStr">
        <is>
          <t>USOU</t>
        </is>
      </c>
      <c r="D39" s="235" t="n">
        <v>45810</v>
      </c>
      <c r="E39" s="235" t="n">
        <v>45817</v>
      </c>
      <c r="F39" s="235" t="n">
        <v>45824</v>
      </c>
      <c r="G39" s="235" t="n">
        <v>45831</v>
      </c>
      <c r="H39" s="235" t="n">
        <v>45838</v>
      </c>
      <c r="I39" s="518" t="inlineStr">
        <is>
          <t>USOU</t>
        </is>
      </c>
      <c r="J39" s="618" t="n"/>
      <c r="K39" s="618" t="n"/>
    </row>
    <row r="40" ht="15.75" customHeight="1">
      <c r="A40" s="164" t="inlineStr">
        <is>
          <t>SACOLA M</t>
        </is>
      </c>
      <c r="B40" s="246" t="n">
        <v>40</v>
      </c>
      <c r="C40" s="166">
        <f>B40</f>
        <v/>
      </c>
      <c r="D40" s="165" t="n">
        <v>71</v>
      </c>
      <c r="E40" s="165" t="n">
        <v>109</v>
      </c>
      <c r="F40" s="165" t="n">
        <v>380</v>
      </c>
      <c r="G40" s="165" t="n">
        <v>0</v>
      </c>
      <c r="H40" s="165" t="n">
        <v>0</v>
      </c>
      <c r="I40" s="166">
        <f>D40+E40+F40+G40+H40</f>
        <v/>
      </c>
      <c r="J40" s="236">
        <f>B40+D40+E40+F40</f>
        <v/>
      </c>
      <c r="K40" s="167">
        <f>I40</f>
        <v/>
      </c>
    </row>
    <row r="41" ht="15.75" customHeight="1">
      <c r="A41" s="164" t="inlineStr">
        <is>
          <t>SACOLA G</t>
        </is>
      </c>
      <c r="B41" s="246" t="n">
        <v>0</v>
      </c>
      <c r="C41" s="166">
        <f>B41</f>
        <v/>
      </c>
      <c r="D41" s="89" t="n">
        <v>27</v>
      </c>
      <c r="E41" s="89" t="n">
        <v>0</v>
      </c>
      <c r="F41" s="165" t="n">
        <v>0</v>
      </c>
      <c r="G41" s="165" t="n">
        <v>23</v>
      </c>
      <c r="H41" s="165" t="n">
        <v>34</v>
      </c>
      <c r="I41" s="166">
        <f>D41+E41+F41+G41+H41</f>
        <v/>
      </c>
      <c r="J41" s="236">
        <f>B41+D41+E41+F41</f>
        <v/>
      </c>
      <c r="K41" s="167">
        <f>I41</f>
        <v/>
      </c>
    </row>
    <row r="42" ht="15.75" customHeight="1">
      <c r="A42" s="115" t="inlineStr">
        <is>
          <t>PAPEL DE SEDA</t>
        </is>
      </c>
      <c r="B42" s="247" t="n">
        <v>2</v>
      </c>
      <c r="C42" s="166">
        <f>B42</f>
        <v/>
      </c>
      <c r="D42" s="89" t="n">
        <v>0</v>
      </c>
      <c r="E42" s="89" t="n">
        <v>3</v>
      </c>
      <c r="F42" s="165" t="n">
        <v>0</v>
      </c>
      <c r="G42" s="165" t="n">
        <v>0</v>
      </c>
      <c r="H42" s="165" t="n">
        <v>0</v>
      </c>
      <c r="I42" s="166">
        <f>D42+E42+F42+G42+H42</f>
        <v/>
      </c>
      <c r="J42" s="236">
        <f>B42+D42+E42+F42</f>
        <v/>
      </c>
      <c r="K42" s="167">
        <f>I42</f>
        <v/>
      </c>
    </row>
    <row r="43" ht="15.75" customHeight="1">
      <c r="A43" s="115" t="inlineStr">
        <is>
          <t xml:space="preserve">TAGS </t>
        </is>
      </c>
      <c r="B43" s="247" t="n">
        <v>1</v>
      </c>
      <c r="C43" s="166">
        <f>B43</f>
        <v/>
      </c>
      <c r="D43" s="89" t="n">
        <v>0</v>
      </c>
      <c r="E43" s="89" t="n">
        <v>0</v>
      </c>
      <c r="F43" s="165" t="n">
        <v>0</v>
      </c>
      <c r="G43" s="165" t="n">
        <v>0</v>
      </c>
      <c r="H43" s="165" t="n">
        <v>0</v>
      </c>
      <c r="I43" s="166">
        <f>D43+E43+F43+G43+H43</f>
        <v/>
      </c>
      <c r="J43" s="236">
        <f>B43+D43+E43+F43</f>
        <v/>
      </c>
      <c r="K43" s="167">
        <f>I43</f>
        <v/>
      </c>
    </row>
    <row r="44" ht="15.75" customHeight="1">
      <c r="A44" s="109" t="inlineStr">
        <is>
          <t>TOTAL DE SACOLAS</t>
        </is>
      </c>
      <c r="B44" s="237">
        <f>B40+B41</f>
        <v/>
      </c>
      <c r="C44" s="110">
        <f>C40+C41</f>
        <v/>
      </c>
      <c r="D44" s="110">
        <f>D40+D41</f>
        <v/>
      </c>
      <c r="E44" s="110">
        <f>E40+E41</f>
        <v/>
      </c>
      <c r="F44" s="110">
        <f>F40+F41</f>
        <v/>
      </c>
      <c r="G44" s="110">
        <f>G40+G41</f>
        <v/>
      </c>
      <c r="H44" s="110">
        <f>H40+H41</f>
        <v/>
      </c>
      <c r="I44" s="110">
        <f>I40+I41</f>
        <v/>
      </c>
      <c r="J44" s="167">
        <f>J40+J41</f>
        <v/>
      </c>
      <c r="K44" s="167">
        <f>K40+K41</f>
        <v/>
      </c>
    </row>
    <row r="46" ht="15.75" customHeight="1">
      <c r="A46" s="514" t="inlineStr">
        <is>
          <t>GASTO DE SACOLAS E ITENS DOADOS NAMORADOS/2025 - MENSAIS</t>
        </is>
      </c>
      <c r="B46" s="625" t="n"/>
      <c r="C46" s="625" t="n"/>
      <c r="D46" s="625" t="n"/>
      <c r="E46" s="625" t="n"/>
      <c r="F46" s="625" t="n"/>
      <c r="G46" s="625" t="n"/>
      <c r="H46" s="625" t="n"/>
      <c r="I46" s="625" t="n"/>
      <c r="J46" s="625" t="n"/>
      <c r="K46" s="641" t="n"/>
    </row>
    <row r="47" ht="15.75" customHeight="1">
      <c r="A47" s="514" t="inlineStr">
        <is>
          <t>CONFIANÇA</t>
        </is>
      </c>
      <c r="B47" s="514" t="inlineStr">
        <is>
          <t>MAIO</t>
        </is>
      </c>
      <c r="C47" s="704" t="inlineStr">
        <is>
          <t>JUNHO</t>
        </is>
      </c>
      <c r="D47" s="652" t="n"/>
      <c r="E47" s="652" t="n"/>
      <c r="F47" s="652" t="n"/>
      <c r="G47" s="652" t="n"/>
      <c r="H47" s="652" t="n"/>
      <c r="I47" s="705" t="n"/>
      <c r="J47" s="518" t="inlineStr">
        <is>
          <t>USOU ATÉ NAMORADOS</t>
        </is>
      </c>
      <c r="K47" s="518" t="inlineStr">
        <is>
          <t>TOTAL GERAL</t>
        </is>
      </c>
    </row>
    <row r="48" ht="15.75" customHeight="1">
      <c r="A48" s="618" t="n"/>
      <c r="B48" s="235" t="n">
        <v>45803</v>
      </c>
      <c r="C48" s="518" t="inlineStr">
        <is>
          <t>USOU</t>
        </is>
      </c>
      <c r="D48" s="235" t="n">
        <v>45810</v>
      </c>
      <c r="E48" s="235" t="n">
        <v>45817</v>
      </c>
      <c r="F48" s="235" t="n">
        <v>45824</v>
      </c>
      <c r="G48" s="235" t="n">
        <v>45831</v>
      </c>
      <c r="H48" s="235" t="n">
        <v>45838</v>
      </c>
      <c r="I48" s="518" t="inlineStr">
        <is>
          <t>USOU</t>
        </is>
      </c>
      <c r="J48" s="618" t="n"/>
      <c r="K48" s="618" t="n"/>
    </row>
    <row r="49" ht="15.75" customHeight="1">
      <c r="A49" s="164" t="inlineStr">
        <is>
          <t>SACOLA M</t>
        </is>
      </c>
      <c r="B49" s="246" t="n">
        <v>40</v>
      </c>
      <c r="C49" s="166">
        <f>B49</f>
        <v/>
      </c>
      <c r="D49" s="165" t="n">
        <v>40</v>
      </c>
      <c r="E49" s="165" t="n">
        <v>40</v>
      </c>
      <c r="F49" s="165" t="n">
        <v>80</v>
      </c>
      <c r="G49" s="165" t="n">
        <v>0</v>
      </c>
      <c r="H49" s="165" t="n">
        <v>0</v>
      </c>
      <c r="I49" s="166">
        <f>D49+E49+F49+G49+H49</f>
        <v/>
      </c>
      <c r="J49" s="236">
        <f>B49+D49+E49+F49</f>
        <v/>
      </c>
      <c r="K49" s="167">
        <f>I49</f>
        <v/>
      </c>
    </row>
    <row r="50" ht="15.75" customHeight="1">
      <c r="A50" s="164" t="inlineStr">
        <is>
          <t>SACOLA G</t>
        </is>
      </c>
      <c r="B50" s="246" t="n">
        <v>0</v>
      </c>
      <c r="C50" s="166">
        <f>B50</f>
        <v/>
      </c>
      <c r="D50" s="89" t="n">
        <v>0</v>
      </c>
      <c r="E50" s="89" t="n">
        <v>1</v>
      </c>
      <c r="F50" s="165" t="n">
        <v>24</v>
      </c>
      <c r="G50" s="165" t="n">
        <v>0</v>
      </c>
      <c r="H50" s="165" t="n">
        <v>25</v>
      </c>
      <c r="I50" s="166">
        <f>D50+E50+F50+G50+H50</f>
        <v/>
      </c>
      <c r="J50" s="236">
        <f>B50+D50+E50+F50</f>
        <v/>
      </c>
      <c r="K50" s="167">
        <f>I50</f>
        <v/>
      </c>
    </row>
    <row r="51" ht="15.75" customHeight="1">
      <c r="A51" s="115" t="inlineStr">
        <is>
          <t>PAPEL DE SEDA</t>
        </is>
      </c>
      <c r="B51" s="247" t="n">
        <v>1</v>
      </c>
      <c r="C51" s="166">
        <f>B51</f>
        <v/>
      </c>
      <c r="D51" s="89" t="n">
        <v>0</v>
      </c>
      <c r="E51" s="89" t="n">
        <v>0</v>
      </c>
      <c r="F51" s="165" t="n">
        <v>0</v>
      </c>
      <c r="G51" s="165" t="n">
        <v>0</v>
      </c>
      <c r="H51" s="165" t="n">
        <v>0</v>
      </c>
      <c r="I51" s="166">
        <f>D51+E51+F51+G51+H51</f>
        <v/>
      </c>
      <c r="J51" s="236">
        <f>B51+D51+E51+F51</f>
        <v/>
      </c>
      <c r="K51" s="167">
        <f>I51</f>
        <v/>
      </c>
    </row>
    <row r="52" ht="15.75" customHeight="1">
      <c r="A52" s="115" t="inlineStr">
        <is>
          <t xml:space="preserve">TAGS </t>
        </is>
      </c>
      <c r="B52" s="247" t="n">
        <v>1</v>
      </c>
      <c r="C52" s="166">
        <f>B52</f>
        <v/>
      </c>
      <c r="D52" s="89" t="n">
        <v>0</v>
      </c>
      <c r="E52" s="89" t="n">
        <v>0</v>
      </c>
      <c r="F52" s="165" t="n">
        <v>0</v>
      </c>
      <c r="G52" s="165" t="n">
        <v>0</v>
      </c>
      <c r="H52" s="165" t="n">
        <v>0</v>
      </c>
      <c r="I52" s="166">
        <f>D52+E52+F52+G52+H52</f>
        <v/>
      </c>
      <c r="J52" s="236">
        <f>B52+D52+E52+F52</f>
        <v/>
      </c>
      <c r="K52" s="167">
        <f>I52</f>
        <v/>
      </c>
    </row>
    <row r="53" ht="15.75" customHeight="1">
      <c r="A53" s="109" t="inlineStr">
        <is>
          <t>TOTAL DE SACOLAS</t>
        </is>
      </c>
      <c r="B53" s="237">
        <f>B49+B50</f>
        <v/>
      </c>
      <c r="C53" s="110">
        <f>C49+C50</f>
        <v/>
      </c>
      <c r="D53" s="110">
        <f>D49+D50</f>
        <v/>
      </c>
      <c r="E53" s="110">
        <f>E49+E50</f>
        <v/>
      </c>
      <c r="F53" s="110">
        <f>F49+F50</f>
        <v/>
      </c>
      <c r="G53" s="110">
        <f>G49+G50</f>
        <v/>
      </c>
      <c r="H53" s="110">
        <f>H49+H50</f>
        <v/>
      </c>
      <c r="I53" s="110">
        <f>I49+I50</f>
        <v/>
      </c>
      <c r="J53" s="167">
        <f>J49+J50</f>
        <v/>
      </c>
      <c r="K53" s="167">
        <f>K49+K50</f>
        <v/>
      </c>
    </row>
    <row r="55" ht="15.75" customHeight="1">
      <c r="A55" s="514" t="inlineStr">
        <is>
          <t>GASTO DE SACOLAS E ITENS DOADOS NAMORADOS/2025 - MENSAIS</t>
        </is>
      </c>
      <c r="B55" s="625" t="n"/>
      <c r="C55" s="625" t="n"/>
      <c r="D55" s="625" t="n"/>
      <c r="E55" s="625" t="n"/>
      <c r="F55" s="625" t="n"/>
      <c r="G55" s="625" t="n"/>
      <c r="H55" s="625" t="n"/>
      <c r="I55" s="625" t="n"/>
      <c r="J55" s="625" t="n"/>
      <c r="K55" s="641" t="n"/>
    </row>
    <row r="56" ht="15.75" customHeight="1">
      <c r="A56" s="514" t="inlineStr">
        <is>
          <t>DOIS CÓRREGOS</t>
        </is>
      </c>
      <c r="B56" s="514" t="inlineStr">
        <is>
          <t>MAIO</t>
        </is>
      </c>
      <c r="C56" s="704" t="inlineStr">
        <is>
          <t>JUNHO</t>
        </is>
      </c>
      <c r="D56" s="652" t="n"/>
      <c r="E56" s="652" t="n"/>
      <c r="F56" s="652" t="n"/>
      <c r="G56" s="652" t="n"/>
      <c r="H56" s="652" t="n"/>
      <c r="I56" s="705" t="n"/>
      <c r="J56" s="518" t="inlineStr">
        <is>
          <t>USOU ATÉ NAMORADOS</t>
        </is>
      </c>
      <c r="K56" s="518" t="inlineStr">
        <is>
          <t>TOTAL GERAL</t>
        </is>
      </c>
    </row>
    <row r="57" ht="15.75" customHeight="1">
      <c r="A57" s="618" t="n"/>
      <c r="B57" s="235" t="n">
        <v>45803</v>
      </c>
      <c r="C57" s="518" t="inlineStr">
        <is>
          <t>USOU</t>
        </is>
      </c>
      <c r="D57" s="235" t="n">
        <v>45810</v>
      </c>
      <c r="E57" s="235" t="n">
        <v>45817</v>
      </c>
      <c r="F57" s="235" t="n">
        <v>45824</v>
      </c>
      <c r="G57" s="235" t="n">
        <v>45831</v>
      </c>
      <c r="H57" s="235" t="n">
        <v>45838</v>
      </c>
      <c r="I57" s="518" t="inlineStr">
        <is>
          <t>USOU</t>
        </is>
      </c>
      <c r="J57" s="618" t="n"/>
      <c r="K57" s="618" t="n"/>
    </row>
    <row r="58" ht="15.75" customHeight="1">
      <c r="A58" s="164" t="inlineStr">
        <is>
          <t>SACOLA M</t>
        </is>
      </c>
      <c r="B58" s="246" t="n">
        <v>50</v>
      </c>
      <c r="C58" s="166">
        <f>B58</f>
        <v/>
      </c>
      <c r="D58" s="165" t="n">
        <v>0</v>
      </c>
      <c r="E58" s="165" t="n">
        <v>100</v>
      </c>
      <c r="F58" s="165" t="n">
        <v>30</v>
      </c>
      <c r="G58" s="165" t="n">
        <v>20</v>
      </c>
      <c r="H58" s="165" t="n">
        <v>0</v>
      </c>
      <c r="I58" s="166">
        <f>D58+E58+F58+G58+H58</f>
        <v/>
      </c>
      <c r="J58" s="236">
        <f>B58+D58+E58+F58</f>
        <v/>
      </c>
      <c r="K58" s="167">
        <f>I58</f>
        <v/>
      </c>
    </row>
    <row r="59" ht="15.75" customHeight="1">
      <c r="A59" s="164" t="inlineStr">
        <is>
          <t>SACOLA G</t>
        </is>
      </c>
      <c r="B59" s="246" t="n">
        <v>0</v>
      </c>
      <c r="C59" s="166">
        <f>B59</f>
        <v/>
      </c>
      <c r="D59" s="89" t="n">
        <v>0</v>
      </c>
      <c r="E59" s="89" t="n">
        <v>50</v>
      </c>
      <c r="F59" s="165" t="n">
        <v>0</v>
      </c>
      <c r="G59" s="165" t="n">
        <v>0</v>
      </c>
      <c r="H59" s="165" t="n">
        <v>0</v>
      </c>
      <c r="I59" s="166">
        <f>D59+E59+F59+G59+H59</f>
        <v/>
      </c>
      <c r="J59" s="236">
        <f>B59+D59+E59+F59</f>
        <v/>
      </c>
      <c r="K59" s="167">
        <f>I59</f>
        <v/>
      </c>
    </row>
    <row r="60" ht="15.75" customHeight="1">
      <c r="A60" s="115" t="inlineStr">
        <is>
          <t>PAPEL DE SEDA</t>
        </is>
      </c>
      <c r="B60" s="247" t="n">
        <v>0</v>
      </c>
      <c r="C60" s="166">
        <f>B60</f>
        <v/>
      </c>
      <c r="D60" s="89" t="n">
        <v>1</v>
      </c>
      <c r="E60" s="89" t="n">
        <v>0</v>
      </c>
      <c r="F60" s="165" t="n">
        <v>1</v>
      </c>
      <c r="G60" s="165" t="n">
        <v>0</v>
      </c>
      <c r="H60" s="165" t="n">
        <v>0</v>
      </c>
      <c r="I60" s="166">
        <f>D60+E60+F60+G60+H60</f>
        <v/>
      </c>
      <c r="J60" s="236">
        <f>B60+D60+E60+F60</f>
        <v/>
      </c>
      <c r="K60" s="167">
        <f>I60</f>
        <v/>
      </c>
    </row>
    <row r="61" ht="15.75" customHeight="1">
      <c r="A61" s="115" t="inlineStr">
        <is>
          <t xml:space="preserve">TAGS </t>
        </is>
      </c>
      <c r="B61" s="247" t="n">
        <v>0</v>
      </c>
      <c r="C61" s="166">
        <f>B61</f>
        <v/>
      </c>
      <c r="D61" s="89" t="n">
        <v>1</v>
      </c>
      <c r="E61" s="89" t="n">
        <v>0</v>
      </c>
      <c r="F61" s="165" t="n">
        <v>0</v>
      </c>
      <c r="G61" s="165" t="n">
        <v>0</v>
      </c>
      <c r="H61" s="165" t="n">
        <v>0</v>
      </c>
      <c r="I61" s="166">
        <f>D61+E61+F61+G61+H61</f>
        <v/>
      </c>
      <c r="J61" s="236">
        <f>B61+D61+E61+F61</f>
        <v/>
      </c>
      <c r="K61" s="167">
        <f>I61</f>
        <v/>
      </c>
    </row>
    <row r="62" ht="15.75" customHeight="1">
      <c r="A62" s="109" t="inlineStr">
        <is>
          <t>TOTAL DE SACOLAS</t>
        </is>
      </c>
      <c r="B62" s="237">
        <f>B58+B59</f>
        <v/>
      </c>
      <c r="C62" s="110">
        <f>C58+C59</f>
        <v/>
      </c>
      <c r="D62" s="110">
        <f>D58+D59</f>
        <v/>
      </c>
      <c r="E62" s="110">
        <f>E58+E59</f>
        <v/>
      </c>
      <c r="F62" s="110">
        <f>F58+F59</f>
        <v/>
      </c>
      <c r="G62" s="110">
        <f>G58+G59</f>
        <v/>
      </c>
      <c r="H62" s="110">
        <f>H58+H59</f>
        <v/>
      </c>
      <c r="I62" s="110">
        <f>I58+I59</f>
        <v/>
      </c>
      <c r="J62" s="167">
        <f>J58+J59</f>
        <v/>
      </c>
      <c r="K62" s="167">
        <f>K58+K59</f>
        <v/>
      </c>
    </row>
    <row r="64" ht="15.75" customHeight="1">
      <c r="A64" s="514" t="inlineStr">
        <is>
          <t>GASTO DE SACOLAS E ITENS DOADOS NAMORADOS/2025 - MENSAIS</t>
        </is>
      </c>
      <c r="B64" s="625" t="n"/>
      <c r="C64" s="625" t="n"/>
      <c r="D64" s="625" t="n"/>
      <c r="E64" s="625" t="n"/>
      <c r="F64" s="625" t="n"/>
      <c r="G64" s="625" t="n"/>
      <c r="H64" s="625" t="n"/>
      <c r="I64" s="625" t="n"/>
      <c r="J64" s="625" t="n"/>
      <c r="K64" s="641" t="n"/>
    </row>
    <row r="65" ht="15.75" customHeight="1">
      <c r="A65" s="514" t="inlineStr">
        <is>
          <t>ITIRAPINA</t>
        </is>
      </c>
      <c r="B65" s="514" t="inlineStr">
        <is>
          <t>MAIO</t>
        </is>
      </c>
      <c r="C65" s="704" t="inlineStr">
        <is>
          <t>JUNHO</t>
        </is>
      </c>
      <c r="D65" s="652" t="n"/>
      <c r="E65" s="652" t="n"/>
      <c r="F65" s="652" t="n"/>
      <c r="G65" s="652" t="n"/>
      <c r="H65" s="652" t="n"/>
      <c r="I65" s="705" t="n"/>
      <c r="J65" s="518" t="inlineStr">
        <is>
          <t>USOU ATÉ NAMORADOS</t>
        </is>
      </c>
      <c r="K65" s="518" t="inlineStr">
        <is>
          <t>TOTAL GERAL</t>
        </is>
      </c>
    </row>
    <row r="66" ht="15.75" customHeight="1">
      <c r="A66" s="618" t="n"/>
      <c r="B66" s="235" t="n">
        <v>45803</v>
      </c>
      <c r="C66" s="518" t="inlineStr">
        <is>
          <t>USOU</t>
        </is>
      </c>
      <c r="D66" s="235" t="n">
        <v>45810</v>
      </c>
      <c r="E66" s="235" t="n">
        <v>45817</v>
      </c>
      <c r="F66" s="235" t="n">
        <v>45824</v>
      </c>
      <c r="G66" s="235" t="n">
        <v>45831</v>
      </c>
      <c r="H66" s="235" t="n">
        <v>45838</v>
      </c>
      <c r="I66" s="518" t="inlineStr">
        <is>
          <t>USOU</t>
        </is>
      </c>
      <c r="J66" s="618" t="n"/>
      <c r="K66" s="618" t="n"/>
    </row>
    <row r="67" ht="15.75" customHeight="1">
      <c r="A67" s="164" t="inlineStr">
        <is>
          <t>SACOLA M</t>
        </is>
      </c>
      <c r="B67" s="246" t="n">
        <v>0</v>
      </c>
      <c r="C67" s="166">
        <f>B67</f>
        <v/>
      </c>
      <c r="D67" s="165" t="n">
        <v>50</v>
      </c>
      <c r="E67" s="165" t="n">
        <v>30</v>
      </c>
      <c r="F67" s="165" t="n">
        <v>100</v>
      </c>
      <c r="G67" s="165" t="n">
        <v>20</v>
      </c>
      <c r="H67" s="165" t="n">
        <v>0</v>
      </c>
      <c r="I67" s="166">
        <f>D67+E67+F67+G67+H67</f>
        <v/>
      </c>
      <c r="J67" s="236">
        <f>B67+D67+E67+F67</f>
        <v/>
      </c>
      <c r="K67" s="167">
        <f>I67</f>
        <v/>
      </c>
    </row>
    <row r="68" ht="15.75" customHeight="1">
      <c r="A68" s="164" t="inlineStr">
        <is>
          <t>SACOLA G</t>
        </is>
      </c>
      <c r="B68" s="246" t="n">
        <v>0</v>
      </c>
      <c r="C68" s="166">
        <f>B68</f>
        <v/>
      </c>
      <c r="D68" s="89" t="n">
        <v>0</v>
      </c>
      <c r="E68" s="89" t="n">
        <v>0</v>
      </c>
      <c r="F68" s="165" t="n">
        <v>25</v>
      </c>
      <c r="G68" s="165" t="n">
        <v>5</v>
      </c>
      <c r="H68" s="165" t="n">
        <v>9</v>
      </c>
      <c r="I68" s="166">
        <f>D68+E68+F68+G68+H68</f>
        <v/>
      </c>
      <c r="J68" s="236">
        <f>B68+D68+E68+F68</f>
        <v/>
      </c>
      <c r="K68" s="167">
        <f>I68</f>
        <v/>
      </c>
    </row>
    <row r="69" ht="15.75" customHeight="1">
      <c r="A69" s="115" t="inlineStr">
        <is>
          <t>PAPEL DE SEDA</t>
        </is>
      </c>
      <c r="B69" s="247" t="n">
        <v>0</v>
      </c>
      <c r="C69" s="166">
        <f>B69</f>
        <v/>
      </c>
      <c r="D69" s="89" t="n">
        <v>0</v>
      </c>
      <c r="E69" s="89" t="n">
        <v>0</v>
      </c>
      <c r="F69" s="165" t="n">
        <v>1</v>
      </c>
      <c r="G69" s="165" t="n">
        <v>0</v>
      </c>
      <c r="H69" s="165" t="n">
        <v>0</v>
      </c>
      <c r="I69" s="166">
        <f>D69+E69+F69+G69+H69</f>
        <v/>
      </c>
      <c r="J69" s="236">
        <f>B69+D69+E69+F69</f>
        <v/>
      </c>
      <c r="K69" s="167">
        <f>I69</f>
        <v/>
      </c>
    </row>
    <row r="70" ht="15.75" customHeight="1">
      <c r="A70" s="115" t="inlineStr">
        <is>
          <t xml:space="preserve">TAGS </t>
        </is>
      </c>
      <c r="B70" s="247" t="n">
        <v>0</v>
      </c>
      <c r="C70" s="166">
        <f>B70</f>
        <v/>
      </c>
      <c r="D70" s="89" t="n">
        <v>0</v>
      </c>
      <c r="E70" s="89" t="n">
        <v>0</v>
      </c>
      <c r="F70" s="165" t="n">
        <v>0</v>
      </c>
      <c r="G70" s="165" t="n">
        <v>0</v>
      </c>
      <c r="H70" s="165" t="n">
        <v>0</v>
      </c>
      <c r="I70" s="166">
        <f>D70+E70+F70+G70+H70</f>
        <v/>
      </c>
      <c r="J70" s="236">
        <f>B70+D70+E70+F70</f>
        <v/>
      </c>
      <c r="K70" s="167">
        <f>I70</f>
        <v/>
      </c>
    </row>
    <row r="71" ht="15.75" customHeight="1">
      <c r="A71" s="109" t="inlineStr">
        <is>
          <t>TOTAL DE SACOLAS</t>
        </is>
      </c>
      <c r="B71" s="237">
        <f>B67+B68</f>
        <v/>
      </c>
      <c r="C71" s="110">
        <f>C67+C68</f>
        <v/>
      </c>
      <c r="D71" s="110">
        <f>D67+D68</f>
        <v/>
      </c>
      <c r="E71" s="110">
        <f>E67+E68</f>
        <v/>
      </c>
      <c r="F71" s="110">
        <f>F67+F68</f>
        <v/>
      </c>
      <c r="G71" s="110">
        <f>G67+G68</f>
        <v/>
      </c>
      <c r="H71" s="110">
        <f>H67+H68</f>
        <v/>
      </c>
      <c r="I71" s="110">
        <f>I67+I68</f>
        <v/>
      </c>
      <c r="J71" s="167">
        <f>J67+J68</f>
        <v/>
      </c>
      <c r="K71" s="167">
        <f>K67+K68</f>
        <v/>
      </c>
    </row>
    <row r="73" ht="15.75" customHeight="1">
      <c r="A73" s="514" t="inlineStr">
        <is>
          <t>GASTO DE SACOLAS E ITENS DOADOS NAMORADOS/2025 - MENSAIS</t>
        </is>
      </c>
      <c r="B73" s="625" t="n"/>
      <c r="C73" s="625" t="n"/>
      <c r="D73" s="625" t="n"/>
      <c r="E73" s="625" t="n"/>
      <c r="F73" s="625" t="n"/>
      <c r="G73" s="625" t="n"/>
      <c r="H73" s="625" t="n"/>
      <c r="I73" s="625" t="n"/>
      <c r="J73" s="625" t="n"/>
      <c r="K73" s="641" t="n"/>
    </row>
    <row r="74" ht="15.75" customHeight="1">
      <c r="A74" s="514" t="inlineStr">
        <is>
          <t>BROTAS</t>
        </is>
      </c>
      <c r="B74" s="514" t="inlineStr">
        <is>
          <t>MAIO</t>
        </is>
      </c>
      <c r="C74" s="704" t="inlineStr">
        <is>
          <t>JUNHO</t>
        </is>
      </c>
      <c r="D74" s="652" t="n"/>
      <c r="E74" s="652" t="n"/>
      <c r="F74" s="652" t="n"/>
      <c r="G74" s="652" t="n"/>
      <c r="H74" s="652" t="n"/>
      <c r="I74" s="705" t="n"/>
      <c r="J74" s="518" t="inlineStr">
        <is>
          <t>USOU ATÉ NAMORADOS</t>
        </is>
      </c>
      <c r="K74" s="518" t="inlineStr">
        <is>
          <t>TOTAL GERAL</t>
        </is>
      </c>
    </row>
    <row r="75" ht="15.75" customHeight="1">
      <c r="A75" s="618" t="n"/>
      <c r="B75" s="235" t="n">
        <v>45803</v>
      </c>
      <c r="C75" s="518" t="inlineStr">
        <is>
          <t>USOU</t>
        </is>
      </c>
      <c r="D75" s="235" t="n">
        <v>45810</v>
      </c>
      <c r="E75" s="235" t="n">
        <v>45817</v>
      </c>
      <c r="F75" s="235" t="n">
        <v>45824</v>
      </c>
      <c r="G75" s="235" t="n">
        <v>45831</v>
      </c>
      <c r="H75" s="235" t="n">
        <v>45838</v>
      </c>
      <c r="I75" s="518" t="inlineStr">
        <is>
          <t>USOU</t>
        </is>
      </c>
      <c r="J75" s="618" t="n"/>
      <c r="K75" s="618" t="n"/>
    </row>
    <row r="76" ht="15.75" customHeight="1">
      <c r="A76" s="164" t="inlineStr">
        <is>
          <t>SACOLA M</t>
        </is>
      </c>
      <c r="B76" s="246" t="n">
        <v>0</v>
      </c>
      <c r="C76" s="166">
        <f>B76</f>
        <v/>
      </c>
      <c r="D76" s="165" t="n">
        <v>80</v>
      </c>
      <c r="E76" s="165" t="n">
        <v>120</v>
      </c>
      <c r="F76" s="165" t="n">
        <v>0</v>
      </c>
      <c r="G76" s="165" t="n">
        <v>0</v>
      </c>
      <c r="H76" s="165" t="n">
        <v>0</v>
      </c>
      <c r="I76" s="166">
        <f>D76+E76+F76+G76+H76</f>
        <v/>
      </c>
      <c r="J76" s="236">
        <f>B76+D76+E76+F76</f>
        <v/>
      </c>
      <c r="K76" s="167">
        <f>I76</f>
        <v/>
      </c>
    </row>
    <row r="77" ht="15.75" customHeight="1">
      <c r="A77" s="164" t="inlineStr">
        <is>
          <t>SACOLA G</t>
        </is>
      </c>
      <c r="B77" s="246" t="n">
        <v>25</v>
      </c>
      <c r="C77" s="166">
        <f>B77</f>
        <v/>
      </c>
      <c r="D77" s="89" t="n">
        <v>0</v>
      </c>
      <c r="E77" s="89" t="n">
        <v>25</v>
      </c>
      <c r="F77" s="165" t="n">
        <v>0</v>
      </c>
      <c r="G77" s="165" t="n">
        <v>0</v>
      </c>
      <c r="H77" s="165" t="n">
        <v>0</v>
      </c>
      <c r="I77" s="166">
        <f>D77+E77+F77+G77+H77</f>
        <v/>
      </c>
      <c r="J77" s="236">
        <f>B77+D77+E77+F77</f>
        <v/>
      </c>
      <c r="K77" s="167">
        <f>I77</f>
        <v/>
      </c>
    </row>
    <row r="78" ht="15.75" customHeight="1">
      <c r="A78" s="115" t="inlineStr">
        <is>
          <t>PAPEL DE SEDA</t>
        </is>
      </c>
      <c r="B78" s="247" t="n">
        <v>1</v>
      </c>
      <c r="C78" s="166">
        <f>B78</f>
        <v/>
      </c>
      <c r="D78" s="89" t="n">
        <v>0</v>
      </c>
      <c r="E78" s="89" t="n">
        <v>1</v>
      </c>
      <c r="F78" s="165" t="n">
        <v>0</v>
      </c>
      <c r="G78" s="165" t="n">
        <v>0</v>
      </c>
      <c r="H78" s="165" t="n">
        <v>0</v>
      </c>
      <c r="I78" s="166">
        <f>D78+E78+F78+G78+H78</f>
        <v/>
      </c>
      <c r="J78" s="236">
        <f>B78+D78+E78+F78</f>
        <v/>
      </c>
      <c r="K78" s="167">
        <f>I78</f>
        <v/>
      </c>
    </row>
    <row r="79" ht="15.75" customHeight="1">
      <c r="A79" s="115" t="inlineStr">
        <is>
          <t xml:space="preserve">TAGS </t>
        </is>
      </c>
      <c r="B79" s="247" t="n">
        <v>0</v>
      </c>
      <c r="C79" s="166">
        <f>B79</f>
        <v/>
      </c>
      <c r="D79" s="89" t="n">
        <v>1</v>
      </c>
      <c r="E79" s="89" t="n">
        <v>0</v>
      </c>
      <c r="F79" s="165" t="n">
        <v>0</v>
      </c>
      <c r="G79" s="165" t="n">
        <v>0</v>
      </c>
      <c r="H79" s="165" t="n">
        <v>0</v>
      </c>
      <c r="I79" s="166">
        <f>D79+E79+F79+G79+H79</f>
        <v/>
      </c>
      <c r="J79" s="236">
        <f>B79+D79+E79+F79</f>
        <v/>
      </c>
      <c r="K79" s="167">
        <f>I79</f>
        <v/>
      </c>
    </row>
    <row r="80" ht="15.75" customHeight="1">
      <c r="A80" s="109" t="inlineStr">
        <is>
          <t>TOTAL DE SACOLAS</t>
        </is>
      </c>
      <c r="B80" s="237">
        <f>B76+B77</f>
        <v/>
      </c>
      <c r="C80" s="110">
        <f>C76+C77</f>
        <v/>
      </c>
      <c r="D80" s="110">
        <f>D76+D77</f>
        <v/>
      </c>
      <c r="E80" s="110">
        <f>E76+E77</f>
        <v/>
      </c>
      <c r="F80" s="110">
        <f>F76+F77</f>
        <v/>
      </c>
      <c r="G80" s="110">
        <f>G76+G77</f>
        <v/>
      </c>
      <c r="H80" s="110">
        <f>H76+H77</f>
        <v/>
      </c>
      <c r="I80" s="110">
        <f>I76+I77</f>
        <v/>
      </c>
      <c r="J80" s="167">
        <f>J76+J77</f>
        <v/>
      </c>
      <c r="K80" s="167">
        <f>K76+K77</f>
        <v/>
      </c>
    </row>
    <row r="82" ht="15.75" customHeight="1">
      <c r="A82" s="514" t="inlineStr">
        <is>
          <t>GASTO DE SACOLAS E ITENS DOADOS NAMORADOS/2025 - MENSAIS</t>
        </is>
      </c>
      <c r="B82" s="625" t="n"/>
      <c r="C82" s="625" t="n"/>
      <c r="D82" s="625" t="n"/>
      <c r="E82" s="625" t="n"/>
      <c r="F82" s="625" t="n"/>
      <c r="G82" s="625" t="n"/>
      <c r="H82" s="625" t="n"/>
      <c r="I82" s="625" t="n"/>
      <c r="J82" s="625" t="n"/>
      <c r="K82" s="641" t="n"/>
    </row>
    <row r="83" ht="15.75" customHeight="1">
      <c r="A83" s="514" t="inlineStr">
        <is>
          <t>CD JAÚ</t>
        </is>
      </c>
      <c r="B83" s="514" t="inlineStr">
        <is>
          <t>MAIO</t>
        </is>
      </c>
      <c r="C83" s="704" t="inlineStr">
        <is>
          <t>JUNHO</t>
        </is>
      </c>
      <c r="D83" s="652" t="n"/>
      <c r="E83" s="652" t="n"/>
      <c r="F83" s="652" t="n"/>
      <c r="G83" s="652" t="n"/>
      <c r="H83" s="652" t="n"/>
      <c r="I83" s="705" t="n"/>
      <c r="J83" s="518" t="inlineStr">
        <is>
          <t>USOU ATÉ NAMORADOS</t>
        </is>
      </c>
      <c r="K83" s="518" t="inlineStr">
        <is>
          <t>TOTAL GERAL</t>
        </is>
      </c>
    </row>
    <row r="84" ht="15.75" customHeight="1">
      <c r="A84" s="618" t="n"/>
      <c r="B84" s="235" t="n">
        <v>45803</v>
      </c>
      <c r="C84" s="518" t="inlineStr">
        <is>
          <t>USOU</t>
        </is>
      </c>
      <c r="D84" s="235" t="n">
        <v>45810</v>
      </c>
      <c r="E84" s="235" t="n">
        <v>45817</v>
      </c>
      <c r="F84" s="235" t="n">
        <v>45824</v>
      </c>
      <c r="G84" s="235" t="n">
        <v>45831</v>
      </c>
      <c r="H84" s="235" t="n">
        <v>45838</v>
      </c>
      <c r="I84" s="518" t="inlineStr">
        <is>
          <t>USOU</t>
        </is>
      </c>
      <c r="J84" s="618" t="n"/>
      <c r="K84" s="618" t="n"/>
    </row>
    <row r="85" ht="15.75" customHeight="1">
      <c r="A85" s="164" t="inlineStr">
        <is>
          <t>SACOLA M</t>
        </is>
      </c>
      <c r="B85" s="246" t="n">
        <v>0</v>
      </c>
      <c r="C85" s="166">
        <f>B85</f>
        <v/>
      </c>
      <c r="D85" s="246" t="n">
        <v>0</v>
      </c>
      <c r="E85" s="246" t="n">
        <v>0</v>
      </c>
      <c r="F85" s="246" t="n">
        <v>0</v>
      </c>
      <c r="G85" s="246" t="n">
        <v>0</v>
      </c>
      <c r="H85" s="246" t="n">
        <v>0</v>
      </c>
      <c r="I85" s="166">
        <f>D85+E85+F85+G85+H85</f>
        <v/>
      </c>
      <c r="J85" s="236">
        <f>B85+D85+E85+F85</f>
        <v/>
      </c>
      <c r="K85" s="167">
        <f>I85</f>
        <v/>
      </c>
    </row>
    <row r="86" ht="15.75" customHeight="1">
      <c r="A86" s="164" t="inlineStr">
        <is>
          <t>SACOLA G</t>
        </is>
      </c>
      <c r="B86" s="246" t="n">
        <v>0</v>
      </c>
      <c r="C86" s="166">
        <f>B86</f>
        <v/>
      </c>
      <c r="D86" s="246" t="n">
        <v>0</v>
      </c>
      <c r="E86" s="246" t="n">
        <v>0</v>
      </c>
      <c r="F86" s="246" t="n">
        <v>0</v>
      </c>
      <c r="G86" s="246" t="n">
        <v>0</v>
      </c>
      <c r="H86" s="246" t="n">
        <v>0</v>
      </c>
      <c r="I86" s="166">
        <f>D86+E86+F86+G86+H86</f>
        <v/>
      </c>
      <c r="J86" s="236">
        <f>B86+D86+E86+F86</f>
        <v/>
      </c>
      <c r="K86" s="167">
        <f>I86</f>
        <v/>
      </c>
    </row>
    <row r="87" ht="15.75" customHeight="1">
      <c r="A87" s="115" t="inlineStr">
        <is>
          <t>PAPEL DE SEDA</t>
        </is>
      </c>
      <c r="B87" s="247" t="n">
        <v>0</v>
      </c>
      <c r="C87" s="166">
        <f>B87</f>
        <v/>
      </c>
      <c r="D87" s="247" t="n">
        <v>0</v>
      </c>
      <c r="E87" s="247" t="n">
        <v>0</v>
      </c>
      <c r="F87" s="247" t="n">
        <v>0</v>
      </c>
      <c r="G87" s="247" t="n">
        <v>0</v>
      </c>
      <c r="H87" s="247" t="n">
        <v>0</v>
      </c>
      <c r="I87" s="166">
        <f>D87+E87+F87+G87+H87</f>
        <v/>
      </c>
      <c r="J87" s="236">
        <f>B87+D87+E87+F87</f>
        <v/>
      </c>
      <c r="K87" s="167">
        <f>I87</f>
        <v/>
      </c>
    </row>
    <row r="88" ht="15.75" customHeight="1">
      <c r="A88" s="115" t="inlineStr">
        <is>
          <t xml:space="preserve">TAGS </t>
        </is>
      </c>
      <c r="B88" s="247" t="n">
        <v>0</v>
      </c>
      <c r="C88" s="166">
        <f>B88</f>
        <v/>
      </c>
      <c r="D88" s="247" t="n">
        <v>0</v>
      </c>
      <c r="E88" s="247" t="n">
        <v>0</v>
      </c>
      <c r="F88" s="247" t="n">
        <v>0</v>
      </c>
      <c r="G88" s="247" t="n">
        <v>0</v>
      </c>
      <c r="H88" s="247" t="n">
        <v>0</v>
      </c>
      <c r="I88" s="166">
        <f>D88+E88+F88+G88+H88</f>
        <v/>
      </c>
      <c r="J88" s="236">
        <f>B88+D88+E88+F88</f>
        <v/>
      </c>
      <c r="K88" s="167">
        <f>I88</f>
        <v/>
      </c>
    </row>
    <row r="89" ht="15.75" customHeight="1">
      <c r="A89" s="109" t="inlineStr">
        <is>
          <t>TOTAL DE SACOLAS</t>
        </is>
      </c>
      <c r="B89" s="237">
        <f>B85+B86</f>
        <v/>
      </c>
      <c r="C89" s="110">
        <f>C85+C86</f>
        <v/>
      </c>
      <c r="D89" s="110">
        <f>D85+D86</f>
        <v/>
      </c>
      <c r="E89" s="110">
        <f>E85+E86</f>
        <v/>
      </c>
      <c r="F89" s="110">
        <f>F85+F86</f>
        <v/>
      </c>
      <c r="G89" s="110">
        <f>G85+G86</f>
        <v/>
      </c>
      <c r="H89" s="110">
        <f>H85+H86</f>
        <v/>
      </c>
      <c r="I89" s="110">
        <f>I85+I86</f>
        <v/>
      </c>
      <c r="J89" s="167">
        <f>J85+J86</f>
        <v/>
      </c>
      <c r="K89" s="167">
        <f>K85+K86</f>
        <v/>
      </c>
    </row>
    <row r="91" ht="15.75" customHeight="1">
      <c r="A91" s="514" t="inlineStr">
        <is>
          <t>GASTO DE SACOLAS E ITENS DOADOS NAMORADOS/2025 - MENSAIS</t>
        </is>
      </c>
      <c r="B91" s="625" t="n"/>
      <c r="C91" s="625" t="n"/>
      <c r="D91" s="625" t="n"/>
      <c r="E91" s="625" t="n"/>
      <c r="F91" s="625" t="n"/>
      <c r="G91" s="625" t="n"/>
      <c r="H91" s="625" t="n"/>
      <c r="I91" s="625" t="n"/>
      <c r="J91" s="625" t="n"/>
      <c r="K91" s="641" t="n"/>
    </row>
    <row r="92" ht="15.75" customHeight="1">
      <c r="A92" s="514" t="inlineStr">
        <is>
          <t>ER JAÚ</t>
        </is>
      </c>
      <c r="B92" s="514" t="inlineStr">
        <is>
          <t>MAIO</t>
        </is>
      </c>
      <c r="C92" s="704" t="inlineStr">
        <is>
          <t>JUNHO</t>
        </is>
      </c>
      <c r="D92" s="652" t="n"/>
      <c r="E92" s="652" t="n"/>
      <c r="F92" s="652" t="n"/>
      <c r="G92" s="652" t="n"/>
      <c r="H92" s="652" t="n"/>
      <c r="I92" s="705" t="n"/>
      <c r="J92" s="518" t="inlineStr">
        <is>
          <t>USOU ATÉ NAMORADOS</t>
        </is>
      </c>
      <c r="K92" s="518" t="inlineStr">
        <is>
          <t>TOTAL GERAL</t>
        </is>
      </c>
    </row>
    <row r="93" ht="15.75" customHeight="1">
      <c r="A93" s="618" t="n"/>
      <c r="B93" s="235" t="n">
        <v>45803</v>
      </c>
      <c r="C93" s="518" t="inlineStr">
        <is>
          <t>USOU</t>
        </is>
      </c>
      <c r="D93" s="235" t="n">
        <v>45810</v>
      </c>
      <c r="E93" s="235" t="n">
        <v>45817</v>
      </c>
      <c r="F93" s="235" t="n">
        <v>45824</v>
      </c>
      <c r="G93" s="235" t="n">
        <v>45831</v>
      </c>
      <c r="H93" s="235" t="n">
        <v>45838</v>
      </c>
      <c r="I93" s="518" t="inlineStr">
        <is>
          <t>USOU</t>
        </is>
      </c>
      <c r="J93" s="618" t="n"/>
      <c r="K93" s="618" t="n"/>
    </row>
    <row r="94" ht="15.75" customHeight="1">
      <c r="A94" s="164" t="inlineStr">
        <is>
          <t>SACOLA M</t>
        </is>
      </c>
      <c r="B94" s="246" t="n">
        <v>100</v>
      </c>
      <c r="C94" s="166">
        <f>B94</f>
        <v/>
      </c>
      <c r="D94" s="165" t="n">
        <v>100</v>
      </c>
      <c r="E94" s="165" t="n">
        <v>100</v>
      </c>
      <c r="F94" s="165" t="n">
        <v>0</v>
      </c>
      <c r="G94" s="165" t="n">
        <v>0</v>
      </c>
      <c r="H94" s="165" t="n">
        <v>0</v>
      </c>
      <c r="I94" s="166">
        <f>D94+E94+F94+G94+H94</f>
        <v/>
      </c>
      <c r="J94" s="236">
        <f>B94+D94+E94+F94</f>
        <v/>
      </c>
      <c r="K94" s="167">
        <f>I94</f>
        <v/>
      </c>
    </row>
    <row r="95" ht="15.75" customHeight="1">
      <c r="A95" s="164" t="inlineStr">
        <is>
          <t>SACOLA G</t>
        </is>
      </c>
      <c r="B95" s="246" t="n">
        <v>70</v>
      </c>
      <c r="C95" s="166">
        <f>B95</f>
        <v/>
      </c>
      <c r="D95" s="89" t="n">
        <v>0</v>
      </c>
      <c r="E95" s="89" t="n">
        <v>0</v>
      </c>
      <c r="F95" s="165" t="n">
        <v>0</v>
      </c>
      <c r="G95" s="165" t="n">
        <v>0</v>
      </c>
      <c r="H95" s="165" t="n">
        <v>0</v>
      </c>
      <c r="I95" s="166">
        <f>D95+E95+F95+G95+H95</f>
        <v/>
      </c>
      <c r="J95" s="236">
        <f>B95+D95+E95+F95</f>
        <v/>
      </c>
      <c r="K95" s="167">
        <f>I95</f>
        <v/>
      </c>
    </row>
    <row r="96" ht="15.75" customHeight="1">
      <c r="A96" s="115" t="inlineStr">
        <is>
          <t>PAPEL DE SEDA</t>
        </is>
      </c>
      <c r="B96" s="247" t="n">
        <v>0</v>
      </c>
      <c r="C96" s="166">
        <f>B96</f>
        <v/>
      </c>
      <c r="D96" s="89" t="n">
        <v>0</v>
      </c>
      <c r="E96" s="89" t="n">
        <v>0</v>
      </c>
      <c r="F96" s="165" t="n">
        <v>0</v>
      </c>
      <c r="G96" s="165" t="n">
        <v>0</v>
      </c>
      <c r="H96" s="165" t="n">
        <v>0</v>
      </c>
      <c r="I96" s="166">
        <f>D96+E96+F96+G96+H96</f>
        <v/>
      </c>
      <c r="J96" s="236">
        <f>B96+D96+E96+F96</f>
        <v/>
      </c>
      <c r="K96" s="167">
        <f>I96</f>
        <v/>
      </c>
    </row>
    <row r="97" ht="15.75" customHeight="1">
      <c r="A97" s="115" t="inlineStr">
        <is>
          <t xml:space="preserve">TAGS </t>
        </is>
      </c>
      <c r="B97" s="247" t="n">
        <v>0</v>
      </c>
      <c r="C97" s="166">
        <f>B97</f>
        <v/>
      </c>
      <c r="D97" s="89" t="n">
        <v>0</v>
      </c>
      <c r="E97" s="89" t="n">
        <v>0</v>
      </c>
      <c r="F97" s="165" t="n">
        <v>0</v>
      </c>
      <c r="G97" s="165" t="n">
        <v>0</v>
      </c>
      <c r="H97" s="165" t="n">
        <v>0</v>
      </c>
      <c r="I97" s="166">
        <f>D97+E97+F97+G97+H97</f>
        <v/>
      </c>
      <c r="J97" s="236">
        <f>B97+D97+E97+F97</f>
        <v/>
      </c>
      <c r="K97" s="167">
        <f>I97</f>
        <v/>
      </c>
    </row>
    <row r="98" ht="15.75" customHeight="1">
      <c r="A98" s="109" t="inlineStr">
        <is>
          <t>TOTAL DE SACOLAS</t>
        </is>
      </c>
      <c r="B98" s="237">
        <f>B94+B95</f>
        <v/>
      </c>
      <c r="C98" s="110">
        <f>C94+C95</f>
        <v/>
      </c>
      <c r="D98" s="110">
        <f>D94+D95</f>
        <v/>
      </c>
      <c r="E98" s="110">
        <f>E94+E95</f>
        <v/>
      </c>
      <c r="F98" s="110">
        <f>F94+F95</f>
        <v/>
      </c>
      <c r="G98" s="110">
        <f>G94+G95</f>
        <v/>
      </c>
      <c r="H98" s="110">
        <f>H94+H95</f>
        <v/>
      </c>
      <c r="I98" s="110">
        <f>I94+I95</f>
        <v/>
      </c>
      <c r="J98" s="167">
        <f>J94+J95</f>
        <v/>
      </c>
      <c r="K98" s="167">
        <f>K94+K95</f>
        <v/>
      </c>
    </row>
    <row r="106" ht="15.75" customHeight="1"/>
  </sheetData>
  <mergeCells count="56">
    <mergeCell ref="K92:K93"/>
    <mergeCell ref="A64:K64"/>
    <mergeCell ref="A82:K82"/>
    <mergeCell ref="J38:J39"/>
    <mergeCell ref="A73:K73"/>
    <mergeCell ref="J74:J75"/>
    <mergeCell ref="C38:I38"/>
    <mergeCell ref="A1:K1"/>
    <mergeCell ref="J11:J12"/>
    <mergeCell ref="J65:J66"/>
    <mergeCell ref="A65:A66"/>
    <mergeCell ref="M2:N2"/>
    <mergeCell ref="K11:K12"/>
    <mergeCell ref="J83:J84"/>
    <mergeCell ref="A74:A75"/>
    <mergeCell ref="A56:A57"/>
    <mergeCell ref="K56:K57"/>
    <mergeCell ref="K47:K48"/>
    <mergeCell ref="J20:J21"/>
    <mergeCell ref="C83:I83"/>
    <mergeCell ref="C92:I92"/>
    <mergeCell ref="A2:A3"/>
    <mergeCell ref="A46:K46"/>
    <mergeCell ref="K2:K3"/>
    <mergeCell ref="A37:K37"/>
    <mergeCell ref="C11:I11"/>
    <mergeCell ref="C74:I74"/>
    <mergeCell ref="J56:J57"/>
    <mergeCell ref="A55:K55"/>
    <mergeCell ref="K20:K21"/>
    <mergeCell ref="J47:J48"/>
    <mergeCell ref="C20:I20"/>
    <mergeCell ref="A29:A30"/>
    <mergeCell ref="A47:A48"/>
    <mergeCell ref="A20:A21"/>
    <mergeCell ref="C29:I29"/>
    <mergeCell ref="K38:K39"/>
    <mergeCell ref="C47:I47"/>
    <mergeCell ref="C65:I65"/>
    <mergeCell ref="J2:J3"/>
    <mergeCell ref="A91:K91"/>
    <mergeCell ref="A38:A39"/>
    <mergeCell ref="C56:I56"/>
    <mergeCell ref="A92:A93"/>
    <mergeCell ref="K65:K66"/>
    <mergeCell ref="K83:K84"/>
    <mergeCell ref="A83:A84"/>
    <mergeCell ref="A19:K19"/>
    <mergeCell ref="K74:K75"/>
    <mergeCell ref="A10:K10"/>
    <mergeCell ref="A28:K28"/>
    <mergeCell ref="C2:I2"/>
    <mergeCell ref="J29:J30"/>
    <mergeCell ref="J92:J93"/>
    <mergeCell ref="K29:K30"/>
    <mergeCell ref="A11:A12"/>
  </mergeCells>
  <pageMargins left="0.511811024" right="0.511811024" top="0.787401575" bottom="0.787401575" header="0.31496062" footer="0.31496062"/>
  <pageSetup orientation="portrait" paperSize="9"/>
</worksheet>
</file>

<file path=xl/worksheets/sheet35.xml><?xml version="1.0" encoding="utf-8"?>
<worksheet xmlns="http://schemas.openxmlformats.org/spreadsheetml/2006/main">
  <sheetPr codeName="Planilha19">
    <tabColor theme="9" tint="-0.499984740745262"/>
    <outlinePr summaryBelow="1" summaryRight="1"/>
    <pageSetUpPr/>
  </sheetPr>
  <dimension ref="A1:K87"/>
  <sheetViews>
    <sheetView zoomScale="85" zoomScaleNormal="85" workbookViewId="0">
      <selection activeCell="M23" sqref="M23"/>
    </sheetView>
  </sheetViews>
  <sheetFormatPr baseColWidth="8" defaultRowHeight="15"/>
  <cols>
    <col width="32.85546875" customWidth="1" min="1" max="1"/>
    <col width="9.5703125" customWidth="1" min="2" max="3"/>
    <col width="9.7109375" bestFit="1" customWidth="1" min="4" max="4"/>
    <col width="9.28515625" customWidth="1" min="7" max="7"/>
    <col width="11.85546875" customWidth="1" min="10" max="10"/>
  </cols>
  <sheetData>
    <row r="1" ht="18" customHeight="1">
      <c r="A1" s="706" t="inlineStr">
        <is>
          <t>GASTO DE SACOLAS E ITENS DOADOS PAIS/2025 - MENSAIS</t>
        </is>
      </c>
      <c r="B1" s="707" t="n"/>
      <c r="C1" s="707" t="n"/>
      <c r="D1" s="707" t="n"/>
      <c r="E1" s="707" t="n"/>
      <c r="F1" s="707" t="n"/>
      <c r="G1" s="707" t="n"/>
      <c r="H1" s="707" t="n"/>
      <c r="I1" s="707" t="n"/>
      <c r="J1" s="707" t="n"/>
      <c r="K1" s="708" t="n"/>
    </row>
    <row r="2" ht="18" customHeight="1">
      <c r="A2" s="522" t="inlineStr">
        <is>
          <t>JAÚ CENTRO</t>
        </is>
      </c>
      <c r="B2" s="709" t="inlineStr">
        <is>
          <t>JULHO</t>
        </is>
      </c>
      <c r="C2" s="625" t="n"/>
      <c r="D2" s="641" t="n"/>
      <c r="E2" s="709" t="inlineStr">
        <is>
          <t>AGOSTO</t>
        </is>
      </c>
      <c r="F2" s="625" t="n"/>
      <c r="G2" s="625" t="n"/>
      <c r="H2" s="625" t="n"/>
      <c r="I2" s="641" t="n"/>
      <c r="J2" s="527" t="inlineStr">
        <is>
          <t>USOU ATÉ PAIS</t>
        </is>
      </c>
      <c r="K2" s="529" t="inlineStr">
        <is>
          <t>TOTAL GERAL</t>
        </is>
      </c>
    </row>
    <row r="3" ht="15.75" customHeight="1">
      <c r="A3" s="710" t="n"/>
      <c r="B3" s="170" t="n">
        <v>45859</v>
      </c>
      <c r="C3" s="170" t="n">
        <v>45866</v>
      </c>
      <c r="D3" s="171" t="inlineStr">
        <is>
          <t>USOU</t>
        </is>
      </c>
      <c r="E3" s="170" t="n">
        <v>45873</v>
      </c>
      <c r="F3" s="172" t="n">
        <v>45880</v>
      </c>
      <c r="G3" s="172" t="n">
        <v>45887</v>
      </c>
      <c r="H3" s="170" t="n">
        <v>45894</v>
      </c>
      <c r="I3" s="173" t="inlineStr">
        <is>
          <t>USOU</t>
        </is>
      </c>
      <c r="J3" s="711" t="n"/>
      <c r="K3" s="712" t="n"/>
    </row>
    <row r="4" ht="15.75" customHeight="1">
      <c r="A4" s="164" t="inlineStr">
        <is>
          <t>SACOLA M</t>
        </is>
      </c>
      <c r="B4" s="89" t="n">
        <v>300</v>
      </c>
      <c r="C4" s="89" t="n">
        <v>40</v>
      </c>
      <c r="D4" s="166">
        <f>B4+C4</f>
        <v/>
      </c>
      <c r="E4" s="89" t="n">
        <v>60</v>
      </c>
      <c r="F4" s="89" t="n">
        <v>0</v>
      </c>
      <c r="G4" s="89" t="n">
        <v>0</v>
      </c>
      <c r="H4" s="89" t="n">
        <v>0</v>
      </c>
      <c r="I4" s="166">
        <f>E4+F4+G4+H4</f>
        <v/>
      </c>
      <c r="J4" s="174">
        <f>E4+F4</f>
        <v/>
      </c>
      <c r="K4" s="175">
        <f>D4+I4</f>
        <v/>
      </c>
    </row>
    <row r="5" ht="15.75" customHeight="1">
      <c r="A5" s="115" t="inlineStr">
        <is>
          <t xml:space="preserve">PAPEL DE SEDA </t>
        </is>
      </c>
      <c r="B5" s="89" t="n">
        <v>400</v>
      </c>
      <c r="C5" s="89" t="n">
        <v>0</v>
      </c>
      <c r="D5" s="166">
        <f>B5+C5</f>
        <v/>
      </c>
      <c r="E5" s="89" t="n">
        <v>200</v>
      </c>
      <c r="F5" s="89" t="n">
        <v>0</v>
      </c>
      <c r="G5" s="89" t="n">
        <v>0</v>
      </c>
      <c r="H5" s="89" t="n">
        <v>0</v>
      </c>
      <c r="I5" s="166">
        <f>E5+F5+G5+H5</f>
        <v/>
      </c>
      <c r="J5" s="174">
        <f>E5+F5</f>
        <v/>
      </c>
      <c r="K5" s="175">
        <f>D5+I5</f>
        <v/>
      </c>
    </row>
    <row r="6" ht="15.75" customHeight="1">
      <c r="A6" s="115" t="inlineStr">
        <is>
          <t xml:space="preserve">TAGS </t>
        </is>
      </c>
      <c r="B6" s="89" t="n">
        <v>101</v>
      </c>
      <c r="C6" s="89" t="n">
        <v>0</v>
      </c>
      <c r="D6" s="166">
        <f>B6+C6</f>
        <v/>
      </c>
      <c r="E6" s="89" t="n">
        <v>0</v>
      </c>
      <c r="F6" s="89" t="n">
        <v>364</v>
      </c>
      <c r="G6" s="89" t="n">
        <v>0</v>
      </c>
      <c r="H6" s="89" t="n">
        <v>0</v>
      </c>
      <c r="I6" s="166">
        <f>E6+F6+G6+H6</f>
        <v/>
      </c>
      <c r="J6" s="174">
        <f>E6+F6</f>
        <v/>
      </c>
      <c r="K6" s="175">
        <f>D6+I6</f>
        <v/>
      </c>
    </row>
    <row r="7" ht="15.75" customHeight="1">
      <c r="A7" s="109" t="inlineStr">
        <is>
          <t>TOTAL DE SACOLAS</t>
        </is>
      </c>
      <c r="B7" s="110">
        <f>B4</f>
        <v/>
      </c>
      <c r="C7" s="110">
        <f>C4</f>
        <v/>
      </c>
      <c r="D7" s="110">
        <f>D4</f>
        <v/>
      </c>
      <c r="E7" s="110">
        <f>E4</f>
        <v/>
      </c>
      <c r="F7" s="110">
        <f>F4</f>
        <v/>
      </c>
      <c r="G7" s="110">
        <f>G4</f>
        <v/>
      </c>
      <c r="H7" s="110">
        <f>H4</f>
        <v/>
      </c>
      <c r="I7" s="110">
        <f>I4</f>
        <v/>
      </c>
      <c r="J7" s="176">
        <f>J4</f>
        <v/>
      </c>
      <c r="K7" s="177">
        <f>D4+I4</f>
        <v/>
      </c>
    </row>
    <row r="9" ht="18" customHeight="1">
      <c r="A9" s="706" t="inlineStr">
        <is>
          <t>GASTO DE SACOLAS E ITENS DOADOS PAIS/2025 - MENSAIS</t>
        </is>
      </c>
      <c r="B9" s="707" t="n"/>
      <c r="C9" s="707" t="n"/>
      <c r="D9" s="707" t="n"/>
      <c r="E9" s="707" t="n"/>
      <c r="F9" s="707" t="n"/>
      <c r="G9" s="707" t="n"/>
      <c r="H9" s="707" t="n"/>
      <c r="I9" s="707" t="n"/>
      <c r="J9" s="707" t="n"/>
      <c r="K9" s="708" t="n"/>
    </row>
    <row r="10" ht="20.25" customHeight="1">
      <c r="A10" s="522" t="inlineStr">
        <is>
          <t>JARDIM</t>
        </is>
      </c>
      <c r="B10" s="709" t="inlineStr">
        <is>
          <t>JULHO</t>
        </is>
      </c>
      <c r="C10" s="625" t="n"/>
      <c r="D10" s="641" t="n"/>
      <c r="E10" s="709" t="inlineStr">
        <is>
          <t>AGOSTO</t>
        </is>
      </c>
      <c r="F10" s="625" t="n"/>
      <c r="G10" s="625" t="n"/>
      <c r="H10" s="625" t="n"/>
      <c r="I10" s="641" t="n"/>
      <c r="J10" s="527" t="inlineStr">
        <is>
          <t>USOU ATÉ PAIS</t>
        </is>
      </c>
      <c r="K10" s="529" t="inlineStr">
        <is>
          <t>TOTAL GERAL</t>
        </is>
      </c>
    </row>
    <row r="11" ht="15.75" customHeight="1">
      <c r="A11" s="710" t="n"/>
      <c r="B11" s="170" t="n">
        <v>45859</v>
      </c>
      <c r="C11" s="170" t="n">
        <v>45866</v>
      </c>
      <c r="D11" s="171" t="inlineStr">
        <is>
          <t>USOU</t>
        </is>
      </c>
      <c r="E11" s="170" t="n">
        <v>45873</v>
      </c>
      <c r="F11" s="172" t="n">
        <v>45880</v>
      </c>
      <c r="G11" s="172" t="n">
        <v>45887</v>
      </c>
      <c r="H11" s="170" t="n">
        <v>45894</v>
      </c>
      <c r="I11" s="173" t="inlineStr">
        <is>
          <t>USOU</t>
        </is>
      </c>
      <c r="J11" s="711" t="n"/>
      <c r="K11" s="712" t="n"/>
    </row>
    <row r="12" ht="15.75" customHeight="1">
      <c r="A12" s="164" t="inlineStr">
        <is>
          <t>SACOLA M</t>
        </is>
      </c>
      <c r="B12" s="89" t="n">
        <v>140</v>
      </c>
      <c r="C12" s="89" t="n">
        <v>20</v>
      </c>
      <c r="D12" s="166">
        <f>B12+C12</f>
        <v/>
      </c>
      <c r="E12" s="89" t="n">
        <v>100</v>
      </c>
      <c r="F12" s="89" t="n">
        <v>140</v>
      </c>
      <c r="G12" s="89" t="n">
        <v>0</v>
      </c>
      <c r="H12" s="89" t="n">
        <v>0</v>
      </c>
      <c r="I12" s="166">
        <f>E12+F12+G12+H12</f>
        <v/>
      </c>
      <c r="J12" s="174">
        <f>E12+F12</f>
        <v/>
      </c>
      <c r="K12" s="175">
        <f>D12+I12</f>
        <v/>
      </c>
    </row>
    <row r="13" ht="15.75" customHeight="1">
      <c r="A13" s="115" t="inlineStr">
        <is>
          <t xml:space="preserve">PAPEL DE SEDA </t>
        </is>
      </c>
      <c r="B13" s="89" t="n">
        <v>0</v>
      </c>
      <c r="C13" s="89" t="n">
        <v>0</v>
      </c>
      <c r="D13" s="166">
        <f>B13+C13</f>
        <v/>
      </c>
      <c r="E13" s="89" t="n">
        <v>0</v>
      </c>
      <c r="F13" s="89" t="n">
        <v>600</v>
      </c>
      <c r="G13" s="89" t="n">
        <v>0</v>
      </c>
      <c r="H13" s="89" t="n">
        <v>0</v>
      </c>
      <c r="I13" s="166">
        <f>E13+F13+G13+H13</f>
        <v/>
      </c>
      <c r="J13" s="174">
        <f>E13+F13</f>
        <v/>
      </c>
      <c r="K13" s="175">
        <f>D13+I13</f>
        <v/>
      </c>
    </row>
    <row r="14" ht="15.75" customHeight="1">
      <c r="A14" s="115" t="inlineStr">
        <is>
          <t xml:space="preserve">TAGS </t>
        </is>
      </c>
      <c r="B14" s="89" t="n">
        <v>0</v>
      </c>
      <c r="C14" s="89" t="n">
        <v>0</v>
      </c>
      <c r="D14" s="166">
        <f>B14+C14</f>
        <v/>
      </c>
      <c r="E14" s="89" t="n">
        <v>100</v>
      </c>
      <c r="F14" s="89" t="n">
        <v>200</v>
      </c>
      <c r="G14" s="89" t="n">
        <v>0</v>
      </c>
      <c r="H14" s="89" t="n">
        <v>0</v>
      </c>
      <c r="I14" s="166">
        <f>E14+F14+G14+H14</f>
        <v/>
      </c>
      <c r="J14" s="174">
        <f>E14+F14</f>
        <v/>
      </c>
      <c r="K14" s="175">
        <f>D14+I14</f>
        <v/>
      </c>
    </row>
    <row r="15" ht="15.75" customHeight="1">
      <c r="A15" s="109" t="inlineStr">
        <is>
          <t>TOTAL DE SACOLAS</t>
        </is>
      </c>
      <c r="B15" s="110">
        <f>B12</f>
        <v/>
      </c>
      <c r="C15" s="110">
        <f>C12</f>
        <v/>
      </c>
      <c r="D15" s="110">
        <f>D12</f>
        <v/>
      </c>
      <c r="E15" s="110">
        <f>E12</f>
        <v/>
      </c>
      <c r="F15" s="110">
        <f>F12</f>
        <v/>
      </c>
      <c r="G15" s="110">
        <f>G12</f>
        <v/>
      </c>
      <c r="H15" s="110">
        <f>H12</f>
        <v/>
      </c>
      <c r="I15" s="110">
        <f>I12</f>
        <v/>
      </c>
      <c r="J15" s="176">
        <f>J12</f>
        <v/>
      </c>
      <c r="K15" s="177">
        <f>D12+I12</f>
        <v/>
      </c>
    </row>
    <row r="17" ht="15.75" customHeight="1">
      <c r="A17" s="706" t="inlineStr">
        <is>
          <t>GASTO DE SACOLAS E ITENS DOADOS PAIS/2025 - MENSAIS</t>
        </is>
      </c>
      <c r="B17" s="707" t="n"/>
      <c r="C17" s="707" t="n"/>
      <c r="D17" s="707" t="n"/>
      <c r="E17" s="707" t="n"/>
      <c r="F17" s="707" t="n"/>
      <c r="G17" s="707" t="n"/>
      <c r="H17" s="707" t="n"/>
      <c r="I17" s="707" t="n"/>
      <c r="J17" s="707" t="n"/>
      <c r="K17" s="708" t="n"/>
    </row>
    <row r="18" ht="15.75" customHeight="1">
      <c r="A18" s="522" t="inlineStr">
        <is>
          <t>BARRA BONITA</t>
        </is>
      </c>
      <c r="B18" s="709" t="inlineStr">
        <is>
          <t>JULHO</t>
        </is>
      </c>
      <c r="C18" s="625" t="n"/>
      <c r="D18" s="641" t="n"/>
      <c r="E18" s="709" t="inlineStr">
        <is>
          <t>AGOSTO</t>
        </is>
      </c>
      <c r="F18" s="625" t="n"/>
      <c r="G18" s="625" t="n"/>
      <c r="H18" s="625" t="n"/>
      <c r="I18" s="641" t="n"/>
      <c r="J18" s="527" t="inlineStr">
        <is>
          <t>USOU ATÉ PAIS</t>
        </is>
      </c>
      <c r="K18" s="529" t="inlineStr">
        <is>
          <t>TOTAL GERAL</t>
        </is>
      </c>
    </row>
    <row r="19" ht="15.75" customHeight="1">
      <c r="A19" s="710" t="n"/>
      <c r="B19" s="170" t="n">
        <v>45859</v>
      </c>
      <c r="C19" s="170" t="n">
        <v>45866</v>
      </c>
      <c r="D19" s="171" t="inlineStr">
        <is>
          <t>USOU</t>
        </is>
      </c>
      <c r="E19" s="170" t="n">
        <v>45873</v>
      </c>
      <c r="F19" s="172" t="n">
        <v>45880</v>
      </c>
      <c r="G19" s="172" t="n">
        <v>45887</v>
      </c>
      <c r="H19" s="170" t="n">
        <v>45894</v>
      </c>
      <c r="I19" s="173" t="inlineStr">
        <is>
          <t>USOU</t>
        </is>
      </c>
      <c r="J19" s="711" t="n"/>
      <c r="K19" s="712" t="n"/>
    </row>
    <row r="20" ht="15.75" customHeight="1">
      <c r="A20" s="164" t="inlineStr">
        <is>
          <t>SACOLA M</t>
        </is>
      </c>
      <c r="B20" s="89" t="n">
        <v>0</v>
      </c>
      <c r="C20" s="89" t="n">
        <v>100</v>
      </c>
      <c r="D20" s="166">
        <f>B20+C20</f>
        <v/>
      </c>
      <c r="E20" s="89" t="n">
        <v>60</v>
      </c>
      <c r="F20" s="89" t="n">
        <v>300</v>
      </c>
      <c r="G20" s="89" t="n">
        <v>60</v>
      </c>
      <c r="H20" s="89" t="n">
        <v>80</v>
      </c>
      <c r="I20" s="166">
        <f>E20+F20+G20+H20</f>
        <v/>
      </c>
      <c r="J20" s="174">
        <f>E20+F20</f>
        <v/>
      </c>
      <c r="K20" s="175">
        <f>D20+I20</f>
        <v/>
      </c>
    </row>
    <row r="21" ht="15.75" customHeight="1">
      <c r="A21" s="115" t="inlineStr">
        <is>
          <t xml:space="preserve">PAPEL DE SEDA </t>
        </is>
      </c>
      <c r="B21" s="89" t="n">
        <v>400</v>
      </c>
      <c r="C21" s="89" t="n">
        <v>200</v>
      </c>
      <c r="D21" s="166">
        <f>B21+C21</f>
        <v/>
      </c>
      <c r="E21" s="89" t="n">
        <v>0</v>
      </c>
      <c r="F21" s="89" t="n">
        <v>400</v>
      </c>
      <c r="G21" s="89" t="n">
        <v>0</v>
      </c>
      <c r="H21" s="89" t="n">
        <v>0</v>
      </c>
      <c r="I21" s="166">
        <f>E21+F21+G21+H21</f>
        <v/>
      </c>
      <c r="J21" s="174">
        <f>E21+F21</f>
        <v/>
      </c>
      <c r="K21" s="175">
        <f>D21+I21</f>
        <v/>
      </c>
    </row>
    <row r="22" ht="15.75" customHeight="1">
      <c r="A22" s="115" t="inlineStr">
        <is>
          <t xml:space="preserve">TAGS </t>
        </is>
      </c>
      <c r="B22" s="89" t="n">
        <v>0</v>
      </c>
      <c r="C22" s="89" t="n">
        <v>0</v>
      </c>
      <c r="D22" s="166">
        <f>B22+C22</f>
        <v/>
      </c>
      <c r="E22" s="89" t="n">
        <v>300</v>
      </c>
      <c r="F22" s="89" t="n">
        <v>0</v>
      </c>
      <c r="G22" s="89" t="n">
        <v>0</v>
      </c>
      <c r="H22" s="89" t="n">
        <v>0</v>
      </c>
      <c r="I22" s="166">
        <f>E22+F22+G22+H22</f>
        <v/>
      </c>
      <c r="J22" s="174">
        <f>E22+F22</f>
        <v/>
      </c>
      <c r="K22" s="175">
        <f>D22+I22</f>
        <v/>
      </c>
    </row>
    <row r="23" ht="15.75" customHeight="1">
      <c r="A23" s="109" t="inlineStr">
        <is>
          <t>TOTAL DE SACOLAS</t>
        </is>
      </c>
      <c r="B23" s="110">
        <f>B20</f>
        <v/>
      </c>
      <c r="C23" s="110">
        <f>C20</f>
        <v/>
      </c>
      <c r="D23" s="110">
        <f>D20</f>
        <v/>
      </c>
      <c r="E23" s="110">
        <f>E20</f>
        <v/>
      </c>
      <c r="F23" s="110">
        <f>F20</f>
        <v/>
      </c>
      <c r="G23" s="110">
        <f>G20</f>
        <v/>
      </c>
      <c r="H23" s="110">
        <f>H20</f>
        <v/>
      </c>
      <c r="I23" s="110">
        <f>I20</f>
        <v/>
      </c>
      <c r="J23" s="176">
        <f>J20</f>
        <v/>
      </c>
      <c r="K23" s="177">
        <f>D20+I20</f>
        <v/>
      </c>
    </row>
    <row r="25" ht="15.75" customHeight="1">
      <c r="A25" s="706" t="inlineStr">
        <is>
          <t>GASTO DE SACOLAS E ITENS DOADOS PAIS/2025 - MENSAIS</t>
        </is>
      </c>
      <c r="B25" s="707" t="n"/>
      <c r="C25" s="707" t="n"/>
      <c r="D25" s="707" t="n"/>
      <c r="E25" s="707" t="n"/>
      <c r="F25" s="707" t="n"/>
      <c r="G25" s="707" t="n"/>
      <c r="H25" s="707" t="n"/>
      <c r="I25" s="707" t="n"/>
      <c r="J25" s="707" t="n"/>
      <c r="K25" s="708" t="n"/>
    </row>
    <row r="26" ht="15.75" customHeight="1">
      <c r="A26" s="522" t="inlineStr">
        <is>
          <t>SÃO MANUEL</t>
        </is>
      </c>
      <c r="B26" s="709" t="inlineStr">
        <is>
          <t>JULHO</t>
        </is>
      </c>
      <c r="C26" s="625" t="n"/>
      <c r="D26" s="641" t="n"/>
      <c r="E26" s="709" t="inlineStr">
        <is>
          <t>AGOSTO</t>
        </is>
      </c>
      <c r="F26" s="625" t="n"/>
      <c r="G26" s="625" t="n"/>
      <c r="H26" s="625" t="n"/>
      <c r="I26" s="641" t="n"/>
      <c r="J26" s="527" t="inlineStr">
        <is>
          <t>USOU ATÉ PAIS</t>
        </is>
      </c>
      <c r="K26" s="529" t="inlineStr">
        <is>
          <t>TOTAL GERAL</t>
        </is>
      </c>
    </row>
    <row r="27" ht="15.75" customHeight="1">
      <c r="A27" s="710" t="n"/>
      <c r="B27" s="170" t="n">
        <v>45859</v>
      </c>
      <c r="C27" s="170" t="n">
        <v>45866</v>
      </c>
      <c r="D27" s="171" t="inlineStr">
        <is>
          <t>USOU</t>
        </is>
      </c>
      <c r="E27" s="170" t="n">
        <v>45873</v>
      </c>
      <c r="F27" s="172" t="n">
        <v>45880</v>
      </c>
      <c r="G27" s="172" t="n">
        <v>45887</v>
      </c>
      <c r="H27" s="170" t="n">
        <v>45894</v>
      </c>
      <c r="I27" s="173" t="inlineStr">
        <is>
          <t>USOU</t>
        </is>
      </c>
      <c r="J27" s="711" t="n"/>
      <c r="K27" s="712" t="n"/>
    </row>
    <row r="28" ht="15.75" customHeight="1">
      <c r="A28" s="164" t="inlineStr">
        <is>
          <t>SACOLA M</t>
        </is>
      </c>
      <c r="B28" s="89" t="n">
        <v>65</v>
      </c>
      <c r="C28" s="89" t="n">
        <v>30</v>
      </c>
      <c r="D28" s="166">
        <f>B28+C28</f>
        <v/>
      </c>
      <c r="E28" s="89" t="n">
        <v>105</v>
      </c>
      <c r="F28" s="89" t="n">
        <v>170</v>
      </c>
      <c r="G28" s="89" t="n">
        <v>30</v>
      </c>
      <c r="H28" s="89" t="n">
        <v>0</v>
      </c>
      <c r="I28" s="166">
        <f>E28+F28+G28+H28</f>
        <v/>
      </c>
      <c r="J28" s="174">
        <f>E28+F28</f>
        <v/>
      </c>
      <c r="K28" s="175">
        <f>D28+I28</f>
        <v/>
      </c>
    </row>
    <row r="29" ht="15.75" customHeight="1">
      <c r="A29" s="115" t="inlineStr">
        <is>
          <t xml:space="preserve">PAPEL DE SEDA </t>
        </is>
      </c>
      <c r="B29" s="89" t="n">
        <v>0</v>
      </c>
      <c r="C29" s="89" t="n">
        <v>400</v>
      </c>
      <c r="D29" s="166">
        <f>B29+C29</f>
        <v/>
      </c>
      <c r="E29" s="89" t="n">
        <v>200</v>
      </c>
      <c r="F29" s="89" t="n">
        <v>200</v>
      </c>
      <c r="G29" s="89" t="n">
        <v>200</v>
      </c>
      <c r="H29" s="89" t="n">
        <v>0</v>
      </c>
      <c r="I29" s="166">
        <f>E29+F29+G29+H29</f>
        <v/>
      </c>
      <c r="J29" s="174">
        <f>E29+F29</f>
        <v/>
      </c>
      <c r="K29" s="175">
        <f>D29+I29</f>
        <v/>
      </c>
    </row>
    <row r="30" ht="15.75" customHeight="1">
      <c r="A30" s="115" t="inlineStr">
        <is>
          <t xml:space="preserve">TAGS </t>
        </is>
      </c>
      <c r="B30" s="89" t="n">
        <v>0</v>
      </c>
      <c r="C30" s="89" t="n">
        <v>0</v>
      </c>
      <c r="D30" s="166">
        <f>B30+C30</f>
        <v/>
      </c>
      <c r="E30" s="89" t="n">
        <v>300</v>
      </c>
      <c r="F30" s="89" t="n">
        <v>0</v>
      </c>
      <c r="G30" s="89" t="n">
        <v>0</v>
      </c>
      <c r="H30" s="89" t="n">
        <v>0</v>
      </c>
      <c r="I30" s="166">
        <f>E30+F30+G30+H30</f>
        <v/>
      </c>
      <c r="J30" s="174">
        <f>E30+F30</f>
        <v/>
      </c>
      <c r="K30" s="175">
        <f>D30+I30</f>
        <v/>
      </c>
    </row>
    <row r="31" ht="15.75" customHeight="1">
      <c r="A31" s="109" t="inlineStr">
        <is>
          <t>TOTAL DE SACOLAS</t>
        </is>
      </c>
      <c r="B31" s="110">
        <f>B28</f>
        <v/>
      </c>
      <c r="C31" s="110">
        <f>C28</f>
        <v/>
      </c>
      <c r="D31" s="110">
        <f>D28</f>
        <v/>
      </c>
      <c r="E31" s="110">
        <f>E28</f>
        <v/>
      </c>
      <c r="F31" s="110">
        <f>F28</f>
        <v/>
      </c>
      <c r="G31" s="110">
        <f>G28</f>
        <v/>
      </c>
      <c r="H31" s="110">
        <f>H28</f>
        <v/>
      </c>
      <c r="I31" s="110">
        <f>I28</f>
        <v/>
      </c>
      <c r="J31" s="176">
        <f>J28</f>
        <v/>
      </c>
      <c r="K31" s="177">
        <f>D28+I28</f>
        <v/>
      </c>
    </row>
    <row r="33" ht="15.75" customHeight="1">
      <c r="A33" s="706" t="inlineStr">
        <is>
          <t>GASTO DE SACOLAS E ITENS DOADOS PAIS/2025 - MENSAIS</t>
        </is>
      </c>
      <c r="B33" s="707" t="n"/>
      <c r="C33" s="707" t="n"/>
      <c r="D33" s="707" t="n"/>
      <c r="E33" s="707" t="n"/>
      <c r="F33" s="707" t="n"/>
      <c r="G33" s="707" t="n"/>
      <c r="H33" s="707" t="n"/>
      <c r="I33" s="707" t="n"/>
      <c r="J33" s="707" t="n"/>
      <c r="K33" s="708" t="n"/>
    </row>
    <row r="34" ht="15.75" customHeight="1">
      <c r="A34" s="522" t="inlineStr">
        <is>
          <t>JAÚ SHOPPING</t>
        </is>
      </c>
      <c r="B34" s="709" t="inlineStr">
        <is>
          <t>JULHO</t>
        </is>
      </c>
      <c r="C34" s="625" t="n"/>
      <c r="D34" s="641" t="n"/>
      <c r="E34" s="709" t="inlineStr">
        <is>
          <t>AGOSTO</t>
        </is>
      </c>
      <c r="F34" s="625" t="n"/>
      <c r="G34" s="625" t="n"/>
      <c r="H34" s="625" t="n"/>
      <c r="I34" s="641" t="n"/>
      <c r="J34" s="527" t="inlineStr">
        <is>
          <t>USOU ATÉ PAIS</t>
        </is>
      </c>
      <c r="K34" s="529" t="inlineStr">
        <is>
          <t>TOTAL GERAL</t>
        </is>
      </c>
    </row>
    <row r="35" ht="15.75" customHeight="1">
      <c r="A35" s="710" t="n"/>
      <c r="B35" s="170" t="n">
        <v>45859</v>
      </c>
      <c r="C35" s="170" t="n">
        <v>45866</v>
      </c>
      <c r="D35" s="171" t="inlineStr">
        <is>
          <t>USOU</t>
        </is>
      </c>
      <c r="E35" s="170" t="n">
        <v>45873</v>
      </c>
      <c r="F35" s="172" t="n">
        <v>45880</v>
      </c>
      <c r="G35" s="172" t="n">
        <v>45887</v>
      </c>
      <c r="H35" s="170" t="n">
        <v>45894</v>
      </c>
      <c r="I35" s="173" t="inlineStr">
        <is>
          <t>USOU</t>
        </is>
      </c>
      <c r="J35" s="711" t="n"/>
      <c r="K35" s="712" t="n"/>
    </row>
    <row r="36" ht="15.75" customHeight="1">
      <c r="A36" s="164" t="inlineStr">
        <is>
          <t>SACOLA M</t>
        </is>
      </c>
      <c r="B36" s="89" t="n">
        <v>5</v>
      </c>
      <c r="C36" s="89" t="n">
        <v>195</v>
      </c>
      <c r="D36" s="166">
        <f>B36+C36</f>
        <v/>
      </c>
      <c r="E36" s="89" t="n">
        <v>141</v>
      </c>
      <c r="F36" s="89" t="n">
        <v>454</v>
      </c>
      <c r="G36" s="89" t="n">
        <v>0</v>
      </c>
      <c r="H36" s="89" t="n">
        <v>0</v>
      </c>
      <c r="I36" s="166">
        <f>E36+F36+G36+H36</f>
        <v/>
      </c>
      <c r="J36" s="174">
        <f>E36+F36</f>
        <v/>
      </c>
      <c r="K36" s="175">
        <f>D36+I36</f>
        <v/>
      </c>
    </row>
    <row r="37" ht="15.75" customHeight="1">
      <c r="A37" s="115" t="inlineStr">
        <is>
          <t xml:space="preserve">PAPEL DE SEDA </t>
        </is>
      </c>
      <c r="B37" s="89" t="n">
        <v>400</v>
      </c>
      <c r="C37" s="89" t="n">
        <v>0</v>
      </c>
      <c r="D37" s="166">
        <f>B37+C37</f>
        <v/>
      </c>
      <c r="E37" s="89" t="n">
        <v>200</v>
      </c>
      <c r="F37" s="89" t="n">
        <v>0</v>
      </c>
      <c r="G37" s="89" t="n">
        <v>0</v>
      </c>
      <c r="H37" s="89" t="n">
        <v>0</v>
      </c>
      <c r="I37" s="166">
        <f>E37+F37+G37+H37</f>
        <v/>
      </c>
      <c r="J37" s="174">
        <f>E37+F37</f>
        <v/>
      </c>
      <c r="K37" s="175">
        <f>D37+I37</f>
        <v/>
      </c>
    </row>
    <row r="38" ht="15.75" customHeight="1">
      <c r="A38" s="115" t="inlineStr">
        <is>
          <t xml:space="preserve">TAGS </t>
        </is>
      </c>
      <c r="B38" s="89" t="n">
        <v>0</v>
      </c>
      <c r="C38" s="89" t="n">
        <v>300</v>
      </c>
      <c r="D38" s="166">
        <f>B38+C38</f>
        <v/>
      </c>
      <c r="E38" s="89" t="n">
        <v>0</v>
      </c>
      <c r="F38" s="89" t="n">
        <v>0</v>
      </c>
      <c r="G38" s="89" t="n">
        <v>0</v>
      </c>
      <c r="H38" s="89" t="n">
        <v>0</v>
      </c>
      <c r="I38" s="166">
        <f>E38+F38+G38+H38</f>
        <v/>
      </c>
      <c r="J38" s="174">
        <f>E38+F38</f>
        <v/>
      </c>
      <c r="K38" s="175">
        <f>D38+I38</f>
        <v/>
      </c>
    </row>
    <row r="39" ht="15.75" customHeight="1">
      <c r="A39" s="109" t="inlineStr">
        <is>
          <t>TOTAL DE SACOLAS</t>
        </is>
      </c>
      <c r="B39" s="110">
        <f>B36</f>
        <v/>
      </c>
      <c r="C39" s="110">
        <f>C36</f>
        <v/>
      </c>
      <c r="D39" s="110">
        <f>D36</f>
        <v/>
      </c>
      <c r="E39" s="110">
        <f>E36</f>
        <v/>
      </c>
      <c r="F39" s="110">
        <f>F36</f>
        <v/>
      </c>
      <c r="G39" s="110">
        <f>G36</f>
        <v/>
      </c>
      <c r="H39" s="110">
        <f>H36</f>
        <v/>
      </c>
      <c r="I39" s="110">
        <f>I36</f>
        <v/>
      </c>
      <c r="J39" s="176">
        <f>J36</f>
        <v/>
      </c>
      <c r="K39" s="177">
        <f>D36+I36</f>
        <v/>
      </c>
    </row>
    <row r="41" ht="15.75" customHeight="1">
      <c r="A41" s="706" t="inlineStr">
        <is>
          <t>GASTO DE SACOLAS E ITENS DOADOS PAIS/2025 - MENSAIS</t>
        </is>
      </c>
      <c r="B41" s="707" t="n"/>
      <c r="C41" s="707" t="n"/>
      <c r="D41" s="707" t="n"/>
      <c r="E41" s="707" t="n"/>
      <c r="F41" s="707" t="n"/>
      <c r="G41" s="707" t="n"/>
      <c r="H41" s="707" t="n"/>
      <c r="I41" s="707" t="n"/>
      <c r="J41" s="707" t="n"/>
      <c r="K41" s="708" t="n"/>
    </row>
    <row r="42" ht="15.75" customHeight="1">
      <c r="A42" s="522" t="inlineStr">
        <is>
          <t>CONFIANÇA</t>
        </is>
      </c>
      <c r="B42" s="709" t="inlineStr">
        <is>
          <t>JULHO</t>
        </is>
      </c>
      <c r="C42" s="625" t="n"/>
      <c r="D42" s="641" t="n"/>
      <c r="E42" s="709" t="inlineStr">
        <is>
          <t>AGOSTO</t>
        </is>
      </c>
      <c r="F42" s="625" t="n"/>
      <c r="G42" s="625" t="n"/>
      <c r="H42" s="625" t="n"/>
      <c r="I42" s="641" t="n"/>
      <c r="J42" s="527" t="inlineStr">
        <is>
          <t>USOU ATÉ PAIS</t>
        </is>
      </c>
      <c r="K42" s="529" t="inlineStr">
        <is>
          <t>TOTAL GERAL</t>
        </is>
      </c>
    </row>
    <row r="43" ht="15.75" customHeight="1">
      <c r="A43" s="710" t="n"/>
      <c r="B43" s="170" t="n">
        <v>45859</v>
      </c>
      <c r="C43" s="170" t="n">
        <v>45866</v>
      </c>
      <c r="D43" s="171" t="inlineStr">
        <is>
          <t>USOU</t>
        </is>
      </c>
      <c r="E43" s="170" t="n">
        <v>45873</v>
      </c>
      <c r="F43" s="172" t="n">
        <v>45880</v>
      </c>
      <c r="G43" s="172" t="n">
        <v>45887</v>
      </c>
      <c r="H43" s="170" t="n">
        <v>45894</v>
      </c>
      <c r="I43" s="173" t="inlineStr">
        <is>
          <t>USOU</t>
        </is>
      </c>
      <c r="J43" s="711" t="n"/>
      <c r="K43" s="712" t="n"/>
    </row>
    <row r="44" ht="15.75" customHeight="1">
      <c r="A44" s="164" t="inlineStr">
        <is>
          <t>SACOLA M</t>
        </is>
      </c>
      <c r="B44" s="89" t="n">
        <v>60</v>
      </c>
      <c r="C44" s="89" t="n">
        <v>100</v>
      </c>
      <c r="D44" s="166">
        <f>B44+C44</f>
        <v/>
      </c>
      <c r="E44" s="89" t="n">
        <v>0</v>
      </c>
      <c r="F44" s="89" t="n">
        <v>40</v>
      </c>
      <c r="G44" s="89" t="n">
        <v>0</v>
      </c>
      <c r="H44" s="89" t="n">
        <v>0</v>
      </c>
      <c r="I44" s="166">
        <f>E44+F44+G44+H44</f>
        <v/>
      </c>
      <c r="J44" s="174">
        <f>E44+F44</f>
        <v/>
      </c>
      <c r="K44" s="175">
        <f>D44+I44</f>
        <v/>
      </c>
    </row>
    <row r="45" ht="15.75" customHeight="1">
      <c r="A45" s="115" t="inlineStr">
        <is>
          <t xml:space="preserve">PAPEL DE SEDA </t>
        </is>
      </c>
      <c r="B45" s="89" t="n">
        <v>200</v>
      </c>
      <c r="C45" s="89" t="n">
        <v>0</v>
      </c>
      <c r="D45" s="166">
        <f>B45+C45</f>
        <v/>
      </c>
      <c r="E45" s="89" t="n">
        <v>200</v>
      </c>
      <c r="F45" s="89" t="n">
        <v>200</v>
      </c>
      <c r="G45" s="89" t="n">
        <v>0</v>
      </c>
      <c r="H45" s="89" t="n">
        <v>0</v>
      </c>
      <c r="I45" s="166">
        <f>E45+F45+G45+H45</f>
        <v/>
      </c>
      <c r="J45" s="174">
        <f>E45+F45</f>
        <v/>
      </c>
      <c r="K45" s="175">
        <f>D45+I45</f>
        <v/>
      </c>
    </row>
    <row r="46" ht="15.75" customHeight="1">
      <c r="A46" s="115" t="inlineStr">
        <is>
          <t xml:space="preserve">TAGS </t>
        </is>
      </c>
      <c r="B46" s="89" t="n">
        <v>0</v>
      </c>
      <c r="C46" s="89" t="n">
        <v>0</v>
      </c>
      <c r="D46" s="166">
        <f>B46+C46</f>
        <v/>
      </c>
      <c r="E46" s="89" t="n">
        <v>0</v>
      </c>
      <c r="F46" s="89" t="n">
        <v>130</v>
      </c>
      <c r="G46" s="89" t="n">
        <v>0</v>
      </c>
      <c r="H46" s="89" t="n">
        <v>0</v>
      </c>
      <c r="I46" s="166">
        <f>E46+F46+G46+H46</f>
        <v/>
      </c>
      <c r="J46" s="174">
        <f>E46+F46</f>
        <v/>
      </c>
      <c r="K46" s="175">
        <f>D46+I46</f>
        <v/>
      </c>
    </row>
    <row r="47" ht="15.75" customHeight="1">
      <c r="A47" s="109" t="inlineStr">
        <is>
          <t>TOTAL DE SACOLAS</t>
        </is>
      </c>
      <c r="B47" s="110">
        <f>B44</f>
        <v/>
      </c>
      <c r="C47" s="110">
        <f>C44</f>
        <v/>
      </c>
      <c r="D47" s="110">
        <f>D44</f>
        <v/>
      </c>
      <c r="E47" s="110">
        <f>E44</f>
        <v/>
      </c>
      <c r="F47" s="110">
        <f>F44</f>
        <v/>
      </c>
      <c r="G47" s="110">
        <f>G44</f>
        <v/>
      </c>
      <c r="H47" s="110">
        <f>H44</f>
        <v/>
      </c>
      <c r="I47" s="110">
        <f>I44</f>
        <v/>
      </c>
      <c r="J47" s="176">
        <f>J44</f>
        <v/>
      </c>
      <c r="K47" s="177">
        <f>D44+I44</f>
        <v/>
      </c>
    </row>
    <row r="49" ht="15.75" customHeight="1">
      <c r="A49" s="706" t="inlineStr">
        <is>
          <t>GASTO DE SACOLAS E ITENS DOADOS PAIS/2025 - MENSAIS</t>
        </is>
      </c>
      <c r="B49" s="707" t="n"/>
      <c r="C49" s="707" t="n"/>
      <c r="D49" s="707" t="n"/>
      <c r="E49" s="707" t="n"/>
      <c r="F49" s="707" t="n"/>
      <c r="G49" s="707" t="n"/>
      <c r="H49" s="707" t="n"/>
      <c r="I49" s="707" t="n"/>
      <c r="J49" s="707" t="n"/>
      <c r="K49" s="708" t="n"/>
    </row>
    <row r="50" ht="15.75" customHeight="1">
      <c r="A50" s="522" t="inlineStr">
        <is>
          <t>DOIS CÓRREGOS</t>
        </is>
      </c>
      <c r="B50" s="709" t="inlineStr">
        <is>
          <t>JULHO</t>
        </is>
      </c>
      <c r="C50" s="625" t="n"/>
      <c r="D50" s="641" t="n"/>
      <c r="E50" s="709" t="inlineStr">
        <is>
          <t>AGOSTO</t>
        </is>
      </c>
      <c r="F50" s="625" t="n"/>
      <c r="G50" s="625" t="n"/>
      <c r="H50" s="625" t="n"/>
      <c r="I50" s="641" t="n"/>
      <c r="J50" s="527" t="inlineStr">
        <is>
          <t>USOU ATÉ PAIS</t>
        </is>
      </c>
      <c r="K50" s="529" t="inlineStr">
        <is>
          <t>TOTAL GERAL</t>
        </is>
      </c>
    </row>
    <row r="51" ht="15.75" customHeight="1">
      <c r="A51" s="710" t="n"/>
      <c r="B51" s="170" t="n">
        <v>45859</v>
      </c>
      <c r="C51" s="170" t="n">
        <v>45866</v>
      </c>
      <c r="D51" s="171" t="inlineStr">
        <is>
          <t>USOU</t>
        </is>
      </c>
      <c r="E51" s="170" t="n">
        <v>45873</v>
      </c>
      <c r="F51" s="172" t="n">
        <v>45880</v>
      </c>
      <c r="G51" s="172" t="n">
        <v>45887</v>
      </c>
      <c r="H51" s="170" t="n">
        <v>45894</v>
      </c>
      <c r="I51" s="173" t="inlineStr">
        <is>
          <t>USOU</t>
        </is>
      </c>
      <c r="J51" s="711" t="n"/>
      <c r="K51" s="712" t="n"/>
    </row>
    <row r="52" ht="15.75" customHeight="1">
      <c r="A52" s="164" t="inlineStr">
        <is>
          <t>SACOLA M</t>
        </is>
      </c>
      <c r="B52" s="89" t="n">
        <v>0</v>
      </c>
      <c r="C52" s="89" t="n">
        <v>50</v>
      </c>
      <c r="D52" s="166">
        <f>B52+C52</f>
        <v/>
      </c>
      <c r="E52" s="89" t="n">
        <v>50</v>
      </c>
      <c r="F52" s="89" t="n">
        <v>100</v>
      </c>
      <c r="G52" s="89" t="n">
        <v>0</v>
      </c>
      <c r="H52" s="89" t="n">
        <v>0</v>
      </c>
      <c r="I52" s="166">
        <f>E52+F52+G52+H52</f>
        <v/>
      </c>
      <c r="J52" s="174">
        <f>E52+F52</f>
        <v/>
      </c>
      <c r="K52" s="175">
        <f>D52+I52</f>
        <v/>
      </c>
    </row>
    <row r="53" ht="15.75" customHeight="1">
      <c r="A53" s="115" t="inlineStr">
        <is>
          <t xml:space="preserve">PAPEL DE SEDA </t>
        </is>
      </c>
      <c r="B53" s="89" t="n">
        <v>200</v>
      </c>
      <c r="C53" s="89" t="n">
        <v>200</v>
      </c>
      <c r="D53" s="166">
        <f>B53+C53</f>
        <v/>
      </c>
      <c r="E53" s="89" t="n">
        <v>200</v>
      </c>
      <c r="F53" s="89" t="n">
        <v>0</v>
      </c>
      <c r="G53" s="89" t="n">
        <v>0</v>
      </c>
      <c r="H53" s="89" t="n">
        <v>0</v>
      </c>
      <c r="I53" s="166">
        <f>E53+F53+G53+H53</f>
        <v/>
      </c>
      <c r="J53" s="174">
        <f>E53+F53</f>
        <v/>
      </c>
      <c r="K53" s="175">
        <f>D53+I53</f>
        <v/>
      </c>
    </row>
    <row r="54" ht="15.75" customHeight="1">
      <c r="A54" s="115" t="inlineStr">
        <is>
          <t xml:space="preserve">TAGS </t>
        </is>
      </c>
      <c r="B54" s="89" t="n">
        <v>0</v>
      </c>
      <c r="C54" s="89" t="n">
        <v>0</v>
      </c>
      <c r="D54" s="166">
        <f>B54+C54</f>
        <v/>
      </c>
      <c r="E54" s="89" t="n">
        <v>50</v>
      </c>
      <c r="F54" s="89" t="n">
        <v>0</v>
      </c>
      <c r="G54" s="89" t="n">
        <v>0</v>
      </c>
      <c r="H54" s="89" t="n">
        <v>0</v>
      </c>
      <c r="I54" s="166">
        <f>E54+F54+G54+H54</f>
        <v/>
      </c>
      <c r="J54" s="174">
        <f>E54+F54</f>
        <v/>
      </c>
      <c r="K54" s="175">
        <f>D54+I54</f>
        <v/>
      </c>
    </row>
    <row r="55" ht="15.75" customHeight="1">
      <c r="A55" s="109" t="inlineStr">
        <is>
          <t>TOTAL DE SACOLAS</t>
        </is>
      </c>
      <c r="B55" s="110">
        <f>B52</f>
        <v/>
      </c>
      <c r="C55" s="110">
        <f>C52</f>
        <v/>
      </c>
      <c r="D55" s="110">
        <f>D52</f>
        <v/>
      </c>
      <c r="E55" s="110">
        <f>E52</f>
        <v/>
      </c>
      <c r="F55" s="110">
        <f>F52</f>
        <v/>
      </c>
      <c r="G55" s="110">
        <f>G52</f>
        <v/>
      </c>
      <c r="H55" s="110">
        <f>H52</f>
        <v/>
      </c>
      <c r="I55" s="110">
        <f>I52</f>
        <v/>
      </c>
      <c r="J55" s="176">
        <f>J52</f>
        <v/>
      </c>
      <c r="K55" s="177">
        <f>D52+I52</f>
        <v/>
      </c>
    </row>
    <row r="57" ht="15.75" customHeight="1">
      <c r="A57" s="706" t="inlineStr">
        <is>
          <t>GASTO DE SACOLAS E ITENS DOADOS PAIS/2025 - MENSAIS</t>
        </is>
      </c>
      <c r="B57" s="707" t="n"/>
      <c r="C57" s="707" t="n"/>
      <c r="D57" s="707" t="n"/>
      <c r="E57" s="707" t="n"/>
      <c r="F57" s="707" t="n"/>
      <c r="G57" s="707" t="n"/>
      <c r="H57" s="707" t="n"/>
      <c r="I57" s="707" t="n"/>
      <c r="J57" s="707" t="n"/>
      <c r="K57" s="708" t="n"/>
    </row>
    <row r="58" ht="15.75" customHeight="1">
      <c r="A58" s="522" t="inlineStr">
        <is>
          <t>ITIRAPINA</t>
        </is>
      </c>
      <c r="B58" s="709" t="inlineStr">
        <is>
          <t>JULHO</t>
        </is>
      </c>
      <c r="C58" s="625" t="n"/>
      <c r="D58" s="641" t="n"/>
      <c r="E58" s="709" t="inlineStr">
        <is>
          <t>AGOSTO</t>
        </is>
      </c>
      <c r="F58" s="625" t="n"/>
      <c r="G58" s="625" t="n"/>
      <c r="H58" s="625" t="n"/>
      <c r="I58" s="641" t="n"/>
      <c r="J58" s="527" t="inlineStr">
        <is>
          <t>USOU ATÉ PAIS</t>
        </is>
      </c>
      <c r="K58" s="529" t="inlineStr">
        <is>
          <t>TOTAL GERAL</t>
        </is>
      </c>
    </row>
    <row r="59" ht="15.75" customHeight="1">
      <c r="A59" s="710" t="n"/>
      <c r="B59" s="170" t="n">
        <v>45859</v>
      </c>
      <c r="C59" s="170" t="n">
        <v>45866</v>
      </c>
      <c r="D59" s="171" t="inlineStr">
        <is>
          <t>USOU</t>
        </is>
      </c>
      <c r="E59" s="170" t="n">
        <v>45873</v>
      </c>
      <c r="F59" s="172" t="n">
        <v>45880</v>
      </c>
      <c r="G59" s="172" t="n">
        <v>45887</v>
      </c>
      <c r="H59" s="170" t="n">
        <v>45894</v>
      </c>
      <c r="I59" s="173" t="inlineStr">
        <is>
          <t>USOU</t>
        </is>
      </c>
      <c r="J59" s="711" t="n"/>
      <c r="K59" s="712" t="n"/>
    </row>
    <row r="60" ht="15.75" customHeight="1">
      <c r="A60" s="164" t="inlineStr">
        <is>
          <t>SACOLA M</t>
        </is>
      </c>
      <c r="B60" s="89" t="n">
        <v>0</v>
      </c>
      <c r="C60" s="89" t="n">
        <v>40</v>
      </c>
      <c r="D60" s="166">
        <f>B60+C60</f>
        <v/>
      </c>
      <c r="E60" s="89" t="n">
        <v>20</v>
      </c>
      <c r="F60" s="89" t="n">
        <v>110</v>
      </c>
      <c r="G60" s="89" t="n">
        <v>30</v>
      </c>
      <c r="H60" s="89" t="n">
        <v>0</v>
      </c>
      <c r="I60" s="166">
        <f>E60+F60+G60+H60</f>
        <v/>
      </c>
      <c r="J60" s="174">
        <f>E60+F60</f>
        <v/>
      </c>
      <c r="K60" s="175">
        <f>D60+I60</f>
        <v/>
      </c>
    </row>
    <row r="61" ht="15.75" customHeight="1">
      <c r="A61" s="115" t="inlineStr">
        <is>
          <t xml:space="preserve">PAPEL DE SEDA </t>
        </is>
      </c>
      <c r="B61" s="89" t="n">
        <v>0</v>
      </c>
      <c r="C61" s="89" t="n">
        <v>200</v>
      </c>
      <c r="D61" s="166">
        <f>B61+C61</f>
        <v/>
      </c>
      <c r="E61" s="89" t="n">
        <v>0</v>
      </c>
      <c r="F61" s="89" t="n">
        <v>200</v>
      </c>
      <c r="G61" s="89" t="n">
        <v>0</v>
      </c>
      <c r="H61" s="89" t="n">
        <v>0</v>
      </c>
      <c r="I61" s="166">
        <f>E61+F61+G61+H61</f>
        <v/>
      </c>
      <c r="J61" s="174">
        <f>E61+F61</f>
        <v/>
      </c>
      <c r="K61" s="175">
        <f>D61+I61</f>
        <v/>
      </c>
    </row>
    <row r="62" ht="15.75" customHeight="1">
      <c r="A62" s="115" t="inlineStr">
        <is>
          <t xml:space="preserve">TAGS </t>
        </is>
      </c>
      <c r="B62" s="89" t="n">
        <v>0</v>
      </c>
      <c r="C62" s="89" t="n">
        <v>0</v>
      </c>
      <c r="D62" s="166">
        <f>B62+C62</f>
        <v/>
      </c>
      <c r="E62" s="89" t="n">
        <v>145</v>
      </c>
      <c r="F62" s="89" t="n">
        <v>0</v>
      </c>
      <c r="G62" s="89" t="n">
        <v>0</v>
      </c>
      <c r="H62" s="89" t="n">
        <v>0</v>
      </c>
      <c r="I62" s="166">
        <f>E62+F62+G62+H62</f>
        <v/>
      </c>
      <c r="J62" s="174">
        <f>E62+F62</f>
        <v/>
      </c>
      <c r="K62" s="175">
        <f>D62+I62</f>
        <v/>
      </c>
    </row>
    <row r="63" ht="15.75" customHeight="1">
      <c r="A63" s="109" t="inlineStr">
        <is>
          <t>TOTAL DE SACOLAS</t>
        </is>
      </c>
      <c r="B63" s="110">
        <f>B60</f>
        <v/>
      </c>
      <c r="C63" s="110">
        <f>C60</f>
        <v/>
      </c>
      <c r="D63" s="110">
        <f>D60</f>
        <v/>
      </c>
      <c r="E63" s="110">
        <f>E60</f>
        <v/>
      </c>
      <c r="F63" s="110">
        <f>F60</f>
        <v/>
      </c>
      <c r="G63" s="110">
        <f>G60</f>
        <v/>
      </c>
      <c r="H63" s="110">
        <f>H60</f>
        <v/>
      </c>
      <c r="I63" s="110">
        <f>I60</f>
        <v/>
      </c>
      <c r="J63" s="176">
        <f>J60</f>
        <v/>
      </c>
      <c r="K63" s="177">
        <f>D60+I60</f>
        <v/>
      </c>
    </row>
    <row r="65" ht="15.75" customHeight="1">
      <c r="A65" s="706" t="inlineStr">
        <is>
          <t>GASTO DE SACOLAS E ITENS DOADOS PAIS/2025 - MENSAIS</t>
        </is>
      </c>
      <c r="B65" s="707" t="n"/>
      <c r="C65" s="707" t="n"/>
      <c r="D65" s="707" t="n"/>
      <c r="E65" s="707" t="n"/>
      <c r="F65" s="707" t="n"/>
      <c r="G65" s="707" t="n"/>
      <c r="H65" s="707" t="n"/>
      <c r="I65" s="707" t="n"/>
      <c r="J65" s="707" t="n"/>
      <c r="K65" s="708" t="n"/>
    </row>
    <row r="66" ht="15.75" customHeight="1">
      <c r="A66" s="522" t="inlineStr">
        <is>
          <t>BROTAS</t>
        </is>
      </c>
      <c r="B66" s="709" t="inlineStr">
        <is>
          <t>JULHO</t>
        </is>
      </c>
      <c r="C66" s="625" t="n"/>
      <c r="D66" s="641" t="n"/>
      <c r="E66" s="709" t="inlineStr">
        <is>
          <t>AGOSTO</t>
        </is>
      </c>
      <c r="F66" s="625" t="n"/>
      <c r="G66" s="625" t="n"/>
      <c r="H66" s="625" t="n"/>
      <c r="I66" s="641" t="n"/>
      <c r="J66" s="527" t="inlineStr">
        <is>
          <t>USOU ATÉ PAIS</t>
        </is>
      </c>
      <c r="K66" s="529" t="inlineStr">
        <is>
          <t>TOTAL GERAL</t>
        </is>
      </c>
    </row>
    <row r="67" ht="15.75" customHeight="1">
      <c r="A67" s="710" t="n"/>
      <c r="B67" s="170" t="n">
        <v>45859</v>
      </c>
      <c r="C67" s="170" t="n">
        <v>45866</v>
      </c>
      <c r="D67" s="171" t="inlineStr">
        <is>
          <t>USOU</t>
        </is>
      </c>
      <c r="E67" s="170" t="n">
        <v>45873</v>
      </c>
      <c r="F67" s="172" t="n">
        <v>45880</v>
      </c>
      <c r="G67" s="172" t="n">
        <v>45887</v>
      </c>
      <c r="H67" s="170" t="n">
        <v>45894</v>
      </c>
      <c r="I67" s="173" t="inlineStr">
        <is>
          <t>USOU</t>
        </is>
      </c>
      <c r="J67" s="711" t="n"/>
      <c r="K67" s="712" t="n"/>
    </row>
    <row r="68" ht="15.75" customHeight="1">
      <c r="A68" s="164" t="inlineStr">
        <is>
          <t>SACOLA M</t>
        </is>
      </c>
      <c r="B68" s="89" t="n">
        <v>0</v>
      </c>
      <c r="C68" s="89" t="n">
        <v>40</v>
      </c>
      <c r="D68" s="166">
        <f>B68+C68</f>
        <v/>
      </c>
      <c r="E68" s="89" t="n">
        <v>100</v>
      </c>
      <c r="F68" s="89" t="n">
        <v>0</v>
      </c>
      <c r="G68" s="89" t="n">
        <v>60</v>
      </c>
      <c r="H68" s="89" t="n">
        <v>0</v>
      </c>
      <c r="I68" s="166">
        <f>E68+F68+G68+H68</f>
        <v/>
      </c>
      <c r="J68" s="174">
        <f>E68+F68</f>
        <v/>
      </c>
      <c r="K68" s="175">
        <f>D68+I68</f>
        <v/>
      </c>
    </row>
    <row r="69" ht="15.75" customHeight="1">
      <c r="A69" s="115" t="inlineStr">
        <is>
          <t xml:space="preserve">PAPEL DE SEDA </t>
        </is>
      </c>
      <c r="B69" s="89" t="n">
        <v>0</v>
      </c>
      <c r="C69" s="89" t="n">
        <v>200</v>
      </c>
      <c r="D69" s="166">
        <f>B69+C69</f>
        <v/>
      </c>
      <c r="E69" s="89" t="n">
        <v>200</v>
      </c>
      <c r="F69" s="89" t="n">
        <v>0</v>
      </c>
      <c r="G69" s="89" t="n">
        <v>200</v>
      </c>
      <c r="H69" s="89" t="n">
        <v>0</v>
      </c>
      <c r="I69" s="166">
        <f>E69+F69+G69+H69</f>
        <v/>
      </c>
      <c r="J69" s="174">
        <f>E69+F69</f>
        <v/>
      </c>
      <c r="K69" s="175">
        <f>D69+I69</f>
        <v/>
      </c>
    </row>
    <row r="70" ht="15.75" customHeight="1">
      <c r="A70" s="115" t="inlineStr">
        <is>
          <t xml:space="preserve">TAGS </t>
        </is>
      </c>
      <c r="B70" s="89" t="n">
        <v>0</v>
      </c>
      <c r="C70" s="89" t="n">
        <v>0</v>
      </c>
      <c r="D70" s="166">
        <f>B70+C70</f>
        <v/>
      </c>
      <c r="E70" s="89" t="n">
        <v>300</v>
      </c>
      <c r="F70" s="89" t="n">
        <v>0</v>
      </c>
      <c r="G70" s="89" t="n">
        <v>0</v>
      </c>
      <c r="H70" s="89" t="n">
        <v>0</v>
      </c>
      <c r="I70" s="166">
        <f>E70+F70+G70+H70</f>
        <v/>
      </c>
      <c r="J70" s="174">
        <f>E70+F70</f>
        <v/>
      </c>
      <c r="K70" s="175">
        <f>D70+I70</f>
        <v/>
      </c>
    </row>
    <row r="71" ht="15.75" customHeight="1">
      <c r="A71" s="109" t="inlineStr">
        <is>
          <t>TOTAL DE SACOLAS</t>
        </is>
      </c>
      <c r="B71" s="110">
        <f>B68</f>
        <v/>
      </c>
      <c r="C71" s="110">
        <f>C68</f>
        <v/>
      </c>
      <c r="D71" s="110">
        <f>D68</f>
        <v/>
      </c>
      <c r="E71" s="110">
        <f>E68</f>
        <v/>
      </c>
      <c r="F71" s="110">
        <f>F68</f>
        <v/>
      </c>
      <c r="G71" s="110">
        <f>G68</f>
        <v/>
      </c>
      <c r="H71" s="110">
        <f>H68</f>
        <v/>
      </c>
      <c r="I71" s="110">
        <f>I68</f>
        <v/>
      </c>
      <c r="J71" s="176">
        <f>J68</f>
        <v/>
      </c>
      <c r="K71" s="177">
        <f>D68+I68</f>
        <v/>
      </c>
    </row>
    <row r="73" ht="15.75" customHeight="1">
      <c r="A73" s="706" t="inlineStr">
        <is>
          <t>GASTO DE SACOLAS E ITENS DOADOS PAIS/2025 - MENSAIS</t>
        </is>
      </c>
      <c r="B73" s="707" t="n"/>
      <c r="C73" s="707" t="n"/>
      <c r="D73" s="707" t="n"/>
      <c r="E73" s="707" t="n"/>
      <c r="F73" s="707" t="n"/>
      <c r="G73" s="707" t="n"/>
      <c r="H73" s="707" t="n"/>
      <c r="I73" s="707" t="n"/>
      <c r="J73" s="707" t="n"/>
      <c r="K73" s="708" t="n"/>
    </row>
    <row r="74" ht="15.75" customHeight="1">
      <c r="A74" s="522" t="inlineStr">
        <is>
          <t>CD JAÚ</t>
        </is>
      </c>
      <c r="B74" s="709" t="inlineStr">
        <is>
          <t>JULHO</t>
        </is>
      </c>
      <c r="C74" s="625" t="n"/>
      <c r="D74" s="641" t="n"/>
      <c r="E74" s="709" t="inlineStr">
        <is>
          <t>AGOSTO</t>
        </is>
      </c>
      <c r="F74" s="625" t="n"/>
      <c r="G74" s="625" t="n"/>
      <c r="H74" s="625" t="n"/>
      <c r="I74" s="641" t="n"/>
      <c r="J74" s="527" t="inlineStr">
        <is>
          <t>USOU ATÉ PAIS</t>
        </is>
      </c>
      <c r="K74" s="529" t="inlineStr">
        <is>
          <t>TOTAL GERAL</t>
        </is>
      </c>
    </row>
    <row r="75" ht="15.75" customHeight="1">
      <c r="A75" s="710" t="n"/>
      <c r="B75" s="170" t="n">
        <v>45859</v>
      </c>
      <c r="C75" s="170" t="n">
        <v>45866</v>
      </c>
      <c r="D75" s="171" t="inlineStr">
        <is>
          <t>USOU</t>
        </is>
      </c>
      <c r="E75" s="170" t="n">
        <v>45873</v>
      </c>
      <c r="F75" s="172" t="n">
        <v>45880</v>
      </c>
      <c r="G75" s="172" t="n">
        <v>45887</v>
      </c>
      <c r="H75" s="170" t="n">
        <v>45894</v>
      </c>
      <c r="I75" s="173" t="inlineStr">
        <is>
          <t>USOU</t>
        </is>
      </c>
      <c r="J75" s="711" t="n"/>
      <c r="K75" s="712" t="n"/>
    </row>
    <row r="76" ht="15.75" customHeight="1">
      <c r="A76" s="164" t="inlineStr">
        <is>
          <t>SACOLA M</t>
        </is>
      </c>
      <c r="B76" s="89" t="n">
        <v>0</v>
      </c>
      <c r="C76" s="89" t="n">
        <v>200</v>
      </c>
      <c r="D76" s="166">
        <f>B76+C76</f>
        <v/>
      </c>
      <c r="E76" s="89" t="n">
        <v>200</v>
      </c>
      <c r="F76" s="89" t="n">
        <v>400</v>
      </c>
      <c r="G76" s="89" t="n">
        <v>0</v>
      </c>
      <c r="H76" s="89" t="n">
        <v>0</v>
      </c>
      <c r="I76" s="166">
        <f>E76+F76+G76+H76</f>
        <v/>
      </c>
      <c r="J76" s="174">
        <f>E76+F76</f>
        <v/>
      </c>
      <c r="K76" s="175">
        <f>D76+I76</f>
        <v/>
      </c>
    </row>
    <row r="77" ht="15.75" customHeight="1">
      <c r="A77" s="115" t="inlineStr">
        <is>
          <t xml:space="preserve">PAPEL DE SEDA </t>
        </is>
      </c>
      <c r="B77" s="89" t="n">
        <v>0</v>
      </c>
      <c r="C77" s="89" t="n">
        <v>0</v>
      </c>
      <c r="D77" s="166">
        <f>B77+C77</f>
        <v/>
      </c>
      <c r="E77" s="89" t="n">
        <v>0</v>
      </c>
      <c r="F77" s="89" t="n">
        <v>0</v>
      </c>
      <c r="G77" s="89" t="n">
        <v>0</v>
      </c>
      <c r="H77" s="89" t="n">
        <v>0</v>
      </c>
      <c r="I77" s="166">
        <f>E77+F77+G77+H77</f>
        <v/>
      </c>
      <c r="J77" s="174">
        <f>E77+F77</f>
        <v/>
      </c>
      <c r="K77" s="175">
        <f>D77+I77</f>
        <v/>
      </c>
    </row>
    <row r="78" ht="15.75" customHeight="1">
      <c r="A78" s="115" t="inlineStr">
        <is>
          <t xml:space="preserve">TAGS </t>
        </is>
      </c>
      <c r="B78" s="89" t="n">
        <v>0</v>
      </c>
      <c r="C78" s="89" t="n">
        <v>0</v>
      </c>
      <c r="D78" s="166">
        <f>B78+C78</f>
        <v/>
      </c>
      <c r="E78" s="89" t="n">
        <v>0</v>
      </c>
      <c r="F78" s="89" t="n">
        <v>0</v>
      </c>
      <c r="G78" s="89" t="n">
        <v>0</v>
      </c>
      <c r="H78" s="89" t="n">
        <v>0</v>
      </c>
      <c r="I78" s="166">
        <f>E78+F78+G78+H78</f>
        <v/>
      </c>
      <c r="J78" s="174">
        <f>E78+F78</f>
        <v/>
      </c>
      <c r="K78" s="175">
        <f>D78+I78</f>
        <v/>
      </c>
    </row>
    <row r="79" ht="15.75" customHeight="1">
      <c r="A79" s="109" t="inlineStr">
        <is>
          <t>TOTAL DE SACOLAS</t>
        </is>
      </c>
      <c r="B79" s="110">
        <f>B76</f>
        <v/>
      </c>
      <c r="C79" s="110">
        <f>C76</f>
        <v/>
      </c>
      <c r="D79" s="110">
        <f>D76</f>
        <v/>
      </c>
      <c r="E79" s="110">
        <f>E76</f>
        <v/>
      </c>
      <c r="F79" s="110">
        <f>F76</f>
        <v/>
      </c>
      <c r="G79" s="110">
        <f>G76</f>
        <v/>
      </c>
      <c r="H79" s="110">
        <f>H76</f>
        <v/>
      </c>
      <c r="I79" s="110">
        <f>I76</f>
        <v/>
      </c>
      <c r="J79" s="176">
        <f>J76</f>
        <v/>
      </c>
      <c r="K79" s="177">
        <f>D76+I76</f>
        <v/>
      </c>
    </row>
    <row r="81" ht="15.75" customHeight="1">
      <c r="A81" s="706" t="inlineStr">
        <is>
          <t>GASTO DE SACOLAS E ITENS DOADOS PAIS/2025 - MENSAIS</t>
        </is>
      </c>
      <c r="B81" s="707" t="n"/>
      <c r="C81" s="707" t="n"/>
      <c r="D81" s="707" t="n"/>
      <c r="E81" s="707" t="n"/>
      <c r="F81" s="707" t="n"/>
      <c r="G81" s="707" t="n"/>
      <c r="H81" s="707" t="n"/>
      <c r="I81" s="707" t="n"/>
      <c r="J81" s="707" t="n"/>
      <c r="K81" s="708" t="n"/>
    </row>
    <row r="82" ht="15.75" customHeight="1">
      <c r="A82" s="522" t="inlineStr">
        <is>
          <t>ER JAÚ</t>
        </is>
      </c>
      <c r="B82" s="709" t="inlineStr">
        <is>
          <t>JULHO</t>
        </is>
      </c>
      <c r="C82" s="625" t="n"/>
      <c r="D82" s="641" t="n"/>
      <c r="E82" s="709" t="inlineStr">
        <is>
          <t>AGOSTO</t>
        </is>
      </c>
      <c r="F82" s="625" t="n"/>
      <c r="G82" s="625" t="n"/>
      <c r="H82" s="625" t="n"/>
      <c r="I82" s="641" t="n"/>
      <c r="J82" s="527" t="inlineStr">
        <is>
          <t>USOU ATÉ PAIS</t>
        </is>
      </c>
      <c r="K82" s="529" t="inlineStr">
        <is>
          <t>TOTAL GERAL</t>
        </is>
      </c>
    </row>
    <row r="83" ht="15.75" customHeight="1">
      <c r="A83" s="710" t="n"/>
      <c r="B83" s="170" t="n">
        <v>45859</v>
      </c>
      <c r="C83" s="170" t="n">
        <v>45866</v>
      </c>
      <c r="D83" s="171" t="inlineStr">
        <is>
          <t>USOU</t>
        </is>
      </c>
      <c r="E83" s="170" t="n">
        <v>45873</v>
      </c>
      <c r="F83" s="172" t="n">
        <v>45880</v>
      </c>
      <c r="G83" s="172" t="n">
        <v>45887</v>
      </c>
      <c r="H83" s="170" t="n">
        <v>45894</v>
      </c>
      <c r="I83" s="173" t="inlineStr">
        <is>
          <t>USOU</t>
        </is>
      </c>
      <c r="J83" s="711" t="n"/>
      <c r="K83" s="712" t="n"/>
    </row>
    <row r="84" ht="15.75" customHeight="1">
      <c r="A84" s="164" t="inlineStr">
        <is>
          <t>SACOLA M</t>
        </is>
      </c>
      <c r="B84" s="89" t="n">
        <v>200</v>
      </c>
      <c r="C84" s="89" t="n">
        <v>200</v>
      </c>
      <c r="D84" s="166">
        <f>B84+C84</f>
        <v/>
      </c>
      <c r="E84" s="89" t="n">
        <v>200</v>
      </c>
      <c r="F84" s="89" t="n">
        <v>200</v>
      </c>
      <c r="G84" s="89" t="n">
        <v>0</v>
      </c>
      <c r="H84" s="89" t="n">
        <v>0</v>
      </c>
      <c r="I84" s="166">
        <f>E84+F84+G84+H84</f>
        <v/>
      </c>
      <c r="J84" s="174">
        <f>E84+F84</f>
        <v/>
      </c>
      <c r="K84" s="175">
        <f>D84+I84</f>
        <v/>
      </c>
    </row>
    <row r="85" ht="15.75" customHeight="1">
      <c r="A85" s="115" t="inlineStr">
        <is>
          <t xml:space="preserve">PAPEL DE SEDA </t>
        </is>
      </c>
      <c r="B85" s="89" t="n">
        <v>0</v>
      </c>
      <c r="C85" s="89" t="n">
        <v>0</v>
      </c>
      <c r="D85" s="166">
        <f>B85+C85</f>
        <v/>
      </c>
      <c r="E85" s="89" t="n">
        <v>0</v>
      </c>
      <c r="F85" s="89" t="n">
        <v>0</v>
      </c>
      <c r="G85" s="89" t="n">
        <v>0</v>
      </c>
      <c r="H85" s="89" t="n">
        <v>0</v>
      </c>
      <c r="I85" s="166">
        <f>E85+F85+G85+H85</f>
        <v/>
      </c>
      <c r="J85" s="174">
        <f>E85+F85</f>
        <v/>
      </c>
      <c r="K85" s="175">
        <f>D85+I85</f>
        <v/>
      </c>
    </row>
    <row r="86" ht="15.75" customHeight="1">
      <c r="A86" s="115" t="inlineStr">
        <is>
          <t xml:space="preserve">TAGS </t>
        </is>
      </c>
      <c r="B86" s="89" t="n">
        <v>0</v>
      </c>
      <c r="C86" s="89" t="n">
        <v>0</v>
      </c>
      <c r="D86" s="166">
        <f>B86+C86</f>
        <v/>
      </c>
      <c r="E86" s="89" t="n">
        <v>0</v>
      </c>
      <c r="F86" s="89" t="n">
        <v>0</v>
      </c>
      <c r="G86" s="89" t="n">
        <v>0</v>
      </c>
      <c r="H86" s="89" t="n">
        <v>0</v>
      </c>
      <c r="I86" s="166">
        <f>E86+F86+G86+H86</f>
        <v/>
      </c>
      <c r="J86" s="174">
        <f>E86+F86</f>
        <v/>
      </c>
      <c r="K86" s="175">
        <f>D86+I86</f>
        <v/>
      </c>
    </row>
    <row r="87" ht="15.75" customHeight="1">
      <c r="A87" s="109" t="inlineStr">
        <is>
          <t>TOTAL DE SACOLAS</t>
        </is>
      </c>
      <c r="B87" s="110">
        <f>B84</f>
        <v/>
      </c>
      <c r="C87" s="110">
        <f>C84</f>
        <v/>
      </c>
      <c r="D87" s="110">
        <f>D84</f>
        <v/>
      </c>
      <c r="E87" s="110">
        <f>E84</f>
        <v/>
      </c>
      <c r="F87" s="110">
        <f>F84</f>
        <v/>
      </c>
      <c r="G87" s="110">
        <f>G84</f>
        <v/>
      </c>
      <c r="H87" s="110">
        <f>H84</f>
        <v/>
      </c>
      <c r="I87" s="110">
        <f>I84</f>
        <v/>
      </c>
      <c r="J87" s="176">
        <f>J84</f>
        <v/>
      </c>
      <c r="K87" s="177">
        <f>D84+I84</f>
        <v/>
      </c>
    </row>
    <row r="94" ht="15.75" customHeight="1"/>
    <row r="106" ht="15.75" customHeight="1"/>
  </sheetData>
  <mergeCells count="66">
    <mergeCell ref="B42:D42"/>
    <mergeCell ref="J82:J83"/>
    <mergeCell ref="E50:I50"/>
    <mergeCell ref="K26:K27"/>
    <mergeCell ref="E42:I42"/>
    <mergeCell ref="J34:J35"/>
    <mergeCell ref="A73:K73"/>
    <mergeCell ref="A49:K49"/>
    <mergeCell ref="J74:J75"/>
    <mergeCell ref="B82:D82"/>
    <mergeCell ref="A50:A51"/>
    <mergeCell ref="A1:K1"/>
    <mergeCell ref="A66:A67"/>
    <mergeCell ref="K50:K51"/>
    <mergeCell ref="B34:D34"/>
    <mergeCell ref="B10:D10"/>
    <mergeCell ref="E82:I82"/>
    <mergeCell ref="A74:A75"/>
    <mergeCell ref="A26:A27"/>
    <mergeCell ref="E10:I10"/>
    <mergeCell ref="A25:K25"/>
    <mergeCell ref="A41:K41"/>
    <mergeCell ref="A65:K65"/>
    <mergeCell ref="B74:D74"/>
    <mergeCell ref="A2:A3"/>
    <mergeCell ref="A18:A19"/>
    <mergeCell ref="K82:K83"/>
    <mergeCell ref="K2:K3"/>
    <mergeCell ref="K18:K19"/>
    <mergeCell ref="E74:I74"/>
    <mergeCell ref="J26:J27"/>
    <mergeCell ref="K58:K59"/>
    <mergeCell ref="E34:I34"/>
    <mergeCell ref="J66:J67"/>
    <mergeCell ref="J18:J19"/>
    <mergeCell ref="A42:A43"/>
    <mergeCell ref="E2:I2"/>
    <mergeCell ref="B50:D50"/>
    <mergeCell ref="B26:D26"/>
    <mergeCell ref="A33:K33"/>
    <mergeCell ref="K42:K43"/>
    <mergeCell ref="J50:J51"/>
    <mergeCell ref="A57:K57"/>
    <mergeCell ref="K66:K67"/>
    <mergeCell ref="A10:A11"/>
    <mergeCell ref="E18:I18"/>
    <mergeCell ref="A17:K17"/>
    <mergeCell ref="J2:J3"/>
    <mergeCell ref="E26:I26"/>
    <mergeCell ref="K10:K11"/>
    <mergeCell ref="K34:K35"/>
    <mergeCell ref="J58:J59"/>
    <mergeCell ref="A9:K9"/>
    <mergeCell ref="B66:D66"/>
    <mergeCell ref="A34:A35"/>
    <mergeCell ref="A81:K81"/>
    <mergeCell ref="B18:D18"/>
    <mergeCell ref="J42:J43"/>
    <mergeCell ref="B58:D58"/>
    <mergeCell ref="E66:I66"/>
    <mergeCell ref="K74:K75"/>
    <mergeCell ref="A58:A59"/>
    <mergeCell ref="A82:A83"/>
    <mergeCell ref="B2:D2"/>
    <mergeCell ref="E58:I58"/>
    <mergeCell ref="J10:J11"/>
  </mergeCells>
  <pageMargins left="0.511811024" right="0.511811024" top="0.787401575" bottom="0.787401575" header="0.31496062" footer="0.31496062"/>
  <pageSetup orientation="portrait" paperSize="9"/>
</worksheet>
</file>

<file path=xl/worksheets/sheet36.xml><?xml version="1.0" encoding="utf-8"?>
<worksheet xmlns="http://schemas.openxmlformats.org/spreadsheetml/2006/main">
  <sheetPr codeName="Planilha20">
    <tabColor theme="4" tint="-0.499984740745262"/>
    <outlinePr summaryBelow="1" summaryRight="1"/>
    <pageSetUpPr/>
  </sheetPr>
  <dimension ref="A1:K87"/>
  <sheetViews>
    <sheetView topLeftCell="A10" zoomScale="85" zoomScaleNormal="85" workbookViewId="0">
      <pane xSplit="1" topLeftCell="B1" activePane="topRight" state="frozen"/>
      <selection pane="topRight" activeCell="B87" sqref="B87"/>
    </sheetView>
  </sheetViews>
  <sheetFormatPr baseColWidth="8" defaultRowHeight="15"/>
  <cols>
    <col width="32.85546875" customWidth="1" min="1" max="1"/>
    <col width="17.5703125" bestFit="1" customWidth="1" min="10" max="10"/>
    <col width="14.42578125" bestFit="1" customWidth="1" min="11" max="11"/>
  </cols>
  <sheetData>
    <row r="1" ht="18" customHeight="1">
      <c r="A1" s="713" t="inlineStr">
        <is>
          <t>GASTO DE SACOLAS E ITENS DOADOS HOMEM ARANHA/25 - MENSAIS</t>
        </is>
      </c>
      <c r="B1" s="625" t="n"/>
      <c r="C1" s="625" t="n"/>
      <c r="D1" s="625" t="n"/>
      <c r="E1" s="625" t="n"/>
      <c r="F1" s="625" t="n"/>
      <c r="G1" s="625" t="n"/>
      <c r="H1" s="625" t="n"/>
      <c r="I1" s="625" t="n"/>
      <c r="J1" s="625" t="n"/>
      <c r="K1" s="641" t="n"/>
    </row>
    <row r="2" ht="18" customHeight="1">
      <c r="A2" s="713" t="inlineStr">
        <is>
          <t>JAÚ CENTRO</t>
        </is>
      </c>
      <c r="B2" s="713" t="inlineStr">
        <is>
          <t>SETEMBRO</t>
        </is>
      </c>
      <c r="C2" s="625" t="n"/>
      <c r="D2" s="641" t="n"/>
      <c r="E2" s="713" t="inlineStr">
        <is>
          <t>OUTUBRO</t>
        </is>
      </c>
      <c r="F2" s="625" t="n"/>
      <c r="G2" s="625" t="n"/>
      <c r="H2" s="625" t="n"/>
      <c r="I2" s="641" t="n"/>
      <c r="J2" s="714" t="inlineStr">
        <is>
          <t>USOU ATÉ CRIANÇAS</t>
        </is>
      </c>
      <c r="K2" s="714" t="inlineStr">
        <is>
          <t>TOTAL GERAL</t>
        </is>
      </c>
    </row>
    <row r="3" ht="15.75" customHeight="1">
      <c r="A3" s="618" t="n"/>
      <c r="B3" s="266" t="n">
        <v>45922</v>
      </c>
      <c r="C3" s="266" t="n">
        <v>45929</v>
      </c>
      <c r="D3" s="267" t="inlineStr">
        <is>
          <t>USOU</t>
        </is>
      </c>
      <c r="E3" s="266" t="n">
        <v>45936</v>
      </c>
      <c r="F3" s="268" t="n">
        <v>45943</v>
      </c>
      <c r="G3" s="268" t="n">
        <v>45950</v>
      </c>
      <c r="H3" s="266" t="n">
        <v>45957</v>
      </c>
      <c r="I3" s="269" t="inlineStr">
        <is>
          <t>USOU</t>
        </is>
      </c>
      <c r="J3" s="618" t="n"/>
      <c r="K3" s="618" t="n"/>
    </row>
    <row r="4" ht="15.75" customHeight="1">
      <c r="A4" s="164" t="inlineStr">
        <is>
          <t>SACOLA M</t>
        </is>
      </c>
      <c r="B4" s="89" t="n">
        <v>0</v>
      </c>
      <c r="C4" s="89" t="n"/>
      <c r="D4" s="166">
        <f>B4+C4</f>
        <v/>
      </c>
      <c r="E4" s="89" t="n"/>
      <c r="F4" s="89" t="n"/>
      <c r="G4" s="89" t="n"/>
      <c r="H4" s="89" t="n"/>
      <c r="I4" s="166">
        <f>E4+F4+G4+H4</f>
        <v/>
      </c>
      <c r="J4" s="273">
        <f>B4+C4+E4+F4</f>
        <v/>
      </c>
      <c r="K4" s="270">
        <f>D4+I4</f>
        <v/>
      </c>
    </row>
    <row r="5" ht="15.75" customHeight="1">
      <c r="A5" s="164" t="inlineStr">
        <is>
          <t>PAPEL DE SEDA</t>
        </is>
      </c>
      <c r="B5" s="89" t="n">
        <v>0</v>
      </c>
      <c r="C5" s="89" t="n"/>
      <c r="D5" s="166">
        <f>B5+C5</f>
        <v/>
      </c>
      <c r="E5" s="89" t="n"/>
      <c r="F5" s="89" t="n"/>
      <c r="G5" s="89" t="n"/>
      <c r="H5" s="89" t="n"/>
      <c r="I5" s="166">
        <f>E5+F5+G5+H5</f>
        <v/>
      </c>
      <c r="J5" s="273">
        <f>B5+C5+E5+F5</f>
        <v/>
      </c>
      <c r="K5" s="270">
        <f>D5+I5</f>
        <v/>
      </c>
    </row>
    <row r="6" ht="15.75" customHeight="1">
      <c r="A6" s="115" t="inlineStr">
        <is>
          <t xml:space="preserve">TAGS </t>
        </is>
      </c>
      <c r="B6" s="89" t="n">
        <v>0</v>
      </c>
      <c r="C6" s="89" t="n"/>
      <c r="D6" s="166">
        <f>B6+C6</f>
        <v/>
      </c>
      <c r="E6" s="89" t="n"/>
      <c r="F6" s="89" t="n"/>
      <c r="G6" s="89" t="n"/>
      <c r="H6" s="89" t="n"/>
      <c r="I6" s="166">
        <f>E6+F6+G6+H6</f>
        <v/>
      </c>
      <c r="J6" s="273">
        <f>B6+C6+E6+F6</f>
        <v/>
      </c>
      <c r="K6" s="270">
        <f>D6+I6</f>
        <v/>
      </c>
    </row>
    <row r="7" ht="15.75" customHeight="1">
      <c r="A7" s="109" t="inlineStr">
        <is>
          <t>TOTAL DE SACOLAS</t>
        </is>
      </c>
      <c r="B7" s="110">
        <f>B4</f>
        <v/>
      </c>
      <c r="C7" s="110">
        <f>C4</f>
        <v/>
      </c>
      <c r="D7" s="110">
        <f>D4</f>
        <v/>
      </c>
      <c r="E7" s="110">
        <f>E4</f>
        <v/>
      </c>
      <c r="F7" s="110">
        <f>F4</f>
        <v/>
      </c>
      <c r="G7" s="110">
        <f>G4</f>
        <v/>
      </c>
      <c r="H7" s="110">
        <f>H4</f>
        <v/>
      </c>
      <c r="I7" s="110">
        <f>I4</f>
        <v/>
      </c>
      <c r="J7" s="272">
        <f>J4</f>
        <v/>
      </c>
      <c r="K7" s="271">
        <f>D4+I4</f>
        <v/>
      </c>
    </row>
    <row r="9" ht="18" customHeight="1">
      <c r="A9" s="713" t="inlineStr">
        <is>
          <t>GASTO DE SACOLAS E ITENS DOADOS HOMEM ARANHA/25 - MENSAIS</t>
        </is>
      </c>
      <c r="B9" s="625" t="n"/>
      <c r="C9" s="625" t="n"/>
      <c r="D9" s="625" t="n"/>
      <c r="E9" s="625" t="n"/>
      <c r="F9" s="625" t="n"/>
      <c r="G9" s="625" t="n"/>
      <c r="H9" s="625" t="n"/>
      <c r="I9" s="625" t="n"/>
      <c r="J9" s="625" t="n"/>
      <c r="K9" s="641" t="n"/>
    </row>
    <row r="10" ht="18" customHeight="1">
      <c r="A10" s="713" t="inlineStr">
        <is>
          <t>JARDIM</t>
        </is>
      </c>
      <c r="B10" s="713" t="inlineStr">
        <is>
          <t>SETEMBRO</t>
        </is>
      </c>
      <c r="C10" s="625" t="n"/>
      <c r="D10" s="641" t="n"/>
      <c r="E10" s="713" t="inlineStr">
        <is>
          <t>OUTUBRO</t>
        </is>
      </c>
      <c r="F10" s="625" t="n"/>
      <c r="G10" s="625" t="n"/>
      <c r="H10" s="625" t="n"/>
      <c r="I10" s="641" t="n"/>
      <c r="J10" s="714" t="inlineStr">
        <is>
          <t>USOU ATÉ CRIANÇAS</t>
        </is>
      </c>
      <c r="K10" s="714" t="inlineStr">
        <is>
          <t>TOTAL GERAL</t>
        </is>
      </c>
    </row>
    <row r="11" ht="15.75" customHeight="1">
      <c r="A11" s="618" t="n"/>
      <c r="B11" s="266" t="n">
        <v>45922</v>
      </c>
      <c r="C11" s="266" t="n">
        <v>45929</v>
      </c>
      <c r="D11" s="267" t="inlineStr">
        <is>
          <t>USOU</t>
        </is>
      </c>
      <c r="E11" s="266" t="n">
        <v>45936</v>
      </c>
      <c r="F11" s="268" t="n">
        <v>45943</v>
      </c>
      <c r="G11" s="268" t="n">
        <v>45950</v>
      </c>
      <c r="H11" s="266" t="n">
        <v>45957</v>
      </c>
      <c r="I11" s="269" t="inlineStr">
        <is>
          <t>USOU</t>
        </is>
      </c>
      <c r="J11" s="618" t="n"/>
      <c r="K11" s="618" t="n"/>
    </row>
    <row r="12" ht="15.75" customHeight="1">
      <c r="A12" s="164" t="inlineStr">
        <is>
          <t>SACOLA M</t>
        </is>
      </c>
      <c r="B12" s="89" t="n">
        <v>0</v>
      </c>
      <c r="C12" s="89" t="n"/>
      <c r="D12" s="166">
        <f>B12+C12</f>
        <v/>
      </c>
      <c r="E12" s="89" t="n"/>
      <c r="F12" s="89" t="n"/>
      <c r="G12" s="89" t="n"/>
      <c r="H12" s="89" t="n"/>
      <c r="I12" s="166">
        <f>E12+F12+G12+H12</f>
        <v/>
      </c>
      <c r="J12" s="273">
        <f>B12+C12+E12+F12</f>
        <v/>
      </c>
      <c r="K12" s="270">
        <f>D12+I12</f>
        <v/>
      </c>
    </row>
    <row r="13" ht="15.75" customHeight="1">
      <c r="A13" s="164" t="inlineStr">
        <is>
          <t>PAPEL DE SEDA</t>
        </is>
      </c>
      <c r="B13" s="89" t="n">
        <v>0</v>
      </c>
      <c r="C13" s="89" t="n"/>
      <c r="D13" s="166">
        <f>B13+C13</f>
        <v/>
      </c>
      <c r="E13" s="89" t="n"/>
      <c r="F13" s="89" t="n"/>
      <c r="G13" s="89" t="n"/>
      <c r="H13" s="89" t="n"/>
      <c r="I13" s="166">
        <f>E13+F13+G13+H13</f>
        <v/>
      </c>
      <c r="J13" s="273">
        <f>B13+C13+E13+F13</f>
        <v/>
      </c>
      <c r="K13" s="270">
        <f>D13+I13</f>
        <v/>
      </c>
    </row>
    <row r="14" ht="15.75" customHeight="1">
      <c r="A14" s="115" t="inlineStr">
        <is>
          <t xml:space="preserve">TAGS </t>
        </is>
      </c>
      <c r="B14" s="89" t="n">
        <v>0</v>
      </c>
      <c r="C14" s="89" t="n"/>
      <c r="D14" s="166">
        <f>B14+C14</f>
        <v/>
      </c>
      <c r="E14" s="89" t="n"/>
      <c r="F14" s="89" t="n"/>
      <c r="G14" s="89" t="n"/>
      <c r="H14" s="89" t="n"/>
      <c r="I14" s="166">
        <f>E14+F14+G14+H14</f>
        <v/>
      </c>
      <c r="J14" s="273">
        <f>B14+C14+E14+F14</f>
        <v/>
      </c>
      <c r="K14" s="270">
        <f>D14+I14</f>
        <v/>
      </c>
    </row>
    <row r="15" ht="15.75" customHeight="1">
      <c r="A15" s="109" t="inlineStr">
        <is>
          <t>TOTAL DE SACOLAS</t>
        </is>
      </c>
      <c r="B15" s="110">
        <f>B12</f>
        <v/>
      </c>
      <c r="C15" s="110">
        <f>C12</f>
        <v/>
      </c>
      <c r="D15" s="110">
        <f>D12</f>
        <v/>
      </c>
      <c r="E15" s="110">
        <f>E12</f>
        <v/>
      </c>
      <c r="F15" s="110">
        <f>F12</f>
        <v/>
      </c>
      <c r="G15" s="110">
        <f>G12</f>
        <v/>
      </c>
      <c r="H15" s="110">
        <f>H12</f>
        <v/>
      </c>
      <c r="I15" s="110">
        <f>I12</f>
        <v/>
      </c>
      <c r="J15" s="272">
        <f>J12</f>
        <v/>
      </c>
      <c r="K15" s="271">
        <f>D12+I12</f>
        <v/>
      </c>
    </row>
    <row r="17" ht="15.75" customHeight="1">
      <c r="A17" s="713" t="inlineStr">
        <is>
          <t>GASTO DE SACOLAS E ITENS DOADOS HOMEM ARANHA/25 - MENSAIS</t>
        </is>
      </c>
      <c r="B17" s="625" t="n"/>
      <c r="C17" s="625" t="n"/>
      <c r="D17" s="625" t="n"/>
      <c r="E17" s="625" t="n"/>
      <c r="F17" s="625" t="n"/>
      <c r="G17" s="625" t="n"/>
      <c r="H17" s="625" t="n"/>
      <c r="I17" s="625" t="n"/>
      <c r="J17" s="625" t="n"/>
      <c r="K17" s="641" t="n"/>
    </row>
    <row r="18" ht="15.75" customHeight="1">
      <c r="A18" s="713" t="inlineStr">
        <is>
          <t>BARRA BONITA</t>
        </is>
      </c>
      <c r="B18" s="713" t="inlineStr">
        <is>
          <t>SETEMBRO</t>
        </is>
      </c>
      <c r="C18" s="625" t="n"/>
      <c r="D18" s="641" t="n"/>
      <c r="E18" s="713" t="inlineStr">
        <is>
          <t>OUTUBRO</t>
        </is>
      </c>
      <c r="F18" s="625" t="n"/>
      <c r="G18" s="625" t="n"/>
      <c r="H18" s="625" t="n"/>
      <c r="I18" s="641" t="n"/>
      <c r="J18" s="714" t="inlineStr">
        <is>
          <t>USOU ATÉ CRIANÇAS</t>
        </is>
      </c>
      <c r="K18" s="714" t="inlineStr">
        <is>
          <t>TOTAL GERAL</t>
        </is>
      </c>
    </row>
    <row r="19" ht="15.75" customHeight="1">
      <c r="A19" s="618" t="n"/>
      <c r="B19" s="266" t="n">
        <v>45922</v>
      </c>
      <c r="C19" s="266" t="n">
        <v>45929</v>
      </c>
      <c r="D19" s="267" t="inlineStr">
        <is>
          <t>USOU</t>
        </is>
      </c>
      <c r="E19" s="266" t="n">
        <v>45936</v>
      </c>
      <c r="F19" s="268" t="n">
        <v>45943</v>
      </c>
      <c r="G19" s="268" t="n">
        <v>45950</v>
      </c>
      <c r="H19" s="266" t="n">
        <v>45957</v>
      </c>
      <c r="I19" s="269" t="inlineStr">
        <is>
          <t>USOU</t>
        </is>
      </c>
      <c r="J19" s="618" t="n"/>
      <c r="K19" s="618" t="n"/>
    </row>
    <row r="20" ht="15.75" customHeight="1">
      <c r="A20" s="164" t="inlineStr">
        <is>
          <t>SACOLA M</t>
        </is>
      </c>
      <c r="B20" s="89" t="n">
        <v>0</v>
      </c>
      <c r="C20" s="89" t="n"/>
      <c r="D20" s="166">
        <f>B20+C20</f>
        <v/>
      </c>
      <c r="E20" s="89" t="n"/>
      <c r="F20" s="89" t="n"/>
      <c r="G20" s="89" t="n"/>
      <c r="H20" s="89" t="n"/>
      <c r="I20" s="166">
        <f>E20+F20+G20+H20</f>
        <v/>
      </c>
      <c r="J20" s="273">
        <f>B20+C20+E20+F20</f>
        <v/>
      </c>
      <c r="K20" s="270">
        <f>D20+I20</f>
        <v/>
      </c>
    </row>
    <row r="21" ht="15.75" customHeight="1">
      <c r="A21" s="164" t="inlineStr">
        <is>
          <t>PAPEL DE SEDA</t>
        </is>
      </c>
      <c r="B21" s="89" t="n">
        <v>0</v>
      </c>
      <c r="C21" s="89" t="n"/>
      <c r="D21" s="166">
        <f>B21+C21</f>
        <v/>
      </c>
      <c r="E21" s="89" t="n"/>
      <c r="F21" s="89" t="n"/>
      <c r="G21" s="89" t="n"/>
      <c r="H21" s="89" t="n"/>
      <c r="I21" s="166">
        <f>E21+F21+G21+H21</f>
        <v/>
      </c>
      <c r="J21" s="273">
        <f>B21+C21+E21+F21</f>
        <v/>
      </c>
      <c r="K21" s="270">
        <f>D21+I21</f>
        <v/>
      </c>
    </row>
    <row r="22" ht="15.75" customHeight="1">
      <c r="A22" s="115" t="inlineStr">
        <is>
          <t xml:space="preserve">TAGS </t>
        </is>
      </c>
      <c r="B22" s="89" t="n">
        <v>0</v>
      </c>
      <c r="C22" s="89" t="n"/>
      <c r="D22" s="166">
        <f>B22+C22</f>
        <v/>
      </c>
      <c r="E22" s="89" t="n"/>
      <c r="F22" s="89" t="n"/>
      <c r="G22" s="89" t="n"/>
      <c r="H22" s="89" t="n"/>
      <c r="I22" s="166">
        <f>E22+F22+G22+H22</f>
        <v/>
      </c>
      <c r="J22" s="273">
        <f>B22+C22+E22+F22</f>
        <v/>
      </c>
      <c r="K22" s="270">
        <f>D22+I22</f>
        <v/>
      </c>
    </row>
    <row r="23" ht="15.75" customHeight="1">
      <c r="A23" s="109" t="inlineStr">
        <is>
          <t>TOTAL DE SACOLAS</t>
        </is>
      </c>
      <c r="B23" s="110">
        <f>B20</f>
        <v/>
      </c>
      <c r="C23" s="110">
        <f>C20</f>
        <v/>
      </c>
      <c r="D23" s="110">
        <f>D20</f>
        <v/>
      </c>
      <c r="E23" s="110">
        <f>E20</f>
        <v/>
      </c>
      <c r="F23" s="110">
        <f>F20</f>
        <v/>
      </c>
      <c r="G23" s="110">
        <f>G20</f>
        <v/>
      </c>
      <c r="H23" s="110">
        <f>H20</f>
        <v/>
      </c>
      <c r="I23" s="110">
        <f>I20</f>
        <v/>
      </c>
      <c r="J23" s="272">
        <f>J20</f>
        <v/>
      </c>
      <c r="K23" s="271">
        <f>D20+I20</f>
        <v/>
      </c>
    </row>
    <row r="25" ht="15.75" customHeight="1">
      <c r="A25" s="713" t="inlineStr">
        <is>
          <t>GASTO DE SACOLAS E ITENS DOADOS HOMEM ARANHA/25 - MENSAIS</t>
        </is>
      </c>
      <c r="B25" s="625" t="n"/>
      <c r="C25" s="625" t="n"/>
      <c r="D25" s="625" t="n"/>
      <c r="E25" s="625" t="n"/>
      <c r="F25" s="625" t="n"/>
      <c r="G25" s="625" t="n"/>
      <c r="H25" s="625" t="n"/>
      <c r="I25" s="625" t="n"/>
      <c r="J25" s="625" t="n"/>
      <c r="K25" s="641" t="n"/>
    </row>
    <row r="26" ht="15.75" customHeight="1">
      <c r="A26" s="713" t="inlineStr">
        <is>
          <t>SÃO MANUEL</t>
        </is>
      </c>
      <c r="B26" s="713" t="inlineStr">
        <is>
          <t>SETEMBRO</t>
        </is>
      </c>
      <c r="C26" s="625" t="n"/>
      <c r="D26" s="641" t="n"/>
      <c r="E26" s="713" t="inlineStr">
        <is>
          <t>OUTUBRO</t>
        </is>
      </c>
      <c r="F26" s="625" t="n"/>
      <c r="G26" s="625" t="n"/>
      <c r="H26" s="625" t="n"/>
      <c r="I26" s="641" t="n"/>
      <c r="J26" s="714" t="inlineStr">
        <is>
          <t>USOU ATÉ CRIANÇAS</t>
        </is>
      </c>
      <c r="K26" s="714" t="inlineStr">
        <is>
          <t>TOTAL GERAL</t>
        </is>
      </c>
    </row>
    <row r="27" ht="15.75" customHeight="1">
      <c r="A27" s="618" t="n"/>
      <c r="B27" s="266" t="n">
        <v>45922</v>
      </c>
      <c r="C27" s="266" t="n">
        <v>45929</v>
      </c>
      <c r="D27" s="267" t="inlineStr">
        <is>
          <t>USOU</t>
        </is>
      </c>
      <c r="E27" s="266" t="n">
        <v>45936</v>
      </c>
      <c r="F27" s="268" t="n">
        <v>45943</v>
      </c>
      <c r="G27" s="268" t="n">
        <v>45950</v>
      </c>
      <c r="H27" s="266" t="n">
        <v>45957</v>
      </c>
      <c r="I27" s="269" t="inlineStr">
        <is>
          <t>USOU</t>
        </is>
      </c>
      <c r="J27" s="618" t="n"/>
      <c r="K27" s="618" t="n"/>
    </row>
    <row r="28" ht="15.75" customHeight="1">
      <c r="A28" s="164" t="inlineStr">
        <is>
          <t>SACOLA M</t>
        </is>
      </c>
      <c r="B28" s="89" t="n">
        <v>0</v>
      </c>
      <c r="C28" s="89" t="n"/>
      <c r="D28" s="166">
        <f>B28+C28</f>
        <v/>
      </c>
      <c r="E28" s="89" t="n"/>
      <c r="F28" s="89" t="n"/>
      <c r="G28" s="89" t="n"/>
      <c r="H28" s="89" t="n"/>
      <c r="I28" s="166">
        <f>E28+F28+G28+H28</f>
        <v/>
      </c>
      <c r="J28" s="273">
        <f>B28+C28+E28+F28</f>
        <v/>
      </c>
      <c r="K28" s="270">
        <f>D28+I28</f>
        <v/>
      </c>
    </row>
    <row r="29" ht="15.75" customHeight="1">
      <c r="A29" s="164" t="inlineStr">
        <is>
          <t>PAPEL DE SEDA</t>
        </is>
      </c>
      <c r="B29" s="89" t="n">
        <v>0</v>
      </c>
      <c r="C29" s="89" t="n"/>
      <c r="D29" s="166">
        <f>B29+C29</f>
        <v/>
      </c>
      <c r="E29" s="89" t="n"/>
      <c r="F29" s="89" t="n"/>
      <c r="G29" s="89" t="n"/>
      <c r="H29" s="89" t="n"/>
      <c r="I29" s="166">
        <f>E29+F29+G29+H29</f>
        <v/>
      </c>
      <c r="J29" s="273">
        <f>B29+C29+E29+F29</f>
        <v/>
      </c>
      <c r="K29" s="270">
        <f>D29+I29</f>
        <v/>
      </c>
    </row>
    <row r="30" ht="15.75" customHeight="1">
      <c r="A30" s="115" t="inlineStr">
        <is>
          <t xml:space="preserve">TAGS </t>
        </is>
      </c>
      <c r="B30" s="89" t="n">
        <v>0</v>
      </c>
      <c r="C30" s="89" t="n"/>
      <c r="D30" s="166">
        <f>B30+C30</f>
        <v/>
      </c>
      <c r="E30" s="89" t="n"/>
      <c r="F30" s="89" t="n"/>
      <c r="G30" s="89" t="n"/>
      <c r="H30" s="89" t="n"/>
      <c r="I30" s="166">
        <f>E30+F30+G30+H30</f>
        <v/>
      </c>
      <c r="J30" s="273">
        <f>B30+C30+E30+F30</f>
        <v/>
      </c>
      <c r="K30" s="270">
        <f>D30+I30</f>
        <v/>
      </c>
    </row>
    <row r="31" ht="15.75" customHeight="1">
      <c r="A31" s="109" t="inlineStr">
        <is>
          <t>TOTAL DE SACOLAS</t>
        </is>
      </c>
      <c r="B31" s="110">
        <f>B28</f>
        <v/>
      </c>
      <c r="C31" s="110">
        <f>C28</f>
        <v/>
      </c>
      <c r="D31" s="110">
        <f>D28</f>
        <v/>
      </c>
      <c r="E31" s="110">
        <f>E28</f>
        <v/>
      </c>
      <c r="F31" s="110">
        <f>F28</f>
        <v/>
      </c>
      <c r="G31" s="110">
        <f>G28</f>
        <v/>
      </c>
      <c r="H31" s="110">
        <f>H28</f>
        <v/>
      </c>
      <c r="I31" s="110">
        <f>I28</f>
        <v/>
      </c>
      <c r="J31" s="272">
        <f>J28</f>
        <v/>
      </c>
      <c r="K31" s="271">
        <f>D28+I28</f>
        <v/>
      </c>
    </row>
    <row r="33" ht="15.75" customHeight="1">
      <c r="A33" s="713" t="inlineStr">
        <is>
          <t>GASTO DE SACOLAS E ITENS DOADOS HOMEM ARANHA/25 - MENSAIS</t>
        </is>
      </c>
      <c r="B33" s="625" t="n"/>
      <c r="C33" s="625" t="n"/>
      <c r="D33" s="625" t="n"/>
      <c r="E33" s="625" t="n"/>
      <c r="F33" s="625" t="n"/>
      <c r="G33" s="625" t="n"/>
      <c r="H33" s="625" t="n"/>
      <c r="I33" s="625" t="n"/>
      <c r="J33" s="625" t="n"/>
      <c r="K33" s="641" t="n"/>
    </row>
    <row r="34" ht="15.75" customHeight="1">
      <c r="A34" s="713" t="inlineStr">
        <is>
          <t>JAÚ SHOPPING</t>
        </is>
      </c>
      <c r="B34" s="713" t="inlineStr">
        <is>
          <t>SETEMBRO</t>
        </is>
      </c>
      <c r="C34" s="625" t="n"/>
      <c r="D34" s="641" t="n"/>
      <c r="E34" s="713" t="inlineStr">
        <is>
          <t>OUTUBRO</t>
        </is>
      </c>
      <c r="F34" s="625" t="n"/>
      <c r="G34" s="625" t="n"/>
      <c r="H34" s="625" t="n"/>
      <c r="I34" s="641" t="n"/>
      <c r="J34" s="714" t="inlineStr">
        <is>
          <t>USOU ATÉ CRIANÇAS</t>
        </is>
      </c>
      <c r="K34" s="714" t="inlineStr">
        <is>
          <t>TOTAL GERAL</t>
        </is>
      </c>
    </row>
    <row r="35" ht="15.75" customHeight="1">
      <c r="A35" s="618" t="n"/>
      <c r="B35" s="266" t="n">
        <v>45922</v>
      </c>
      <c r="C35" s="266" t="n">
        <v>45929</v>
      </c>
      <c r="D35" s="267" t="inlineStr">
        <is>
          <t>USOU</t>
        </is>
      </c>
      <c r="E35" s="266" t="n">
        <v>45936</v>
      </c>
      <c r="F35" s="268" t="n">
        <v>45943</v>
      </c>
      <c r="G35" s="268" t="n">
        <v>45950</v>
      </c>
      <c r="H35" s="266" t="n">
        <v>45957</v>
      </c>
      <c r="I35" s="269" t="inlineStr">
        <is>
          <t>USOU</t>
        </is>
      </c>
      <c r="J35" s="618" t="n"/>
      <c r="K35" s="618" t="n"/>
    </row>
    <row r="36" ht="15.75" customHeight="1">
      <c r="A36" s="164" t="inlineStr">
        <is>
          <t>SACOLA M</t>
        </is>
      </c>
      <c r="B36" s="89" t="n">
        <v>0</v>
      </c>
      <c r="C36" s="89" t="n"/>
      <c r="D36" s="166">
        <f>B36+C36</f>
        <v/>
      </c>
      <c r="E36" s="89" t="n"/>
      <c r="F36" s="89" t="n"/>
      <c r="G36" s="89" t="n"/>
      <c r="H36" s="89" t="n"/>
      <c r="I36" s="166">
        <f>E36+F36+G36+H36</f>
        <v/>
      </c>
      <c r="J36" s="273">
        <f>B36+C36+E36+F36</f>
        <v/>
      </c>
      <c r="K36" s="270">
        <f>D36+I36</f>
        <v/>
      </c>
    </row>
    <row r="37" ht="15.75" customHeight="1">
      <c r="A37" s="164" t="inlineStr">
        <is>
          <t>PAPEL DE SEDA</t>
        </is>
      </c>
      <c r="B37" s="89" t="n">
        <v>0</v>
      </c>
      <c r="C37" s="89" t="n"/>
      <c r="D37" s="166">
        <f>B37+C37</f>
        <v/>
      </c>
      <c r="E37" s="89" t="n"/>
      <c r="F37" s="89" t="n"/>
      <c r="G37" s="89" t="n"/>
      <c r="H37" s="89" t="n"/>
      <c r="I37" s="166">
        <f>E37+F37+G37+H37</f>
        <v/>
      </c>
      <c r="J37" s="273">
        <f>B37+C37+E37+F37</f>
        <v/>
      </c>
      <c r="K37" s="270">
        <f>D37+I37</f>
        <v/>
      </c>
    </row>
    <row r="38" ht="15.75" customHeight="1">
      <c r="A38" s="115" t="inlineStr">
        <is>
          <t xml:space="preserve">TAGS </t>
        </is>
      </c>
      <c r="B38" s="89" t="n">
        <v>0</v>
      </c>
      <c r="C38" s="89" t="n"/>
      <c r="D38" s="166">
        <f>B38+C38</f>
        <v/>
      </c>
      <c r="E38" s="89" t="n"/>
      <c r="F38" s="89" t="n"/>
      <c r="G38" s="89" t="n"/>
      <c r="H38" s="89" t="n"/>
      <c r="I38" s="166">
        <f>E38+F38+G38+H38</f>
        <v/>
      </c>
      <c r="J38" s="273">
        <f>B38+C38+E38+F38</f>
        <v/>
      </c>
      <c r="K38" s="270">
        <f>D38+I38</f>
        <v/>
      </c>
    </row>
    <row r="39" ht="15.75" customHeight="1">
      <c r="A39" s="109" t="inlineStr">
        <is>
          <t>TOTAL DE SACOLAS</t>
        </is>
      </c>
      <c r="B39" s="110">
        <f>B36</f>
        <v/>
      </c>
      <c r="C39" s="110">
        <f>C36</f>
        <v/>
      </c>
      <c r="D39" s="110">
        <f>D36</f>
        <v/>
      </c>
      <c r="E39" s="110">
        <f>E36</f>
        <v/>
      </c>
      <c r="F39" s="110">
        <f>F36</f>
        <v/>
      </c>
      <c r="G39" s="110">
        <f>G36</f>
        <v/>
      </c>
      <c r="H39" s="110">
        <f>H36</f>
        <v/>
      </c>
      <c r="I39" s="110">
        <f>I36</f>
        <v/>
      </c>
      <c r="J39" s="272">
        <f>J36</f>
        <v/>
      </c>
      <c r="K39" s="271">
        <f>D36+I36</f>
        <v/>
      </c>
    </row>
    <row r="41" ht="15.75" customHeight="1">
      <c r="A41" s="713" t="inlineStr">
        <is>
          <t>GASTO DE SACOLAS E ITENS DOADOS HOMEM ARANHA/25 - MENSAIS</t>
        </is>
      </c>
      <c r="B41" s="625" t="n"/>
      <c r="C41" s="625" t="n"/>
      <c r="D41" s="625" t="n"/>
      <c r="E41" s="625" t="n"/>
      <c r="F41" s="625" t="n"/>
      <c r="G41" s="625" t="n"/>
      <c r="H41" s="625" t="n"/>
      <c r="I41" s="625" t="n"/>
      <c r="J41" s="625" t="n"/>
      <c r="K41" s="641" t="n"/>
    </row>
    <row r="42" ht="15.75" customHeight="1">
      <c r="A42" s="713" t="inlineStr">
        <is>
          <t>CONFIANÇA</t>
        </is>
      </c>
      <c r="B42" s="713" t="inlineStr">
        <is>
          <t>SETEMBRO</t>
        </is>
      </c>
      <c r="C42" s="625" t="n"/>
      <c r="D42" s="641" t="n"/>
      <c r="E42" s="713" t="inlineStr">
        <is>
          <t>OUTUBRO</t>
        </is>
      </c>
      <c r="F42" s="625" t="n"/>
      <c r="G42" s="625" t="n"/>
      <c r="H42" s="625" t="n"/>
      <c r="I42" s="641" t="n"/>
      <c r="J42" s="714" t="inlineStr">
        <is>
          <t>USOU ATÉ CRIANÇAS</t>
        </is>
      </c>
      <c r="K42" s="714" t="inlineStr">
        <is>
          <t>TOTAL GERAL</t>
        </is>
      </c>
    </row>
    <row r="43" ht="15.75" customHeight="1">
      <c r="A43" s="618" t="n"/>
      <c r="B43" s="266" t="n">
        <v>45922</v>
      </c>
      <c r="C43" s="266" t="n">
        <v>45929</v>
      </c>
      <c r="D43" s="267" t="inlineStr">
        <is>
          <t>USOU</t>
        </is>
      </c>
      <c r="E43" s="266" t="n">
        <v>45936</v>
      </c>
      <c r="F43" s="268" t="n">
        <v>45943</v>
      </c>
      <c r="G43" s="268" t="n">
        <v>45950</v>
      </c>
      <c r="H43" s="266" t="n">
        <v>45957</v>
      </c>
      <c r="I43" s="269" t="inlineStr">
        <is>
          <t>USOU</t>
        </is>
      </c>
      <c r="J43" s="618" t="n"/>
      <c r="K43" s="618" t="n"/>
    </row>
    <row r="44" ht="15.75" customHeight="1">
      <c r="A44" s="164" t="inlineStr">
        <is>
          <t>SACOLA M</t>
        </is>
      </c>
      <c r="B44" s="89" t="n">
        <v>0</v>
      </c>
      <c r="C44" s="89" t="n"/>
      <c r="D44" s="166">
        <f>B44+C44</f>
        <v/>
      </c>
      <c r="E44" s="89" t="n"/>
      <c r="F44" s="89" t="n"/>
      <c r="G44" s="89" t="n"/>
      <c r="H44" s="89" t="n"/>
      <c r="I44" s="166">
        <f>E44+F44+G44+H44</f>
        <v/>
      </c>
      <c r="J44" s="273">
        <f>B44+C44+E44+F44</f>
        <v/>
      </c>
      <c r="K44" s="270">
        <f>D44+I44</f>
        <v/>
      </c>
    </row>
    <row r="45" ht="15.75" customHeight="1">
      <c r="A45" s="164" t="inlineStr">
        <is>
          <t>PAPEL DE SEDA</t>
        </is>
      </c>
      <c r="B45" s="89" t="n">
        <v>0</v>
      </c>
      <c r="C45" s="89" t="n"/>
      <c r="D45" s="166">
        <f>B45+C45</f>
        <v/>
      </c>
      <c r="E45" s="89" t="n"/>
      <c r="F45" s="89" t="n"/>
      <c r="G45" s="89" t="n"/>
      <c r="H45" s="89" t="n"/>
      <c r="I45" s="166">
        <f>E45+F45+G45+H45</f>
        <v/>
      </c>
      <c r="J45" s="273">
        <f>B45+C45+E45+F45</f>
        <v/>
      </c>
      <c r="K45" s="270">
        <f>D45+I45</f>
        <v/>
      </c>
    </row>
    <row r="46" ht="15.75" customHeight="1">
      <c r="A46" s="115" t="inlineStr">
        <is>
          <t xml:space="preserve">TAGS </t>
        </is>
      </c>
      <c r="B46" s="89" t="n">
        <v>0</v>
      </c>
      <c r="C46" s="89" t="n"/>
      <c r="D46" s="166">
        <f>B46+C46</f>
        <v/>
      </c>
      <c r="E46" s="89" t="n"/>
      <c r="F46" s="89" t="n"/>
      <c r="G46" s="89" t="n"/>
      <c r="H46" s="89" t="n"/>
      <c r="I46" s="166">
        <f>E46+F46+G46+H46</f>
        <v/>
      </c>
      <c r="J46" s="273">
        <f>B46+C46+E46+F46</f>
        <v/>
      </c>
      <c r="K46" s="270">
        <f>D46+I46</f>
        <v/>
      </c>
    </row>
    <row r="47" ht="15.75" customHeight="1">
      <c r="A47" s="109" t="inlineStr">
        <is>
          <t>TOTAL DE SACOLAS</t>
        </is>
      </c>
      <c r="B47" s="110">
        <f>B44</f>
        <v/>
      </c>
      <c r="C47" s="110">
        <f>C44</f>
        <v/>
      </c>
      <c r="D47" s="110">
        <f>D44</f>
        <v/>
      </c>
      <c r="E47" s="110">
        <f>E44</f>
        <v/>
      </c>
      <c r="F47" s="110">
        <f>F44</f>
        <v/>
      </c>
      <c r="G47" s="110">
        <f>G44</f>
        <v/>
      </c>
      <c r="H47" s="110">
        <f>H44</f>
        <v/>
      </c>
      <c r="I47" s="110">
        <f>I44</f>
        <v/>
      </c>
      <c r="J47" s="272">
        <f>J44</f>
        <v/>
      </c>
      <c r="K47" s="271">
        <f>D44+I44</f>
        <v/>
      </c>
    </row>
    <row r="49" ht="15.75" customHeight="1">
      <c r="A49" s="713" t="inlineStr">
        <is>
          <t>GASTO DE SACOLAS E ITENS DOADOS HOMEM ARANHA/25 - MENSAIS</t>
        </is>
      </c>
      <c r="B49" s="625" t="n"/>
      <c r="C49" s="625" t="n"/>
      <c r="D49" s="625" t="n"/>
      <c r="E49" s="625" t="n"/>
      <c r="F49" s="625" t="n"/>
      <c r="G49" s="625" t="n"/>
      <c r="H49" s="625" t="n"/>
      <c r="I49" s="625" t="n"/>
      <c r="J49" s="625" t="n"/>
      <c r="K49" s="641" t="n"/>
    </row>
    <row r="50" ht="15.75" customHeight="1">
      <c r="A50" s="713" t="inlineStr">
        <is>
          <t>DOIS CÓRREGOS</t>
        </is>
      </c>
      <c r="B50" s="713" t="inlineStr">
        <is>
          <t>SETEMBRO</t>
        </is>
      </c>
      <c r="C50" s="625" t="n"/>
      <c r="D50" s="641" t="n"/>
      <c r="E50" s="713" t="inlineStr">
        <is>
          <t>OUTUBRO</t>
        </is>
      </c>
      <c r="F50" s="625" t="n"/>
      <c r="G50" s="625" t="n"/>
      <c r="H50" s="625" t="n"/>
      <c r="I50" s="641" t="n"/>
      <c r="J50" s="714" t="inlineStr">
        <is>
          <t>USOU ATÉ CRIANÇAS</t>
        </is>
      </c>
      <c r="K50" s="714" t="inlineStr">
        <is>
          <t>TOTAL GERAL</t>
        </is>
      </c>
    </row>
    <row r="51" ht="15.75" customHeight="1">
      <c r="A51" s="618" t="n"/>
      <c r="B51" s="266" t="n">
        <v>45922</v>
      </c>
      <c r="C51" s="266" t="n">
        <v>45929</v>
      </c>
      <c r="D51" s="267" t="inlineStr">
        <is>
          <t>USOU</t>
        </is>
      </c>
      <c r="E51" s="266" t="n">
        <v>45936</v>
      </c>
      <c r="F51" s="268" t="n">
        <v>45943</v>
      </c>
      <c r="G51" s="268" t="n">
        <v>45950</v>
      </c>
      <c r="H51" s="266" t="n">
        <v>45957</v>
      </c>
      <c r="I51" s="269" t="inlineStr">
        <is>
          <t>USOU</t>
        </is>
      </c>
      <c r="J51" s="618" t="n"/>
      <c r="K51" s="618" t="n"/>
    </row>
    <row r="52" ht="15.75" customHeight="1">
      <c r="A52" s="164" t="inlineStr">
        <is>
          <t>SACOLA M</t>
        </is>
      </c>
      <c r="B52" s="89" t="n">
        <v>0</v>
      </c>
      <c r="C52" s="89" t="n"/>
      <c r="D52" s="166">
        <f>B52+C52</f>
        <v/>
      </c>
      <c r="E52" s="89" t="n"/>
      <c r="F52" s="89" t="n"/>
      <c r="G52" s="89" t="n"/>
      <c r="H52" s="89" t="n"/>
      <c r="I52" s="166">
        <f>E52+F52+G52+H52</f>
        <v/>
      </c>
      <c r="J52" s="273">
        <f>B52+C52+E52+F52</f>
        <v/>
      </c>
      <c r="K52" s="270">
        <f>D52+I52</f>
        <v/>
      </c>
    </row>
    <row r="53" ht="15.75" customHeight="1">
      <c r="A53" s="164" t="inlineStr">
        <is>
          <t>PAPEL DE SEDA</t>
        </is>
      </c>
      <c r="B53" s="89" t="n">
        <v>0</v>
      </c>
      <c r="C53" s="89" t="n"/>
      <c r="D53" s="166">
        <f>B53+C53</f>
        <v/>
      </c>
      <c r="E53" s="89" t="n"/>
      <c r="F53" s="89" t="n"/>
      <c r="G53" s="89" t="n"/>
      <c r="H53" s="89" t="n"/>
      <c r="I53" s="166">
        <f>E53+F53+G53+H53</f>
        <v/>
      </c>
      <c r="J53" s="273">
        <f>B53+C53+E53+F53</f>
        <v/>
      </c>
      <c r="K53" s="270">
        <f>D53+I53</f>
        <v/>
      </c>
    </row>
    <row r="54" ht="15.75" customHeight="1">
      <c r="A54" s="115" t="inlineStr">
        <is>
          <t xml:space="preserve">TAGS </t>
        </is>
      </c>
      <c r="B54" s="89" t="n">
        <v>0</v>
      </c>
      <c r="C54" s="89" t="n"/>
      <c r="D54" s="166">
        <f>B54+C54</f>
        <v/>
      </c>
      <c r="E54" s="89" t="n"/>
      <c r="F54" s="89" t="n"/>
      <c r="G54" s="89" t="n"/>
      <c r="H54" s="89" t="n"/>
      <c r="I54" s="166">
        <f>E54+F54+G54+H54</f>
        <v/>
      </c>
      <c r="J54" s="273">
        <f>B54+C54+E54+F54</f>
        <v/>
      </c>
      <c r="K54" s="270">
        <f>D54+I54</f>
        <v/>
      </c>
    </row>
    <row r="55" ht="15.75" customHeight="1">
      <c r="A55" s="109" t="inlineStr">
        <is>
          <t>TOTAL DE SACOLAS</t>
        </is>
      </c>
      <c r="B55" s="110">
        <f>B52</f>
        <v/>
      </c>
      <c r="C55" s="110">
        <f>C52</f>
        <v/>
      </c>
      <c r="D55" s="110">
        <f>D52</f>
        <v/>
      </c>
      <c r="E55" s="110">
        <f>E52</f>
        <v/>
      </c>
      <c r="F55" s="110">
        <f>F52</f>
        <v/>
      </c>
      <c r="G55" s="110">
        <f>G52</f>
        <v/>
      </c>
      <c r="H55" s="110">
        <f>H52</f>
        <v/>
      </c>
      <c r="I55" s="110">
        <f>I52</f>
        <v/>
      </c>
      <c r="J55" s="272">
        <f>J52</f>
        <v/>
      </c>
      <c r="K55" s="271">
        <f>D52+I52</f>
        <v/>
      </c>
    </row>
    <row r="57" ht="15.75" customHeight="1">
      <c r="A57" s="713" t="inlineStr">
        <is>
          <t>GASTO DE SACOLAS E ITENS DOADOS HOMEM ARANHA/25 - MENSAIS</t>
        </is>
      </c>
      <c r="B57" s="625" t="n"/>
      <c r="C57" s="625" t="n"/>
      <c r="D57" s="625" t="n"/>
      <c r="E57" s="625" t="n"/>
      <c r="F57" s="625" t="n"/>
      <c r="G57" s="625" t="n"/>
      <c r="H57" s="625" t="n"/>
      <c r="I57" s="625" t="n"/>
      <c r="J57" s="625" t="n"/>
      <c r="K57" s="641" t="n"/>
    </row>
    <row r="58" ht="15.75" customHeight="1">
      <c r="A58" s="713" t="inlineStr">
        <is>
          <t>ITIRAPINA</t>
        </is>
      </c>
      <c r="B58" s="713" t="inlineStr">
        <is>
          <t>SETEMBRO</t>
        </is>
      </c>
      <c r="C58" s="625" t="n"/>
      <c r="D58" s="641" t="n"/>
      <c r="E58" s="713" t="inlineStr">
        <is>
          <t>OUTUBRO</t>
        </is>
      </c>
      <c r="F58" s="625" t="n"/>
      <c r="G58" s="625" t="n"/>
      <c r="H58" s="625" t="n"/>
      <c r="I58" s="641" t="n"/>
      <c r="J58" s="714" t="inlineStr">
        <is>
          <t>USOU ATÉ CRIANÇAS</t>
        </is>
      </c>
      <c r="K58" s="714" t="inlineStr">
        <is>
          <t>TOTAL GERAL</t>
        </is>
      </c>
    </row>
    <row r="59" ht="15.75" customHeight="1">
      <c r="A59" s="618" t="n"/>
      <c r="B59" s="266" t="n">
        <v>45922</v>
      </c>
      <c r="C59" s="266" t="n">
        <v>45929</v>
      </c>
      <c r="D59" s="267" t="inlineStr">
        <is>
          <t>USOU</t>
        </is>
      </c>
      <c r="E59" s="266" t="n">
        <v>45936</v>
      </c>
      <c r="F59" s="268" t="n">
        <v>45943</v>
      </c>
      <c r="G59" s="268" t="n">
        <v>45950</v>
      </c>
      <c r="H59" s="266" t="n">
        <v>45957</v>
      </c>
      <c r="I59" s="269" t="inlineStr">
        <is>
          <t>USOU</t>
        </is>
      </c>
      <c r="J59" s="618" t="n"/>
      <c r="K59" s="618" t="n"/>
    </row>
    <row r="60" ht="15.75" customHeight="1">
      <c r="A60" s="164" t="inlineStr">
        <is>
          <t>SACOLA M</t>
        </is>
      </c>
      <c r="B60" s="89" t="n">
        <v>0</v>
      </c>
      <c r="C60" s="89" t="n"/>
      <c r="D60" s="166">
        <f>B60+C60</f>
        <v/>
      </c>
      <c r="E60" s="89" t="n"/>
      <c r="F60" s="89" t="n"/>
      <c r="G60" s="89" t="n"/>
      <c r="H60" s="89" t="n"/>
      <c r="I60" s="166">
        <f>E60+F60+G60+H60</f>
        <v/>
      </c>
      <c r="J60" s="273">
        <f>B60+C60+E60+F60</f>
        <v/>
      </c>
      <c r="K60" s="270">
        <f>D60+I60</f>
        <v/>
      </c>
    </row>
    <row r="61" ht="15.75" customHeight="1">
      <c r="A61" s="164" t="inlineStr">
        <is>
          <t>PAPEL DE SEDA</t>
        </is>
      </c>
      <c r="B61" s="89" t="n">
        <v>0</v>
      </c>
      <c r="C61" s="89" t="n"/>
      <c r="D61" s="166">
        <f>B61+C61</f>
        <v/>
      </c>
      <c r="E61" s="89" t="n"/>
      <c r="F61" s="89" t="n"/>
      <c r="G61" s="89" t="n"/>
      <c r="H61" s="89" t="n"/>
      <c r="I61" s="166">
        <f>E61+F61+G61+H61</f>
        <v/>
      </c>
      <c r="J61" s="273">
        <f>B61+C61+E61+F61</f>
        <v/>
      </c>
      <c r="K61" s="270">
        <f>D61+I61</f>
        <v/>
      </c>
    </row>
    <row r="62" ht="15.75" customHeight="1">
      <c r="A62" s="115" t="inlineStr">
        <is>
          <t xml:space="preserve">TAGS </t>
        </is>
      </c>
      <c r="B62" s="89" t="n">
        <v>0</v>
      </c>
      <c r="C62" s="89" t="n"/>
      <c r="D62" s="166">
        <f>B62+C62</f>
        <v/>
      </c>
      <c r="E62" s="89" t="n"/>
      <c r="F62" s="89" t="n"/>
      <c r="G62" s="89" t="n"/>
      <c r="H62" s="89" t="n"/>
      <c r="I62" s="166">
        <f>E62+F62+G62+H62</f>
        <v/>
      </c>
      <c r="J62" s="273">
        <f>B62+C62+E62+F62</f>
        <v/>
      </c>
      <c r="K62" s="270">
        <f>D62+I62</f>
        <v/>
      </c>
    </row>
    <row r="63" ht="15.75" customHeight="1">
      <c r="A63" s="109" t="inlineStr">
        <is>
          <t>TOTAL DE SACOLAS</t>
        </is>
      </c>
      <c r="B63" s="110">
        <f>B60</f>
        <v/>
      </c>
      <c r="C63" s="110">
        <f>C60</f>
        <v/>
      </c>
      <c r="D63" s="110">
        <f>D60</f>
        <v/>
      </c>
      <c r="E63" s="110">
        <f>E60</f>
        <v/>
      </c>
      <c r="F63" s="110">
        <f>F60</f>
        <v/>
      </c>
      <c r="G63" s="110">
        <f>G60</f>
        <v/>
      </c>
      <c r="H63" s="110">
        <f>H60</f>
        <v/>
      </c>
      <c r="I63" s="110">
        <f>I60</f>
        <v/>
      </c>
      <c r="J63" s="272">
        <f>J60</f>
        <v/>
      </c>
      <c r="K63" s="271">
        <f>D60+I60</f>
        <v/>
      </c>
    </row>
    <row r="65" ht="15.75" customHeight="1">
      <c r="A65" s="713" t="inlineStr">
        <is>
          <t>GASTO DE SACOLAS E ITENS DOADOS HOMEM ARANHA/25 - MENSAIS</t>
        </is>
      </c>
      <c r="B65" s="625" t="n"/>
      <c r="C65" s="625" t="n"/>
      <c r="D65" s="625" t="n"/>
      <c r="E65" s="625" t="n"/>
      <c r="F65" s="625" t="n"/>
      <c r="G65" s="625" t="n"/>
      <c r="H65" s="625" t="n"/>
      <c r="I65" s="625" t="n"/>
      <c r="J65" s="625" t="n"/>
      <c r="K65" s="641" t="n"/>
    </row>
    <row r="66" ht="15.75" customHeight="1">
      <c r="A66" s="713" t="inlineStr">
        <is>
          <t>BROTAS</t>
        </is>
      </c>
      <c r="B66" s="713" t="inlineStr">
        <is>
          <t>SETEMBRO</t>
        </is>
      </c>
      <c r="C66" s="625" t="n"/>
      <c r="D66" s="641" t="n"/>
      <c r="E66" s="713" t="inlineStr">
        <is>
          <t>OUTUBRO</t>
        </is>
      </c>
      <c r="F66" s="625" t="n"/>
      <c r="G66" s="625" t="n"/>
      <c r="H66" s="625" t="n"/>
      <c r="I66" s="641" t="n"/>
      <c r="J66" s="714" t="inlineStr">
        <is>
          <t>USOU ATÉ CRIANÇAS</t>
        </is>
      </c>
      <c r="K66" s="714" t="inlineStr">
        <is>
          <t>TOTAL GERAL</t>
        </is>
      </c>
    </row>
    <row r="67" ht="15.75" customHeight="1">
      <c r="A67" s="618" t="n"/>
      <c r="B67" s="266" t="n">
        <v>45922</v>
      </c>
      <c r="C67" s="266" t="n">
        <v>45929</v>
      </c>
      <c r="D67" s="267" t="inlineStr">
        <is>
          <t>USOU</t>
        </is>
      </c>
      <c r="E67" s="266" t="n">
        <v>45936</v>
      </c>
      <c r="F67" s="268" t="n">
        <v>45943</v>
      </c>
      <c r="G67" s="268" t="n">
        <v>45950</v>
      </c>
      <c r="H67" s="266" t="n">
        <v>45957</v>
      </c>
      <c r="I67" s="269" t="inlineStr">
        <is>
          <t>USOU</t>
        </is>
      </c>
      <c r="J67" s="618" t="n"/>
      <c r="K67" s="618" t="n"/>
    </row>
    <row r="68" ht="15.75" customHeight="1">
      <c r="A68" s="164" t="inlineStr">
        <is>
          <t>SACOLA M</t>
        </is>
      </c>
      <c r="B68" s="89" t="n">
        <v>0</v>
      </c>
      <c r="C68" s="89" t="n"/>
      <c r="D68" s="166">
        <f>B68+C68</f>
        <v/>
      </c>
      <c r="E68" s="89" t="n"/>
      <c r="F68" s="89" t="n"/>
      <c r="G68" s="89" t="n"/>
      <c r="H68" s="89" t="n"/>
      <c r="I68" s="166">
        <f>E68+F68+G68+H68</f>
        <v/>
      </c>
      <c r="J68" s="273">
        <f>B68+C68+E68+F68</f>
        <v/>
      </c>
      <c r="K68" s="270">
        <f>D68+I68</f>
        <v/>
      </c>
    </row>
    <row r="69" ht="15.75" customHeight="1">
      <c r="A69" s="164" t="inlineStr">
        <is>
          <t>PAPEL DE SEDA</t>
        </is>
      </c>
      <c r="B69" s="89" t="n">
        <v>0</v>
      </c>
      <c r="C69" s="89" t="n"/>
      <c r="D69" s="166">
        <f>B69+C69</f>
        <v/>
      </c>
      <c r="E69" s="89" t="n"/>
      <c r="F69" s="89" t="n"/>
      <c r="G69" s="89" t="n"/>
      <c r="H69" s="89" t="n"/>
      <c r="I69" s="166">
        <f>E69+F69+G69+H69</f>
        <v/>
      </c>
      <c r="J69" s="273">
        <f>B69+C69+E69+F69</f>
        <v/>
      </c>
      <c r="K69" s="270">
        <f>D69+I69</f>
        <v/>
      </c>
    </row>
    <row r="70" ht="15.75" customHeight="1">
      <c r="A70" s="115" t="inlineStr">
        <is>
          <t xml:space="preserve">TAGS </t>
        </is>
      </c>
      <c r="B70" s="89" t="n">
        <v>0</v>
      </c>
      <c r="C70" s="89" t="n"/>
      <c r="D70" s="166">
        <f>B70+C70</f>
        <v/>
      </c>
      <c r="E70" s="89" t="n"/>
      <c r="F70" s="89" t="n"/>
      <c r="G70" s="89" t="n"/>
      <c r="H70" s="89" t="n"/>
      <c r="I70" s="166">
        <f>E70+F70+G70+H70</f>
        <v/>
      </c>
      <c r="J70" s="273">
        <f>B70+C70+E70+F70</f>
        <v/>
      </c>
      <c r="K70" s="270">
        <f>D70+I70</f>
        <v/>
      </c>
    </row>
    <row r="71" ht="15.75" customHeight="1">
      <c r="A71" s="109" t="inlineStr">
        <is>
          <t>TOTAL DE SACOLAS</t>
        </is>
      </c>
      <c r="B71" s="110">
        <f>B68</f>
        <v/>
      </c>
      <c r="C71" s="110">
        <f>C68</f>
        <v/>
      </c>
      <c r="D71" s="110">
        <f>D68</f>
        <v/>
      </c>
      <c r="E71" s="110">
        <f>E68</f>
        <v/>
      </c>
      <c r="F71" s="110">
        <f>F68</f>
        <v/>
      </c>
      <c r="G71" s="110">
        <f>G68</f>
        <v/>
      </c>
      <c r="H71" s="110">
        <f>H68</f>
        <v/>
      </c>
      <c r="I71" s="110">
        <f>I68</f>
        <v/>
      </c>
      <c r="J71" s="272">
        <f>J68</f>
        <v/>
      </c>
      <c r="K71" s="271">
        <f>D68+I68</f>
        <v/>
      </c>
    </row>
    <row r="73" ht="15.75" customHeight="1">
      <c r="A73" s="713" t="inlineStr">
        <is>
          <t>GASTO DE SACOLAS E ITENS DOADOS HOMEM ARANHA/25 - MENSAIS</t>
        </is>
      </c>
      <c r="B73" s="625" t="n"/>
      <c r="C73" s="625" t="n"/>
      <c r="D73" s="625" t="n"/>
      <c r="E73" s="625" t="n"/>
      <c r="F73" s="625" t="n"/>
      <c r="G73" s="625" t="n"/>
      <c r="H73" s="625" t="n"/>
      <c r="I73" s="625" t="n"/>
      <c r="J73" s="625" t="n"/>
      <c r="K73" s="641" t="n"/>
    </row>
    <row r="74" ht="15.75" customHeight="1">
      <c r="A74" s="713" t="inlineStr">
        <is>
          <t>CD JAÚ</t>
        </is>
      </c>
      <c r="B74" s="713" t="inlineStr">
        <is>
          <t>SETEMBRO</t>
        </is>
      </c>
      <c r="C74" s="625" t="n"/>
      <c r="D74" s="641" t="n"/>
      <c r="E74" s="713" t="inlineStr">
        <is>
          <t>OUTUBRO</t>
        </is>
      </c>
      <c r="F74" s="625" t="n"/>
      <c r="G74" s="625" t="n"/>
      <c r="H74" s="625" t="n"/>
      <c r="I74" s="641" t="n"/>
      <c r="J74" s="714" t="inlineStr">
        <is>
          <t>USOU ATÉ CRIANÇAS</t>
        </is>
      </c>
      <c r="K74" s="714" t="inlineStr">
        <is>
          <t>TOTAL GERAL</t>
        </is>
      </c>
    </row>
    <row r="75" ht="15.75" customHeight="1">
      <c r="A75" s="618" t="n"/>
      <c r="B75" s="266" t="n">
        <v>45922</v>
      </c>
      <c r="C75" s="266" t="n">
        <v>45929</v>
      </c>
      <c r="D75" s="267" t="inlineStr">
        <is>
          <t>USOU</t>
        </is>
      </c>
      <c r="E75" s="266" t="n">
        <v>45936</v>
      </c>
      <c r="F75" s="268" t="n">
        <v>45943</v>
      </c>
      <c r="G75" s="268" t="n">
        <v>45950</v>
      </c>
      <c r="H75" s="266" t="n">
        <v>45957</v>
      </c>
      <c r="I75" s="269" t="inlineStr">
        <is>
          <t>USOU</t>
        </is>
      </c>
      <c r="J75" s="618" t="n"/>
      <c r="K75" s="618" t="n"/>
    </row>
    <row r="76" ht="15.75" customHeight="1">
      <c r="A76" s="164" t="inlineStr">
        <is>
          <t>SACOLA M</t>
        </is>
      </c>
      <c r="B76" s="89" t="n">
        <v>0</v>
      </c>
      <c r="C76" s="89" t="n"/>
      <c r="D76" s="166">
        <f>B76+C76</f>
        <v/>
      </c>
      <c r="E76" s="89" t="n"/>
      <c r="F76" s="89" t="n"/>
      <c r="G76" s="89" t="n"/>
      <c r="H76" s="89" t="n"/>
      <c r="I76" s="166">
        <f>E76+F76+G76+H76</f>
        <v/>
      </c>
      <c r="J76" s="273">
        <f>B76+C76+E76+F76</f>
        <v/>
      </c>
      <c r="K76" s="270">
        <f>D76+I76</f>
        <v/>
      </c>
    </row>
    <row r="77" ht="15.75" customHeight="1">
      <c r="A77" s="164" t="inlineStr">
        <is>
          <t>PAPEL DE SEDA</t>
        </is>
      </c>
      <c r="B77" s="89" t="n">
        <v>0</v>
      </c>
      <c r="C77" s="89" t="n"/>
      <c r="D77" s="166">
        <f>B77+C77</f>
        <v/>
      </c>
      <c r="E77" s="89" t="n"/>
      <c r="F77" s="89" t="n"/>
      <c r="G77" s="89" t="n"/>
      <c r="H77" s="89" t="n"/>
      <c r="I77" s="166">
        <f>E77+F77+G77+H77</f>
        <v/>
      </c>
      <c r="J77" s="273">
        <f>B77+C77+E77+F77</f>
        <v/>
      </c>
      <c r="K77" s="270">
        <f>D77+I77</f>
        <v/>
      </c>
    </row>
    <row r="78" ht="15.75" customHeight="1">
      <c r="A78" s="115" t="inlineStr">
        <is>
          <t xml:space="preserve">TAGS </t>
        </is>
      </c>
      <c r="B78" s="89" t="n">
        <v>0</v>
      </c>
      <c r="C78" s="89" t="n"/>
      <c r="D78" s="166">
        <f>B78+C78</f>
        <v/>
      </c>
      <c r="E78" s="89" t="n"/>
      <c r="F78" s="89" t="n"/>
      <c r="G78" s="89" t="n"/>
      <c r="H78" s="89" t="n"/>
      <c r="I78" s="166">
        <f>E78+F78+G78+H78</f>
        <v/>
      </c>
      <c r="J78" s="273">
        <f>B78+C78+E78+F78</f>
        <v/>
      </c>
      <c r="K78" s="270">
        <f>D78+I78</f>
        <v/>
      </c>
    </row>
    <row r="79" ht="15.75" customHeight="1">
      <c r="A79" s="109" t="inlineStr">
        <is>
          <t>TOTAL DE SACOLAS</t>
        </is>
      </c>
      <c r="B79" s="110">
        <f>B76</f>
        <v/>
      </c>
      <c r="C79" s="110">
        <f>C76</f>
        <v/>
      </c>
      <c r="D79" s="110">
        <f>D76</f>
        <v/>
      </c>
      <c r="E79" s="110">
        <f>E76</f>
        <v/>
      </c>
      <c r="F79" s="110">
        <f>F76</f>
        <v/>
      </c>
      <c r="G79" s="110">
        <f>G76</f>
        <v/>
      </c>
      <c r="H79" s="110">
        <f>H76</f>
        <v/>
      </c>
      <c r="I79" s="110">
        <f>I76</f>
        <v/>
      </c>
      <c r="J79" s="272">
        <f>J76</f>
        <v/>
      </c>
      <c r="K79" s="271">
        <f>D76+I76</f>
        <v/>
      </c>
    </row>
    <row r="81" ht="15.75" customHeight="1">
      <c r="A81" s="713" t="inlineStr">
        <is>
          <t>GASTO DE SACOLAS E ITENS DOADOS HOMEM ARANHA/25 - MENSAIS</t>
        </is>
      </c>
      <c r="B81" s="625" t="n"/>
      <c r="C81" s="625" t="n"/>
      <c r="D81" s="625" t="n"/>
      <c r="E81" s="625" t="n"/>
      <c r="F81" s="625" t="n"/>
      <c r="G81" s="625" t="n"/>
      <c r="H81" s="625" t="n"/>
      <c r="I81" s="625" t="n"/>
      <c r="J81" s="625" t="n"/>
      <c r="K81" s="641" t="n"/>
    </row>
    <row r="82" ht="15.75" customHeight="1">
      <c r="A82" s="713" t="inlineStr">
        <is>
          <t>ER JAÚ</t>
        </is>
      </c>
      <c r="B82" s="713" t="inlineStr">
        <is>
          <t>SETEMBRO</t>
        </is>
      </c>
      <c r="C82" s="625" t="n"/>
      <c r="D82" s="641" t="n"/>
      <c r="E82" s="713" t="inlineStr">
        <is>
          <t>OUTUBRO</t>
        </is>
      </c>
      <c r="F82" s="625" t="n"/>
      <c r="G82" s="625" t="n"/>
      <c r="H82" s="625" t="n"/>
      <c r="I82" s="641" t="n"/>
      <c r="J82" s="714" t="inlineStr">
        <is>
          <t>USOU ATÉ CRIANÇAS</t>
        </is>
      </c>
      <c r="K82" s="714" t="inlineStr">
        <is>
          <t>TOTAL GERAL</t>
        </is>
      </c>
    </row>
    <row r="83" ht="15.75" customHeight="1">
      <c r="A83" s="618" t="n"/>
      <c r="B83" s="266" t="n">
        <v>45922</v>
      </c>
      <c r="C83" s="266" t="n">
        <v>45929</v>
      </c>
      <c r="D83" s="267" t="inlineStr">
        <is>
          <t>USOU</t>
        </is>
      </c>
      <c r="E83" s="266" t="n">
        <v>45936</v>
      </c>
      <c r="F83" s="268" t="n">
        <v>45943</v>
      </c>
      <c r="G83" s="268" t="n">
        <v>45950</v>
      </c>
      <c r="H83" s="266" t="n">
        <v>45957</v>
      </c>
      <c r="I83" s="269" t="inlineStr">
        <is>
          <t>USOU</t>
        </is>
      </c>
      <c r="J83" s="618" t="n"/>
      <c r="K83" s="618" t="n"/>
    </row>
    <row r="84" ht="15.75" customHeight="1">
      <c r="A84" s="164" t="inlineStr">
        <is>
          <t>SACOLA M</t>
        </is>
      </c>
      <c r="B84" s="89" t="n">
        <v>0</v>
      </c>
      <c r="C84" s="89" t="n"/>
      <c r="D84" s="166">
        <f>B84+C84</f>
        <v/>
      </c>
      <c r="E84" s="89" t="n"/>
      <c r="F84" s="89" t="n"/>
      <c r="G84" s="89" t="n"/>
      <c r="H84" s="89" t="n"/>
      <c r="I84" s="166">
        <f>E84+F84+G84+H84</f>
        <v/>
      </c>
      <c r="J84" s="273">
        <f>B84+C84+E84+F84</f>
        <v/>
      </c>
      <c r="K84" s="270">
        <f>D84+I84</f>
        <v/>
      </c>
    </row>
    <row r="85" ht="15.75" customHeight="1">
      <c r="A85" s="164" t="inlineStr">
        <is>
          <t>PAPEL DE SEDA</t>
        </is>
      </c>
      <c r="B85" s="89" t="n">
        <v>0</v>
      </c>
      <c r="C85" s="89" t="n"/>
      <c r="D85" s="166">
        <f>B85+C85</f>
        <v/>
      </c>
      <c r="E85" s="89" t="n"/>
      <c r="F85" s="89" t="n"/>
      <c r="G85" s="89" t="n"/>
      <c r="H85" s="89" t="n"/>
      <c r="I85" s="166">
        <f>E85+F85+G85+H85</f>
        <v/>
      </c>
      <c r="J85" s="273">
        <f>B85+C85+E85+F85</f>
        <v/>
      </c>
      <c r="K85" s="270">
        <f>D85+I85</f>
        <v/>
      </c>
    </row>
    <row r="86" ht="15.75" customHeight="1">
      <c r="A86" s="115" t="inlineStr">
        <is>
          <t xml:space="preserve">TAGS </t>
        </is>
      </c>
      <c r="B86" s="89" t="n">
        <v>0</v>
      </c>
      <c r="C86" s="89" t="n"/>
      <c r="D86" s="166">
        <f>B86+C86</f>
        <v/>
      </c>
      <c r="E86" s="89" t="n"/>
      <c r="F86" s="89" t="n"/>
      <c r="G86" s="89" t="n"/>
      <c r="H86" s="89" t="n"/>
      <c r="I86" s="166">
        <f>E86+F86+G86+H86</f>
        <v/>
      </c>
      <c r="J86" s="273">
        <f>B86+C86+E86+F86</f>
        <v/>
      </c>
      <c r="K86" s="270">
        <f>D86+I86</f>
        <v/>
      </c>
    </row>
    <row r="87" ht="15.75" customHeight="1">
      <c r="A87" s="109" t="inlineStr">
        <is>
          <t>TOTAL DE SACOLAS</t>
        </is>
      </c>
      <c r="B87" s="110">
        <f>B84</f>
        <v/>
      </c>
      <c r="C87" s="110">
        <f>C84</f>
        <v/>
      </c>
      <c r="D87" s="110">
        <f>D84</f>
        <v/>
      </c>
      <c r="E87" s="110">
        <f>E84</f>
        <v/>
      </c>
      <c r="F87" s="110">
        <f>F84</f>
        <v/>
      </c>
      <c r="G87" s="110">
        <f>G84</f>
        <v/>
      </c>
      <c r="H87" s="110">
        <f>H84</f>
        <v/>
      </c>
      <c r="I87" s="110">
        <f>I84</f>
        <v/>
      </c>
      <c r="J87" s="272">
        <f>J84</f>
        <v/>
      </c>
      <c r="K87" s="271">
        <f>D84+I84</f>
        <v/>
      </c>
    </row>
  </sheetData>
  <mergeCells count="66">
    <mergeCell ref="B42:D42"/>
    <mergeCell ref="J82:J83"/>
    <mergeCell ref="E50:I50"/>
    <mergeCell ref="K26:K27"/>
    <mergeCell ref="E42:I42"/>
    <mergeCell ref="J34:J35"/>
    <mergeCell ref="A73:K73"/>
    <mergeCell ref="A49:K49"/>
    <mergeCell ref="J74:J75"/>
    <mergeCell ref="B82:D82"/>
    <mergeCell ref="A50:A51"/>
    <mergeCell ref="A1:K1"/>
    <mergeCell ref="A66:A67"/>
    <mergeCell ref="K50:K51"/>
    <mergeCell ref="B34:D34"/>
    <mergeCell ref="B10:D10"/>
    <mergeCell ref="E82:I82"/>
    <mergeCell ref="A74:A75"/>
    <mergeCell ref="A26:A27"/>
    <mergeCell ref="E10:I10"/>
    <mergeCell ref="A25:K25"/>
    <mergeCell ref="A41:K41"/>
    <mergeCell ref="A65:K65"/>
    <mergeCell ref="B74:D74"/>
    <mergeCell ref="A2:A3"/>
    <mergeCell ref="A18:A19"/>
    <mergeCell ref="K82:K83"/>
    <mergeCell ref="K2:K3"/>
    <mergeCell ref="K18:K19"/>
    <mergeCell ref="E74:I74"/>
    <mergeCell ref="J26:J27"/>
    <mergeCell ref="K58:K59"/>
    <mergeCell ref="E34:I34"/>
    <mergeCell ref="J66:J67"/>
    <mergeCell ref="J18:J19"/>
    <mergeCell ref="A42:A43"/>
    <mergeCell ref="E2:I2"/>
    <mergeCell ref="B50:D50"/>
    <mergeCell ref="B26:D26"/>
    <mergeCell ref="A33:K33"/>
    <mergeCell ref="K42:K43"/>
    <mergeCell ref="J50:J51"/>
    <mergeCell ref="A57:K57"/>
    <mergeCell ref="K66:K67"/>
    <mergeCell ref="A10:A11"/>
    <mergeCell ref="E18:I18"/>
    <mergeCell ref="A17:K17"/>
    <mergeCell ref="J2:J3"/>
    <mergeCell ref="E26:I26"/>
    <mergeCell ref="K10:K11"/>
    <mergeCell ref="K34:K35"/>
    <mergeCell ref="J58:J59"/>
    <mergeCell ref="A9:K9"/>
    <mergeCell ref="B66:D66"/>
    <mergeCell ref="A34:A35"/>
    <mergeCell ref="A81:K81"/>
    <mergeCell ref="B18:D18"/>
    <mergeCell ref="J42:J43"/>
    <mergeCell ref="B58:D58"/>
    <mergeCell ref="E66:I66"/>
    <mergeCell ref="K74:K75"/>
    <mergeCell ref="A58:A59"/>
    <mergeCell ref="A82:A83"/>
    <mergeCell ref="B2:D2"/>
    <mergeCell ref="E58:I58"/>
    <mergeCell ref="J10:J11"/>
  </mergeCells>
  <pageMargins left="0.511811024" right="0.511811024" top="0.787401575" bottom="0.787401575" header="0.31496062" footer="0.31496062"/>
  <pageSetup orientation="portrait" paperSize="9"/>
</worksheet>
</file>

<file path=xl/worksheets/sheet37.xml><?xml version="1.0" encoding="utf-8"?>
<worksheet xmlns="http://schemas.openxmlformats.org/spreadsheetml/2006/main">
  <sheetPr codeName="Planilha11">
    <tabColor theme="4"/>
    <outlinePr summaryBelow="1" summaryRight="1"/>
    <pageSetUpPr fitToPage="1"/>
  </sheetPr>
  <dimension ref="A4:O56"/>
  <sheetViews>
    <sheetView zoomScale="90" zoomScaleNormal="90" workbookViewId="0">
      <selection activeCell="Q54" sqref="Q54"/>
    </sheetView>
  </sheetViews>
  <sheetFormatPr baseColWidth="8" defaultRowHeight="15"/>
  <cols>
    <col width="51.28515625" bestFit="1" customWidth="1" min="1" max="1"/>
    <col hidden="1" width="6.42578125" customWidth="1" min="2" max="2"/>
    <col hidden="1" width="13.42578125" customWidth="1" min="3" max="3"/>
    <col hidden="1" width="20.42578125" customWidth="1" min="4" max="4"/>
    <col width="10.7109375" customWidth="1" min="5" max="13"/>
  </cols>
  <sheetData>
    <row r="1" ht="21.75" customHeight="1"/>
    <row r="2" ht="21.75" customHeight="1"/>
    <row r="3" ht="21.75" customHeight="1" thickBot="1"/>
    <row r="4" ht="21.75" customHeight="1" thickBot="1">
      <c r="A4" s="42" t="inlineStr">
        <is>
          <t>Descrição</t>
        </is>
      </c>
      <c r="B4" s="715" t="inlineStr">
        <is>
          <t>Qte</t>
        </is>
      </c>
      <c r="C4" s="716" t="inlineStr">
        <is>
          <t xml:space="preserve">R$ </t>
        </is>
      </c>
      <c r="E4" s="229" t="inlineStr">
        <is>
          <t>JSH</t>
        </is>
      </c>
      <c r="F4" s="230" t="inlineStr">
        <is>
          <t>BB</t>
        </is>
      </c>
      <c r="G4" s="230" t="inlineStr">
        <is>
          <t>JD</t>
        </is>
      </c>
      <c r="H4" s="230" t="inlineStr">
        <is>
          <t>CONF</t>
        </is>
      </c>
      <c r="I4" s="230" t="inlineStr">
        <is>
          <t>JC</t>
        </is>
      </c>
      <c r="J4" s="230" t="inlineStr">
        <is>
          <t>SM</t>
        </is>
      </c>
      <c r="K4" s="230" t="inlineStr">
        <is>
          <t>IT</t>
        </is>
      </c>
      <c r="L4" s="230" t="inlineStr">
        <is>
          <t>BR</t>
        </is>
      </c>
      <c r="M4" s="231" t="inlineStr">
        <is>
          <t>DC</t>
        </is>
      </c>
    </row>
    <row r="5" ht="21" customHeight="1">
      <c r="A5" s="20" t="inlineStr">
        <is>
          <t>SACOLAS PP</t>
        </is>
      </c>
      <c r="B5" s="4" t="n"/>
      <c r="C5" s="5" t="n"/>
      <c r="D5" s="12" t="n"/>
      <c r="E5" s="228" t="n">
        <v>11722</v>
      </c>
      <c r="F5" s="228" t="n">
        <v>12066</v>
      </c>
      <c r="G5" s="228" t="n">
        <v>14446</v>
      </c>
      <c r="H5" s="228" t="n">
        <v>14553</v>
      </c>
      <c r="I5" s="228" t="n">
        <v>3822</v>
      </c>
      <c r="J5" s="228" t="n">
        <v>4612</v>
      </c>
      <c r="K5" s="228" t="n">
        <v>6942</v>
      </c>
      <c r="L5" s="228" t="n">
        <v>6954</v>
      </c>
      <c r="M5" s="228" t="n">
        <v>7529</v>
      </c>
    </row>
    <row r="6" ht="25.5" customHeight="1">
      <c r="A6" s="21" t="inlineStr">
        <is>
          <t>SACOLA PP VERDE</t>
        </is>
      </c>
      <c r="B6" s="38" t="n"/>
      <c r="C6" s="717" t="n">
        <v>127.82</v>
      </c>
      <c r="D6" s="46" t="inlineStr">
        <is>
          <t>13018337-0001</t>
        </is>
      </c>
      <c r="E6" s="39">
        <f>'JSH 11722'!AG8</f>
        <v/>
      </c>
      <c r="F6" s="39">
        <f>'BB 12066'!AG8</f>
        <v/>
      </c>
      <c r="G6" s="39">
        <f>'JD 14446'!AF8</f>
        <v/>
      </c>
      <c r="H6" s="39">
        <f>'CONF 14553'!AF8</f>
        <v/>
      </c>
      <c r="I6" s="39">
        <f>'JC 3822'!AG8</f>
        <v/>
      </c>
      <c r="J6" s="39">
        <f>'SM 23048'!AF8</f>
        <v/>
      </c>
      <c r="K6" s="39">
        <f>'IT 6942'!AF8</f>
        <v/>
      </c>
      <c r="L6" s="39">
        <f>'BR 6954'!AG8</f>
        <v/>
      </c>
      <c r="M6" s="39">
        <f>'DC 7529'!AF8</f>
        <v/>
      </c>
    </row>
    <row r="7" ht="25.5" customHeight="1">
      <c r="A7" s="21" t="inlineStr">
        <is>
          <t>SACOLA P VERDE</t>
        </is>
      </c>
      <c r="B7" s="38" t="n"/>
      <c r="C7" s="717" t="n">
        <v>118.73</v>
      </c>
      <c r="D7" s="48" t="inlineStr">
        <is>
          <t>13018341-0001</t>
        </is>
      </c>
      <c r="E7" s="39">
        <f>'JSH 11722'!AG9</f>
        <v/>
      </c>
      <c r="F7" s="39">
        <f>'BB 12066'!AG9</f>
        <v/>
      </c>
      <c r="G7" s="39">
        <f>'JD 14446'!AF9</f>
        <v/>
      </c>
      <c r="H7" s="39">
        <f>'CONF 14553'!AF9</f>
        <v/>
      </c>
      <c r="I7" s="39">
        <f>'JC 3822'!AG9</f>
        <v/>
      </c>
      <c r="J7" s="39">
        <f>'SM 23048'!AF9</f>
        <v/>
      </c>
      <c r="K7" s="39">
        <f>'IT 6942'!AF9</f>
        <v/>
      </c>
      <c r="L7" s="39">
        <f>'BR 6954'!AG9</f>
        <v/>
      </c>
      <c r="M7" s="39">
        <f>'DC 7529'!AF9</f>
        <v/>
      </c>
    </row>
    <row r="8" ht="25.5" customHeight="1">
      <c r="A8" s="21" t="inlineStr">
        <is>
          <t>SACOLA M VERDE</t>
        </is>
      </c>
      <c r="B8" s="38" t="n"/>
      <c r="C8" s="717" t="n">
        <v>145.85</v>
      </c>
      <c r="D8" s="46" t="inlineStr">
        <is>
          <t>13018344-0001</t>
        </is>
      </c>
      <c r="E8" s="39">
        <f>'JSH 11722'!AG10</f>
        <v/>
      </c>
      <c r="F8" s="39">
        <f>'BB 12066'!AG10</f>
        <v/>
      </c>
      <c r="G8" s="39">
        <f>'JD 14446'!AF10</f>
        <v/>
      </c>
      <c r="H8" s="39">
        <f>'CONF 14553'!AF10</f>
        <v/>
      </c>
      <c r="I8" s="39">
        <f>'JC 3822'!AG10</f>
        <v/>
      </c>
      <c r="J8" s="39">
        <f>'SM 23048'!AF10</f>
        <v/>
      </c>
      <c r="K8" s="39">
        <f>'IT 6942'!AF10</f>
        <v/>
      </c>
      <c r="L8" s="39">
        <f>'BR 6954'!AG10</f>
        <v/>
      </c>
      <c r="M8" s="39">
        <f>'DC 7529'!AF10</f>
        <v/>
      </c>
    </row>
    <row r="9" ht="25.5" customHeight="1">
      <c r="A9" s="22" t="inlineStr">
        <is>
          <t>SACOLA G VERDE</t>
        </is>
      </c>
      <c r="B9" s="38" t="n"/>
      <c r="C9" s="718" t="n">
        <v>139.57</v>
      </c>
      <c r="D9" s="50" t="inlineStr">
        <is>
          <t>13018348-0001</t>
        </is>
      </c>
      <c r="E9" s="39">
        <f>'JSH 11722'!AG11</f>
        <v/>
      </c>
      <c r="F9" s="39">
        <f>'BB 12066'!AG11</f>
        <v/>
      </c>
      <c r="G9" s="39">
        <f>'JD 14446'!AF11</f>
        <v/>
      </c>
      <c r="H9" s="39">
        <f>'CONF 14553'!AF11</f>
        <v/>
      </c>
      <c r="I9" s="39">
        <f>'JC 3822'!AG11</f>
        <v/>
      </c>
      <c r="J9" s="39">
        <f>'SM 23048'!AF11</f>
        <v/>
      </c>
      <c r="K9" s="39">
        <f>'IT 6942'!AF11</f>
        <v/>
      </c>
      <c r="L9" s="39">
        <f>'BR 6954'!AG11</f>
        <v/>
      </c>
      <c r="M9" s="39">
        <f>'DC 7529'!AF11</f>
        <v/>
      </c>
    </row>
    <row r="10" ht="18.75" customHeight="1">
      <c r="A10" s="51" t="inlineStr">
        <is>
          <t>CAIXAS LOJAS</t>
        </is>
      </c>
      <c r="B10" s="47" t="n"/>
      <c r="C10" s="719" t="n"/>
      <c r="D10" s="54" t="n"/>
      <c r="E10" s="545" t="n"/>
      <c r="F10" s="545" t="n"/>
      <c r="G10" s="545" t="n"/>
      <c r="H10" s="545" t="n"/>
      <c r="I10" s="545" t="n"/>
      <c r="J10" s="547" t="n"/>
      <c r="K10" s="545" t="n"/>
      <c r="L10" s="545" t="n"/>
      <c r="M10" s="547" t="n"/>
    </row>
    <row r="11" ht="18.75" customHeight="1">
      <c r="A11" s="25" t="inlineStr">
        <is>
          <t>CAIXA P VERDE</t>
        </is>
      </c>
      <c r="B11" s="38" t="n">
        <v>100</v>
      </c>
      <c r="C11" s="720" t="n">
        <v>177.02</v>
      </c>
      <c r="D11" s="49" t="inlineStr">
        <is>
          <t>11039799-0001</t>
        </is>
      </c>
      <c r="E11" s="354">
        <f>'JSH 11722'!AG20</f>
        <v/>
      </c>
      <c r="F11" s="354">
        <f>'BB 12066'!AG20</f>
        <v/>
      </c>
      <c r="G11" s="354">
        <f>'JD 14446'!AF20</f>
        <v/>
      </c>
      <c r="H11" s="354">
        <f>'CONF 14553'!AF20</f>
        <v/>
      </c>
      <c r="I11" s="354">
        <f>'JC 3822'!AG20</f>
        <v/>
      </c>
      <c r="J11" s="354">
        <f>'SM 23048'!AF20</f>
        <v/>
      </c>
      <c r="K11" s="354">
        <f>'IT 6942'!AF20</f>
        <v/>
      </c>
      <c r="L11" s="354">
        <f>'BR 6954'!AG20</f>
        <v/>
      </c>
      <c r="M11" s="354">
        <f>'DC 7529'!AF20</f>
        <v/>
      </c>
    </row>
    <row r="12" ht="18.75" customHeight="1">
      <c r="A12" s="25" t="inlineStr">
        <is>
          <t>CAIXA M VERDE</t>
        </is>
      </c>
      <c r="B12" s="50" t="n">
        <v>100</v>
      </c>
      <c r="C12" s="720" t="n">
        <v>232.14</v>
      </c>
      <c r="D12" s="45" t="inlineStr">
        <is>
          <t>11039802-0001</t>
        </is>
      </c>
      <c r="E12" s="354">
        <f>'JSH 11722'!AG21</f>
        <v/>
      </c>
      <c r="F12" s="354">
        <f>'BB 12066'!AG21</f>
        <v/>
      </c>
      <c r="G12" s="354">
        <f>'JD 14446'!AF21</f>
        <v/>
      </c>
      <c r="H12" s="354">
        <f>'CONF 14553'!AF21</f>
        <v/>
      </c>
      <c r="I12" s="354">
        <f>'JC 3822'!AG21</f>
        <v/>
      </c>
      <c r="J12" s="354">
        <f>'SM 23048'!AF21</f>
        <v/>
      </c>
      <c r="K12" s="354">
        <f>'IT 6942'!AF21</f>
        <v/>
      </c>
      <c r="L12" s="354">
        <f>'BR 6954'!AG21</f>
        <v/>
      </c>
      <c r="M12" s="354">
        <f>'DC 7529'!AF21</f>
        <v/>
      </c>
    </row>
    <row r="13" ht="18.75" customHeight="1">
      <c r="A13" s="58" t="inlineStr">
        <is>
          <t>CAIXA G VERDE</t>
        </is>
      </c>
      <c r="B13" s="48" t="n">
        <v>50</v>
      </c>
      <c r="C13" s="720" t="n">
        <v>225.25</v>
      </c>
      <c r="D13" s="46" t="inlineStr">
        <is>
          <t>11039805-0001</t>
        </is>
      </c>
      <c r="E13" s="354">
        <f>'JSH 11722'!AG22</f>
        <v/>
      </c>
      <c r="F13" s="354">
        <f>'BB 12066'!AG22</f>
        <v/>
      </c>
      <c r="G13" s="354">
        <f>'JD 14446'!AF22</f>
        <v/>
      </c>
      <c r="H13" s="354">
        <f>'CONF 14553'!AF22</f>
        <v/>
      </c>
      <c r="I13" s="354">
        <f>'JC 3822'!AG22</f>
        <v/>
      </c>
      <c r="J13" s="354">
        <f>'SM 23048'!AF22</f>
        <v/>
      </c>
      <c r="K13" s="354">
        <f>'IT 6942'!AF22</f>
        <v/>
      </c>
      <c r="L13" s="354">
        <f>'BR 6954'!AG22</f>
        <v/>
      </c>
      <c r="M13" s="354">
        <f>'DC 7529'!AF22</f>
        <v/>
      </c>
    </row>
    <row r="14" ht="18.75" customHeight="1">
      <c r="A14" s="58" t="inlineStr">
        <is>
          <t>CARTUCHO M VERDE</t>
        </is>
      </c>
      <c r="B14" s="284" t="n"/>
      <c r="C14" s="721" t="n"/>
      <c r="D14" s="286" t="n"/>
      <c r="E14" s="354">
        <f>'JSH 11722'!AG23</f>
        <v/>
      </c>
      <c r="F14" s="354">
        <f>'BB 12066'!AG23</f>
        <v/>
      </c>
      <c r="G14" s="354">
        <f>'JD 14446'!AF23</f>
        <v/>
      </c>
      <c r="H14" s="354">
        <f>'CONF 14553'!AF23</f>
        <v/>
      </c>
      <c r="I14" s="354">
        <f>'JC 3822'!AG23</f>
        <v/>
      </c>
      <c r="J14" s="354">
        <f>'SM 23048'!AF23</f>
        <v/>
      </c>
      <c r="K14" s="354">
        <f>'IT 6942'!AF23</f>
        <v/>
      </c>
      <c r="L14" s="354">
        <f>'BR 6954'!AG23</f>
        <v/>
      </c>
      <c r="M14" s="354">
        <f>'DC 7529'!AF23</f>
        <v/>
      </c>
    </row>
    <row r="15" ht="18.75" customHeight="1">
      <c r="A15" s="51" t="inlineStr">
        <is>
          <t>DIVERSOS P/ LOJA</t>
        </is>
      </c>
      <c r="B15" s="544" t="n"/>
      <c r="C15" s="722" t="n"/>
      <c r="D15" s="545" t="n"/>
      <c r="E15" s="545" t="n"/>
      <c r="F15" s="545" t="n"/>
      <c r="G15" s="545" t="n"/>
      <c r="H15" s="545" t="n"/>
      <c r="I15" s="545" t="n"/>
      <c r="J15" s="547" t="n"/>
      <c r="K15" s="545" t="n"/>
      <c r="L15" s="545" t="n"/>
      <c r="M15" s="547" t="n"/>
    </row>
    <row r="16" ht="18.75" customHeight="1">
      <c r="A16" s="25" t="inlineStr">
        <is>
          <t xml:space="preserve">PAPEL DE SEDA </t>
        </is>
      </c>
      <c r="B16" s="38" t="n">
        <v>500</v>
      </c>
      <c r="C16" s="720" t="n">
        <v>75.08</v>
      </c>
      <c r="D16" s="49" t="inlineStr">
        <is>
          <t>15004219-0001</t>
        </is>
      </c>
      <c r="E16" s="418">
        <f>'JSH 11722'!AG14</f>
        <v/>
      </c>
      <c r="F16" s="354">
        <f>'BB 12066'!AG14</f>
        <v/>
      </c>
      <c r="G16" s="354">
        <f>'JD 14446'!AF14</f>
        <v/>
      </c>
      <c r="H16" s="354">
        <f>'CONF 14553'!AF14</f>
        <v/>
      </c>
      <c r="I16" s="354">
        <f>'JC 3822'!AG14</f>
        <v/>
      </c>
      <c r="J16" s="354">
        <f>'SM 23048'!AF14</f>
        <v/>
      </c>
      <c r="K16" s="354">
        <f>'IT 6942'!AF14</f>
        <v/>
      </c>
      <c r="L16" s="354">
        <f>'BR 6954'!AG14</f>
        <v/>
      </c>
      <c r="M16" s="354">
        <f>'DC 7529'!AF14</f>
        <v/>
      </c>
    </row>
    <row r="17" ht="18.75" customHeight="1">
      <c r="A17" s="25" t="inlineStr">
        <is>
          <t xml:space="preserve">ETIQUETAS ROLO 35X35 </t>
        </is>
      </c>
      <c r="B17" s="50" t="n">
        <v>2000</v>
      </c>
      <c r="C17" s="723" t="n">
        <v>41.6</v>
      </c>
      <c r="D17" s="45" t="inlineStr">
        <is>
          <t>15004204-0001</t>
        </is>
      </c>
      <c r="E17" s="418">
        <f>'JSH 11722'!AG15</f>
        <v/>
      </c>
      <c r="F17" s="354">
        <f>'BB 12066'!AG15</f>
        <v/>
      </c>
      <c r="G17" s="354">
        <f>'JD 14446'!AF15</f>
        <v/>
      </c>
      <c r="H17" s="354">
        <f>'CONF 14553'!AF15</f>
        <v/>
      </c>
      <c r="I17" s="354">
        <f>'JC 3822'!AG15</f>
        <v/>
      </c>
      <c r="J17" s="354">
        <f>'SM 23048'!AF15</f>
        <v/>
      </c>
      <c r="K17" s="354">
        <f>'IT 6942'!AF15</f>
        <v/>
      </c>
      <c r="L17" s="354">
        <f>'BR 6954'!AG15</f>
        <v/>
      </c>
      <c r="M17" s="354">
        <f>'DC 7529'!AF15</f>
        <v/>
      </c>
    </row>
    <row r="18" ht="18.75" customHeight="1">
      <c r="A18" s="25" t="inlineStr">
        <is>
          <t xml:space="preserve">TAGS </t>
        </is>
      </c>
      <c r="B18" s="50" t="n">
        <v>200</v>
      </c>
      <c r="C18" s="723" t="n">
        <v>7.72</v>
      </c>
      <c r="D18" s="45" t="inlineStr">
        <is>
          <t>13014467-0001</t>
        </is>
      </c>
      <c r="E18" s="418">
        <f>'JSH 11722'!AG16</f>
        <v/>
      </c>
      <c r="F18" s="354">
        <f>'BB 12066'!AG16</f>
        <v/>
      </c>
      <c r="G18" s="354">
        <f>'JD 14446'!AF16</f>
        <v/>
      </c>
      <c r="H18" s="354">
        <f>'CONF 14553'!AF16</f>
        <v/>
      </c>
      <c r="I18" s="354">
        <f>'JC 3822'!AG16</f>
        <v/>
      </c>
      <c r="J18" s="354">
        <f>'SM 23048'!AF16</f>
        <v/>
      </c>
      <c r="K18" s="354">
        <f>'IT 6942'!AF16</f>
        <v/>
      </c>
      <c r="L18" s="354">
        <f>'BR 6954'!AG16</f>
        <v/>
      </c>
      <c r="M18" s="354">
        <f>'DC 7529'!AF16</f>
        <v/>
      </c>
    </row>
    <row r="19" ht="19.5" customHeight="1" thickBot="1">
      <c r="A19" s="25" t="inlineStr">
        <is>
          <t>LÂMINA OLFATIVA</t>
        </is>
      </c>
      <c r="B19" s="50" t="n">
        <v>3000</v>
      </c>
      <c r="C19" s="723" t="n">
        <v>62.46</v>
      </c>
      <c r="D19" s="45" t="inlineStr">
        <is>
          <t>13012369-0001</t>
        </is>
      </c>
      <c r="E19" s="418">
        <f>'JSH 11722'!AG17</f>
        <v/>
      </c>
      <c r="F19" s="354">
        <f>'BB 12066'!AG17</f>
        <v/>
      </c>
      <c r="G19" s="354">
        <f>'JD 14446'!AF17</f>
        <v/>
      </c>
      <c r="H19" s="354">
        <f>'CONF 14553'!AF17</f>
        <v/>
      </c>
      <c r="I19" s="354">
        <f>'JC 3822'!AG17</f>
        <v/>
      </c>
      <c r="J19" s="354">
        <f>'SM 23048'!AF17</f>
        <v/>
      </c>
      <c r="K19" s="354">
        <f>'IT 6942'!AF17</f>
        <v/>
      </c>
      <c r="L19" s="354">
        <f>'BR 6954'!AG17</f>
        <v/>
      </c>
      <c r="M19" s="354">
        <f>'DC 7529'!AF17</f>
        <v/>
      </c>
    </row>
    <row r="20" ht="18.75" customHeight="1">
      <c r="A20" s="140" t="n"/>
      <c r="B20" s="141" t="n"/>
      <c r="C20" s="142" t="n"/>
      <c r="D20" s="142" t="n"/>
      <c r="E20" s="143" t="n"/>
      <c r="F20" s="143" t="n"/>
      <c r="G20" s="143" t="n"/>
      <c r="H20" s="143" t="n"/>
      <c r="I20" s="143" t="n"/>
      <c r="J20" s="143" t="n"/>
      <c r="K20" s="143" t="n"/>
      <c r="L20" s="143" t="n"/>
      <c r="M20" s="143" t="n"/>
    </row>
    <row r="21" ht="18.75" customHeight="1">
      <c r="A21" s="12" t="inlineStr">
        <is>
          <t>CDJ E ERJ</t>
        </is>
      </c>
      <c r="B21" s="625" t="n"/>
      <c r="C21" s="625" t="n"/>
      <c r="D21" s="625" t="n"/>
      <c r="E21" s="625" t="n"/>
      <c r="F21" s="625" t="n"/>
      <c r="G21" s="625" t="n"/>
      <c r="H21" s="625" t="n"/>
      <c r="I21" s="625" t="n"/>
      <c r="J21" s="625" t="n"/>
      <c r="K21" s="625" t="n"/>
      <c r="L21" s="625" t="n"/>
      <c r="M21" s="641" t="n"/>
    </row>
    <row r="22" ht="19.5" customHeight="1">
      <c r="A22" s="68" t="inlineStr">
        <is>
          <t>SACOLAS BOTICÁRIO</t>
        </is>
      </c>
      <c r="B22" s="5" t="n"/>
      <c r="C22" s="5" t="n"/>
      <c r="D22" s="295" t="inlineStr">
        <is>
          <t>jau</t>
        </is>
      </c>
      <c r="E22" s="296" t="n">
        <v>23091</v>
      </c>
      <c r="F22" s="296" t="n">
        <v>22838</v>
      </c>
      <c r="G22" s="296" t="n">
        <v>24137</v>
      </c>
      <c r="I22" s="550" t="inlineStr">
        <is>
          <t>SACOLA OUI</t>
        </is>
      </c>
      <c r="J22" s="625" t="n"/>
      <c r="K22" s="625" t="n"/>
      <c r="L22" s="625" t="n"/>
      <c r="M22" s="180" t="n">
        <v>23091</v>
      </c>
      <c r="N22" s="180" t="n">
        <v>22838</v>
      </c>
      <c r="O22" s="180" t="n">
        <v>24137</v>
      </c>
    </row>
    <row r="23" ht="25.5" customHeight="1">
      <c r="A23" s="25" t="inlineStr">
        <is>
          <t>SACOLA PP VERDE</t>
        </is>
      </c>
      <c r="B23" s="50" t="n"/>
      <c r="C23" s="724" t="n">
        <v>127.82</v>
      </c>
      <c r="D23" s="45" t="inlineStr">
        <is>
          <t>13018337-0002</t>
        </is>
      </c>
      <c r="E23" s="39">
        <f>'CDJ 23091'!AG8</f>
        <v/>
      </c>
      <c r="F23" s="39">
        <f>'ERJ 22838'!AH8</f>
        <v/>
      </c>
      <c r="G23" s="39">
        <f>'ER SM 24137'!AH8</f>
        <v/>
      </c>
      <c r="I23" s="549">
        <f>'[1]CDJ 23091'!A33</f>
        <v/>
      </c>
      <c r="J23" s="625" t="n"/>
      <c r="K23" s="625" t="n"/>
      <c r="L23" s="641" t="n"/>
      <c r="M23" s="178">
        <f>'CDJ 23091'!AG33</f>
        <v/>
      </c>
      <c r="N23" s="39">
        <f>'ERJ 22838'!AH46</f>
        <v/>
      </c>
      <c r="O23" s="39">
        <f>'ER SM 24137'!AH41</f>
        <v/>
      </c>
    </row>
    <row r="24" ht="25.5" customHeight="1">
      <c r="A24" s="25" t="inlineStr">
        <is>
          <t>SACOLA P VERDE</t>
        </is>
      </c>
      <c r="B24" s="50" t="n"/>
      <c r="C24" s="724" t="n">
        <v>110.96</v>
      </c>
      <c r="D24" s="50" t="inlineStr">
        <is>
          <t>13018341-0002</t>
        </is>
      </c>
      <c r="E24" s="39">
        <f>'CDJ 23091'!AG9</f>
        <v/>
      </c>
      <c r="F24" s="39">
        <f>'ERJ 22838'!AH9</f>
        <v/>
      </c>
      <c r="G24" s="39">
        <f>'ER SM 24137'!AH9</f>
        <v/>
      </c>
      <c r="I24" s="549">
        <f>'[1]CDJ 23091'!A34</f>
        <v/>
      </c>
      <c r="J24" s="625" t="n"/>
      <c r="K24" s="625" t="n"/>
      <c r="L24" s="641" t="n"/>
      <c r="M24" s="178">
        <f>'CDJ 23091'!AG34</f>
        <v/>
      </c>
      <c r="N24" s="39">
        <f>'ERJ 22838'!AH47</f>
        <v/>
      </c>
      <c r="O24" s="39">
        <f>'ER SM 24137'!AH42</f>
        <v/>
      </c>
    </row>
    <row r="25" ht="25.5" customHeight="1">
      <c r="A25" s="25" t="inlineStr">
        <is>
          <t>SACOLA M VERDE</t>
        </is>
      </c>
      <c r="B25" s="50" t="n"/>
      <c r="C25" s="724" t="n">
        <v>145.85</v>
      </c>
      <c r="D25" s="45" t="inlineStr">
        <is>
          <t>13018344-0002</t>
        </is>
      </c>
      <c r="E25" s="39">
        <f>'CDJ 23091'!AG10</f>
        <v/>
      </c>
      <c r="F25" s="39">
        <f>'ERJ 22838'!AH10</f>
        <v/>
      </c>
      <c r="G25" s="39">
        <f>'ER SM 24137'!AH10</f>
        <v/>
      </c>
      <c r="I25" s="549">
        <f>'[1]CDJ 23091'!A35</f>
        <v/>
      </c>
      <c r="J25" s="625" t="n"/>
      <c r="K25" s="625" t="n"/>
      <c r="L25" s="641" t="n"/>
      <c r="M25" s="178">
        <f>'CDJ 23091'!AG35</f>
        <v/>
      </c>
      <c r="N25" s="39">
        <f>'ERJ 22838'!AH48</f>
        <v/>
      </c>
      <c r="O25" s="39">
        <f>'ER SM 24137'!AH43</f>
        <v/>
      </c>
    </row>
    <row r="26" ht="25.5" customHeight="1">
      <c r="A26" s="25" t="inlineStr">
        <is>
          <t>SACOLA G VERDE</t>
        </is>
      </c>
      <c r="B26" s="50" t="n"/>
      <c r="C26" s="724" t="n">
        <v>130.44</v>
      </c>
      <c r="D26" s="45" t="inlineStr">
        <is>
          <t>13018348-0002</t>
        </is>
      </c>
      <c r="E26" s="39">
        <f>'CDJ 23091'!AG11</f>
        <v/>
      </c>
      <c r="F26" s="39">
        <f>'ERJ 22838'!AH11</f>
        <v/>
      </c>
      <c r="G26" s="39">
        <f>'ER SM 24137'!AH11</f>
        <v/>
      </c>
      <c r="I26" s="549">
        <f>'[1]CDJ 23091'!A39</f>
        <v/>
      </c>
      <c r="J26" s="625" t="n"/>
      <c r="K26" s="625" t="n"/>
      <c r="L26" s="641" t="n"/>
      <c r="M26" s="178">
        <f>'CDJ 23091'!AG39</f>
        <v/>
      </c>
      <c r="N26" s="39">
        <f>'ERJ 22838'!AH55</f>
        <v/>
      </c>
      <c r="O26" s="39">
        <f>'ER SM 24137'!AH50</f>
        <v/>
      </c>
    </row>
    <row r="27" ht="25.5" customHeight="1">
      <c r="A27" s="548" t="inlineStr">
        <is>
          <t>SACOLA KRAFT</t>
        </is>
      </c>
      <c r="B27" s="625" t="n"/>
      <c r="C27" s="625" t="n"/>
      <c r="D27" s="625" t="n"/>
      <c r="E27" s="641" t="n"/>
      <c r="F27" s="548" t="n"/>
      <c r="G27" s="548" t="n"/>
      <c r="I27" s="549">
        <f>'[1]CDJ 23091'!A40</f>
        <v/>
      </c>
      <c r="J27" s="625" t="n"/>
      <c r="K27" s="625" t="n"/>
      <c r="L27" s="641" t="n"/>
      <c r="M27" s="178">
        <f>'CDJ 23091'!AG40</f>
        <v/>
      </c>
      <c r="N27" s="39">
        <f>'ERJ 22838'!AH56</f>
        <v/>
      </c>
      <c r="O27" s="39">
        <f>'ER SM 24137'!AH51</f>
        <v/>
      </c>
    </row>
    <row r="28" ht="25.5" customHeight="1">
      <c r="A28" s="549" t="inlineStr">
        <is>
          <t>SACOLA KRAFT M PARDA</t>
        </is>
      </c>
      <c r="B28" s="625" t="n"/>
      <c r="C28" s="625" t="n"/>
      <c r="D28" s="641" t="n"/>
      <c r="E28" s="39" t="n">
        <v>0</v>
      </c>
      <c r="F28" s="39">
        <f>'ERJ 22838'!AH12</f>
        <v/>
      </c>
      <c r="G28" s="39">
        <f>'ER SM 24137'!AH12</f>
        <v/>
      </c>
      <c r="I28" s="549">
        <f>'[1]CDJ 23091'!A41</f>
        <v/>
      </c>
      <c r="J28" s="625" t="n"/>
      <c r="K28" s="625" t="n"/>
      <c r="L28" s="641" t="n"/>
      <c r="M28" s="178">
        <f>'CDJ 23091'!AG41</f>
        <v/>
      </c>
      <c r="N28" s="39">
        <f>'ERJ 22838'!AH57</f>
        <v/>
      </c>
      <c r="O28" s="39">
        <f>'ER SM 24137'!AH52</f>
        <v/>
      </c>
    </row>
    <row r="29" ht="25.5" customHeight="1">
      <c r="A29" s="549" t="inlineStr">
        <is>
          <t>SACOLA KRAFT G PARDA</t>
        </is>
      </c>
      <c r="B29" s="625" t="n"/>
      <c r="C29" s="625" t="n"/>
      <c r="D29" s="641" t="n"/>
      <c r="E29" s="39" t="n">
        <v>0</v>
      </c>
      <c r="F29" s="39">
        <f>'ERJ 22838'!AH13</f>
        <v/>
      </c>
      <c r="G29" s="39">
        <f>'ER SM 24137'!AH13</f>
        <v/>
      </c>
      <c r="I29" s="549" t="inlineStr">
        <is>
          <t>PAPEL DE SEDA OUI</t>
        </is>
      </c>
      <c r="J29" s="625" t="n"/>
      <c r="K29" s="625" t="n"/>
      <c r="L29" s="641" t="n"/>
      <c r="M29" s="178" t="n">
        <v>0</v>
      </c>
      <c r="N29" s="39">
        <f>'ERJ 22838'!AH49</f>
        <v/>
      </c>
      <c r="O29" s="39">
        <f>'ER SM 24137'!AH44</f>
        <v/>
      </c>
    </row>
    <row r="30" ht="25.5" customHeight="1">
      <c r="A30" s="548" t="inlineStr">
        <is>
          <t>DIVERSOS P/ VD</t>
        </is>
      </c>
      <c r="B30" s="8" t="n"/>
      <c r="C30" s="8" t="n"/>
      <c r="D30" s="8" t="n"/>
      <c r="E30" s="179" t="n"/>
      <c r="F30" s="179" t="n"/>
      <c r="G30" s="179" t="n"/>
      <c r="I30" s="549" t="inlineStr">
        <is>
          <t>ETIQUETA OUI</t>
        </is>
      </c>
      <c r="J30" s="625" t="n"/>
      <c r="K30" s="625" t="n"/>
      <c r="L30" s="641" t="n"/>
      <c r="M30" s="178" t="n">
        <v>0</v>
      </c>
      <c r="N30" s="39">
        <f>'ERJ 22838'!AH50</f>
        <v/>
      </c>
      <c r="O30" s="39">
        <f>'ER SM 24137'!AH45</f>
        <v/>
      </c>
    </row>
    <row r="31" ht="25.5" customHeight="1">
      <c r="A31" s="549" t="inlineStr">
        <is>
          <t>PAPEL DE SEDA</t>
        </is>
      </c>
      <c r="B31" s="50" t="n"/>
      <c r="C31" s="725" t="n">
        <v>432</v>
      </c>
      <c r="D31" s="45" t="inlineStr">
        <is>
          <t>11040788-0001</t>
        </is>
      </c>
      <c r="E31" s="6" t="n">
        <v>0</v>
      </c>
      <c r="F31" s="39">
        <f>'ERJ 22838'!AH16</f>
        <v/>
      </c>
      <c r="G31" s="6">
        <f>'ER SM 24137'!AH16</f>
        <v/>
      </c>
      <c r="I31" s="549" t="inlineStr">
        <is>
          <t>LÂMINA OUI</t>
        </is>
      </c>
      <c r="J31" s="625" t="n"/>
      <c r="K31" s="625" t="n"/>
      <c r="L31" s="641" t="n"/>
      <c r="M31" s="178" t="n">
        <v>0</v>
      </c>
      <c r="N31" s="39">
        <f>'ERJ 22838'!AH51</f>
        <v/>
      </c>
      <c r="O31" s="39">
        <f>'ER SM 24137'!AH46</f>
        <v/>
      </c>
    </row>
    <row r="32" ht="25.5" customHeight="1">
      <c r="A32" s="549" t="inlineStr">
        <is>
          <t>ROLO DE ETIQUETAS</t>
        </is>
      </c>
      <c r="B32" s="50" t="n"/>
      <c r="C32" s="725" t="n">
        <v>339</v>
      </c>
      <c r="D32" s="45" t="inlineStr">
        <is>
          <t>11040790-0001</t>
        </is>
      </c>
      <c r="E32" s="6" t="n">
        <v>0</v>
      </c>
      <c r="F32" s="39">
        <f>'ERJ 22838'!AH17</f>
        <v/>
      </c>
      <c r="G32" s="6">
        <f>'ER SM 24137'!AH17</f>
        <v/>
      </c>
      <c r="I32" s="549">
        <f>'[1]CDJ 23091'!A36</f>
        <v/>
      </c>
      <c r="J32" s="625" t="n"/>
      <c r="K32" s="625" t="n"/>
      <c r="L32" s="641" t="n"/>
      <c r="M32" s="178">
        <f>'CDJ 23091'!AG36</f>
        <v/>
      </c>
      <c r="N32" s="39">
        <f>'ERJ 22838'!AH52</f>
        <v/>
      </c>
      <c r="O32" s="39">
        <f>'ER SM 24137'!AH47</f>
        <v/>
      </c>
    </row>
    <row r="33" ht="25.5" customHeight="1">
      <c r="A33" s="549" t="inlineStr">
        <is>
          <t xml:space="preserve">TAG </t>
        </is>
      </c>
      <c r="B33" s="50" t="n"/>
      <c r="C33" s="725" t="n">
        <v>237.5</v>
      </c>
      <c r="D33" s="45" t="inlineStr">
        <is>
          <t>11040792-0001</t>
        </is>
      </c>
      <c r="E33" s="6" t="n">
        <v>0</v>
      </c>
      <c r="F33" s="39">
        <f>'ERJ 22838'!AH18</f>
        <v/>
      </c>
      <c r="G33" s="6">
        <f>'ER SM 24137'!AH18</f>
        <v/>
      </c>
      <c r="I33" s="150">
        <f>'[1]CDJ 23091'!A43</f>
        <v/>
      </c>
      <c r="J33" s="625" t="n"/>
      <c r="K33" s="625" t="n"/>
      <c r="L33" s="641" t="n"/>
      <c r="M33" s="150" t="n">
        <v>23091</v>
      </c>
      <c r="N33" s="150" t="n">
        <v>22838</v>
      </c>
      <c r="O33" s="150" t="n">
        <v>24137</v>
      </c>
    </row>
    <row r="34" ht="25.5" customHeight="1">
      <c r="A34" s="549" t="inlineStr">
        <is>
          <t>LÂMINA OLFATIVA</t>
        </is>
      </c>
      <c r="B34" s="50" t="n">
        <v>500</v>
      </c>
      <c r="C34" s="725" t="n">
        <v>130</v>
      </c>
      <c r="D34" s="45" t="inlineStr">
        <is>
          <t>15004262-0001</t>
        </is>
      </c>
      <c r="E34" s="6" t="n">
        <v>0</v>
      </c>
      <c r="F34" s="39">
        <f>'ERJ 22838'!AH19</f>
        <v/>
      </c>
      <c r="G34" s="6">
        <f>'ER SM 24137'!AH19</f>
        <v/>
      </c>
      <c r="I34" s="549">
        <f>'[1]CDJ 23091'!A44</f>
        <v/>
      </c>
      <c r="J34" s="625" t="n"/>
      <c r="K34" s="625" t="n"/>
      <c r="L34" s="641" t="n"/>
      <c r="M34" s="178" t="n">
        <v>0</v>
      </c>
      <c r="N34" s="178" t="n">
        <v>0</v>
      </c>
      <c r="O34" s="39" t="n">
        <v>0</v>
      </c>
    </row>
    <row r="35" ht="25.5" customHeight="1">
      <c r="A35" s="548" t="inlineStr">
        <is>
          <t xml:space="preserve">SACOLAS P/ VENDA UNITÁRIA </t>
        </is>
      </c>
      <c r="B35" s="625" t="n"/>
      <c r="C35" s="625" t="n"/>
      <c r="D35" s="625" t="n"/>
      <c r="E35" s="641" t="n"/>
      <c r="F35" s="548" t="n"/>
      <c r="G35" s="548" t="n"/>
      <c r="I35" s="549">
        <f>'[1]CDJ 23091'!A45</f>
        <v/>
      </c>
      <c r="J35" s="625" t="n"/>
      <c r="K35" s="625" t="n"/>
      <c r="L35" s="641" t="n"/>
      <c r="M35" s="178" t="n">
        <v>0</v>
      </c>
      <c r="N35" s="178" t="n">
        <v>0</v>
      </c>
      <c r="O35" s="39" t="n">
        <v>0</v>
      </c>
    </row>
    <row r="36" ht="25.5" customHeight="1">
      <c r="A36" s="25" t="inlineStr">
        <is>
          <t>SACOLA PP VERDE</t>
        </is>
      </c>
      <c r="B36" s="50" t="n"/>
      <c r="C36" s="724" t="n"/>
      <c r="D36" s="45" t="n"/>
      <c r="E36" s="39">
        <f>'CDJ 23091'!AG14</f>
        <v/>
      </c>
      <c r="F36" s="39">
        <f>'ERJ 22838'!AH22</f>
        <v/>
      </c>
      <c r="G36" s="39">
        <f>'ER SM 24137'!AH22</f>
        <v/>
      </c>
      <c r="I36" s="549">
        <f>'[1]CDJ 23091'!A46</f>
        <v/>
      </c>
      <c r="J36" s="625" t="n"/>
      <c r="K36" s="625" t="n"/>
      <c r="L36" s="641" t="n"/>
      <c r="M36" s="178" t="n">
        <v>0</v>
      </c>
      <c r="N36" s="178" t="n">
        <v>0</v>
      </c>
      <c r="O36" s="39" t="n">
        <v>0</v>
      </c>
    </row>
    <row r="37" ht="25.5" customHeight="1">
      <c r="A37" s="25" t="inlineStr">
        <is>
          <t>SACOLA P VERDE</t>
        </is>
      </c>
      <c r="B37" s="50" t="n"/>
      <c r="C37" s="724" t="n"/>
      <c r="D37" s="45" t="n"/>
      <c r="E37" s="39">
        <f>'CDJ 23091'!AG15</f>
        <v/>
      </c>
      <c r="F37" s="39">
        <f>'ERJ 22838'!AH23</f>
        <v/>
      </c>
      <c r="G37" s="39">
        <f>'ER SM 24137'!AH23</f>
        <v/>
      </c>
      <c r="I37" s="549" t="inlineStr">
        <is>
          <t>PAPEL DE SEDA QDB</t>
        </is>
      </c>
      <c r="J37" s="625" t="n"/>
      <c r="K37" s="625" t="n"/>
      <c r="L37" s="641" t="n"/>
      <c r="M37" s="39" t="n">
        <v>0</v>
      </c>
      <c r="N37" s="39" t="n">
        <v>0</v>
      </c>
      <c r="O37" s="39" t="n">
        <v>0</v>
      </c>
    </row>
    <row r="38" ht="25.5" customHeight="1">
      <c r="A38" s="25" t="inlineStr">
        <is>
          <t>SACOLA M VERDE</t>
        </is>
      </c>
      <c r="B38" s="50" t="n"/>
      <c r="C38" s="724" t="n"/>
      <c r="D38" s="45" t="n"/>
      <c r="E38" s="39">
        <f>'CDJ 23091'!AG16</f>
        <v/>
      </c>
      <c r="F38" s="39">
        <f>'ERJ 22838'!AH24</f>
        <v/>
      </c>
      <c r="G38" s="39">
        <f>'ER SM 24137'!AH24</f>
        <v/>
      </c>
      <c r="I38" s="549" t="inlineStr">
        <is>
          <t>ETIQUETA QDB</t>
        </is>
      </c>
      <c r="J38" s="625" t="n"/>
      <c r="K38" s="625" t="n"/>
      <c r="L38" s="641" t="n"/>
      <c r="M38" s="178" t="n">
        <v>0</v>
      </c>
      <c r="N38" s="178" t="n">
        <v>0</v>
      </c>
      <c r="O38" s="39" t="n">
        <v>0</v>
      </c>
    </row>
    <row r="39" ht="25.5" customHeight="1">
      <c r="A39" s="548" t="inlineStr">
        <is>
          <t>DIVERSOS P/ VD</t>
        </is>
      </c>
      <c r="B39" s="625" t="n"/>
      <c r="C39" s="625" t="n"/>
      <c r="D39" s="625" t="n"/>
      <c r="E39" s="641" t="n"/>
      <c r="F39" s="548" t="n"/>
      <c r="G39" s="548" t="n"/>
      <c r="I39" s="549" t="inlineStr">
        <is>
          <t>TAG QDB</t>
        </is>
      </c>
      <c r="J39" s="625" t="n"/>
      <c r="K39" s="625" t="n"/>
      <c r="L39" s="641" t="n"/>
      <c r="M39" s="178" t="n">
        <v>0</v>
      </c>
      <c r="N39" s="178" t="n">
        <v>0</v>
      </c>
      <c r="O39" s="39" t="n">
        <v>0</v>
      </c>
    </row>
    <row r="40" ht="25.5" customHeight="1">
      <c r="A40" s="549" t="inlineStr">
        <is>
          <t>KIT PAPEL DE SEDA 20 C/ 25</t>
        </is>
      </c>
      <c r="B40" s="50" t="n">
        <v>500</v>
      </c>
      <c r="C40" s="725" t="n">
        <v>75.08</v>
      </c>
      <c r="D40" s="45" t="inlineStr">
        <is>
          <t>15002138-0001</t>
        </is>
      </c>
      <c r="E40" s="39">
        <f>'CDJ 23091'!AG19</f>
        <v/>
      </c>
      <c r="F40" s="39">
        <f>'ERJ 22838'!AH32</f>
        <v/>
      </c>
      <c r="G40" s="39">
        <f>'ER SM 24137'!AH27</f>
        <v/>
      </c>
      <c r="I40" s="549" t="inlineStr">
        <is>
          <t>LÂMINA QDB</t>
        </is>
      </c>
      <c r="J40" s="625" t="n"/>
      <c r="K40" s="625" t="n"/>
      <c r="L40" s="641" t="n"/>
      <c r="M40" s="178" t="n">
        <v>0</v>
      </c>
      <c r="N40" s="178" t="n">
        <v>0</v>
      </c>
      <c r="O40" s="39" t="n">
        <v>0</v>
      </c>
    </row>
    <row r="41" ht="25.5" customHeight="1">
      <c r="A41" s="549" t="inlineStr">
        <is>
          <t>KIT ETIQUETAS 50 C/ 50</t>
        </is>
      </c>
      <c r="B41" s="50" t="n">
        <v>2500</v>
      </c>
      <c r="C41" s="725" t="n">
        <v>55.64</v>
      </c>
      <c r="D41" s="45" t="inlineStr">
        <is>
          <t>15004205-0001</t>
        </is>
      </c>
      <c r="E41" s="39">
        <f>'CDJ 23091'!AG20</f>
        <v/>
      </c>
      <c r="F41" s="39">
        <f>'ERJ 22838'!AH33</f>
        <v/>
      </c>
      <c r="G41" s="39">
        <f>'ER SM 24137'!AH28</f>
        <v/>
      </c>
      <c r="I41" s="549">
        <f>'[1]CDJ 23091'!A47</f>
        <v/>
      </c>
      <c r="J41" s="625" t="n"/>
      <c r="K41" s="625" t="n"/>
      <c r="L41" s="641" t="n"/>
      <c r="M41" s="178" t="n">
        <v>0</v>
      </c>
      <c r="N41" s="178" t="n">
        <v>0</v>
      </c>
      <c r="O41" s="39" t="n">
        <v>0</v>
      </c>
    </row>
    <row r="42" ht="25.5" customHeight="1">
      <c r="A42" s="549" t="inlineStr">
        <is>
          <t>KIT TAGS 21 C/ 50</t>
        </is>
      </c>
      <c r="B42" s="50" t="n">
        <v>1050</v>
      </c>
      <c r="C42" s="725" t="n">
        <v>40.49</v>
      </c>
      <c r="D42" s="45" t="inlineStr">
        <is>
          <t>11029388-0001</t>
        </is>
      </c>
      <c r="E42" s="39">
        <f>'CDJ 23091'!AG21</f>
        <v/>
      </c>
      <c r="F42" s="39">
        <f>'ERJ 22838'!AH34</f>
        <v/>
      </c>
      <c r="G42" s="39">
        <f>'ER SM 24137'!AH29</f>
        <v/>
      </c>
      <c r="I42" s="549">
        <f>'[1]CDJ 23091'!A48</f>
        <v/>
      </c>
      <c r="J42" s="625" t="n"/>
      <c r="K42" s="625" t="n"/>
      <c r="L42" s="641" t="n"/>
      <c r="M42" s="178" t="n">
        <v>0</v>
      </c>
      <c r="N42" s="178" t="n">
        <v>0</v>
      </c>
      <c r="O42" s="39" t="n">
        <v>0</v>
      </c>
    </row>
    <row r="43" ht="25.5" customHeight="1">
      <c r="A43" s="548" t="inlineStr">
        <is>
          <t>CAIXAS VDS</t>
        </is>
      </c>
      <c r="B43" s="625" t="n"/>
      <c r="C43" s="625" t="n"/>
      <c r="D43" s="625" t="n"/>
      <c r="E43" s="641" t="n"/>
      <c r="F43" s="548" t="n"/>
      <c r="G43" s="548" t="n"/>
      <c r="I43" s="549">
        <f>'[1]CDJ 23091'!A49</f>
        <v/>
      </c>
      <c r="J43" s="625" t="n"/>
      <c r="K43" s="625" t="n"/>
      <c r="L43" s="641" t="n"/>
      <c r="M43" s="178" t="n">
        <v>0</v>
      </c>
      <c r="N43" s="178" t="n">
        <v>0</v>
      </c>
      <c r="O43" s="39" t="n">
        <v>0</v>
      </c>
    </row>
    <row r="44" ht="18.75" customHeight="1">
      <c r="A44" s="549" t="inlineStr">
        <is>
          <t>CAIXA P VERDE - VD</t>
        </is>
      </c>
      <c r="B44" s="50" t="n">
        <v>75</v>
      </c>
      <c r="C44" s="725" t="n">
        <v>203.31</v>
      </c>
      <c r="D44" s="45" t="inlineStr">
        <is>
          <t>11039840-0001</t>
        </is>
      </c>
      <c r="E44" s="39">
        <f>'CDJ 23091'!AG24</f>
        <v/>
      </c>
      <c r="F44" s="39">
        <f>'ERJ 22838'!AH37</f>
        <v/>
      </c>
      <c r="G44" s="39">
        <f>'ER SM 24137'!AH32</f>
        <v/>
      </c>
      <c r="I44" s="539" t="inlineStr">
        <is>
          <t>SACOLAS E CAIXAS EUDORA</t>
        </is>
      </c>
      <c r="J44" s="726" t="n"/>
      <c r="K44" s="726" t="n"/>
      <c r="L44" s="726" t="n"/>
      <c r="M44" s="539" t="n">
        <v>23091</v>
      </c>
      <c r="N44" s="540" t="n">
        <v>22838</v>
      </c>
      <c r="O44" s="540" t="n">
        <v>24137</v>
      </c>
    </row>
    <row r="45" ht="18.75" customHeight="1">
      <c r="A45" s="549" t="inlineStr">
        <is>
          <t>CAIXA M VERDE - VD</t>
        </is>
      </c>
      <c r="B45" s="50" t="n">
        <v>75</v>
      </c>
      <c r="C45" s="725" t="n">
        <v>265.4</v>
      </c>
      <c r="D45" s="45" t="inlineStr">
        <is>
          <t>11039842-0001</t>
        </is>
      </c>
      <c r="E45" s="39">
        <f>'CDJ 23091'!AG25</f>
        <v/>
      </c>
      <c r="F45" s="39">
        <f>'ERJ 22838'!AH38</f>
        <v/>
      </c>
      <c r="G45" s="39">
        <f>'ER SM 24137'!AH33</f>
        <v/>
      </c>
      <c r="I45" s="538" t="inlineStr">
        <is>
          <t>SACOLA P EUDORA</t>
        </is>
      </c>
      <c r="J45" s="625" t="n"/>
      <c r="K45" s="625" t="n"/>
      <c r="L45" s="641" t="n"/>
      <c r="M45" s="178">
        <f>'CDJ 23091'!AG52</f>
        <v/>
      </c>
      <c r="N45" s="39">
        <f>'ERJ 22838'!AH72</f>
        <v/>
      </c>
      <c r="O45" s="39">
        <f>'ER SM 24137'!AH67</f>
        <v/>
      </c>
    </row>
    <row r="46" ht="18.75" customHeight="1">
      <c r="A46" s="549" t="inlineStr">
        <is>
          <t>CAIXA G VERDE - VD</t>
        </is>
      </c>
      <c r="B46" s="50" t="n">
        <v>50</v>
      </c>
      <c r="C46" s="725" t="n">
        <v>292.03</v>
      </c>
      <c r="D46" s="45" t="inlineStr">
        <is>
          <t>11039845-0001</t>
        </is>
      </c>
      <c r="E46" s="39">
        <f>'CDJ 23091'!AG26</f>
        <v/>
      </c>
      <c r="F46" s="39">
        <f>'ERJ 22838'!AH39</f>
        <v/>
      </c>
      <c r="G46" s="39">
        <f>'ER SM 24137'!AH34</f>
        <v/>
      </c>
      <c r="I46" s="538" t="inlineStr">
        <is>
          <t>SACOLA M EUDORA</t>
        </is>
      </c>
      <c r="J46" s="625" t="n"/>
      <c r="K46" s="625" t="n"/>
      <c r="L46" s="641" t="n"/>
      <c r="M46" s="178">
        <f>'CDJ 23091'!AG53</f>
        <v/>
      </c>
      <c r="N46" s="39">
        <f>'ERJ 22838'!AH73</f>
        <v/>
      </c>
      <c r="O46" s="39">
        <f>'ER SM 24137'!AH68</f>
        <v/>
      </c>
    </row>
    <row r="47" ht="18.75" customHeight="1">
      <c r="A47" s="548" t="inlineStr">
        <is>
          <t>CAIXAS OMNI</t>
        </is>
      </c>
      <c r="B47" s="625" t="n"/>
      <c r="C47" s="625" t="n"/>
      <c r="D47" s="625" t="n"/>
      <c r="E47" s="641" t="n"/>
      <c r="F47" s="548" t="n"/>
      <c r="G47" s="548" t="n"/>
      <c r="I47" s="538" t="inlineStr">
        <is>
          <t>SACOLA G EUDORA</t>
        </is>
      </c>
      <c r="J47" s="625" t="n"/>
      <c r="K47" s="625" t="n"/>
      <c r="L47" s="641" t="n"/>
      <c r="M47" s="178">
        <f>'CDJ 23091'!AG54</f>
        <v/>
      </c>
      <c r="N47" s="39">
        <f>'ERJ 22838'!AH74</f>
        <v/>
      </c>
      <c r="O47" s="39">
        <f>'ER SM 24137'!AH69</f>
        <v/>
      </c>
    </row>
    <row r="48" ht="18.75" customHeight="1">
      <c r="A48" s="549" t="inlineStr">
        <is>
          <t>CAIXA OMNI P</t>
        </is>
      </c>
      <c r="B48" s="625" t="n"/>
      <c r="C48" s="625" t="n"/>
      <c r="D48" s="641" t="n"/>
      <c r="E48" s="39">
        <f>'CDJ 23091'!AG63</f>
        <v/>
      </c>
      <c r="F48" s="72" t="n">
        <v>0</v>
      </c>
      <c r="G48" s="39" t="n">
        <v>0</v>
      </c>
      <c r="I48" s="538" t="inlineStr">
        <is>
          <t>PAPEL DE SEDA EUDORA</t>
        </is>
      </c>
      <c r="J48" s="625" t="n"/>
      <c r="K48" s="625" t="n"/>
      <c r="L48" s="641" t="n"/>
      <c r="M48" s="178" t="n">
        <v>0</v>
      </c>
      <c r="N48" s="39">
        <f>'ERJ 22838'!AH75</f>
        <v/>
      </c>
      <c r="O48" s="39">
        <f>'ER SM 24137'!AH70</f>
        <v/>
      </c>
    </row>
    <row r="49" ht="18.75" customHeight="1">
      <c r="A49" s="549" t="inlineStr">
        <is>
          <t>CAIXA OMNI M</t>
        </is>
      </c>
      <c r="B49" s="625" t="n"/>
      <c r="C49" s="625" t="n"/>
      <c r="D49" s="641" t="n"/>
      <c r="E49" s="39">
        <f>'CDJ 23091'!AG64</f>
        <v/>
      </c>
      <c r="F49" s="72" t="n">
        <v>0</v>
      </c>
      <c r="G49" s="39" t="n">
        <v>0</v>
      </c>
      <c r="I49" s="538" t="inlineStr">
        <is>
          <t>ADESIVOS EUDORA</t>
        </is>
      </c>
      <c r="J49" s="625" t="n"/>
      <c r="K49" s="625" t="n"/>
      <c r="L49" s="641" t="n"/>
      <c r="M49" s="178" t="n">
        <v>0</v>
      </c>
      <c r="N49" s="39">
        <f>'ERJ 22838'!AH76</f>
        <v/>
      </c>
      <c r="O49" s="39">
        <f>'ER SM 24137'!AH71</f>
        <v/>
      </c>
    </row>
    <row r="50" ht="18.75" customHeight="1">
      <c r="A50" s="549" t="inlineStr">
        <is>
          <t>CAIXA OMNI G</t>
        </is>
      </c>
      <c r="B50" s="157" t="n"/>
      <c r="C50" s="157" t="n"/>
      <c r="D50" s="157" t="n"/>
      <c r="E50" s="39">
        <f>'CDJ 23091'!AG65</f>
        <v/>
      </c>
      <c r="F50" s="72" t="n">
        <v>0</v>
      </c>
      <c r="G50" s="39" t="n">
        <v>0</v>
      </c>
      <c r="I50" s="538" t="inlineStr">
        <is>
          <t>LÂMINA  EUDORA</t>
        </is>
      </c>
      <c r="J50" s="625" t="n"/>
      <c r="K50" s="625" t="n"/>
      <c r="L50" s="641" t="n"/>
      <c r="M50" s="178" t="n">
        <v>0</v>
      </c>
      <c r="N50" s="39">
        <f>'ERJ 22838'!AH77</f>
        <v/>
      </c>
      <c r="O50" s="39">
        <f>'ER SM 24137'!AH72</f>
        <v/>
      </c>
    </row>
    <row r="51" ht="18.75" customHeight="1">
      <c r="I51" s="538" t="inlineStr">
        <is>
          <t>KIT SACOLA P EUDORA</t>
        </is>
      </c>
      <c r="J51" s="625" t="n"/>
      <c r="K51" s="625" t="n"/>
      <c r="L51" s="641" t="n"/>
      <c r="M51" s="178">
        <f>'CDJ 23091'!AG55</f>
        <v/>
      </c>
      <c r="N51" s="39">
        <f>'ERJ 22838'!AH78</f>
        <v/>
      </c>
      <c r="O51" s="39">
        <f>'ER SM 24137'!AH73</f>
        <v/>
      </c>
    </row>
    <row r="52" ht="18.75" customHeight="1">
      <c r="I52" s="538" t="inlineStr">
        <is>
          <t>KIT SACOLA M EUDORA</t>
        </is>
      </c>
      <c r="J52" s="625" t="n"/>
      <c r="K52" s="625" t="n"/>
      <c r="L52" s="641" t="n"/>
      <c r="M52" s="178">
        <f>'CDJ 23091'!AG56</f>
        <v/>
      </c>
      <c r="N52" s="39">
        <f>'ERJ 22838'!AH79</f>
        <v/>
      </c>
      <c r="O52" s="39">
        <f>'ER SM 24137'!AH74</f>
        <v/>
      </c>
    </row>
    <row r="53" ht="18.75" customHeight="1">
      <c r="I53" s="538" t="inlineStr">
        <is>
          <t>KIT SACOLA G EUDORA</t>
        </is>
      </c>
      <c r="J53" s="625" t="n"/>
      <c r="K53" s="625" t="n"/>
      <c r="L53" s="641" t="n"/>
      <c r="M53" s="178">
        <f>'CDJ 23091'!AG57</f>
        <v/>
      </c>
      <c r="N53" s="39">
        <f>'ERJ 22838'!AH80</f>
        <v/>
      </c>
      <c r="O53" s="39">
        <f>'ER SM 24137'!AH75</f>
        <v/>
      </c>
    </row>
    <row r="54" ht="18.75" customHeight="1">
      <c r="I54" s="538" t="inlineStr">
        <is>
          <t>KIT CAIXA P EUDORA</t>
        </is>
      </c>
      <c r="J54" s="625" t="n"/>
      <c r="K54" s="625" t="n"/>
      <c r="L54" s="641" t="n"/>
      <c r="M54" s="178">
        <f>'CDJ 23091'!AG58</f>
        <v/>
      </c>
      <c r="N54" s="39">
        <f>'ERJ 22838'!AH81</f>
        <v/>
      </c>
      <c r="O54" s="39">
        <f>'ER SM 24137'!AH76</f>
        <v/>
      </c>
    </row>
    <row r="55" ht="18.75" customHeight="1">
      <c r="I55" s="538" t="inlineStr">
        <is>
          <t>KIT CAIXA M EUDORA</t>
        </is>
      </c>
      <c r="J55" s="625" t="n"/>
      <c r="K55" s="625" t="n"/>
      <c r="L55" s="641" t="n"/>
      <c r="M55" s="178">
        <f>'CDJ 23091'!AG59</f>
        <v/>
      </c>
      <c r="N55" s="39">
        <f>'ERJ 22838'!AH82</f>
        <v/>
      </c>
      <c r="O55" s="39">
        <f>'ER SM 24137'!AH77</f>
        <v/>
      </c>
    </row>
    <row r="56" ht="18.75" customHeight="1">
      <c r="I56" s="538" t="inlineStr">
        <is>
          <t>KIT CAIXA G EUDORA</t>
        </is>
      </c>
      <c r="J56" s="625" t="n"/>
      <c r="K56" s="625" t="n"/>
      <c r="L56" s="641" t="n"/>
      <c r="M56" s="178">
        <f>'CDJ 23091'!AG60</f>
        <v/>
      </c>
      <c r="N56" s="39">
        <f>'ERJ 22838'!AH83</f>
        <v/>
      </c>
      <c r="O56" s="39">
        <f>'ER SM 24137'!AH78</f>
        <v/>
      </c>
    </row>
  </sheetData>
  <mergeCells count="45">
    <mergeCell ref="A39:E39"/>
    <mergeCell ref="I52:L52"/>
    <mergeCell ref="I48:L48"/>
    <mergeCell ref="I39:L39"/>
    <mergeCell ref="I44:L44"/>
    <mergeCell ref="I35:L35"/>
    <mergeCell ref="I51:L51"/>
    <mergeCell ref="A29:D29"/>
    <mergeCell ref="I38:L38"/>
    <mergeCell ref="I29:L29"/>
    <mergeCell ref="A28:D28"/>
    <mergeCell ref="I50:L50"/>
    <mergeCell ref="I40:L40"/>
    <mergeCell ref="I31:L31"/>
    <mergeCell ref="A48:D48"/>
    <mergeCell ref="I34:L34"/>
    <mergeCell ref="I30:L30"/>
    <mergeCell ref="I46:L46"/>
    <mergeCell ref="A49:D49"/>
    <mergeCell ref="I49:L49"/>
    <mergeCell ref="A27:E27"/>
    <mergeCell ref="I27:L27"/>
    <mergeCell ref="I45:L45"/>
    <mergeCell ref="I36:L36"/>
    <mergeCell ref="I26:L26"/>
    <mergeCell ref="A47:E47"/>
    <mergeCell ref="I47:L47"/>
    <mergeCell ref="I54:L54"/>
    <mergeCell ref="I32:L32"/>
    <mergeCell ref="I25:L25"/>
    <mergeCell ref="I41:L41"/>
    <mergeCell ref="I37:L37"/>
    <mergeCell ref="I22:L22"/>
    <mergeCell ref="I28:L28"/>
    <mergeCell ref="A35:E35"/>
    <mergeCell ref="A43:E43"/>
    <mergeCell ref="I56:L56"/>
    <mergeCell ref="I53:L53"/>
    <mergeCell ref="I43:L43"/>
    <mergeCell ref="A21:M21"/>
    <mergeCell ref="I55:L55"/>
    <mergeCell ref="I24:L24"/>
    <mergeCell ref="I33:L33"/>
    <mergeCell ref="I42:L42"/>
    <mergeCell ref="I23:L23"/>
  </mergeCells>
  <conditionalFormatting sqref="E48:E50">
    <cfRule type="cellIs" priority="10" operator="greaterThan" dxfId="0">
      <formula>0</formula>
    </cfRule>
  </conditionalFormatting>
  <conditionalFormatting sqref="E23:G29">
    <cfRule type="cellIs" priority="9" operator="greaterThan" dxfId="0">
      <formula>0</formula>
    </cfRule>
  </conditionalFormatting>
  <conditionalFormatting sqref="E31:G34">
    <cfRule type="cellIs" priority="8" operator="greaterThan" dxfId="0">
      <formula>0</formula>
    </cfRule>
  </conditionalFormatting>
  <conditionalFormatting sqref="E36:G38">
    <cfRule type="cellIs" priority="7" operator="greaterThan" dxfId="0">
      <formula>0</formula>
    </cfRule>
  </conditionalFormatting>
  <conditionalFormatting sqref="E40:G42">
    <cfRule type="cellIs" priority="6" operator="greaterThan" dxfId="0">
      <formula>0</formula>
    </cfRule>
  </conditionalFormatting>
  <conditionalFormatting sqref="E44:G46">
    <cfRule type="cellIs" priority="5" operator="greaterThan" dxfId="0">
      <formula>0</formula>
    </cfRule>
  </conditionalFormatting>
  <conditionalFormatting sqref="E6:M19">
    <cfRule type="cellIs" priority="11" operator="greaterThan" dxfId="0">
      <formula>0</formula>
    </cfRule>
  </conditionalFormatting>
  <conditionalFormatting sqref="G48:G50">
    <cfRule type="cellIs" priority="4" operator="greaterThan" dxfId="0">
      <formula>0</formula>
    </cfRule>
  </conditionalFormatting>
  <conditionalFormatting sqref="M23:O32">
    <cfRule type="cellIs" priority="3" operator="greaterThan" dxfId="0">
      <formula>0</formula>
    </cfRule>
  </conditionalFormatting>
  <conditionalFormatting sqref="M34:O43">
    <cfRule type="cellIs" priority="2" operator="greaterThan" dxfId="0">
      <formula>0</formula>
    </cfRule>
  </conditionalFormatting>
  <conditionalFormatting sqref="M45:O56">
    <cfRule type="cellIs" priority="1" operator="greaterThan" dxfId="0">
      <formula>0</formula>
    </cfRule>
  </conditionalFormatting>
  <printOptions horizontalCentered="1"/>
  <pageMargins left="0.1574803149606299" right="0.1574803149606299" top="0.1181102362204725" bottom="0.1181102362204725" header="0.3543307086614174" footer="0.1574803149606299"/>
  <pageSetup orientation="portrait" paperSize="9" scale="68" fitToHeight="0"/>
</worksheet>
</file>

<file path=xl/worksheets/sheet38.xml><?xml version="1.0" encoding="utf-8"?>
<worksheet xmlns="http://schemas.openxmlformats.org/spreadsheetml/2006/main">
  <sheetPr codeName="Planilha21">
    <tabColor theme="9" tint="-0.499984740745262"/>
    <outlinePr summaryBelow="1" summaryRight="1"/>
    <pageSetUpPr/>
  </sheetPr>
  <dimension ref="A1:S89"/>
  <sheetViews>
    <sheetView topLeftCell="A61" zoomScale="85" zoomScaleNormal="85" workbookViewId="0">
      <selection activeCell="P89" sqref="P89"/>
    </sheetView>
  </sheetViews>
  <sheetFormatPr baseColWidth="8" defaultRowHeight="15"/>
  <cols>
    <col width="32.85546875" customWidth="1" min="1" max="1"/>
    <col width="9.85546875" customWidth="1" min="4" max="4"/>
    <col width="10" customWidth="1" min="9" max="9"/>
    <col width="9.5703125" customWidth="1" min="10" max="10"/>
    <col width="11.85546875" customWidth="1" min="13" max="13"/>
    <col width="10.85546875" bestFit="1" customWidth="1" min="18" max="18"/>
  </cols>
  <sheetData>
    <row r="1" ht="18" customHeight="1">
      <c r="A1" s="727" t="inlineStr">
        <is>
          <t>GASTO DE SACOLAS E ITENS DOADOS NATAL/2025 - MENSAIS</t>
        </is>
      </c>
      <c r="B1" s="707" t="n"/>
      <c r="C1" s="707" t="n"/>
      <c r="D1" s="707" t="n"/>
      <c r="E1" s="707" t="n"/>
      <c r="F1" s="707" t="n"/>
      <c r="G1" s="707" t="n"/>
      <c r="H1" s="707" t="n"/>
      <c r="I1" s="707" t="n"/>
      <c r="J1" s="707" t="n"/>
      <c r="K1" s="707" t="n"/>
      <c r="L1" s="707" t="n"/>
      <c r="M1" s="707" t="n"/>
      <c r="N1" s="708" t="n"/>
      <c r="Q1" s="728" t="inlineStr">
        <is>
          <t>INÍCIO UTILIZAÇÃO</t>
        </is>
      </c>
      <c r="R1" s="641" t="n"/>
    </row>
    <row r="2" ht="18" customHeight="1">
      <c r="A2" s="558" t="inlineStr">
        <is>
          <t>JAÚ CENTRO</t>
        </is>
      </c>
      <c r="B2" s="729" t="inlineStr">
        <is>
          <t>NOVEMBRO</t>
        </is>
      </c>
      <c r="C2" s="625" t="n"/>
      <c r="D2" s="625" t="n"/>
      <c r="E2" s="625" t="n"/>
      <c r="F2" s="641" t="n"/>
      <c r="G2" s="729" t="inlineStr">
        <is>
          <t>DEZEMBRO</t>
        </is>
      </c>
      <c r="H2" s="625" t="n"/>
      <c r="I2" s="625" t="n"/>
      <c r="J2" s="625" t="n"/>
      <c r="K2" s="625" t="n"/>
      <c r="L2" s="641" t="n"/>
      <c r="M2" s="563" t="inlineStr">
        <is>
          <t>USOU ATÉ NATAL</t>
        </is>
      </c>
      <c r="N2" s="565" t="inlineStr">
        <is>
          <t>TOTAL GERAL</t>
        </is>
      </c>
      <c r="Q2" s="193" t="inlineStr">
        <is>
          <t>VD</t>
        </is>
      </c>
      <c r="R2" s="730" t="n">
        <v>45964</v>
      </c>
      <c r="S2" s="567" t="inlineStr">
        <is>
          <t>CICLO 16</t>
        </is>
      </c>
    </row>
    <row r="3" ht="15.75" customHeight="1">
      <c r="A3" s="710" t="n"/>
      <c r="B3" s="194" t="n">
        <v>45964</v>
      </c>
      <c r="C3" s="195" t="n">
        <v>45971</v>
      </c>
      <c r="D3" s="195" t="n">
        <v>45978</v>
      </c>
      <c r="E3" s="194" t="n">
        <v>45985</v>
      </c>
      <c r="F3" s="196" t="inlineStr">
        <is>
          <t>USOU</t>
        </is>
      </c>
      <c r="G3" s="194" t="n">
        <v>45992</v>
      </c>
      <c r="H3" s="195" t="n">
        <v>45999</v>
      </c>
      <c r="I3" s="195" t="n">
        <v>46006</v>
      </c>
      <c r="J3" s="195" t="n">
        <v>46013</v>
      </c>
      <c r="K3" s="194" t="n">
        <v>46020</v>
      </c>
      <c r="L3" s="196" t="inlineStr">
        <is>
          <t>USOU</t>
        </is>
      </c>
      <c r="M3" s="711" t="n"/>
      <c r="N3" s="712" t="n"/>
      <c r="Q3" s="193" t="inlineStr">
        <is>
          <t>LOJA</t>
        </is>
      </c>
      <c r="R3" s="730" t="n">
        <v>45964</v>
      </c>
      <c r="S3" s="731" t="n"/>
    </row>
    <row r="4" ht="15.75" customHeight="1">
      <c r="A4" s="164" t="inlineStr">
        <is>
          <t>SACOLA P</t>
        </is>
      </c>
      <c r="B4" s="89" t="n">
        <v>400</v>
      </c>
      <c r="C4" s="89" t="n">
        <v>200</v>
      </c>
      <c r="D4" s="89" t="n">
        <v>200</v>
      </c>
      <c r="E4" s="89" t="n">
        <v>160</v>
      </c>
      <c r="F4" s="166">
        <f>B4+C4+D4+E4</f>
        <v/>
      </c>
      <c r="G4" s="89" t="n">
        <v>240</v>
      </c>
      <c r="H4" s="89" t="n">
        <v>0</v>
      </c>
      <c r="I4" s="89" t="n">
        <v>0</v>
      </c>
      <c r="J4" s="89" t="n">
        <v>0</v>
      </c>
      <c r="K4" s="89" t="n"/>
      <c r="L4" s="166">
        <f>G4+H4+I4+J4+K4</f>
        <v/>
      </c>
      <c r="M4" s="199">
        <f>B4+C4+D4+E4+G4+H4+I4+J4</f>
        <v/>
      </c>
      <c r="N4" s="197">
        <f>F4+L4</f>
        <v/>
      </c>
    </row>
    <row r="5" ht="15.75" customHeight="1">
      <c r="A5" s="164" t="inlineStr">
        <is>
          <t>SACOLA M</t>
        </is>
      </c>
      <c r="B5" s="89" t="n">
        <v>180</v>
      </c>
      <c r="C5" s="89" t="n">
        <v>60</v>
      </c>
      <c r="D5" s="89" t="n">
        <v>160</v>
      </c>
      <c r="E5" s="89" t="n">
        <v>0</v>
      </c>
      <c r="F5" s="166">
        <f>B5+C5+D5+E5</f>
        <v/>
      </c>
      <c r="G5" s="89" t="n">
        <v>200</v>
      </c>
      <c r="H5" s="89" t="n">
        <v>120</v>
      </c>
      <c r="I5" s="89" t="n">
        <v>0</v>
      </c>
      <c r="J5" s="89" t="n">
        <v>80</v>
      </c>
      <c r="K5" s="89" t="n"/>
      <c r="L5" s="166">
        <f>G5+H5+I5+J5+K5</f>
        <v/>
      </c>
      <c r="M5" s="199">
        <f>B5+C5+D5+E5+G5+H5+I5+J5</f>
        <v/>
      </c>
      <c r="N5" s="197">
        <f>F5+L5</f>
        <v/>
      </c>
    </row>
    <row r="6" ht="15.75" customHeight="1">
      <c r="A6" s="164" t="inlineStr">
        <is>
          <t>SACOLA G</t>
        </is>
      </c>
      <c r="B6" s="89" t="n">
        <v>0</v>
      </c>
      <c r="C6" s="89" t="n">
        <v>200</v>
      </c>
      <c r="D6" s="89" t="n">
        <v>0</v>
      </c>
      <c r="E6" s="89" t="n">
        <v>0</v>
      </c>
      <c r="F6" s="166">
        <f>B6+C6+D6+E6</f>
        <v/>
      </c>
      <c r="G6" s="89" t="n">
        <v>0</v>
      </c>
      <c r="H6" s="89" t="n">
        <v>0</v>
      </c>
      <c r="I6" s="89" t="n">
        <v>0</v>
      </c>
      <c r="J6" s="89" t="n">
        <v>0</v>
      </c>
      <c r="K6" s="89" t="n"/>
      <c r="L6" s="166">
        <f>G6+H6+I6+J6+K6</f>
        <v/>
      </c>
      <c r="M6" s="199">
        <f>B6+C6+D6+E6+G6+H6+I6+J6</f>
        <v/>
      </c>
      <c r="N6" s="197">
        <f>F6+L6</f>
        <v/>
      </c>
    </row>
    <row r="7" ht="15.75" customHeight="1">
      <c r="A7" s="115" t="inlineStr">
        <is>
          <t xml:space="preserve">PAPEL DE SEDA </t>
        </is>
      </c>
      <c r="B7" s="89" t="n">
        <v>0</v>
      </c>
      <c r="C7" s="89" t="n">
        <v>3</v>
      </c>
      <c r="D7" s="89" t="n">
        <v>0</v>
      </c>
      <c r="E7" s="89" t="n">
        <v>0</v>
      </c>
      <c r="F7" s="166">
        <f>B7+C7+D7+E7</f>
        <v/>
      </c>
      <c r="G7" s="89" t="n">
        <v>2</v>
      </c>
      <c r="H7" s="89" t="n">
        <v>2</v>
      </c>
      <c r="I7" s="89" t="n">
        <v>4</v>
      </c>
      <c r="J7" s="89" t="n">
        <v>3</v>
      </c>
      <c r="K7" s="89" t="n"/>
      <c r="L7" s="166">
        <f>G7+H7+I7+J7+K7</f>
        <v/>
      </c>
      <c r="M7" s="199">
        <f>B7+C7+D7+E7+G7+H7+I7+J7</f>
        <v/>
      </c>
      <c r="N7" s="197">
        <f>F7+L7</f>
        <v/>
      </c>
    </row>
    <row r="8" ht="15.75" customHeight="1">
      <c r="A8" s="115" t="inlineStr">
        <is>
          <t xml:space="preserve">TAGS </t>
        </is>
      </c>
      <c r="B8" s="89" t="n">
        <v>0</v>
      </c>
      <c r="C8" s="89" t="n">
        <v>1</v>
      </c>
      <c r="D8" s="89" t="n">
        <v>1</v>
      </c>
      <c r="E8" s="89" t="n">
        <v>0</v>
      </c>
      <c r="F8" s="166">
        <f>B8+C8+D8+E8</f>
        <v/>
      </c>
      <c r="G8" s="89" t="n">
        <v>3</v>
      </c>
      <c r="H8" s="89" t="n">
        <v>0</v>
      </c>
      <c r="I8" s="89" t="n">
        <v>0</v>
      </c>
      <c r="J8" s="89" t="n">
        <v>0</v>
      </c>
      <c r="K8" s="89" t="n"/>
      <c r="L8" s="166">
        <f>G8+H8+I8+J8+K8</f>
        <v/>
      </c>
      <c r="M8" s="199">
        <f>B8+C8+D8+E8+G8+H8+I8+J8</f>
        <v/>
      </c>
      <c r="N8" s="197">
        <f>F8+L8</f>
        <v/>
      </c>
    </row>
    <row r="9" ht="15.75" customHeight="1">
      <c r="A9" s="109" t="inlineStr">
        <is>
          <t>TOTAL DE SACOLAS</t>
        </is>
      </c>
      <c r="B9" s="110">
        <f>B4+B5+B6</f>
        <v/>
      </c>
      <c r="C9" s="110">
        <f>C4+C5+C6</f>
        <v/>
      </c>
      <c r="D9" s="110">
        <f>D4+D5+D6</f>
        <v/>
      </c>
      <c r="E9" s="110">
        <f>E4+E5+E6</f>
        <v/>
      </c>
      <c r="F9" s="110">
        <f>F4+F5+F6</f>
        <v/>
      </c>
      <c r="G9" s="110">
        <f>G4+G5+G6</f>
        <v/>
      </c>
      <c r="H9" s="110">
        <f>H4+H5+H6</f>
        <v/>
      </c>
      <c r="I9" s="110">
        <f>I4+I5+I6</f>
        <v/>
      </c>
      <c r="J9" s="110">
        <f>J4+J5+J6</f>
        <v/>
      </c>
      <c r="K9" s="110">
        <f>K4+K5+K6</f>
        <v/>
      </c>
      <c r="L9" s="191">
        <f>L4+L5+L6</f>
        <v/>
      </c>
      <c r="M9" s="198">
        <f>M4+M5+M6</f>
        <v/>
      </c>
      <c r="N9" s="198">
        <f>N4+N5+N6</f>
        <v/>
      </c>
    </row>
    <row r="11" ht="18" customHeight="1">
      <c r="A11" s="727" t="inlineStr">
        <is>
          <t>GASTO DE SACOLAS E ITENS DOADOS NATAL/2025 - MENSAIS</t>
        </is>
      </c>
      <c r="B11" s="707" t="n"/>
      <c r="C11" s="707" t="n"/>
      <c r="D11" s="707" t="n"/>
      <c r="E11" s="707" t="n"/>
      <c r="F11" s="707" t="n"/>
      <c r="G11" s="707" t="n"/>
      <c r="H11" s="707" t="n"/>
      <c r="I11" s="707" t="n"/>
      <c r="J11" s="707" t="n"/>
      <c r="K11" s="707" t="n"/>
      <c r="L11" s="707" t="n"/>
      <c r="M11" s="707" t="n"/>
      <c r="N11" s="708" t="n"/>
    </row>
    <row r="12" ht="20.25" customHeight="1">
      <c r="A12" s="558" t="inlineStr">
        <is>
          <t>JARDIM</t>
        </is>
      </c>
      <c r="B12" s="729" t="inlineStr">
        <is>
          <t>NOVEMBRO</t>
        </is>
      </c>
      <c r="C12" s="625" t="n"/>
      <c r="D12" s="625" t="n"/>
      <c r="E12" s="625" t="n"/>
      <c r="F12" s="641" t="n"/>
      <c r="G12" s="729" t="inlineStr">
        <is>
          <t>DEZEMBRO</t>
        </is>
      </c>
      <c r="H12" s="625" t="n"/>
      <c r="I12" s="625" t="n"/>
      <c r="J12" s="625" t="n"/>
      <c r="K12" s="625" t="n"/>
      <c r="L12" s="641" t="n"/>
      <c r="M12" s="563" t="inlineStr">
        <is>
          <t>USOU ATÉ NATAL</t>
        </is>
      </c>
      <c r="N12" s="565" t="inlineStr">
        <is>
          <t>TOTAL GERAL</t>
        </is>
      </c>
    </row>
    <row r="13" ht="15.75" customHeight="1">
      <c r="A13" s="710" t="n"/>
      <c r="B13" s="194" t="n">
        <v>45964</v>
      </c>
      <c r="C13" s="195" t="n">
        <v>45971</v>
      </c>
      <c r="D13" s="195" t="n">
        <v>45978</v>
      </c>
      <c r="E13" s="194" t="n">
        <v>45985</v>
      </c>
      <c r="F13" s="196" t="inlineStr">
        <is>
          <t>USOU</t>
        </is>
      </c>
      <c r="G13" s="194" t="n">
        <v>45992</v>
      </c>
      <c r="H13" s="195" t="n">
        <v>45999</v>
      </c>
      <c r="I13" s="195" t="n">
        <v>46006</v>
      </c>
      <c r="J13" s="195" t="n">
        <v>46013</v>
      </c>
      <c r="K13" s="194" t="n">
        <v>46020</v>
      </c>
      <c r="L13" s="196" t="inlineStr">
        <is>
          <t>USOU</t>
        </is>
      </c>
      <c r="M13" s="711" t="n"/>
      <c r="N13" s="712" t="n"/>
    </row>
    <row r="14" ht="15.75" customHeight="1">
      <c r="A14" s="164" t="inlineStr">
        <is>
          <t>SACOLA P</t>
        </is>
      </c>
      <c r="B14" s="89" t="n">
        <v>100</v>
      </c>
      <c r="C14" s="89" t="n">
        <v>300</v>
      </c>
      <c r="D14" s="89" t="n">
        <v>0</v>
      </c>
      <c r="E14" s="89" t="n">
        <v>0</v>
      </c>
      <c r="F14" s="166">
        <f>B14+C14+D14+E14</f>
        <v/>
      </c>
      <c r="G14" s="89" t="n">
        <v>320</v>
      </c>
      <c r="H14" s="89" t="n">
        <v>220</v>
      </c>
      <c r="I14" s="89" t="n">
        <v>200</v>
      </c>
      <c r="J14" s="89" t="n">
        <v>60</v>
      </c>
      <c r="K14" s="89" t="n"/>
      <c r="L14" s="166">
        <f>G14+H14+I14+J14+K14</f>
        <v/>
      </c>
      <c r="M14" s="199">
        <f>B14+C14+D14+E14+G14+H14+I14+J14</f>
        <v/>
      </c>
      <c r="N14" s="197">
        <f>F14+L14</f>
        <v/>
      </c>
    </row>
    <row r="15" ht="15.75" customHeight="1">
      <c r="A15" s="164" t="inlineStr">
        <is>
          <t>SACOLA M</t>
        </is>
      </c>
      <c r="B15" s="89" t="n">
        <v>40</v>
      </c>
      <c r="C15" s="89" t="n">
        <v>80</v>
      </c>
      <c r="D15" s="89" t="n">
        <v>80</v>
      </c>
      <c r="E15" s="89" t="n">
        <v>60</v>
      </c>
      <c r="F15" s="166">
        <f>B15+C15+D15+E15</f>
        <v/>
      </c>
      <c r="G15" s="89" t="n">
        <v>140</v>
      </c>
      <c r="H15" s="89" t="n">
        <v>100</v>
      </c>
      <c r="I15" s="89" t="n">
        <v>200</v>
      </c>
      <c r="J15" s="89" t="n">
        <v>300</v>
      </c>
      <c r="K15" s="89" t="n"/>
      <c r="L15" s="166">
        <f>G15+H15+I15+J15+K15</f>
        <v/>
      </c>
      <c r="M15" s="199">
        <f>B15+C15+D15+E15+G15+H15+I15+J15</f>
        <v/>
      </c>
      <c r="N15" s="197">
        <f>F15+L15</f>
        <v/>
      </c>
    </row>
    <row r="16" ht="15.75" customHeight="1">
      <c r="A16" s="164" t="inlineStr">
        <is>
          <t>SACOLA G</t>
        </is>
      </c>
      <c r="B16" s="89" t="n">
        <v>40</v>
      </c>
      <c r="C16" s="89" t="n">
        <v>0</v>
      </c>
      <c r="D16" s="89" t="n">
        <v>0</v>
      </c>
      <c r="E16" s="89" t="n">
        <v>40</v>
      </c>
      <c r="F16" s="166">
        <f>B16+C16+D16+E16</f>
        <v/>
      </c>
      <c r="G16" s="89" t="n">
        <v>60</v>
      </c>
      <c r="H16" s="89" t="n">
        <v>60</v>
      </c>
      <c r="I16" s="89" t="n">
        <v>0</v>
      </c>
      <c r="J16" s="89" t="n">
        <v>0</v>
      </c>
      <c r="K16" s="89" t="n"/>
      <c r="L16" s="166">
        <f>G16+H16+I16+J16+K16</f>
        <v/>
      </c>
      <c r="M16" s="199">
        <f>B16+C16+D16+E16+G16+H16+I16+J16</f>
        <v/>
      </c>
      <c r="N16" s="197">
        <f>F16+L16</f>
        <v/>
      </c>
    </row>
    <row r="17" ht="15.75" customHeight="1">
      <c r="A17" s="115" t="inlineStr">
        <is>
          <t xml:space="preserve">PAPEL DE SEDA </t>
        </is>
      </c>
      <c r="B17" s="89" t="n">
        <v>2</v>
      </c>
      <c r="C17" s="89" t="n">
        <v>2</v>
      </c>
      <c r="D17" s="89" t="n">
        <v>1</v>
      </c>
      <c r="E17" s="89" t="n">
        <v>2</v>
      </c>
      <c r="F17" s="166">
        <f>B17+C17+D17+E17</f>
        <v/>
      </c>
      <c r="G17" s="89" t="n">
        <v>2</v>
      </c>
      <c r="H17" s="89" t="n">
        <v>2</v>
      </c>
      <c r="I17" s="89" t="n">
        <v>2</v>
      </c>
      <c r="J17" s="89" t="n">
        <v>0</v>
      </c>
      <c r="K17" s="89" t="n"/>
      <c r="L17" s="166">
        <f>G17+H17+I17+J17+K17</f>
        <v/>
      </c>
      <c r="M17" s="199">
        <f>B17+C17+D17+E17+G17+H17+I17+J17</f>
        <v/>
      </c>
      <c r="N17" s="197">
        <f>F17+L17</f>
        <v/>
      </c>
    </row>
    <row r="18" ht="15.75" customHeight="1">
      <c r="A18" s="115" t="inlineStr">
        <is>
          <t xml:space="preserve">TAGS </t>
        </is>
      </c>
      <c r="B18" s="89" t="n">
        <v>0</v>
      </c>
      <c r="C18" s="89" t="n">
        <v>1</v>
      </c>
      <c r="D18" s="89" t="n">
        <v>0</v>
      </c>
      <c r="E18" s="89" t="n">
        <v>1</v>
      </c>
      <c r="F18" s="166">
        <f>B18+C18+D18+E18</f>
        <v/>
      </c>
      <c r="G18" s="89" t="n">
        <v>0</v>
      </c>
      <c r="H18" s="89" t="n">
        <v>1</v>
      </c>
      <c r="I18" s="89" t="n">
        <v>2</v>
      </c>
      <c r="J18" s="89" t="n">
        <v>0</v>
      </c>
      <c r="K18" s="89" t="n"/>
      <c r="L18" s="166">
        <f>G18+H18+I18+J18+K18</f>
        <v/>
      </c>
      <c r="M18" s="199">
        <f>B18+C18+D18+E18+G18+H18+I18+J18</f>
        <v/>
      </c>
      <c r="N18" s="197">
        <f>F18+L18</f>
        <v/>
      </c>
    </row>
    <row r="19" ht="15.75" customHeight="1">
      <c r="A19" s="109" t="inlineStr">
        <is>
          <t>TOTAL DE SACOLAS</t>
        </is>
      </c>
      <c r="B19" s="110">
        <f>B14+B15+B16</f>
        <v/>
      </c>
      <c r="C19" s="110">
        <f>C14+C15+C16</f>
        <v/>
      </c>
      <c r="D19" s="110">
        <f>D14+D15+D16</f>
        <v/>
      </c>
      <c r="E19" s="110">
        <f>E14+E15+E16</f>
        <v/>
      </c>
      <c r="F19" s="110">
        <f>F14+F15+F16</f>
        <v/>
      </c>
      <c r="G19" s="110">
        <f>G14+G15+G16</f>
        <v/>
      </c>
      <c r="H19" s="110">
        <f>H14+H15+H16</f>
        <v/>
      </c>
      <c r="I19" s="110">
        <f>I14+I15+I16</f>
        <v/>
      </c>
      <c r="J19" s="110">
        <f>J14+J15+J16</f>
        <v/>
      </c>
      <c r="K19" s="110">
        <f>K14+K15+K16</f>
        <v/>
      </c>
      <c r="L19" s="191">
        <f>L14+L15+L16</f>
        <v/>
      </c>
      <c r="M19" s="198">
        <f>M14+M15+M16</f>
        <v/>
      </c>
      <c r="N19" s="198">
        <f>N14+N15+N16</f>
        <v/>
      </c>
    </row>
    <row r="21" ht="15.75" customHeight="1">
      <c r="A21" s="727" t="inlineStr">
        <is>
          <t>GASTO DE SACOLAS E ITENS DOADOS NATAL/2025 - MENSAIS</t>
        </is>
      </c>
      <c r="B21" s="707" t="n"/>
      <c r="C21" s="707" t="n"/>
      <c r="D21" s="707" t="n"/>
      <c r="E21" s="707" t="n"/>
      <c r="F21" s="707" t="n"/>
      <c r="G21" s="707" t="n"/>
      <c r="H21" s="707" t="n"/>
      <c r="I21" s="707" t="n"/>
      <c r="J21" s="707" t="n"/>
      <c r="K21" s="707" t="n"/>
      <c r="L21" s="707" t="n"/>
      <c r="M21" s="707" t="n"/>
      <c r="N21" s="708" t="n"/>
    </row>
    <row r="22" ht="15.75" customHeight="1">
      <c r="A22" s="558" t="inlineStr">
        <is>
          <t>BARRA BONITA</t>
        </is>
      </c>
      <c r="B22" s="729" t="inlineStr">
        <is>
          <t>NOVEMBRO</t>
        </is>
      </c>
      <c r="C22" s="625" t="n"/>
      <c r="D22" s="625" t="n"/>
      <c r="E22" s="625" t="n"/>
      <c r="F22" s="641" t="n"/>
      <c r="G22" s="729" t="inlineStr">
        <is>
          <t>DEZEMBRO</t>
        </is>
      </c>
      <c r="H22" s="625" t="n"/>
      <c r="I22" s="625" t="n"/>
      <c r="J22" s="625" t="n"/>
      <c r="K22" s="625" t="n"/>
      <c r="L22" s="641" t="n"/>
      <c r="M22" s="563" t="inlineStr">
        <is>
          <t>USOU ATÉ NATAL</t>
        </is>
      </c>
      <c r="N22" s="565" t="inlineStr">
        <is>
          <t>TOTAL GERAL</t>
        </is>
      </c>
    </row>
    <row r="23" ht="15.75" customHeight="1">
      <c r="A23" s="710" t="n"/>
      <c r="B23" s="194" t="n">
        <v>45964</v>
      </c>
      <c r="C23" s="195" t="n">
        <v>45971</v>
      </c>
      <c r="D23" s="195" t="n">
        <v>45978</v>
      </c>
      <c r="E23" s="194" t="n">
        <v>45985</v>
      </c>
      <c r="F23" s="196" t="inlineStr">
        <is>
          <t>USOU</t>
        </is>
      </c>
      <c r="G23" s="194" t="n">
        <v>45992</v>
      </c>
      <c r="H23" s="195" t="n">
        <v>45999</v>
      </c>
      <c r="I23" s="195" t="n">
        <v>46006</v>
      </c>
      <c r="J23" s="195" t="n">
        <v>46013</v>
      </c>
      <c r="K23" s="194" t="n">
        <v>46020</v>
      </c>
      <c r="L23" s="196" t="inlineStr">
        <is>
          <t>USOU</t>
        </is>
      </c>
      <c r="M23" s="711" t="n"/>
      <c r="N23" s="712" t="n"/>
    </row>
    <row r="24" ht="15.75" customHeight="1">
      <c r="A24" s="164" t="inlineStr">
        <is>
          <t>SACOLA P</t>
        </is>
      </c>
      <c r="B24" s="89" t="n">
        <v>80</v>
      </c>
      <c r="C24" s="89" t="n">
        <v>260</v>
      </c>
      <c r="D24" s="89" t="n">
        <v>220</v>
      </c>
      <c r="E24" s="89" t="n">
        <v>280</v>
      </c>
      <c r="F24" s="166">
        <f>B24+C24+D24+E24</f>
        <v/>
      </c>
      <c r="G24" s="89" t="n">
        <v>380</v>
      </c>
      <c r="H24" s="89" t="n">
        <v>180</v>
      </c>
      <c r="I24" s="89" t="n">
        <v>0</v>
      </c>
      <c r="J24" s="89" t="n">
        <v>0</v>
      </c>
      <c r="K24" s="89" t="n"/>
      <c r="L24" s="166">
        <f>G24+H24+I24+J24+K24</f>
        <v/>
      </c>
      <c r="M24" s="199">
        <f>B24+C24+D24+E24+G24+H24+I24+J24</f>
        <v/>
      </c>
      <c r="N24" s="197">
        <f>F24+L24</f>
        <v/>
      </c>
    </row>
    <row r="25" ht="15.75" customHeight="1">
      <c r="A25" s="164" t="inlineStr">
        <is>
          <t>SACOLA M</t>
        </is>
      </c>
      <c r="B25" s="89" t="n">
        <v>60</v>
      </c>
      <c r="C25" s="89" t="n">
        <v>120</v>
      </c>
      <c r="D25" s="89" t="n">
        <v>40</v>
      </c>
      <c r="E25" s="89" t="n">
        <v>120</v>
      </c>
      <c r="F25" s="166">
        <f>B25+C25+D25+E25</f>
        <v/>
      </c>
      <c r="G25" s="89" t="n">
        <v>80</v>
      </c>
      <c r="H25" s="89" t="n">
        <v>180</v>
      </c>
      <c r="I25" s="89" t="n">
        <v>200</v>
      </c>
      <c r="J25" s="89" t="n">
        <v>0</v>
      </c>
      <c r="K25" s="89" t="n"/>
      <c r="L25" s="166">
        <f>G25+H25+I25+J25+K25</f>
        <v/>
      </c>
      <c r="M25" s="199">
        <f>B25+C25+D25+E25+G25+H25+I25+J25</f>
        <v/>
      </c>
      <c r="N25" s="197">
        <f>F25+L25</f>
        <v/>
      </c>
    </row>
    <row r="26" ht="15.75" customHeight="1">
      <c r="A26" s="164" t="inlineStr">
        <is>
          <t>SACOLA G</t>
        </is>
      </c>
      <c r="B26" s="89" t="n">
        <v>20</v>
      </c>
      <c r="C26" s="89" t="n">
        <v>40</v>
      </c>
      <c r="D26" s="89" t="n">
        <v>0</v>
      </c>
      <c r="E26" s="89" t="n">
        <v>20</v>
      </c>
      <c r="F26" s="166">
        <f>B26+C26+D26+E26</f>
        <v/>
      </c>
      <c r="G26" s="89" t="n">
        <v>40</v>
      </c>
      <c r="H26" s="89" t="n">
        <v>40</v>
      </c>
      <c r="I26" s="89" t="n">
        <v>140</v>
      </c>
      <c r="J26" s="89" t="n">
        <v>0</v>
      </c>
      <c r="K26" s="89" t="n"/>
      <c r="L26" s="166">
        <f>G26+H26+I26+J26+K26</f>
        <v/>
      </c>
      <c r="M26" s="199">
        <f>B26+C26+D26+E26+G26+H26+I26+J26</f>
        <v/>
      </c>
      <c r="N26" s="197">
        <f>F26+L26</f>
        <v/>
      </c>
    </row>
    <row r="27" ht="15.75" customHeight="1">
      <c r="A27" s="115" t="inlineStr">
        <is>
          <t xml:space="preserve">PAPEL DE SEDA </t>
        </is>
      </c>
      <c r="B27" s="89" t="n">
        <v>0</v>
      </c>
      <c r="C27" s="89" t="n">
        <v>3</v>
      </c>
      <c r="D27" s="89" t="n">
        <v>0</v>
      </c>
      <c r="E27" s="89" t="n">
        <v>1</v>
      </c>
      <c r="F27" s="166">
        <f>B27+C27+D27+E27</f>
        <v/>
      </c>
      <c r="G27" s="89" t="n">
        <v>3</v>
      </c>
      <c r="H27" s="89" t="n">
        <v>3</v>
      </c>
      <c r="I27" s="89" t="n">
        <v>5</v>
      </c>
      <c r="J27" s="89" t="n">
        <v>2</v>
      </c>
      <c r="K27" s="89" t="n"/>
      <c r="L27" s="166">
        <f>G27+H27+I27+J27+K27</f>
        <v/>
      </c>
      <c r="M27" s="199">
        <f>B27+C27+D27+E27+G27+H27+I27+J27</f>
        <v/>
      </c>
      <c r="N27" s="197">
        <f>F27+L27</f>
        <v/>
      </c>
    </row>
    <row r="28" ht="15.75" customHeight="1">
      <c r="A28" s="115" t="inlineStr">
        <is>
          <t xml:space="preserve">TAGS </t>
        </is>
      </c>
      <c r="B28" s="89" t="n">
        <v>0</v>
      </c>
      <c r="C28" s="89" t="n">
        <v>2</v>
      </c>
      <c r="D28" s="89" t="n">
        <v>0</v>
      </c>
      <c r="E28" s="89" t="n">
        <v>0</v>
      </c>
      <c r="F28" s="166">
        <f>B28+C28+D28+E28</f>
        <v/>
      </c>
      <c r="G28" s="89" t="n">
        <v>2</v>
      </c>
      <c r="H28" s="89" t="n">
        <v>1</v>
      </c>
      <c r="I28" s="89" t="n">
        <v>0</v>
      </c>
      <c r="J28" s="89" t="n">
        <v>0</v>
      </c>
      <c r="K28" s="89" t="n"/>
      <c r="L28" s="166">
        <f>G28+H28+I28+J28+K28</f>
        <v/>
      </c>
      <c r="M28" s="199">
        <f>B28+C28+D28+E28+G28+H28+I28+J28</f>
        <v/>
      </c>
      <c r="N28" s="197">
        <f>F28+L28</f>
        <v/>
      </c>
    </row>
    <row r="29" ht="15.75" customHeight="1">
      <c r="A29" s="109" t="inlineStr">
        <is>
          <t>TOTAL DE SACOLAS</t>
        </is>
      </c>
      <c r="B29" s="110">
        <f>B24+B25+B26</f>
        <v/>
      </c>
      <c r="C29" s="110">
        <f>C24+C25+C26</f>
        <v/>
      </c>
      <c r="D29" s="110">
        <f>D24+D25+D26</f>
        <v/>
      </c>
      <c r="E29" s="110">
        <f>E24+E25+E26</f>
        <v/>
      </c>
      <c r="F29" s="110">
        <f>F24+F25+F26</f>
        <v/>
      </c>
      <c r="G29" s="110">
        <f>G24+G25+G26</f>
        <v/>
      </c>
      <c r="H29" s="110">
        <f>H24+H25+H26</f>
        <v/>
      </c>
      <c r="I29" s="110">
        <f>I24+I25+I26</f>
        <v/>
      </c>
      <c r="J29" s="110">
        <f>J24+J25+J26</f>
        <v/>
      </c>
      <c r="K29" s="110">
        <f>K24+K25+K26</f>
        <v/>
      </c>
      <c r="L29" s="191">
        <f>L24+L25+L26</f>
        <v/>
      </c>
      <c r="M29" s="198">
        <f>M24+M25+M26</f>
        <v/>
      </c>
      <c r="N29" s="198">
        <f>N24+N25+N26</f>
        <v/>
      </c>
    </row>
    <row r="31" ht="15.75" customHeight="1">
      <c r="A31" s="727" t="inlineStr">
        <is>
          <t>GASTO DE SACOLAS E ITENS DOADOS NATAL/2025 - MENSAIS</t>
        </is>
      </c>
      <c r="B31" s="707" t="n"/>
      <c r="C31" s="707" t="n"/>
      <c r="D31" s="707" t="n"/>
      <c r="E31" s="707" t="n"/>
      <c r="F31" s="707" t="n"/>
      <c r="G31" s="707" t="n"/>
      <c r="H31" s="707" t="n"/>
      <c r="I31" s="707" t="n"/>
      <c r="J31" s="707" t="n"/>
      <c r="K31" s="707" t="n"/>
      <c r="L31" s="707" t="n"/>
      <c r="M31" s="707" t="n"/>
      <c r="N31" s="708" t="n"/>
    </row>
    <row r="32" ht="15.75" customHeight="1">
      <c r="A32" s="558" t="inlineStr">
        <is>
          <t>SÃO MANUEL</t>
        </is>
      </c>
      <c r="B32" s="729" t="inlineStr">
        <is>
          <t>NOVEMBRO</t>
        </is>
      </c>
      <c r="C32" s="625" t="n"/>
      <c r="D32" s="625" t="n"/>
      <c r="E32" s="625" t="n"/>
      <c r="F32" s="641" t="n"/>
      <c r="G32" s="729" t="inlineStr">
        <is>
          <t>DEZEMBRO</t>
        </is>
      </c>
      <c r="H32" s="625" t="n"/>
      <c r="I32" s="625" t="n"/>
      <c r="J32" s="625" t="n"/>
      <c r="K32" s="625" t="n"/>
      <c r="L32" s="641" t="n"/>
      <c r="M32" s="563" t="inlineStr">
        <is>
          <t>USOU ATÉ NATAL</t>
        </is>
      </c>
      <c r="N32" s="565" t="inlineStr">
        <is>
          <t>TOTAL GERAL</t>
        </is>
      </c>
    </row>
    <row r="33" ht="15.75" customHeight="1">
      <c r="A33" s="710" t="n"/>
      <c r="B33" s="194" t="n">
        <v>45964</v>
      </c>
      <c r="C33" s="195" t="n">
        <v>45971</v>
      </c>
      <c r="D33" s="195" t="n">
        <v>45978</v>
      </c>
      <c r="E33" s="194" t="n">
        <v>45985</v>
      </c>
      <c r="F33" s="196" t="inlineStr">
        <is>
          <t>USOU</t>
        </is>
      </c>
      <c r="G33" s="194" t="n">
        <v>45992</v>
      </c>
      <c r="H33" s="195" t="n">
        <v>45999</v>
      </c>
      <c r="I33" s="195" t="n">
        <v>46006</v>
      </c>
      <c r="J33" s="195" t="n">
        <v>46013</v>
      </c>
      <c r="K33" s="194" t="n">
        <v>46020</v>
      </c>
      <c r="L33" s="196" t="inlineStr">
        <is>
          <t>USOU</t>
        </is>
      </c>
      <c r="M33" s="711" t="n"/>
      <c r="N33" s="712" t="n"/>
    </row>
    <row r="34" ht="15.75" customHeight="1">
      <c r="A34" s="164" t="inlineStr">
        <is>
          <t>SACOLA P</t>
        </is>
      </c>
      <c r="B34" s="89" t="n">
        <v>140</v>
      </c>
      <c r="C34" s="89" t="n">
        <v>200</v>
      </c>
      <c r="D34" s="89" t="n">
        <v>200</v>
      </c>
      <c r="E34" s="89" t="n">
        <v>140</v>
      </c>
      <c r="F34" s="166">
        <f>B34+C34+D34+E34</f>
        <v/>
      </c>
      <c r="G34" s="89" t="n">
        <v>185</v>
      </c>
      <c r="H34" s="89" t="n">
        <v>135</v>
      </c>
      <c r="I34" s="89" t="n">
        <v>0</v>
      </c>
      <c r="J34" s="89" t="n">
        <v>0</v>
      </c>
      <c r="K34" s="89" t="n"/>
      <c r="L34" s="166">
        <f>G34+H34+I34+J34+K34</f>
        <v/>
      </c>
      <c r="M34" s="199">
        <f>B34+C34+D34+E34+G34+H34+I34+J34</f>
        <v/>
      </c>
      <c r="N34" s="197">
        <f>F34+L34</f>
        <v/>
      </c>
    </row>
    <row r="35" ht="15.75" customHeight="1">
      <c r="A35" s="164" t="inlineStr">
        <is>
          <t>SACOLA M</t>
        </is>
      </c>
      <c r="B35" s="89" t="n">
        <v>95</v>
      </c>
      <c r="C35" s="89" t="n">
        <v>75</v>
      </c>
      <c r="D35" s="89" t="n">
        <v>100</v>
      </c>
      <c r="E35" s="89" t="n">
        <v>25</v>
      </c>
      <c r="F35" s="166">
        <f>B35+C35+D35+E35</f>
        <v/>
      </c>
      <c r="G35" s="89" t="n">
        <v>105</v>
      </c>
      <c r="H35" s="89" t="n">
        <v>140</v>
      </c>
      <c r="I35" s="89" t="n">
        <v>125</v>
      </c>
      <c r="J35" s="89" t="n">
        <v>135</v>
      </c>
      <c r="K35" s="89" t="n"/>
      <c r="L35" s="166">
        <f>G35+H35+I35+J35+K35</f>
        <v/>
      </c>
      <c r="M35" s="199">
        <f>B35+C35+D35+E35+G35+H35+I35+J35</f>
        <v/>
      </c>
      <c r="N35" s="197">
        <f>F35+L35</f>
        <v/>
      </c>
    </row>
    <row r="36" ht="15.75" customHeight="1">
      <c r="A36" s="164" t="inlineStr">
        <is>
          <t>SACOLA G</t>
        </is>
      </c>
      <c r="B36" s="89" t="n">
        <v>40</v>
      </c>
      <c r="C36" s="89" t="n">
        <v>0</v>
      </c>
      <c r="D36" s="89" t="n">
        <v>0</v>
      </c>
      <c r="E36" s="89" t="n">
        <v>0</v>
      </c>
      <c r="F36" s="166">
        <f>B36+C36+D36+E36</f>
        <v/>
      </c>
      <c r="G36" s="89" t="n">
        <v>0</v>
      </c>
      <c r="H36" s="89" t="n">
        <v>0</v>
      </c>
      <c r="I36" s="89" t="n">
        <v>0</v>
      </c>
      <c r="J36" s="89" t="n">
        <v>0</v>
      </c>
      <c r="K36" s="89" t="n"/>
      <c r="L36" s="166">
        <f>G36+H36+I36+J36+K36</f>
        <v/>
      </c>
      <c r="M36" s="199">
        <f>B36+C36+D36+E36+G36+H36+I36+J36</f>
        <v/>
      </c>
      <c r="N36" s="197">
        <f>F36+L36</f>
        <v/>
      </c>
    </row>
    <row r="37" ht="15.75" customHeight="1">
      <c r="A37" s="115" t="inlineStr">
        <is>
          <t xml:space="preserve">PAPEL DE SEDA </t>
        </is>
      </c>
      <c r="B37" s="89" t="n">
        <v>1</v>
      </c>
      <c r="C37" s="89" t="n">
        <v>1</v>
      </c>
      <c r="D37" s="89" t="n">
        <v>0</v>
      </c>
      <c r="E37" s="89" t="n">
        <v>1</v>
      </c>
      <c r="F37" s="166">
        <f>B37+C37+D37+E37</f>
        <v/>
      </c>
      <c r="G37" s="89" t="n">
        <v>1</v>
      </c>
      <c r="H37" s="89" t="n">
        <v>2</v>
      </c>
      <c r="I37" s="89" t="n">
        <v>3</v>
      </c>
      <c r="J37" s="89" t="n">
        <v>5</v>
      </c>
      <c r="K37" s="89" t="n"/>
      <c r="L37" s="166">
        <f>G37+H37+I37+J37+K37</f>
        <v/>
      </c>
      <c r="M37" s="199">
        <f>B37+C37+D37+E37+G37+H37+I37+J37</f>
        <v/>
      </c>
      <c r="N37" s="197">
        <f>F37+L37</f>
        <v/>
      </c>
    </row>
    <row r="38" ht="15.75" customHeight="1">
      <c r="A38" s="115" t="inlineStr">
        <is>
          <t xml:space="preserve">TAGS </t>
        </is>
      </c>
      <c r="B38" s="89" t="n">
        <v>1</v>
      </c>
      <c r="C38" s="89" t="n">
        <v>0</v>
      </c>
      <c r="D38" s="89" t="n">
        <v>0</v>
      </c>
      <c r="E38" s="89" t="n">
        <v>0</v>
      </c>
      <c r="F38" s="166">
        <f>B38+C38+D38+E38</f>
        <v/>
      </c>
      <c r="G38" s="89" t="n">
        <v>1</v>
      </c>
      <c r="H38" s="89" t="n">
        <v>1</v>
      </c>
      <c r="I38" s="89" t="n">
        <v>1</v>
      </c>
      <c r="J38" s="89" t="n">
        <v>2</v>
      </c>
      <c r="K38" s="89" t="n"/>
      <c r="L38" s="166">
        <f>G38+H38+I38+J38+K38</f>
        <v/>
      </c>
      <c r="M38" s="199">
        <f>B38+C38+D38+E38+G38+H38+I38+J38</f>
        <v/>
      </c>
      <c r="N38" s="197">
        <f>F38+L38</f>
        <v/>
      </c>
    </row>
    <row r="39" ht="15.75" customHeight="1">
      <c r="A39" s="109" t="inlineStr">
        <is>
          <t>TOTAL DE SACOLAS</t>
        </is>
      </c>
      <c r="B39" s="110">
        <f>B34+B35+B36</f>
        <v/>
      </c>
      <c r="C39" s="110">
        <f>C34+C35+C36</f>
        <v/>
      </c>
      <c r="D39" s="110">
        <f>D34+D35+D36</f>
        <v/>
      </c>
      <c r="E39" s="110">
        <f>E34+E35+E36</f>
        <v/>
      </c>
      <c r="F39" s="110">
        <f>F34+F35+F36</f>
        <v/>
      </c>
      <c r="G39" s="110">
        <f>G34+G35+G36</f>
        <v/>
      </c>
      <c r="H39" s="110">
        <f>H34+H35+H36</f>
        <v/>
      </c>
      <c r="I39" s="110">
        <f>I34+I35+I36</f>
        <v/>
      </c>
      <c r="J39" s="110">
        <f>J34+J35+J36</f>
        <v/>
      </c>
      <c r="K39" s="110">
        <f>K34+K35+K36</f>
        <v/>
      </c>
      <c r="L39" s="191">
        <f>L34+L35+L36</f>
        <v/>
      </c>
      <c r="M39" s="198">
        <f>M34+M35+M36</f>
        <v/>
      </c>
      <c r="N39" s="198">
        <f>N34+N35+N36</f>
        <v/>
      </c>
    </row>
    <row r="41" ht="15.75" customHeight="1">
      <c r="A41" s="727" t="inlineStr">
        <is>
          <t>GASTO DE SACOLAS E ITENS DOADOS NATAL/2025 - MENSAIS</t>
        </is>
      </c>
      <c r="B41" s="707" t="n"/>
      <c r="C41" s="707" t="n"/>
      <c r="D41" s="707" t="n"/>
      <c r="E41" s="707" t="n"/>
      <c r="F41" s="707" t="n"/>
      <c r="G41" s="707" t="n"/>
      <c r="H41" s="707" t="n"/>
      <c r="I41" s="707" t="n"/>
      <c r="J41" s="707" t="n"/>
      <c r="K41" s="707" t="n"/>
      <c r="L41" s="707" t="n"/>
      <c r="M41" s="707" t="n"/>
      <c r="N41" s="708" t="n"/>
    </row>
    <row r="42" ht="15.75" customHeight="1">
      <c r="A42" s="558" t="inlineStr">
        <is>
          <t>JAÚ SHOPPING</t>
        </is>
      </c>
      <c r="B42" s="729" t="inlineStr">
        <is>
          <t>NOVEMBRO</t>
        </is>
      </c>
      <c r="C42" s="625" t="n"/>
      <c r="D42" s="625" t="n"/>
      <c r="E42" s="625" t="n"/>
      <c r="F42" s="641" t="n"/>
      <c r="G42" s="729" t="inlineStr">
        <is>
          <t>DEZEMBRO</t>
        </is>
      </c>
      <c r="H42" s="625" t="n"/>
      <c r="I42" s="625" t="n"/>
      <c r="J42" s="625" t="n"/>
      <c r="K42" s="625" t="n"/>
      <c r="L42" s="641" t="n"/>
      <c r="M42" s="563" t="inlineStr">
        <is>
          <t>USOU ATÉ NATAL</t>
        </is>
      </c>
      <c r="N42" s="565" t="inlineStr">
        <is>
          <t>TOTAL GERAL</t>
        </is>
      </c>
    </row>
    <row r="43" ht="15.75" customHeight="1">
      <c r="A43" s="710" t="n"/>
      <c r="B43" s="194" t="n">
        <v>45964</v>
      </c>
      <c r="C43" s="195" t="n">
        <v>45971</v>
      </c>
      <c r="D43" s="195" t="n">
        <v>45978</v>
      </c>
      <c r="E43" s="194" t="n">
        <v>45985</v>
      </c>
      <c r="F43" s="196" t="inlineStr">
        <is>
          <t>USOU</t>
        </is>
      </c>
      <c r="G43" s="194" t="n">
        <v>45992</v>
      </c>
      <c r="H43" s="195" t="n">
        <v>45999</v>
      </c>
      <c r="I43" s="195" t="n">
        <v>46006</v>
      </c>
      <c r="J43" s="195" t="n">
        <v>46013</v>
      </c>
      <c r="K43" s="194" t="n">
        <v>46020</v>
      </c>
      <c r="L43" s="196" t="inlineStr">
        <is>
          <t>USOU</t>
        </is>
      </c>
      <c r="M43" s="711" t="n"/>
      <c r="N43" s="712" t="n"/>
    </row>
    <row r="44" ht="15.75" customHeight="1">
      <c r="A44" s="164" t="inlineStr">
        <is>
          <t>SACOLA P</t>
        </is>
      </c>
      <c r="B44" s="89" t="n">
        <v>100</v>
      </c>
      <c r="C44" s="89" t="n">
        <v>465</v>
      </c>
      <c r="D44" s="89" t="n">
        <v>785</v>
      </c>
      <c r="E44" s="89" t="n">
        <v>450</v>
      </c>
      <c r="F44" s="166">
        <f>B44+C44+D44+E44</f>
        <v/>
      </c>
      <c r="G44" s="89" t="n">
        <v>746</v>
      </c>
      <c r="H44" s="89" t="n">
        <v>229</v>
      </c>
      <c r="I44" s="89" t="n">
        <v>25</v>
      </c>
      <c r="J44" s="89" t="n">
        <v>0</v>
      </c>
      <c r="K44" s="89" t="n"/>
      <c r="L44" s="166">
        <f>G44+H44+I44+J44+K44</f>
        <v/>
      </c>
      <c r="M44" s="199">
        <f>B44+C44+D44+E44+G44+H44+I44+J44</f>
        <v/>
      </c>
      <c r="N44" s="197">
        <f>F44+L44</f>
        <v/>
      </c>
    </row>
    <row r="45" ht="15.75" customHeight="1">
      <c r="A45" s="164" t="inlineStr">
        <is>
          <t>SACOLA M</t>
        </is>
      </c>
      <c r="B45" s="89" t="n">
        <v>57</v>
      </c>
      <c r="C45" s="89" t="n">
        <v>343</v>
      </c>
      <c r="D45" s="89" t="n">
        <v>0</v>
      </c>
      <c r="E45" s="89" t="n">
        <v>200</v>
      </c>
      <c r="F45" s="166">
        <f>B45+C45+D45+E45</f>
        <v/>
      </c>
      <c r="G45" s="89" t="n">
        <v>282</v>
      </c>
      <c r="H45" s="89" t="n">
        <v>287</v>
      </c>
      <c r="I45" s="89" t="n">
        <v>565</v>
      </c>
      <c r="J45" s="89" t="n">
        <v>66</v>
      </c>
      <c r="K45" s="89" t="n"/>
      <c r="L45" s="166">
        <f>G45+H45+I45+J45+K45</f>
        <v/>
      </c>
      <c r="M45" s="199">
        <f>B45+C45+D45+E45+G45+H45+I45+J45</f>
        <v/>
      </c>
      <c r="N45" s="197">
        <f>F45+L45</f>
        <v/>
      </c>
    </row>
    <row r="46" ht="15.75" customHeight="1">
      <c r="A46" s="164" t="inlineStr">
        <is>
          <t>SACOLA G</t>
        </is>
      </c>
      <c r="B46" s="89" t="n">
        <v>58</v>
      </c>
      <c r="C46" s="89" t="n">
        <v>0</v>
      </c>
      <c r="D46" s="89" t="n">
        <v>42</v>
      </c>
      <c r="E46" s="89" t="n">
        <v>0</v>
      </c>
      <c r="F46" s="166">
        <f>B46+C46+D46+E46</f>
        <v/>
      </c>
      <c r="G46" s="89" t="n">
        <v>52</v>
      </c>
      <c r="H46" s="89" t="n">
        <v>38</v>
      </c>
      <c r="I46" s="89" t="n">
        <v>58</v>
      </c>
      <c r="J46" s="89" t="n">
        <v>52</v>
      </c>
      <c r="K46" s="89" t="n"/>
      <c r="L46" s="166">
        <f>G46+H46+I46+J46+K46</f>
        <v/>
      </c>
      <c r="M46" s="199">
        <f>B46+C46+D46+E46+G46+H46+I46+J46</f>
        <v/>
      </c>
      <c r="N46" s="197">
        <f>F46+L46</f>
        <v/>
      </c>
    </row>
    <row r="47" ht="15.75" customHeight="1">
      <c r="A47" s="115" t="inlineStr">
        <is>
          <t xml:space="preserve">PAPEL DE SEDA </t>
        </is>
      </c>
      <c r="B47" s="89" t="n">
        <v>0</v>
      </c>
      <c r="C47" s="89" t="n">
        <v>0</v>
      </c>
      <c r="D47" s="89" t="n">
        <v>3</v>
      </c>
      <c r="E47" s="89" t="n">
        <v>2</v>
      </c>
      <c r="F47" s="166">
        <f>B47+C47+D47+E47</f>
        <v/>
      </c>
      <c r="G47" s="89" t="n">
        <v>3</v>
      </c>
      <c r="H47" s="89" t="n">
        <v>2</v>
      </c>
      <c r="I47" s="89" t="n">
        <v>6</v>
      </c>
      <c r="J47" s="89" t="n">
        <v>7</v>
      </c>
      <c r="K47" s="89" t="n"/>
      <c r="L47" s="166">
        <f>G47+H47+I47+J47+K47</f>
        <v/>
      </c>
      <c r="M47" s="199">
        <f>B47+C47+D47+E47+G47+H47+I47+J47</f>
        <v/>
      </c>
      <c r="N47" s="197">
        <f>F47+L47</f>
        <v/>
      </c>
    </row>
    <row r="48" ht="15.75" customHeight="1">
      <c r="A48" s="115" t="inlineStr">
        <is>
          <t xml:space="preserve">TAGS </t>
        </is>
      </c>
      <c r="B48" s="89" t="n">
        <v>0</v>
      </c>
      <c r="C48" s="89" t="n">
        <v>0</v>
      </c>
      <c r="D48" s="89" t="n">
        <v>1</v>
      </c>
      <c r="E48" s="89" t="n">
        <v>3</v>
      </c>
      <c r="F48" s="166">
        <f>B48+C48+D48+E48</f>
        <v/>
      </c>
      <c r="G48" s="89" t="n">
        <v>0</v>
      </c>
      <c r="H48" s="89" t="n">
        <v>1</v>
      </c>
      <c r="I48" s="89" t="n">
        <v>6</v>
      </c>
      <c r="J48" s="89" t="n">
        <v>1</v>
      </c>
      <c r="K48" s="89" t="n"/>
      <c r="L48" s="166">
        <f>G48+H48+I48+J48+K48</f>
        <v/>
      </c>
      <c r="M48" s="199">
        <f>B48+C48+D48+E48+G48+H48+I48+J48</f>
        <v/>
      </c>
      <c r="N48" s="197">
        <f>F48+L48</f>
        <v/>
      </c>
    </row>
    <row r="49" ht="15.75" customHeight="1">
      <c r="A49" s="109" t="inlineStr">
        <is>
          <t>TOTAL DE SACOLAS</t>
        </is>
      </c>
      <c r="B49" s="110">
        <f>B44+B45+B46</f>
        <v/>
      </c>
      <c r="C49" s="110">
        <f>C44+C45+C46</f>
        <v/>
      </c>
      <c r="D49" s="110">
        <f>D44+D45+D46</f>
        <v/>
      </c>
      <c r="E49" s="110">
        <f>E44+E45+E46</f>
        <v/>
      </c>
      <c r="F49" s="110">
        <f>F44+F45+F46</f>
        <v/>
      </c>
      <c r="G49" s="110">
        <f>G44+G45+G46</f>
        <v/>
      </c>
      <c r="H49" s="110">
        <f>H44+H45+H46</f>
        <v/>
      </c>
      <c r="I49" s="110">
        <f>I44+I45+I46</f>
        <v/>
      </c>
      <c r="J49" s="110">
        <f>J44+J45+J46</f>
        <v/>
      </c>
      <c r="K49" s="110">
        <f>K44+K45+K46</f>
        <v/>
      </c>
      <c r="L49" s="191">
        <f>L44+L45+L46</f>
        <v/>
      </c>
      <c r="M49" s="198">
        <f>M44+M45+M46</f>
        <v/>
      </c>
      <c r="N49" s="198">
        <f>N44+N45+N46</f>
        <v/>
      </c>
    </row>
    <row r="51" ht="15.75" customHeight="1">
      <c r="A51" s="727" t="inlineStr">
        <is>
          <t>GASTO DE SACOLAS E ITENS DOADOS NATAL/2025 - MENSAIS</t>
        </is>
      </c>
      <c r="B51" s="707" t="n"/>
      <c r="C51" s="707" t="n"/>
      <c r="D51" s="707" t="n"/>
      <c r="E51" s="707" t="n"/>
      <c r="F51" s="707" t="n"/>
      <c r="G51" s="707" t="n"/>
      <c r="H51" s="707" t="n"/>
      <c r="I51" s="707" t="n"/>
      <c r="J51" s="707" t="n"/>
      <c r="K51" s="707" t="n"/>
      <c r="L51" s="707" t="n"/>
      <c r="M51" s="707" t="n"/>
      <c r="N51" s="708" t="n"/>
    </row>
    <row r="52" ht="15.75" customHeight="1">
      <c r="A52" s="558" t="inlineStr">
        <is>
          <t>CONFIANÇA</t>
        </is>
      </c>
      <c r="B52" s="729" t="inlineStr">
        <is>
          <t>NOVEMBRO</t>
        </is>
      </c>
      <c r="C52" s="625" t="n"/>
      <c r="D52" s="625" t="n"/>
      <c r="E52" s="625" t="n"/>
      <c r="F52" s="641" t="n"/>
      <c r="G52" s="729" t="inlineStr">
        <is>
          <t>DEZEMBRO</t>
        </is>
      </c>
      <c r="H52" s="625" t="n"/>
      <c r="I52" s="625" t="n"/>
      <c r="J52" s="625" t="n"/>
      <c r="K52" s="625" t="n"/>
      <c r="L52" s="641" t="n"/>
      <c r="M52" s="563" t="inlineStr">
        <is>
          <t>USOU ATÉ NATAL</t>
        </is>
      </c>
      <c r="N52" s="565" t="inlineStr">
        <is>
          <t>TOTAL GERAL</t>
        </is>
      </c>
    </row>
    <row r="53" ht="15.75" customHeight="1">
      <c r="A53" s="710" t="n"/>
      <c r="B53" s="194" t="n">
        <v>45964</v>
      </c>
      <c r="C53" s="195" t="n">
        <v>45971</v>
      </c>
      <c r="D53" s="195" t="n">
        <v>45978</v>
      </c>
      <c r="E53" s="194" t="n">
        <v>45985</v>
      </c>
      <c r="F53" s="196" t="inlineStr">
        <is>
          <t>USOU</t>
        </is>
      </c>
      <c r="G53" s="194" t="n">
        <v>45992</v>
      </c>
      <c r="H53" s="195" t="n">
        <v>45999</v>
      </c>
      <c r="I53" s="195" t="n">
        <v>46006</v>
      </c>
      <c r="J53" s="195" t="n">
        <v>46013</v>
      </c>
      <c r="K53" s="194" t="n">
        <v>46020</v>
      </c>
      <c r="L53" s="196" t="inlineStr">
        <is>
          <t>USOU</t>
        </is>
      </c>
      <c r="M53" s="711" t="n"/>
      <c r="N53" s="712" t="n"/>
    </row>
    <row r="54" ht="15.75" customHeight="1">
      <c r="A54" s="164" t="inlineStr">
        <is>
          <t>SACOLA P</t>
        </is>
      </c>
      <c r="B54" s="89" t="n">
        <v>0</v>
      </c>
      <c r="C54" s="89" t="n">
        <v>0</v>
      </c>
      <c r="D54" s="89" t="n">
        <v>85</v>
      </c>
      <c r="E54" s="89" t="n">
        <v>200</v>
      </c>
      <c r="F54" s="166">
        <f>B54+C54+D54+E54</f>
        <v/>
      </c>
      <c r="G54" s="89" t="n">
        <v>315</v>
      </c>
      <c r="H54" s="89" t="n">
        <v>0</v>
      </c>
      <c r="I54" s="89" t="n">
        <v>0</v>
      </c>
      <c r="J54" s="89" t="n">
        <v>0</v>
      </c>
      <c r="K54" s="89" t="n"/>
      <c r="L54" s="166">
        <f>G54+H54+I54+J54+K54</f>
        <v/>
      </c>
      <c r="M54" s="199">
        <f>B54+C54+D54+E54+G54+H54+I54+J54</f>
        <v/>
      </c>
      <c r="N54" s="197">
        <f>F54+L54</f>
        <v/>
      </c>
    </row>
    <row r="55" ht="15.75" customHeight="1">
      <c r="A55" s="164" t="inlineStr">
        <is>
          <t>SACOLA M</t>
        </is>
      </c>
      <c r="B55" s="89" t="n">
        <v>0</v>
      </c>
      <c r="C55" s="89" t="n">
        <v>0</v>
      </c>
      <c r="D55" s="89" t="n">
        <v>100</v>
      </c>
      <c r="E55" s="89" t="n">
        <v>40</v>
      </c>
      <c r="F55" s="166">
        <f>B55+C55+D55+E55</f>
        <v/>
      </c>
      <c r="G55" s="89" t="n">
        <v>60</v>
      </c>
      <c r="H55" s="89" t="n">
        <v>0</v>
      </c>
      <c r="I55" s="89" t="n">
        <v>100</v>
      </c>
      <c r="J55" s="89" t="n">
        <v>100</v>
      </c>
      <c r="K55" s="89" t="n"/>
      <c r="L55" s="166">
        <f>G55+H55+I55+J55+K55</f>
        <v/>
      </c>
      <c r="M55" s="199">
        <f>B55+C55+D55+E55+G55+H55+I55+J55</f>
        <v/>
      </c>
      <c r="N55" s="197">
        <f>F55+L55</f>
        <v/>
      </c>
    </row>
    <row r="56" ht="15.75" customHeight="1">
      <c r="A56" s="164" t="inlineStr">
        <is>
          <t>SACOLA G</t>
        </is>
      </c>
      <c r="B56" s="89" t="n">
        <v>0</v>
      </c>
      <c r="C56" s="89" t="n">
        <v>0</v>
      </c>
      <c r="D56" s="89" t="n">
        <v>3</v>
      </c>
      <c r="E56" s="89" t="n">
        <v>0</v>
      </c>
      <c r="F56" s="166">
        <f>B56+C56+D56+E56</f>
        <v/>
      </c>
      <c r="G56" s="89" t="n">
        <v>0</v>
      </c>
      <c r="H56" s="89" t="n">
        <v>1</v>
      </c>
      <c r="I56" s="89" t="n">
        <v>3</v>
      </c>
      <c r="J56" s="89" t="n">
        <v>0</v>
      </c>
      <c r="K56" s="89" t="n"/>
      <c r="L56" s="166">
        <f>G56+H56+I56+J56+K56</f>
        <v/>
      </c>
      <c r="M56" s="199">
        <f>B56+C56+D56+E56+G56+H56+I56+J56</f>
        <v/>
      </c>
      <c r="N56" s="197">
        <f>F56+L56</f>
        <v/>
      </c>
    </row>
    <row r="57" ht="15.75" customHeight="1">
      <c r="A57" s="115" t="inlineStr">
        <is>
          <t xml:space="preserve">PAPEL DE SEDA </t>
        </is>
      </c>
      <c r="B57" s="89" t="n">
        <v>1</v>
      </c>
      <c r="C57" s="89" t="n">
        <v>0</v>
      </c>
      <c r="D57" s="89" t="n">
        <v>0</v>
      </c>
      <c r="E57" s="89" t="n">
        <v>1</v>
      </c>
      <c r="F57" s="166">
        <f>B57+C57+D57+E57</f>
        <v/>
      </c>
      <c r="G57" s="89" t="n">
        <v>1</v>
      </c>
      <c r="H57" s="89" t="n">
        <v>1</v>
      </c>
      <c r="I57" s="89" t="n">
        <v>0</v>
      </c>
      <c r="J57" s="89" t="n">
        <v>1</v>
      </c>
      <c r="K57" s="89" t="n"/>
      <c r="L57" s="166">
        <f>G57+H57+I57+J57+K57</f>
        <v/>
      </c>
      <c r="M57" s="199">
        <f>B57+C57+D57+E57+G57+H57+I57+J57</f>
        <v/>
      </c>
      <c r="N57" s="197">
        <f>F57+L57</f>
        <v/>
      </c>
    </row>
    <row r="58" ht="15.75" customHeight="1">
      <c r="A58" s="115" t="inlineStr">
        <is>
          <t xml:space="preserve">TAGS </t>
        </is>
      </c>
      <c r="B58" s="89" t="n">
        <v>0</v>
      </c>
      <c r="C58" s="89" t="n">
        <v>2</v>
      </c>
      <c r="D58" s="89" t="n">
        <v>0</v>
      </c>
      <c r="E58" s="89" t="n">
        <v>0</v>
      </c>
      <c r="F58" s="166">
        <f>B58+C58+D58+E58</f>
        <v/>
      </c>
      <c r="G58" s="89" t="n">
        <v>0</v>
      </c>
      <c r="H58" s="89" t="n">
        <v>2</v>
      </c>
      <c r="I58" s="89" t="n">
        <v>0</v>
      </c>
      <c r="J58" s="89" t="n">
        <v>0</v>
      </c>
      <c r="K58" s="89" t="n"/>
      <c r="L58" s="166">
        <f>G58+H58+I58+J58+K58</f>
        <v/>
      </c>
      <c r="M58" s="199">
        <f>B58+C58+D58+E58+G58+H58+I58+J58</f>
        <v/>
      </c>
      <c r="N58" s="197">
        <f>F58+L58</f>
        <v/>
      </c>
    </row>
    <row r="59" ht="15.75" customHeight="1">
      <c r="A59" s="109" t="inlineStr">
        <is>
          <t>TOTAL DE SACOLAS</t>
        </is>
      </c>
      <c r="B59" s="110">
        <f>B54+B55+B56</f>
        <v/>
      </c>
      <c r="C59" s="110">
        <f>C54+C55+C56</f>
        <v/>
      </c>
      <c r="D59" s="110">
        <f>D54+D55+D56</f>
        <v/>
      </c>
      <c r="E59" s="110">
        <f>E54+E55+E56</f>
        <v/>
      </c>
      <c r="F59" s="110">
        <f>F54+F55+F56</f>
        <v/>
      </c>
      <c r="G59" s="110">
        <f>G54+G55+G56</f>
        <v/>
      </c>
      <c r="H59" s="110">
        <f>H54+H55+H56</f>
        <v/>
      </c>
      <c r="I59" s="110">
        <f>I54+I55+I56</f>
        <v/>
      </c>
      <c r="J59" s="110">
        <f>J54+J55+J56</f>
        <v/>
      </c>
      <c r="K59" s="110">
        <f>K54+K55+K56</f>
        <v/>
      </c>
      <c r="L59" s="191">
        <f>L54+L55+L56</f>
        <v/>
      </c>
      <c r="M59" s="198">
        <f>M54+M55+M56</f>
        <v/>
      </c>
      <c r="N59" s="198">
        <f>N54+N55+N56</f>
        <v/>
      </c>
    </row>
    <row r="61" ht="15.75" customHeight="1">
      <c r="A61" s="727" t="inlineStr">
        <is>
          <t>GASTO DE SACOLAS E ITENS DOADOS NATAL/2025 - MENSAIS</t>
        </is>
      </c>
      <c r="B61" s="707" t="n"/>
      <c r="C61" s="707" t="n"/>
      <c r="D61" s="707" t="n"/>
      <c r="E61" s="707" t="n"/>
      <c r="F61" s="707" t="n"/>
      <c r="G61" s="707" t="n"/>
      <c r="H61" s="707" t="n"/>
      <c r="I61" s="707" t="n"/>
      <c r="J61" s="707" t="n"/>
      <c r="K61" s="707" t="n"/>
      <c r="L61" s="707" t="n"/>
      <c r="M61" s="707" t="n"/>
      <c r="N61" s="708" t="n"/>
    </row>
    <row r="62" ht="15.75" customHeight="1">
      <c r="A62" s="558" t="inlineStr">
        <is>
          <t>DOIS CÓRREGOS</t>
        </is>
      </c>
      <c r="B62" s="729" t="inlineStr">
        <is>
          <t>NOVEMBRO</t>
        </is>
      </c>
      <c r="C62" s="625" t="n"/>
      <c r="D62" s="625" t="n"/>
      <c r="E62" s="625" t="n"/>
      <c r="F62" s="641" t="n"/>
      <c r="G62" s="729" t="inlineStr">
        <is>
          <t>DEZEMBRO</t>
        </is>
      </c>
      <c r="H62" s="625" t="n"/>
      <c r="I62" s="625" t="n"/>
      <c r="J62" s="625" t="n"/>
      <c r="K62" s="625" t="n"/>
      <c r="L62" s="641" t="n"/>
      <c r="M62" s="563" t="inlineStr">
        <is>
          <t>USOU ATÉ NATAL</t>
        </is>
      </c>
      <c r="N62" s="565" t="inlineStr">
        <is>
          <t>TOTAL GERAL</t>
        </is>
      </c>
    </row>
    <row r="63" ht="15.75" customHeight="1">
      <c r="A63" s="710" t="n"/>
      <c r="B63" s="194" t="n">
        <v>45964</v>
      </c>
      <c r="C63" s="195" t="n">
        <v>45971</v>
      </c>
      <c r="D63" s="195" t="n">
        <v>45978</v>
      </c>
      <c r="E63" s="194" t="n">
        <v>45985</v>
      </c>
      <c r="F63" s="196" t="inlineStr">
        <is>
          <t>USOU</t>
        </is>
      </c>
      <c r="G63" s="194" t="n">
        <v>45992</v>
      </c>
      <c r="H63" s="195" t="n">
        <v>45999</v>
      </c>
      <c r="I63" s="195" t="n">
        <v>46006</v>
      </c>
      <c r="J63" s="195" t="n">
        <v>46013</v>
      </c>
      <c r="K63" s="194" t="n">
        <v>46020</v>
      </c>
      <c r="L63" s="196" t="inlineStr">
        <is>
          <t>USOU</t>
        </is>
      </c>
      <c r="M63" s="711" t="n"/>
      <c r="N63" s="712" t="n"/>
    </row>
    <row r="64" ht="15.75" customHeight="1">
      <c r="A64" s="164" t="inlineStr">
        <is>
          <t>SACOLA P</t>
        </is>
      </c>
      <c r="B64" s="89" t="n">
        <v>200</v>
      </c>
      <c r="C64" s="89" t="n">
        <v>120</v>
      </c>
      <c r="D64" s="89" t="n">
        <v>0</v>
      </c>
      <c r="E64" s="89" t="n">
        <v>390</v>
      </c>
      <c r="F64" s="166">
        <f>B64+C64+D64+E64</f>
        <v/>
      </c>
      <c r="G64" s="89" t="n">
        <v>0</v>
      </c>
      <c r="H64" s="89" t="n">
        <v>0</v>
      </c>
      <c r="I64" s="89" t="n">
        <v>0</v>
      </c>
      <c r="J64" s="89" t="n">
        <v>90</v>
      </c>
      <c r="K64" s="89" t="n"/>
      <c r="L64" s="166">
        <f>G64+H64+I64+J64+K64</f>
        <v/>
      </c>
      <c r="M64" s="199">
        <f>B64+C64+D64+E64+G64+H64+I64+J64</f>
        <v/>
      </c>
      <c r="N64" s="197">
        <f>F64+L64</f>
        <v/>
      </c>
    </row>
    <row r="65" ht="15.75" customHeight="1">
      <c r="A65" s="164" t="inlineStr">
        <is>
          <t>SACOLA M</t>
        </is>
      </c>
      <c r="B65" s="89" t="n">
        <v>120</v>
      </c>
      <c r="C65" s="89" t="n">
        <v>80</v>
      </c>
      <c r="D65" s="89" t="n">
        <v>20</v>
      </c>
      <c r="E65" s="89" t="n">
        <v>80</v>
      </c>
      <c r="F65" s="166">
        <f>B65+C65+D65+E65</f>
        <v/>
      </c>
      <c r="G65" s="89" t="n">
        <v>300</v>
      </c>
      <c r="H65" s="89" t="n">
        <v>0</v>
      </c>
      <c r="I65" s="89" t="n">
        <v>0</v>
      </c>
      <c r="J65" s="89" t="n">
        <v>0</v>
      </c>
      <c r="K65" s="89" t="n"/>
      <c r="L65" s="166">
        <f>G65+H65+I65+J65+K65</f>
        <v/>
      </c>
      <c r="M65" s="199">
        <f>B65+C65+D65+E65+G65+H65+I65+J65</f>
        <v/>
      </c>
      <c r="N65" s="197">
        <f>F65+L65</f>
        <v/>
      </c>
    </row>
    <row r="66" ht="15.75" customHeight="1">
      <c r="A66" s="164" t="inlineStr">
        <is>
          <t>SACOLA G</t>
        </is>
      </c>
      <c r="B66" s="89" t="n">
        <v>140</v>
      </c>
      <c r="C66" s="89" t="n">
        <v>0</v>
      </c>
      <c r="D66" s="89" t="n">
        <v>0</v>
      </c>
      <c r="E66" s="89" t="n">
        <v>0</v>
      </c>
      <c r="F66" s="166">
        <f>B66+C66+D66+E66</f>
        <v/>
      </c>
      <c r="G66" s="89" t="n">
        <v>60</v>
      </c>
      <c r="H66" s="89" t="n">
        <v>0</v>
      </c>
      <c r="I66" s="89" t="n">
        <v>0</v>
      </c>
      <c r="J66" s="89" t="n">
        <v>0</v>
      </c>
      <c r="K66" s="89" t="n"/>
      <c r="L66" s="166">
        <f>G66+H66+I66+J66+K66</f>
        <v/>
      </c>
      <c r="M66" s="199">
        <f>B66+C66+D66+E66+G66+H66+I66+J66</f>
        <v/>
      </c>
      <c r="N66" s="197">
        <f>F66+L66</f>
        <v/>
      </c>
    </row>
    <row r="67" ht="15.75" customHeight="1">
      <c r="A67" s="115" t="inlineStr">
        <is>
          <t xml:space="preserve">PAPEL DE SEDA </t>
        </is>
      </c>
      <c r="B67" s="89" t="n">
        <v>1</v>
      </c>
      <c r="C67" s="89" t="n">
        <v>0</v>
      </c>
      <c r="D67" s="89" t="n">
        <v>1</v>
      </c>
      <c r="E67" s="89" t="n">
        <v>1</v>
      </c>
      <c r="F67" s="166">
        <f>B67+C67+D67+E67</f>
        <v/>
      </c>
      <c r="G67" s="89" t="n">
        <v>1</v>
      </c>
      <c r="H67" s="89" t="n">
        <v>1</v>
      </c>
      <c r="I67" s="89" t="n">
        <v>3</v>
      </c>
      <c r="J67" s="89" t="n">
        <v>1</v>
      </c>
      <c r="K67" s="89" t="n"/>
      <c r="L67" s="166">
        <f>G67+H67+I67+J67+K67</f>
        <v/>
      </c>
      <c r="M67" s="199">
        <f>B67+C67+D67+E67+G67+H67+I67+J67</f>
        <v/>
      </c>
      <c r="N67" s="197">
        <f>F67+L67</f>
        <v/>
      </c>
    </row>
    <row r="68" ht="15.75" customHeight="1">
      <c r="A68" s="115" t="inlineStr">
        <is>
          <t xml:space="preserve">TAGS </t>
        </is>
      </c>
      <c r="B68" s="89" t="n">
        <v>0</v>
      </c>
      <c r="C68" s="89" t="n">
        <v>0</v>
      </c>
      <c r="D68" s="89" t="n">
        <v>1</v>
      </c>
      <c r="E68" s="89" t="n">
        <v>0</v>
      </c>
      <c r="F68" s="166">
        <f>B68+C68+D68+E68</f>
        <v/>
      </c>
      <c r="G68" s="89" t="n">
        <v>1</v>
      </c>
      <c r="H68" s="89" t="n">
        <v>2</v>
      </c>
      <c r="I68" s="89" t="n">
        <v>1</v>
      </c>
      <c r="J68" s="89" t="n">
        <v>1</v>
      </c>
      <c r="K68" s="89" t="n"/>
      <c r="L68" s="166">
        <f>G68+H68+I68+J68+K68</f>
        <v/>
      </c>
      <c r="M68" s="199">
        <f>B68+C68+D68+E68+G68+H68+I68+J68</f>
        <v/>
      </c>
      <c r="N68" s="197">
        <f>F68+L68</f>
        <v/>
      </c>
    </row>
    <row r="69" ht="15.75" customHeight="1">
      <c r="A69" s="109" t="inlineStr">
        <is>
          <t>TOTAL DE SACOLAS</t>
        </is>
      </c>
      <c r="B69" s="110">
        <f>B64+B65+B66</f>
        <v/>
      </c>
      <c r="C69" s="110">
        <f>C64+C65+C66</f>
        <v/>
      </c>
      <c r="D69" s="110">
        <f>D64+D65+D66</f>
        <v/>
      </c>
      <c r="E69" s="110">
        <f>E64+E65+E66</f>
        <v/>
      </c>
      <c r="F69" s="110">
        <f>F64+F65+F66</f>
        <v/>
      </c>
      <c r="G69" s="110">
        <f>G64+G65+G66</f>
        <v/>
      </c>
      <c r="H69" s="110">
        <f>H64+H65+H66</f>
        <v/>
      </c>
      <c r="I69" s="110">
        <f>I64+I65+I66</f>
        <v/>
      </c>
      <c r="J69" s="110">
        <f>J64+J65+J66</f>
        <v/>
      </c>
      <c r="K69" s="110">
        <f>K64+K65+K66</f>
        <v/>
      </c>
      <c r="L69" s="191">
        <f>L64+L65+L66</f>
        <v/>
      </c>
      <c r="M69" s="198">
        <f>M64+M65+M66</f>
        <v/>
      </c>
      <c r="N69" s="198">
        <f>N64+N65+N66</f>
        <v/>
      </c>
    </row>
    <row r="71" ht="15.75" customHeight="1">
      <c r="A71" s="727" t="inlineStr">
        <is>
          <t>GASTO DE SACOLAS E ITENS DOADOS NATAL/2025 - MENSAIS</t>
        </is>
      </c>
      <c r="B71" s="707" t="n"/>
      <c r="C71" s="707" t="n"/>
      <c r="D71" s="707" t="n"/>
      <c r="E71" s="707" t="n"/>
      <c r="F71" s="707" t="n"/>
      <c r="G71" s="707" t="n"/>
      <c r="H71" s="707" t="n"/>
      <c r="I71" s="707" t="n"/>
      <c r="J71" s="707" t="n"/>
      <c r="K71" s="707" t="n"/>
      <c r="L71" s="707" t="n"/>
      <c r="M71" s="707" t="n"/>
      <c r="N71" s="708" t="n"/>
    </row>
    <row r="72" ht="15.75" customHeight="1">
      <c r="A72" s="558" t="inlineStr">
        <is>
          <t>ITIRAPINA</t>
        </is>
      </c>
      <c r="B72" s="729" t="inlineStr">
        <is>
          <t>NOVEMBRO</t>
        </is>
      </c>
      <c r="C72" s="625" t="n"/>
      <c r="D72" s="625" t="n"/>
      <c r="E72" s="625" t="n"/>
      <c r="F72" s="641" t="n"/>
      <c r="G72" s="729" t="inlineStr">
        <is>
          <t>DEZEMBRO</t>
        </is>
      </c>
      <c r="H72" s="625" t="n"/>
      <c r="I72" s="625" t="n"/>
      <c r="J72" s="625" t="n"/>
      <c r="K72" s="625" t="n"/>
      <c r="L72" s="641" t="n"/>
      <c r="M72" s="563" t="inlineStr">
        <is>
          <t>USOU ATÉ NATAL</t>
        </is>
      </c>
      <c r="N72" s="565" t="inlineStr">
        <is>
          <t>TOTAL GERAL</t>
        </is>
      </c>
    </row>
    <row r="73" ht="15.75" customHeight="1">
      <c r="A73" s="710" t="n"/>
      <c r="B73" s="194" t="n">
        <v>45964</v>
      </c>
      <c r="C73" s="195" t="n">
        <v>45971</v>
      </c>
      <c r="D73" s="195" t="n">
        <v>45978</v>
      </c>
      <c r="E73" s="194" t="n">
        <v>45985</v>
      </c>
      <c r="F73" s="196" t="inlineStr">
        <is>
          <t>USOU</t>
        </is>
      </c>
      <c r="G73" s="194" t="n">
        <v>45992</v>
      </c>
      <c r="H73" s="195" t="n">
        <v>45999</v>
      </c>
      <c r="I73" s="195" t="n">
        <v>46006</v>
      </c>
      <c r="J73" s="195" t="n">
        <v>46013</v>
      </c>
      <c r="K73" s="194" t="n">
        <v>46020</v>
      </c>
      <c r="L73" s="196" t="inlineStr">
        <is>
          <t>USOU</t>
        </is>
      </c>
      <c r="M73" s="711" t="n"/>
      <c r="N73" s="712" t="n"/>
    </row>
    <row r="74" ht="15.75" customHeight="1">
      <c r="A74" s="164" t="inlineStr">
        <is>
          <t>SACOLA P</t>
        </is>
      </c>
      <c r="B74" s="89" t="n">
        <v>80</v>
      </c>
      <c r="C74" s="89" t="n">
        <v>65</v>
      </c>
      <c r="D74" s="89" t="n">
        <v>55</v>
      </c>
      <c r="E74" s="89" t="n">
        <v>85</v>
      </c>
      <c r="F74" s="166">
        <f>B74+C74+D74+E74</f>
        <v/>
      </c>
      <c r="G74" s="89" t="n">
        <v>115</v>
      </c>
      <c r="H74" s="89" t="n">
        <v>70</v>
      </c>
      <c r="I74" s="89" t="n">
        <v>130</v>
      </c>
      <c r="J74" s="89" t="n">
        <v>0</v>
      </c>
      <c r="K74" s="89" t="n"/>
      <c r="L74" s="166">
        <f>G74+H74+I74+J74+K74</f>
        <v/>
      </c>
      <c r="M74" s="199">
        <f>B74+C74+D74+E74+G74+H74+I74+J74</f>
        <v/>
      </c>
      <c r="N74" s="197">
        <f>F74+L74</f>
        <v/>
      </c>
    </row>
    <row r="75" ht="15.75" customHeight="1">
      <c r="A75" s="164" t="inlineStr">
        <is>
          <t>SACOLA M</t>
        </is>
      </c>
      <c r="B75" s="89" t="n">
        <v>40</v>
      </c>
      <c r="C75" s="89" t="n">
        <v>30</v>
      </c>
      <c r="D75" s="89" t="n">
        <v>10</v>
      </c>
      <c r="E75" s="89" t="n">
        <v>40</v>
      </c>
      <c r="F75" s="166">
        <f>B75+C75+D75+E75</f>
        <v/>
      </c>
      <c r="G75" s="89" t="n">
        <v>0</v>
      </c>
      <c r="H75" s="89" t="n">
        <v>130</v>
      </c>
      <c r="I75" s="89" t="n">
        <v>60</v>
      </c>
      <c r="J75" s="89" t="n">
        <v>90</v>
      </c>
      <c r="K75" s="89" t="n"/>
      <c r="L75" s="166">
        <f>G75+H75+I75+J75+K75</f>
        <v/>
      </c>
      <c r="M75" s="199">
        <f>B75+C75+D75+E75+G75+H75+I75+J75</f>
        <v/>
      </c>
      <c r="N75" s="197">
        <f>F75+L75</f>
        <v/>
      </c>
    </row>
    <row r="76" ht="15.75" customHeight="1">
      <c r="A76" s="164" t="inlineStr">
        <is>
          <t>SACOLA G</t>
        </is>
      </c>
      <c r="B76" s="89" t="n">
        <v>30</v>
      </c>
      <c r="C76" s="89" t="n">
        <v>0</v>
      </c>
      <c r="D76" s="89" t="n">
        <v>0</v>
      </c>
      <c r="E76" s="89" t="n">
        <v>0</v>
      </c>
      <c r="F76" s="166">
        <f>B76+C76+D76+E76</f>
        <v/>
      </c>
      <c r="G76" s="89" t="n">
        <v>0</v>
      </c>
      <c r="H76" s="89" t="n">
        <v>0</v>
      </c>
      <c r="I76" s="89" t="n">
        <v>0</v>
      </c>
      <c r="J76" s="89" t="n">
        <v>70</v>
      </c>
      <c r="K76" s="89" t="n"/>
      <c r="L76" s="166">
        <f>G76+H76+I76+J76+K76</f>
        <v/>
      </c>
      <c r="M76" s="199">
        <f>B76+C76+D76+E76+G76+H76+I76+J76</f>
        <v/>
      </c>
      <c r="N76" s="197">
        <f>F76+L76</f>
        <v/>
      </c>
    </row>
    <row r="77" ht="15.75" customHeight="1">
      <c r="A77" s="115" t="inlineStr">
        <is>
          <t xml:space="preserve">PAPEL DE SEDA </t>
        </is>
      </c>
      <c r="B77" s="89" t="n">
        <v>1</v>
      </c>
      <c r="C77" s="89" t="n">
        <v>0</v>
      </c>
      <c r="D77" s="89" t="n">
        <v>0</v>
      </c>
      <c r="E77" s="89" t="n">
        <v>0</v>
      </c>
      <c r="F77" s="166">
        <f>B77+C77+D77+E77</f>
        <v/>
      </c>
      <c r="G77" s="89" t="n">
        <v>0</v>
      </c>
      <c r="H77" s="89" t="n">
        <v>1</v>
      </c>
      <c r="I77" s="89" t="n">
        <v>0</v>
      </c>
      <c r="J77" s="89" t="n">
        <v>2</v>
      </c>
      <c r="K77" s="89" t="n"/>
      <c r="L77" s="166">
        <f>G77+H77+I77+J77+K77</f>
        <v/>
      </c>
      <c r="M77" s="199">
        <f>B77+C77+D77+E77+G77+H77+I77+J77</f>
        <v/>
      </c>
      <c r="N77" s="197">
        <f>F77+L77</f>
        <v/>
      </c>
    </row>
    <row r="78" ht="15.75" customHeight="1">
      <c r="A78" s="115" t="inlineStr">
        <is>
          <t xml:space="preserve">TAGS </t>
        </is>
      </c>
      <c r="B78" s="89" t="n">
        <v>0</v>
      </c>
      <c r="C78" s="89" t="n">
        <v>0</v>
      </c>
      <c r="D78" s="89" t="n">
        <v>0</v>
      </c>
      <c r="E78" s="89" t="n">
        <v>0</v>
      </c>
      <c r="F78" s="166">
        <f>B78+C78+D78+E78</f>
        <v/>
      </c>
      <c r="G78" s="89" t="n">
        <v>1</v>
      </c>
      <c r="H78" s="89" t="n">
        <v>0</v>
      </c>
      <c r="I78" s="89" t="n">
        <v>0</v>
      </c>
      <c r="J78" s="89" t="n">
        <v>2</v>
      </c>
      <c r="K78" s="89" t="n"/>
      <c r="L78" s="166">
        <f>G78+H78+I78+J78+K78</f>
        <v/>
      </c>
      <c r="M78" s="199">
        <f>B78+C78+D78+E78+G78+H78+I78+J78</f>
        <v/>
      </c>
      <c r="N78" s="197">
        <f>F78+L78</f>
        <v/>
      </c>
    </row>
    <row r="79" ht="15.75" customHeight="1">
      <c r="A79" s="109" t="inlineStr">
        <is>
          <t>TOTAL DE SACOLAS</t>
        </is>
      </c>
      <c r="B79" s="110">
        <f>B74+B75+B76</f>
        <v/>
      </c>
      <c r="C79" s="110">
        <f>C74+C75+C76</f>
        <v/>
      </c>
      <c r="D79" s="110">
        <f>D74+D75+D76</f>
        <v/>
      </c>
      <c r="E79" s="110">
        <f>E74+E75+E76</f>
        <v/>
      </c>
      <c r="F79" s="110">
        <f>F74+F75+F76</f>
        <v/>
      </c>
      <c r="G79" s="110">
        <f>G74+G75+G76</f>
        <v/>
      </c>
      <c r="H79" s="110">
        <f>H74+H75+H76</f>
        <v/>
      </c>
      <c r="I79" s="110">
        <f>I74+I75+I76</f>
        <v/>
      </c>
      <c r="J79" s="110">
        <f>J74+J75+J76</f>
        <v/>
      </c>
      <c r="K79" s="110">
        <f>K74+K75+K76</f>
        <v/>
      </c>
      <c r="L79" s="191">
        <f>L74+L75+L76</f>
        <v/>
      </c>
      <c r="M79" s="198">
        <f>M74+M75+M76</f>
        <v/>
      </c>
      <c r="N79" s="198">
        <f>N74+N75+N76</f>
        <v/>
      </c>
    </row>
    <row r="81" ht="15.75" customHeight="1">
      <c r="A81" s="727" t="inlineStr">
        <is>
          <t>GASTO DE SACOLAS E ITENS DOADOS NATAL/2025 - MENSAIS</t>
        </is>
      </c>
      <c r="B81" s="707" t="n"/>
      <c r="C81" s="707" t="n"/>
      <c r="D81" s="707" t="n"/>
      <c r="E81" s="707" t="n"/>
      <c r="F81" s="707" t="n"/>
      <c r="G81" s="707" t="n"/>
      <c r="H81" s="707" t="n"/>
      <c r="I81" s="707" t="n"/>
      <c r="J81" s="707" t="n"/>
      <c r="K81" s="707" t="n"/>
      <c r="L81" s="707" t="n"/>
      <c r="M81" s="707" t="n"/>
      <c r="N81" s="708" t="n"/>
    </row>
    <row r="82" ht="15.75" customHeight="1">
      <c r="A82" s="558" t="inlineStr">
        <is>
          <t>BROTAS</t>
        </is>
      </c>
      <c r="B82" s="729" t="inlineStr">
        <is>
          <t>NOVEMBRO</t>
        </is>
      </c>
      <c r="C82" s="625" t="n"/>
      <c r="D82" s="625" t="n"/>
      <c r="E82" s="625" t="n"/>
      <c r="F82" s="641" t="n"/>
      <c r="G82" s="729" t="inlineStr">
        <is>
          <t>DEZEMBRO</t>
        </is>
      </c>
      <c r="H82" s="625" t="n"/>
      <c r="I82" s="625" t="n"/>
      <c r="J82" s="625" t="n"/>
      <c r="K82" s="625" t="n"/>
      <c r="L82" s="641" t="n"/>
      <c r="M82" s="563" t="inlineStr">
        <is>
          <t>USOU ATÉ NATAL</t>
        </is>
      </c>
      <c r="N82" s="565" t="inlineStr">
        <is>
          <t>TOTAL GERAL</t>
        </is>
      </c>
    </row>
    <row r="83" ht="15.75" customHeight="1">
      <c r="A83" s="710" t="n"/>
      <c r="B83" s="194" t="n">
        <v>45964</v>
      </c>
      <c r="C83" s="195" t="n">
        <v>45971</v>
      </c>
      <c r="D83" s="195" t="n">
        <v>45978</v>
      </c>
      <c r="E83" s="194" t="n">
        <v>45985</v>
      </c>
      <c r="F83" s="196" t="inlineStr">
        <is>
          <t>USOU</t>
        </is>
      </c>
      <c r="G83" s="194" t="n">
        <v>45992</v>
      </c>
      <c r="H83" s="195" t="n">
        <v>45999</v>
      </c>
      <c r="I83" s="195" t="n">
        <v>46006</v>
      </c>
      <c r="J83" s="195" t="n">
        <v>46013</v>
      </c>
      <c r="K83" s="194" t="n">
        <v>46020</v>
      </c>
      <c r="L83" s="196" t="inlineStr">
        <is>
          <t>USOU</t>
        </is>
      </c>
      <c r="M83" s="711" t="n"/>
      <c r="N83" s="712" t="n"/>
    </row>
    <row r="84" ht="15.75" customHeight="1">
      <c r="A84" s="164" t="inlineStr">
        <is>
          <t>SACOLA P</t>
        </is>
      </c>
      <c r="B84" s="89" t="n">
        <v>80</v>
      </c>
      <c r="C84" s="89" t="n">
        <v>120</v>
      </c>
      <c r="D84" s="89" t="n">
        <v>160</v>
      </c>
      <c r="E84" s="89" t="n">
        <v>180</v>
      </c>
      <c r="F84" s="166">
        <f>B84+C84+D84+E84</f>
        <v/>
      </c>
      <c r="G84" s="89" t="n">
        <v>200</v>
      </c>
      <c r="H84" s="89" t="n">
        <v>60</v>
      </c>
      <c r="I84" s="89" t="n">
        <v>0</v>
      </c>
      <c r="J84" s="89" t="n">
        <v>0</v>
      </c>
      <c r="K84" s="89" t="n"/>
      <c r="L84" s="166">
        <f>G84+H84+I84+J84+K84</f>
        <v/>
      </c>
      <c r="M84" s="199">
        <f>B84+C84+D84+E84+G84+H84+I84+J84</f>
        <v/>
      </c>
      <c r="N84" s="197">
        <f>F84+L84</f>
        <v/>
      </c>
    </row>
    <row r="85" ht="15.75" customHeight="1">
      <c r="A85" s="164" t="inlineStr">
        <is>
          <t>SACOLA M</t>
        </is>
      </c>
      <c r="B85" s="89" t="n">
        <v>100</v>
      </c>
      <c r="C85" s="89" t="n">
        <v>20</v>
      </c>
      <c r="D85" s="89" t="n">
        <v>80</v>
      </c>
      <c r="E85" s="89" t="n">
        <v>100</v>
      </c>
      <c r="F85" s="166">
        <f>B85+C85+D85+E85</f>
        <v/>
      </c>
      <c r="G85" s="89" t="n">
        <v>40</v>
      </c>
      <c r="H85" s="89" t="n">
        <v>140</v>
      </c>
      <c r="I85" s="89" t="n">
        <v>120</v>
      </c>
      <c r="J85" s="89" t="n">
        <v>0</v>
      </c>
      <c r="K85" s="89" t="n"/>
      <c r="L85" s="166">
        <f>G85+H85+I85+J85+K85</f>
        <v/>
      </c>
      <c r="M85" s="199">
        <f>B85+C85+D85+E85+G85+H85+I85+J85</f>
        <v/>
      </c>
      <c r="N85" s="197">
        <f>F85+L85</f>
        <v/>
      </c>
    </row>
    <row r="86" ht="15.75" customHeight="1">
      <c r="A86" s="164" t="inlineStr">
        <is>
          <t>SACOLA G</t>
        </is>
      </c>
      <c r="B86" s="89" t="n">
        <v>50</v>
      </c>
      <c r="C86" s="89" t="n">
        <v>0</v>
      </c>
      <c r="D86" s="89" t="n">
        <v>0</v>
      </c>
      <c r="E86" s="89" t="n">
        <v>0</v>
      </c>
      <c r="F86" s="166">
        <f>B86+C86+D86+E86</f>
        <v/>
      </c>
      <c r="G86" s="89" t="n">
        <v>0</v>
      </c>
      <c r="H86" s="89" t="n">
        <v>50</v>
      </c>
      <c r="I86" s="89" t="n">
        <v>0</v>
      </c>
      <c r="J86" s="89" t="n">
        <v>0</v>
      </c>
      <c r="K86" s="89" t="n"/>
      <c r="L86" s="166">
        <f>G86+H86+I86+J86+K86</f>
        <v/>
      </c>
      <c r="M86" s="199">
        <f>B86+C86+D86+E86+G86+H86+I86+J86</f>
        <v/>
      </c>
      <c r="N86" s="197">
        <f>F86+L86</f>
        <v/>
      </c>
    </row>
    <row r="87" ht="15.75" customHeight="1">
      <c r="A87" s="115" t="inlineStr">
        <is>
          <t xml:space="preserve">PAPEL DE SEDA </t>
        </is>
      </c>
      <c r="B87" s="89" t="n">
        <v>0</v>
      </c>
      <c r="C87" s="89" t="n">
        <v>0</v>
      </c>
      <c r="D87" s="89" t="n">
        <v>1</v>
      </c>
      <c r="E87" s="89" t="n">
        <v>0</v>
      </c>
      <c r="F87" s="166">
        <f>B87+C87+D87+E87</f>
        <v/>
      </c>
      <c r="G87" s="89" t="n">
        <v>1</v>
      </c>
      <c r="H87" s="89" t="n">
        <v>2</v>
      </c>
      <c r="I87" s="89" t="n">
        <v>2</v>
      </c>
      <c r="J87" s="89" t="n">
        <v>3</v>
      </c>
      <c r="K87" s="89" t="n"/>
      <c r="L87" s="166">
        <f>G87+H87+I87+J87+K87</f>
        <v/>
      </c>
      <c r="M87" s="199">
        <f>B87+C87+D87+E87+G87+H87+I87+J87</f>
        <v/>
      </c>
      <c r="N87" s="197">
        <f>F87+L87</f>
        <v/>
      </c>
    </row>
    <row r="88" ht="15.75" customHeight="1">
      <c r="A88" s="115" t="inlineStr">
        <is>
          <t xml:space="preserve">TAGS </t>
        </is>
      </c>
      <c r="B88" s="89" t="n">
        <v>1</v>
      </c>
      <c r="C88" s="89" t="n">
        <v>0</v>
      </c>
      <c r="D88" s="89" t="n">
        <v>1</v>
      </c>
      <c r="E88" s="89" t="n">
        <v>0</v>
      </c>
      <c r="F88" s="166">
        <f>B88+C88+D88+E88</f>
        <v/>
      </c>
      <c r="G88" s="89" t="n">
        <v>2</v>
      </c>
      <c r="H88" s="89" t="n">
        <v>2</v>
      </c>
      <c r="I88" s="89" t="n">
        <v>0</v>
      </c>
      <c r="J88" s="89" t="n">
        <v>1</v>
      </c>
      <c r="K88" s="89" t="n"/>
      <c r="L88" s="166">
        <f>G88+H88+I88+J88+K88</f>
        <v/>
      </c>
      <c r="M88" s="199">
        <f>B88+C88+D88+E88+G88+H88+I88+J88</f>
        <v/>
      </c>
      <c r="N88" s="197">
        <f>F88+L88</f>
        <v/>
      </c>
    </row>
    <row r="89" ht="15.75" customHeight="1">
      <c r="A89" s="109" t="inlineStr">
        <is>
          <t>TOTAL DE SACOLAS</t>
        </is>
      </c>
      <c r="B89" s="110">
        <f>B84+B85+B86</f>
        <v/>
      </c>
      <c r="C89" s="110">
        <f>C84+C85+C86</f>
        <v/>
      </c>
      <c r="D89" s="110">
        <f>D84+D85+D86</f>
        <v/>
      </c>
      <c r="E89" s="110">
        <f>E84+E85+E86</f>
        <v/>
      </c>
      <c r="F89" s="110">
        <f>F84+F85+F86</f>
        <v/>
      </c>
      <c r="G89" s="110">
        <f>G84+G85+G86</f>
        <v/>
      </c>
      <c r="H89" s="110">
        <f>H84+H85+H86</f>
        <v/>
      </c>
      <c r="I89" s="110">
        <f>I84+I85+I86</f>
        <v/>
      </c>
      <c r="J89" s="110">
        <f>J84+J85+J86</f>
        <v/>
      </c>
      <c r="K89" s="110">
        <f>K84+K85+K86</f>
        <v/>
      </c>
      <c r="L89" s="191">
        <f>L84+L85+L86</f>
        <v/>
      </c>
      <c r="M89" s="198">
        <f>M84+M85+M86</f>
        <v/>
      </c>
      <c r="N89" s="198">
        <f>N84+N85+N86</f>
        <v/>
      </c>
    </row>
    <row r="92" ht="15.75" customHeight="1"/>
    <row r="103" ht="15.75" customHeight="1"/>
    <row r="117" ht="15.75" customHeight="1"/>
    <row r="125" ht="15.75" customHeight="1"/>
  </sheetData>
  <mergeCells count="56">
    <mergeCell ref="N32:N33"/>
    <mergeCell ref="A31:N31"/>
    <mergeCell ref="N22:N23"/>
    <mergeCell ref="B62:F62"/>
    <mergeCell ref="G62:L62"/>
    <mergeCell ref="B72:F72"/>
    <mergeCell ref="N12:N13"/>
    <mergeCell ref="M2:M3"/>
    <mergeCell ref="A11:N11"/>
    <mergeCell ref="B22:F22"/>
    <mergeCell ref="N2:N3"/>
    <mergeCell ref="A51:N51"/>
    <mergeCell ref="N62:N63"/>
    <mergeCell ref="B52:F52"/>
    <mergeCell ref="A1:N1"/>
    <mergeCell ref="B12:F12"/>
    <mergeCell ref="A61:N61"/>
    <mergeCell ref="M22:M23"/>
    <mergeCell ref="N52:N53"/>
    <mergeCell ref="B2:F2"/>
    <mergeCell ref="A12:A13"/>
    <mergeCell ref="B42:F42"/>
    <mergeCell ref="M12:M13"/>
    <mergeCell ref="A41:N41"/>
    <mergeCell ref="N42:N43"/>
    <mergeCell ref="A2:A3"/>
    <mergeCell ref="B82:F82"/>
    <mergeCell ref="A32:A33"/>
    <mergeCell ref="M32:M33"/>
    <mergeCell ref="Q1:R1"/>
    <mergeCell ref="A22:A23"/>
    <mergeCell ref="G32:L32"/>
    <mergeCell ref="A42:A43"/>
    <mergeCell ref="N82:N83"/>
    <mergeCell ref="A21:N21"/>
    <mergeCell ref="G22:L22"/>
    <mergeCell ref="B32:F32"/>
    <mergeCell ref="A72:A73"/>
    <mergeCell ref="M42:M43"/>
    <mergeCell ref="A71:N71"/>
    <mergeCell ref="M72:M73"/>
    <mergeCell ref="G12:L12"/>
    <mergeCell ref="A62:A63"/>
    <mergeCell ref="G52:L52"/>
    <mergeCell ref="G72:L72"/>
    <mergeCell ref="M62:M63"/>
    <mergeCell ref="G2:L2"/>
    <mergeCell ref="A52:A53"/>
    <mergeCell ref="G42:L42"/>
    <mergeCell ref="M52:M53"/>
    <mergeCell ref="A81:N81"/>
    <mergeCell ref="A82:A83"/>
    <mergeCell ref="M82:M83"/>
    <mergeCell ref="N72:N73"/>
    <mergeCell ref="S2:S3"/>
    <mergeCell ref="G82:L82"/>
  </mergeCells>
  <pageMargins left="0.511811024" right="0.511811024" top="0.787401575" bottom="0.787401575" header="0.31496062" footer="0.31496062"/>
  <pageSetup orientation="portrait" paperSize="9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Bruno Parronchi</dc:creator>
  <dcterms:created xsi:type="dcterms:W3CDTF">2019-03-11T11:12:00Z</dcterms:created>
  <dcterms:modified xsi:type="dcterms:W3CDTF">2026-05-19T14:35:28Z</dcterms:modified>
  <cp:lastModifiedBy>Stiphanie da Silva Lima</cp:lastModifiedBy>
  <cp:lastPrinted>2026-05-07T12:17:18Z</cp:lastPrinted>
</cp:coreProperties>
</file>